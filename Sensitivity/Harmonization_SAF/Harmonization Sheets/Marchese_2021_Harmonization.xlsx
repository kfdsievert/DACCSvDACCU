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updateLinks="always"/>
  <mc:AlternateContent xmlns:mc="http://schemas.openxmlformats.org/markup-compatibility/2006">
    <mc:Choice Requires="x15">
      <x15ac:absPath xmlns:x15ac="http://schemas.microsoft.com/office/spreadsheetml/2010/11/ac" url="https://ethz-my.sharepoint.com/personal/ydubey_ethz_ch/Documents/Documents/GitHub/DACCSvDACCU/Sensitivity/Harmonization_SAF/Harmonization Sheets/"/>
    </mc:Choice>
  </mc:AlternateContent>
  <xr:revisionPtr revIDLastSave="105" documentId="13_ncr:1_{8C94FA30-1442-A847-B461-8BCABFE5E32D}" xr6:coauthVersionLast="47" xr6:coauthVersionMax="47" xr10:uidLastSave="{32AFFADF-2F08-4B85-9DC4-EA34F3A8C042}"/>
  <bookViews>
    <workbookView xWindow="1170" yWindow="1170" windowWidth="28800" windowHeight="15345" tabRatio="860" xr2:uid="{00000000-000D-0000-FFFF-FFFF00000000}"/>
  </bookViews>
  <sheets>
    <sheet name="Inputs" sheetId="1" r:id="rId1"/>
    <sheet name="Study Parameters" sheetId="2" r:id="rId2"/>
    <sheet name="Cost Components" sheetId="3" r:id="rId3"/>
    <sheet name="Production Cost Baseline" sheetId="4" r:id="rId4"/>
    <sheet name="LCOE Corrected Production Cost " sheetId="5" r:id="rId5"/>
    <sheet name="CO2 Corrected Production Cost" sheetId="6" r:id="rId6"/>
    <sheet name="WACC Corrected Production Cost" sheetId="7" r:id="rId7"/>
    <sheet name="Cost Breakdown" sheetId="9" r:id="rId8"/>
    <sheet name="Outputs" sheetId="8" r:id="rId9"/>
  </sheets>
  <externalReferences>
    <externalReference r:id="rId1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21" i="3" l="1"/>
  <c r="B12" i="3"/>
  <c r="C33" i="1"/>
  <c r="C32" i="1"/>
  <c r="C30" i="1"/>
  <c r="C29" i="1"/>
  <c r="C27" i="1"/>
  <c r="C26" i="1"/>
  <c r="C24" i="1"/>
  <c r="C23" i="1"/>
  <c r="C21" i="1"/>
  <c r="C20" i="1"/>
  <c r="C18" i="1"/>
  <c r="C16" i="1"/>
  <c r="C15" i="1"/>
  <c r="C14" i="1"/>
  <c r="C13" i="1"/>
  <c r="C12" i="1"/>
  <c r="C11" i="1"/>
  <c r="C9" i="1"/>
  <c r="C8" i="1"/>
  <c r="C6" i="1"/>
  <c r="C5" i="1"/>
  <c r="C4" i="1"/>
  <c r="K18" i="9"/>
  <c r="C24" i="2"/>
  <c r="N21" i="3"/>
  <c r="P21" i="3"/>
  <c r="Q21" i="3"/>
  <c r="M21" i="3"/>
  <c r="B17" i="9"/>
  <c r="U18" i="9" l="1"/>
  <c r="I18" i="9"/>
  <c r="G18" i="9"/>
  <c r="F18" i="9"/>
  <c r="E18" i="9"/>
  <c r="D18" i="9"/>
  <c r="X18" i="9"/>
  <c r="M18" i="9"/>
  <c r="J18" i="9"/>
  <c r="S18" i="9"/>
  <c r="R18" i="9"/>
  <c r="C18" i="9"/>
  <c r="P18" i="9"/>
  <c r="Z18" i="9"/>
  <c r="N18" i="9"/>
  <c r="W18" i="9"/>
  <c r="L18" i="9"/>
  <c r="T18" i="9"/>
  <c r="H18" i="9"/>
  <c r="Q18" i="9"/>
  <c r="AA18" i="9"/>
  <c r="O18" i="9"/>
  <c r="Y18" i="9"/>
  <c r="V18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C6" i="9"/>
  <c r="B5" i="9"/>
  <c r="C26" i="2"/>
  <c r="C25" i="2"/>
  <c r="C23" i="2"/>
  <c r="C22" i="2"/>
  <c r="M40" i="3"/>
  <c r="F40" i="3"/>
  <c r="P42" i="3"/>
  <c r="AH17" i="8"/>
  <c r="AG17" i="8"/>
  <c r="AF17" i="8"/>
  <c r="AE17" i="8"/>
  <c r="AA17" i="8"/>
  <c r="Z17" i="8"/>
  <c r="Y17" i="8"/>
  <c r="X17" i="8"/>
  <c r="T17" i="8"/>
  <c r="S17" i="8"/>
  <c r="R17" i="8"/>
  <c r="Q17" i="8"/>
  <c r="M17" i="8"/>
  <c r="L17" i="8"/>
  <c r="K17" i="8"/>
  <c r="J17" i="8"/>
  <c r="F17" i="8"/>
  <c r="E17" i="8"/>
  <c r="D17" i="8"/>
  <c r="C17" i="8"/>
  <c r="AH6" i="8"/>
  <c r="AG6" i="8"/>
  <c r="AF6" i="8"/>
  <c r="AE6" i="8"/>
  <c r="AA6" i="8"/>
  <c r="Z6" i="8"/>
  <c r="Y6" i="8"/>
  <c r="X6" i="8"/>
  <c r="T6" i="8"/>
  <c r="S6" i="8"/>
  <c r="R6" i="8"/>
  <c r="Q6" i="8"/>
  <c r="M6" i="8"/>
  <c r="L6" i="8"/>
  <c r="K6" i="8"/>
  <c r="J6" i="8"/>
  <c r="F6" i="8"/>
  <c r="E6" i="8"/>
  <c r="D6" i="8"/>
  <c r="C6" i="8"/>
  <c r="X109" i="7"/>
  <c r="W109" i="7"/>
  <c r="V109" i="7"/>
  <c r="U109" i="7"/>
  <c r="O109" i="7"/>
  <c r="M109" i="7"/>
  <c r="L109" i="7"/>
  <c r="K109" i="7"/>
  <c r="J109" i="7"/>
  <c r="B109" i="7"/>
  <c r="AA108" i="7"/>
  <c r="AA109" i="7" s="1"/>
  <c r="Z108" i="7"/>
  <c r="Z109" i="7" s="1"/>
  <c r="Y108" i="7"/>
  <c r="Y109" i="7" s="1"/>
  <c r="X108" i="7"/>
  <c r="W108" i="7"/>
  <c r="V108" i="7"/>
  <c r="U108" i="7"/>
  <c r="T108" i="7"/>
  <c r="T109" i="7" s="1"/>
  <c r="S108" i="7"/>
  <c r="S109" i="7" s="1"/>
  <c r="R108" i="7"/>
  <c r="R109" i="7" s="1"/>
  <c r="Q108" i="7"/>
  <c r="Q109" i="7" s="1"/>
  <c r="P108" i="7"/>
  <c r="P109" i="7" s="1"/>
  <c r="O108" i="7"/>
  <c r="N108" i="7"/>
  <c r="N109" i="7" s="1"/>
  <c r="M108" i="7"/>
  <c r="L108" i="7"/>
  <c r="K108" i="7"/>
  <c r="J108" i="7"/>
  <c r="I108" i="7"/>
  <c r="I109" i="7" s="1"/>
  <c r="H108" i="7"/>
  <c r="H109" i="7" s="1"/>
  <c r="G108" i="7"/>
  <c r="G109" i="7" s="1"/>
  <c r="F108" i="7"/>
  <c r="F109" i="7" s="1"/>
  <c r="E108" i="7"/>
  <c r="E109" i="7" s="1"/>
  <c r="D108" i="7"/>
  <c r="D109" i="7" s="1"/>
  <c r="C108" i="7"/>
  <c r="C109" i="7" s="1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AA98" i="7"/>
  <c r="Z98" i="7"/>
  <c r="Y98" i="7"/>
  <c r="X98" i="7"/>
  <c r="W98" i="7"/>
  <c r="Q98" i="7"/>
  <c r="O98" i="7"/>
  <c r="N98" i="7"/>
  <c r="M98" i="7"/>
  <c r="L98" i="7"/>
  <c r="F98" i="7"/>
  <c r="E98" i="7"/>
  <c r="D98" i="7"/>
  <c r="C98" i="7"/>
  <c r="B98" i="7"/>
  <c r="AA97" i="7"/>
  <c r="Z97" i="7"/>
  <c r="Y97" i="7"/>
  <c r="X97" i="7"/>
  <c r="W97" i="7"/>
  <c r="V97" i="7"/>
  <c r="V98" i="7" s="1"/>
  <c r="U97" i="7"/>
  <c r="U98" i="7" s="1"/>
  <c r="T97" i="7"/>
  <c r="T98" i="7" s="1"/>
  <c r="S97" i="7"/>
  <c r="S98" i="7" s="1"/>
  <c r="R97" i="7"/>
  <c r="R98" i="7" s="1"/>
  <c r="Q97" i="7"/>
  <c r="P97" i="7"/>
  <c r="P98" i="7" s="1"/>
  <c r="O97" i="7"/>
  <c r="N97" i="7"/>
  <c r="M97" i="7"/>
  <c r="L97" i="7"/>
  <c r="K97" i="7"/>
  <c r="K98" i="7" s="1"/>
  <c r="J97" i="7"/>
  <c r="J98" i="7" s="1"/>
  <c r="I97" i="7"/>
  <c r="I98" i="7" s="1"/>
  <c r="H97" i="7"/>
  <c r="H98" i="7" s="1"/>
  <c r="G97" i="7"/>
  <c r="G98" i="7" s="1"/>
  <c r="F97" i="7"/>
  <c r="E97" i="7"/>
  <c r="D97" i="7"/>
  <c r="C97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AA87" i="7"/>
  <c r="Z87" i="7"/>
  <c r="Y87" i="7"/>
  <c r="R87" i="7"/>
  <c r="Q87" i="7"/>
  <c r="P87" i="7"/>
  <c r="O87" i="7"/>
  <c r="N87" i="7"/>
  <c r="G87" i="7"/>
  <c r="F87" i="7"/>
  <c r="E87" i="7"/>
  <c r="D87" i="7"/>
  <c r="C87" i="7"/>
  <c r="B87" i="7"/>
  <c r="AA86" i="7"/>
  <c r="Z86" i="7"/>
  <c r="Y86" i="7"/>
  <c r="X86" i="7"/>
  <c r="X87" i="7" s="1"/>
  <c r="W86" i="7"/>
  <c r="W87" i="7" s="1"/>
  <c r="V86" i="7"/>
  <c r="V87" i="7" s="1"/>
  <c r="U86" i="7"/>
  <c r="U87" i="7" s="1"/>
  <c r="T86" i="7"/>
  <c r="T87" i="7" s="1"/>
  <c r="S86" i="7"/>
  <c r="S87" i="7" s="1"/>
  <c r="R86" i="7"/>
  <c r="Q86" i="7"/>
  <c r="P86" i="7"/>
  <c r="O86" i="7"/>
  <c r="N86" i="7"/>
  <c r="M86" i="7"/>
  <c r="M87" i="7" s="1"/>
  <c r="L86" i="7"/>
  <c r="L87" i="7" s="1"/>
  <c r="K86" i="7"/>
  <c r="K87" i="7" s="1"/>
  <c r="J86" i="7"/>
  <c r="J87" i="7" s="1"/>
  <c r="I86" i="7"/>
  <c r="I87" i="7" s="1"/>
  <c r="H86" i="7"/>
  <c r="H87" i="7" s="1"/>
  <c r="G86" i="7"/>
  <c r="F86" i="7"/>
  <c r="E86" i="7"/>
  <c r="D86" i="7"/>
  <c r="C86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A76" i="7"/>
  <c r="S76" i="7"/>
  <c r="R76" i="7"/>
  <c r="Q76" i="7"/>
  <c r="P76" i="7"/>
  <c r="J76" i="7"/>
  <c r="H76" i="7"/>
  <c r="G76" i="7"/>
  <c r="F76" i="7"/>
  <c r="E76" i="7"/>
  <c r="B76" i="7"/>
  <c r="AA75" i="7"/>
  <c r="Z75" i="7"/>
  <c r="Z76" i="7" s="1"/>
  <c r="Y75" i="7"/>
  <c r="Y76" i="7" s="1"/>
  <c r="X75" i="7"/>
  <c r="X76" i="7" s="1"/>
  <c r="W75" i="7"/>
  <c r="W76" i="7" s="1"/>
  <c r="V75" i="7"/>
  <c r="V76" i="7" s="1"/>
  <c r="U75" i="7"/>
  <c r="U76" i="7" s="1"/>
  <c r="T75" i="7"/>
  <c r="T76" i="7" s="1"/>
  <c r="S75" i="7"/>
  <c r="R75" i="7"/>
  <c r="Q75" i="7"/>
  <c r="P75" i="7"/>
  <c r="O75" i="7"/>
  <c r="O76" i="7" s="1"/>
  <c r="N75" i="7"/>
  <c r="N76" i="7" s="1"/>
  <c r="M75" i="7"/>
  <c r="M76" i="7" s="1"/>
  <c r="L75" i="7"/>
  <c r="L76" i="7" s="1"/>
  <c r="K75" i="7"/>
  <c r="K76" i="7" s="1"/>
  <c r="J75" i="7"/>
  <c r="I75" i="7"/>
  <c r="I76" i="7" s="1"/>
  <c r="H75" i="7"/>
  <c r="G75" i="7"/>
  <c r="F75" i="7"/>
  <c r="E75" i="7"/>
  <c r="D75" i="7"/>
  <c r="D76" i="7" s="1"/>
  <c r="C75" i="7"/>
  <c r="C76" i="7" s="1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U65" i="7"/>
  <c r="T65" i="7"/>
  <c r="S65" i="7"/>
  <c r="R65" i="7"/>
  <c r="J65" i="7"/>
  <c r="I65" i="7"/>
  <c r="H65" i="7"/>
  <c r="G65" i="7"/>
  <c r="B65" i="7"/>
  <c r="AA64" i="7"/>
  <c r="AA65" i="7" s="1"/>
  <c r="Z64" i="7"/>
  <c r="Z65" i="7" s="1"/>
  <c r="Y64" i="7"/>
  <c r="Y65" i="7" s="1"/>
  <c r="X64" i="7"/>
  <c r="X65" i="7" s="1"/>
  <c r="W64" i="7"/>
  <c r="W65" i="7" s="1"/>
  <c r="V64" i="7"/>
  <c r="V65" i="7" s="1"/>
  <c r="U64" i="7"/>
  <c r="T64" i="7"/>
  <c r="S64" i="7"/>
  <c r="R64" i="7"/>
  <c r="Q64" i="7"/>
  <c r="Q65" i="7" s="1"/>
  <c r="P64" i="7"/>
  <c r="P65" i="7" s="1"/>
  <c r="O64" i="7"/>
  <c r="O65" i="7" s="1"/>
  <c r="N64" i="7"/>
  <c r="N65" i="7" s="1"/>
  <c r="M64" i="7"/>
  <c r="M65" i="7" s="1"/>
  <c r="L64" i="7"/>
  <c r="L65" i="7" s="1"/>
  <c r="K64" i="7"/>
  <c r="K65" i="7" s="1"/>
  <c r="J64" i="7"/>
  <c r="I64" i="7"/>
  <c r="H64" i="7"/>
  <c r="G64" i="7"/>
  <c r="F64" i="7"/>
  <c r="F65" i="7" s="1"/>
  <c r="E64" i="7"/>
  <c r="E65" i="7" s="1"/>
  <c r="D64" i="7"/>
  <c r="D65" i="7" s="1"/>
  <c r="C64" i="7"/>
  <c r="C65" i="7" s="1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X53" i="7"/>
  <c r="W53" i="7"/>
  <c r="V53" i="7"/>
  <c r="U53" i="7"/>
  <c r="T53" i="7"/>
  <c r="M53" i="7"/>
  <c r="L53" i="7"/>
  <c r="K53" i="7"/>
  <c r="J53" i="7"/>
  <c r="I53" i="7"/>
  <c r="AA52" i="7"/>
  <c r="AA53" i="7" s="1"/>
  <c r="Z52" i="7"/>
  <c r="Z53" i="7" s="1"/>
  <c r="Y52" i="7"/>
  <c r="Y53" i="7" s="1"/>
  <c r="X52" i="7"/>
  <c r="W52" i="7"/>
  <c r="V52" i="7"/>
  <c r="U52" i="7"/>
  <c r="T52" i="7"/>
  <c r="S52" i="7"/>
  <c r="S53" i="7" s="1"/>
  <c r="R52" i="7"/>
  <c r="R53" i="7" s="1"/>
  <c r="Q52" i="7"/>
  <c r="Q53" i="7" s="1"/>
  <c r="P52" i="7"/>
  <c r="P53" i="7" s="1"/>
  <c r="O52" i="7"/>
  <c r="O53" i="7" s="1"/>
  <c r="N52" i="7"/>
  <c r="N53" i="7" s="1"/>
  <c r="M52" i="7"/>
  <c r="L52" i="7"/>
  <c r="K52" i="7"/>
  <c r="J52" i="7"/>
  <c r="I52" i="7"/>
  <c r="H52" i="7"/>
  <c r="H53" i="7" s="1"/>
  <c r="G52" i="7"/>
  <c r="G53" i="7" s="1"/>
  <c r="F52" i="7"/>
  <c r="F53" i="7" s="1"/>
  <c r="E52" i="7"/>
  <c r="E53" i="7" s="1"/>
  <c r="D52" i="7"/>
  <c r="D53" i="7" s="1"/>
  <c r="C52" i="7"/>
  <c r="C53" i="7" s="1"/>
  <c r="Y42" i="7"/>
  <c r="X42" i="7"/>
  <c r="W42" i="7"/>
  <c r="V42" i="7"/>
  <c r="U42" i="7"/>
  <c r="P42" i="7"/>
  <c r="N42" i="7"/>
  <c r="M42" i="7"/>
  <c r="L42" i="7"/>
  <c r="K42" i="7"/>
  <c r="J42" i="7"/>
  <c r="C42" i="7"/>
  <c r="AA41" i="7"/>
  <c r="AA42" i="7" s="1"/>
  <c r="Z41" i="7"/>
  <c r="Z42" i="7" s="1"/>
  <c r="Y41" i="7"/>
  <c r="X41" i="7"/>
  <c r="W41" i="7"/>
  <c r="V41" i="7"/>
  <c r="U41" i="7"/>
  <c r="T41" i="7"/>
  <c r="T42" i="7" s="1"/>
  <c r="S41" i="7"/>
  <c r="S42" i="7" s="1"/>
  <c r="R41" i="7"/>
  <c r="R42" i="7" s="1"/>
  <c r="Q41" i="7"/>
  <c r="Q42" i="7" s="1"/>
  <c r="P41" i="7"/>
  <c r="O41" i="7"/>
  <c r="O42" i="7" s="1"/>
  <c r="N41" i="7"/>
  <c r="M41" i="7"/>
  <c r="L41" i="7"/>
  <c r="K41" i="7"/>
  <c r="J41" i="7"/>
  <c r="I41" i="7"/>
  <c r="I42" i="7" s="1"/>
  <c r="H41" i="7"/>
  <c r="H42" i="7" s="1"/>
  <c r="G41" i="7"/>
  <c r="G42" i="7" s="1"/>
  <c r="F41" i="7"/>
  <c r="F42" i="7" s="1"/>
  <c r="E41" i="7"/>
  <c r="E42" i="7" s="1"/>
  <c r="D41" i="7"/>
  <c r="D42" i="7" s="1"/>
  <c r="C41" i="7"/>
  <c r="Z31" i="7"/>
  <c r="X31" i="7"/>
  <c r="W31" i="7"/>
  <c r="V31" i="7"/>
  <c r="Q31" i="7"/>
  <c r="P31" i="7"/>
  <c r="O31" i="7"/>
  <c r="M31" i="7"/>
  <c r="L31" i="7"/>
  <c r="K31" i="7"/>
  <c r="D31" i="7"/>
  <c r="AA30" i="7"/>
  <c r="AA31" i="7" s="1"/>
  <c r="Z30" i="7"/>
  <c r="Y30" i="7"/>
  <c r="Y31" i="7" s="1"/>
  <c r="X30" i="7"/>
  <c r="W30" i="7"/>
  <c r="V30" i="7"/>
  <c r="U30" i="7"/>
  <c r="U31" i="7" s="1"/>
  <c r="T30" i="7"/>
  <c r="T31" i="7" s="1"/>
  <c r="S30" i="7"/>
  <c r="S31" i="7" s="1"/>
  <c r="R30" i="7"/>
  <c r="R31" i="7" s="1"/>
  <c r="Q30" i="7"/>
  <c r="P30" i="7"/>
  <c r="O30" i="7"/>
  <c r="N30" i="7"/>
  <c r="N31" i="7" s="1"/>
  <c r="M30" i="7"/>
  <c r="L30" i="7"/>
  <c r="K30" i="7"/>
  <c r="J30" i="7"/>
  <c r="J31" i="7" s="1"/>
  <c r="I30" i="7"/>
  <c r="I31" i="7" s="1"/>
  <c r="H30" i="7"/>
  <c r="H31" i="7" s="1"/>
  <c r="G30" i="7"/>
  <c r="G31" i="7" s="1"/>
  <c r="F30" i="7"/>
  <c r="F31" i="7" s="1"/>
  <c r="E30" i="7"/>
  <c r="E31" i="7" s="1"/>
  <c r="D30" i="7"/>
  <c r="C30" i="7"/>
  <c r="C31" i="7" s="1"/>
  <c r="AA20" i="7"/>
  <c r="Y20" i="7"/>
  <c r="X20" i="7"/>
  <c r="W20" i="7"/>
  <c r="Q20" i="7"/>
  <c r="P20" i="7"/>
  <c r="N20" i="7"/>
  <c r="M20" i="7"/>
  <c r="L20" i="7"/>
  <c r="E20" i="7"/>
  <c r="C20" i="7"/>
  <c r="AA19" i="7"/>
  <c r="Z19" i="7"/>
  <c r="Z20" i="7" s="1"/>
  <c r="Y19" i="7"/>
  <c r="X19" i="7"/>
  <c r="W19" i="7"/>
  <c r="V19" i="7"/>
  <c r="V20" i="7" s="1"/>
  <c r="U19" i="7"/>
  <c r="U20" i="7" s="1"/>
  <c r="T19" i="7"/>
  <c r="T20" i="7" s="1"/>
  <c r="S19" i="7"/>
  <c r="S20" i="7" s="1"/>
  <c r="R19" i="7"/>
  <c r="R20" i="7" s="1"/>
  <c r="Q19" i="7"/>
  <c r="P19" i="7"/>
  <c r="O19" i="7"/>
  <c r="O20" i="7" s="1"/>
  <c r="N19" i="7"/>
  <c r="M19" i="7"/>
  <c r="L19" i="7"/>
  <c r="K19" i="7"/>
  <c r="K20" i="7" s="1"/>
  <c r="J19" i="7"/>
  <c r="J20" i="7" s="1"/>
  <c r="I19" i="7"/>
  <c r="I20" i="7" s="1"/>
  <c r="H19" i="7"/>
  <c r="H20" i="7" s="1"/>
  <c r="G19" i="7"/>
  <c r="G20" i="7" s="1"/>
  <c r="F19" i="7"/>
  <c r="F20" i="7" s="1"/>
  <c r="E19" i="7"/>
  <c r="D19" i="7"/>
  <c r="D20" i="7" s="1"/>
  <c r="C19" i="7"/>
  <c r="Z9" i="7"/>
  <c r="Y9" i="7"/>
  <c r="X9" i="7"/>
  <c r="Q9" i="7"/>
  <c r="O9" i="7"/>
  <c r="N9" i="7"/>
  <c r="M9" i="7"/>
  <c r="F9" i="7"/>
  <c r="D9" i="7"/>
  <c r="C9" i="7"/>
  <c r="AA8" i="7"/>
  <c r="AA9" i="7" s="1"/>
  <c r="Z8" i="7"/>
  <c r="Y8" i="7"/>
  <c r="X8" i="7"/>
  <c r="W8" i="7"/>
  <c r="W9" i="7" s="1"/>
  <c r="V8" i="7"/>
  <c r="V9" i="7" s="1"/>
  <c r="U8" i="7"/>
  <c r="U9" i="7" s="1"/>
  <c r="T8" i="7"/>
  <c r="T9" i="7" s="1"/>
  <c r="S8" i="7"/>
  <c r="S9" i="7" s="1"/>
  <c r="R8" i="7"/>
  <c r="R9" i="7" s="1"/>
  <c r="Q8" i="7"/>
  <c r="P8" i="7"/>
  <c r="P9" i="7" s="1"/>
  <c r="O8" i="7"/>
  <c r="N8" i="7"/>
  <c r="M8" i="7"/>
  <c r="L8" i="7"/>
  <c r="L9" i="7" s="1"/>
  <c r="K8" i="7"/>
  <c r="K9" i="7" s="1"/>
  <c r="J8" i="7"/>
  <c r="J9" i="7" s="1"/>
  <c r="I8" i="7"/>
  <c r="I9" i="7" s="1"/>
  <c r="H8" i="7"/>
  <c r="H9" i="7" s="1"/>
  <c r="G8" i="7"/>
  <c r="G9" i="7" s="1"/>
  <c r="F8" i="7"/>
  <c r="E8" i="7"/>
  <c r="E9" i="7" s="1"/>
  <c r="D8" i="7"/>
  <c r="C8" i="7"/>
  <c r="AA109" i="6"/>
  <c r="Z109" i="6"/>
  <c r="Y109" i="6"/>
  <c r="S109" i="6"/>
  <c r="R109" i="6"/>
  <c r="Q109" i="6"/>
  <c r="P109" i="6"/>
  <c r="O109" i="6"/>
  <c r="N109" i="6"/>
  <c r="H109" i="6"/>
  <c r="F109" i="6"/>
  <c r="E109" i="6"/>
  <c r="D109" i="6"/>
  <c r="C109" i="6"/>
  <c r="B109" i="6"/>
  <c r="AA108" i="6"/>
  <c r="Z108" i="6"/>
  <c r="Y108" i="6"/>
  <c r="X108" i="6"/>
  <c r="X109" i="6" s="1"/>
  <c r="W108" i="6"/>
  <c r="W109" i="6" s="1"/>
  <c r="V108" i="6"/>
  <c r="V109" i="6" s="1"/>
  <c r="U108" i="6"/>
  <c r="U109" i="6" s="1"/>
  <c r="T108" i="6"/>
  <c r="T109" i="6" s="1"/>
  <c r="S108" i="6"/>
  <c r="R108" i="6"/>
  <c r="Q108" i="6"/>
  <c r="P108" i="6"/>
  <c r="O108" i="6"/>
  <c r="N108" i="6"/>
  <c r="M108" i="6"/>
  <c r="M109" i="6" s="1"/>
  <c r="L108" i="6"/>
  <c r="L109" i="6" s="1"/>
  <c r="K108" i="6"/>
  <c r="K109" i="6" s="1"/>
  <c r="J108" i="6"/>
  <c r="J109" i="6" s="1"/>
  <c r="I108" i="6"/>
  <c r="I109" i="6" s="1"/>
  <c r="H108" i="6"/>
  <c r="G108" i="6"/>
  <c r="G109" i="6" s="1"/>
  <c r="F108" i="6"/>
  <c r="E108" i="6"/>
  <c r="D108" i="6"/>
  <c r="C108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AA98" i="6"/>
  <c r="V98" i="6"/>
  <c r="S98" i="6"/>
  <c r="R98" i="6"/>
  <c r="Q98" i="6"/>
  <c r="P98" i="6"/>
  <c r="K98" i="6"/>
  <c r="H98" i="6"/>
  <c r="G98" i="6"/>
  <c r="F98" i="6"/>
  <c r="E98" i="6"/>
  <c r="B98" i="6"/>
  <c r="AA97" i="6"/>
  <c r="Z97" i="6"/>
  <c r="Z98" i="6" s="1"/>
  <c r="Y97" i="6"/>
  <c r="Y98" i="6" s="1"/>
  <c r="X97" i="6"/>
  <c r="X98" i="6" s="1"/>
  <c r="W97" i="6"/>
  <c r="W98" i="6" s="1"/>
  <c r="V97" i="6"/>
  <c r="U97" i="6"/>
  <c r="U98" i="6" s="1"/>
  <c r="T97" i="6"/>
  <c r="T98" i="6" s="1"/>
  <c r="S97" i="6"/>
  <c r="R97" i="6"/>
  <c r="Q97" i="6"/>
  <c r="P97" i="6"/>
  <c r="O97" i="6"/>
  <c r="O98" i="6" s="1"/>
  <c r="N97" i="6"/>
  <c r="N98" i="6" s="1"/>
  <c r="M97" i="6"/>
  <c r="M98" i="6" s="1"/>
  <c r="L97" i="6"/>
  <c r="L98" i="6" s="1"/>
  <c r="K97" i="6"/>
  <c r="J97" i="6"/>
  <c r="J98" i="6" s="1"/>
  <c r="I97" i="6"/>
  <c r="I98" i="6" s="1"/>
  <c r="H97" i="6"/>
  <c r="G97" i="6"/>
  <c r="F97" i="6"/>
  <c r="E97" i="6"/>
  <c r="D97" i="6"/>
  <c r="D98" i="6" s="1"/>
  <c r="C97" i="6"/>
  <c r="C98" i="6" s="1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X87" i="6"/>
  <c r="W87" i="6"/>
  <c r="V87" i="6"/>
  <c r="U87" i="6"/>
  <c r="T87" i="6"/>
  <c r="S87" i="6"/>
  <c r="R87" i="6"/>
  <c r="J87" i="6"/>
  <c r="I87" i="6"/>
  <c r="H87" i="6"/>
  <c r="G87" i="6"/>
  <c r="B87" i="6"/>
  <c r="AA86" i="6"/>
  <c r="AA87" i="6" s="1"/>
  <c r="Z86" i="6"/>
  <c r="Z87" i="6" s="1"/>
  <c r="Y86" i="6"/>
  <c r="Y87" i="6" s="1"/>
  <c r="X86" i="6"/>
  <c r="W86" i="6"/>
  <c r="V86" i="6"/>
  <c r="U86" i="6"/>
  <c r="T86" i="6"/>
  <c r="S86" i="6"/>
  <c r="R86" i="6"/>
  <c r="Q86" i="6"/>
  <c r="Q87" i="6" s="1"/>
  <c r="P86" i="6"/>
  <c r="P87" i="6" s="1"/>
  <c r="O86" i="6"/>
  <c r="O87" i="6" s="1"/>
  <c r="N86" i="6"/>
  <c r="N87" i="6" s="1"/>
  <c r="M86" i="6"/>
  <c r="M87" i="6" s="1"/>
  <c r="L86" i="6"/>
  <c r="L87" i="6" s="1"/>
  <c r="K86" i="6"/>
  <c r="K87" i="6" s="1"/>
  <c r="J86" i="6"/>
  <c r="I86" i="6"/>
  <c r="H86" i="6"/>
  <c r="G86" i="6"/>
  <c r="F86" i="6"/>
  <c r="F87" i="6" s="1"/>
  <c r="E86" i="6"/>
  <c r="E87" i="6" s="1"/>
  <c r="D86" i="6"/>
  <c r="D87" i="6" s="1"/>
  <c r="C86" i="6"/>
  <c r="C87" i="6" s="1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Y76" i="6"/>
  <c r="X76" i="6"/>
  <c r="W76" i="6"/>
  <c r="V76" i="6"/>
  <c r="U76" i="6"/>
  <c r="T76" i="6"/>
  <c r="L76" i="6"/>
  <c r="K76" i="6"/>
  <c r="J76" i="6"/>
  <c r="I76" i="6"/>
  <c r="B76" i="6"/>
  <c r="AA75" i="6"/>
  <c r="AA76" i="6" s="1"/>
  <c r="Z75" i="6"/>
  <c r="Z76" i="6" s="1"/>
  <c r="Y75" i="6"/>
  <c r="X75" i="6"/>
  <c r="W75" i="6"/>
  <c r="V75" i="6"/>
  <c r="U75" i="6"/>
  <c r="T75" i="6"/>
  <c r="S75" i="6"/>
  <c r="S76" i="6" s="1"/>
  <c r="R75" i="6"/>
  <c r="R76" i="6" s="1"/>
  <c r="Q75" i="6"/>
  <c r="Q76" i="6" s="1"/>
  <c r="P75" i="6"/>
  <c r="P76" i="6" s="1"/>
  <c r="O75" i="6"/>
  <c r="O76" i="6" s="1"/>
  <c r="N75" i="6"/>
  <c r="N76" i="6" s="1"/>
  <c r="M75" i="6"/>
  <c r="M76" i="6" s="1"/>
  <c r="L75" i="6"/>
  <c r="K75" i="6"/>
  <c r="J75" i="6"/>
  <c r="I75" i="6"/>
  <c r="H75" i="6"/>
  <c r="H76" i="6" s="1"/>
  <c r="G75" i="6"/>
  <c r="G76" i="6" s="1"/>
  <c r="F75" i="6"/>
  <c r="F76" i="6" s="1"/>
  <c r="E75" i="6"/>
  <c r="E76" i="6" s="1"/>
  <c r="D75" i="6"/>
  <c r="D76" i="6" s="1"/>
  <c r="C75" i="6"/>
  <c r="C76" i="6" s="1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Y65" i="6"/>
  <c r="X65" i="6"/>
  <c r="V65" i="6"/>
  <c r="U65" i="6"/>
  <c r="S65" i="6"/>
  <c r="R65" i="6"/>
  <c r="M65" i="6"/>
  <c r="L65" i="6"/>
  <c r="H65" i="6"/>
  <c r="G65" i="6"/>
  <c r="F65" i="6"/>
  <c r="B65" i="6"/>
  <c r="AA64" i="6"/>
  <c r="AA65" i="6" s="1"/>
  <c r="Z64" i="6"/>
  <c r="Z65" i="6" s="1"/>
  <c r="Y64" i="6"/>
  <c r="X64" i="6"/>
  <c r="W64" i="6"/>
  <c r="W65" i="6" s="1"/>
  <c r="V64" i="6"/>
  <c r="U64" i="6"/>
  <c r="T64" i="6"/>
  <c r="T65" i="6" s="1"/>
  <c r="S64" i="6"/>
  <c r="R64" i="6"/>
  <c r="Q64" i="6"/>
  <c r="Q65" i="6" s="1"/>
  <c r="P64" i="6"/>
  <c r="P65" i="6" s="1"/>
  <c r="O64" i="6"/>
  <c r="O65" i="6" s="1"/>
  <c r="N64" i="6"/>
  <c r="N65" i="6" s="1"/>
  <c r="M64" i="6"/>
  <c r="L64" i="6"/>
  <c r="K64" i="6"/>
  <c r="K65" i="6" s="1"/>
  <c r="J64" i="6"/>
  <c r="J65" i="6" s="1"/>
  <c r="I64" i="6"/>
  <c r="I65" i="6" s="1"/>
  <c r="H64" i="6"/>
  <c r="G64" i="6"/>
  <c r="F64" i="6"/>
  <c r="E64" i="6"/>
  <c r="E65" i="6" s="1"/>
  <c r="D64" i="6"/>
  <c r="D65" i="6" s="1"/>
  <c r="C64" i="6"/>
  <c r="C65" i="6" s="1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AA53" i="6"/>
  <c r="Y53" i="6"/>
  <c r="U53" i="6"/>
  <c r="T53" i="6"/>
  <c r="P53" i="6"/>
  <c r="N53" i="6"/>
  <c r="J53" i="6"/>
  <c r="I53" i="6"/>
  <c r="C53" i="6"/>
  <c r="AA52" i="6"/>
  <c r="Z52" i="6"/>
  <c r="Z53" i="6" s="1"/>
  <c r="Y52" i="6"/>
  <c r="X52" i="6"/>
  <c r="X53" i="6" s="1"/>
  <c r="W52" i="6"/>
  <c r="W53" i="6" s="1"/>
  <c r="V52" i="6"/>
  <c r="V53" i="6" s="1"/>
  <c r="U52" i="6"/>
  <c r="T52" i="6"/>
  <c r="S52" i="6"/>
  <c r="S53" i="6" s="1"/>
  <c r="R52" i="6"/>
  <c r="R53" i="6" s="1"/>
  <c r="Q52" i="6"/>
  <c r="Q53" i="6" s="1"/>
  <c r="P52" i="6"/>
  <c r="O52" i="6"/>
  <c r="O53" i="6" s="1"/>
  <c r="N52" i="6"/>
  <c r="M52" i="6"/>
  <c r="M53" i="6" s="1"/>
  <c r="L52" i="6"/>
  <c r="L53" i="6" s="1"/>
  <c r="K52" i="6"/>
  <c r="K53" i="6" s="1"/>
  <c r="J52" i="6"/>
  <c r="I52" i="6"/>
  <c r="H52" i="6"/>
  <c r="H53" i="6" s="1"/>
  <c r="G52" i="6"/>
  <c r="G53" i="6" s="1"/>
  <c r="F52" i="6"/>
  <c r="F53" i="6" s="1"/>
  <c r="E52" i="6"/>
  <c r="E53" i="6" s="1"/>
  <c r="D52" i="6"/>
  <c r="D53" i="6" s="1"/>
  <c r="C52" i="6"/>
  <c r="X42" i="6"/>
  <c r="W42" i="6"/>
  <c r="U42" i="6"/>
  <c r="T42" i="6"/>
  <c r="S42" i="6"/>
  <c r="R42" i="6"/>
  <c r="Q42" i="6"/>
  <c r="L42" i="6"/>
  <c r="I42" i="6"/>
  <c r="H42" i="6"/>
  <c r="G42" i="6"/>
  <c r="F42" i="6"/>
  <c r="AA41" i="6"/>
  <c r="AA42" i="6" s="1"/>
  <c r="Z41" i="6"/>
  <c r="Z42" i="6" s="1"/>
  <c r="Y41" i="6"/>
  <c r="Y42" i="6" s="1"/>
  <c r="X41" i="6"/>
  <c r="W41" i="6"/>
  <c r="V41" i="6"/>
  <c r="V42" i="6" s="1"/>
  <c r="U41" i="6"/>
  <c r="T41" i="6"/>
  <c r="S41" i="6"/>
  <c r="R41" i="6"/>
  <c r="Q41" i="6"/>
  <c r="P41" i="6"/>
  <c r="P42" i="6" s="1"/>
  <c r="O41" i="6"/>
  <c r="O42" i="6" s="1"/>
  <c r="N41" i="6"/>
  <c r="N42" i="6" s="1"/>
  <c r="M41" i="6"/>
  <c r="M42" i="6" s="1"/>
  <c r="L41" i="6"/>
  <c r="K41" i="6"/>
  <c r="K42" i="6" s="1"/>
  <c r="J41" i="6"/>
  <c r="J42" i="6" s="1"/>
  <c r="I41" i="6"/>
  <c r="H41" i="6"/>
  <c r="G41" i="6"/>
  <c r="F41" i="6"/>
  <c r="E41" i="6"/>
  <c r="E42" i="6" s="1"/>
  <c r="D41" i="6"/>
  <c r="D42" i="6" s="1"/>
  <c r="C41" i="6"/>
  <c r="C42" i="6" s="1"/>
  <c r="T31" i="6"/>
  <c r="S31" i="6"/>
  <c r="R31" i="6"/>
  <c r="N31" i="6"/>
  <c r="L31" i="6"/>
  <c r="J31" i="6"/>
  <c r="I31" i="6"/>
  <c r="H31" i="6"/>
  <c r="G31" i="6"/>
  <c r="AA30" i="6"/>
  <c r="AA31" i="6" s="1"/>
  <c r="Z30" i="6"/>
  <c r="Z31" i="6" s="1"/>
  <c r="Y30" i="6"/>
  <c r="Y31" i="6" s="1"/>
  <c r="X30" i="6"/>
  <c r="X31" i="6" s="1"/>
  <c r="W30" i="6"/>
  <c r="W31" i="6" s="1"/>
  <c r="V30" i="6"/>
  <c r="V31" i="6" s="1"/>
  <c r="U30" i="6"/>
  <c r="U31" i="6" s="1"/>
  <c r="T30" i="6"/>
  <c r="S30" i="6"/>
  <c r="R30" i="6"/>
  <c r="Q30" i="6"/>
  <c r="Q31" i="6" s="1"/>
  <c r="P30" i="6"/>
  <c r="P31" i="6" s="1"/>
  <c r="O30" i="6"/>
  <c r="O31" i="6" s="1"/>
  <c r="N30" i="6"/>
  <c r="M30" i="6"/>
  <c r="M31" i="6" s="1"/>
  <c r="L30" i="6"/>
  <c r="K30" i="6"/>
  <c r="K31" i="6" s="1"/>
  <c r="J30" i="6"/>
  <c r="I30" i="6"/>
  <c r="H30" i="6"/>
  <c r="G30" i="6"/>
  <c r="F30" i="6"/>
  <c r="F31" i="6" s="1"/>
  <c r="E30" i="6"/>
  <c r="E31" i="6" s="1"/>
  <c r="D30" i="6"/>
  <c r="D31" i="6" s="1"/>
  <c r="C30" i="6"/>
  <c r="C31" i="6" s="1"/>
  <c r="AA20" i="6"/>
  <c r="W20" i="6"/>
  <c r="U20" i="6"/>
  <c r="T20" i="6"/>
  <c r="N20" i="6"/>
  <c r="M20" i="6"/>
  <c r="L20" i="6"/>
  <c r="J20" i="6"/>
  <c r="I20" i="6"/>
  <c r="E20" i="6"/>
  <c r="C20" i="6"/>
  <c r="AA19" i="6"/>
  <c r="Z19" i="6"/>
  <c r="Z20" i="6" s="1"/>
  <c r="Y19" i="6"/>
  <c r="Y20" i="6" s="1"/>
  <c r="X19" i="6"/>
  <c r="X20" i="6" s="1"/>
  <c r="W19" i="6"/>
  <c r="V19" i="6"/>
  <c r="V20" i="6" s="1"/>
  <c r="U19" i="6"/>
  <c r="T19" i="6"/>
  <c r="S19" i="6"/>
  <c r="S20" i="6" s="1"/>
  <c r="R19" i="6"/>
  <c r="R20" i="6" s="1"/>
  <c r="Q19" i="6"/>
  <c r="Q20" i="6" s="1"/>
  <c r="P19" i="6"/>
  <c r="P20" i="6" s="1"/>
  <c r="O19" i="6"/>
  <c r="O20" i="6" s="1"/>
  <c r="N19" i="6"/>
  <c r="M19" i="6"/>
  <c r="L19" i="6"/>
  <c r="K19" i="6"/>
  <c r="K20" i="6" s="1"/>
  <c r="J19" i="6"/>
  <c r="I19" i="6"/>
  <c r="H19" i="6"/>
  <c r="H20" i="6" s="1"/>
  <c r="G19" i="6"/>
  <c r="G20" i="6" s="1"/>
  <c r="F19" i="6"/>
  <c r="F20" i="6" s="1"/>
  <c r="E19" i="6"/>
  <c r="D19" i="6"/>
  <c r="D20" i="6" s="1"/>
  <c r="C19" i="6"/>
  <c r="Z9" i="6"/>
  <c r="V9" i="6"/>
  <c r="U9" i="6"/>
  <c r="T9" i="6"/>
  <c r="K9" i="6"/>
  <c r="J9" i="6"/>
  <c r="I9" i="6"/>
  <c r="AA8" i="6"/>
  <c r="AA9" i="6" s="1"/>
  <c r="Z8" i="6"/>
  <c r="Y8" i="6"/>
  <c r="Y9" i="6" s="1"/>
  <c r="X8" i="6"/>
  <c r="X9" i="6" s="1"/>
  <c r="W8" i="6"/>
  <c r="W9" i="6" s="1"/>
  <c r="V8" i="6"/>
  <c r="U8" i="6"/>
  <c r="T8" i="6"/>
  <c r="S8" i="6"/>
  <c r="S9" i="6" s="1"/>
  <c r="R8" i="6"/>
  <c r="R9" i="6" s="1"/>
  <c r="Q8" i="6"/>
  <c r="Q9" i="6" s="1"/>
  <c r="P8" i="6"/>
  <c r="P9" i="6" s="1"/>
  <c r="O8" i="6"/>
  <c r="O9" i="6" s="1"/>
  <c r="N8" i="6"/>
  <c r="N9" i="6" s="1"/>
  <c r="M8" i="6"/>
  <c r="M9" i="6" s="1"/>
  <c r="L8" i="6"/>
  <c r="L9" i="6" s="1"/>
  <c r="K8" i="6"/>
  <c r="J8" i="6"/>
  <c r="I8" i="6"/>
  <c r="H8" i="6"/>
  <c r="H9" i="6" s="1"/>
  <c r="G8" i="6"/>
  <c r="G9" i="6" s="1"/>
  <c r="F8" i="6"/>
  <c r="F9" i="6" s="1"/>
  <c r="E8" i="6"/>
  <c r="E9" i="6" s="1"/>
  <c r="D8" i="6"/>
  <c r="D9" i="6" s="1"/>
  <c r="C8" i="6"/>
  <c r="C9" i="6" s="1"/>
  <c r="Z109" i="5"/>
  <c r="X109" i="5"/>
  <c r="W109" i="5"/>
  <c r="V109" i="5"/>
  <c r="U109" i="5"/>
  <c r="O109" i="5"/>
  <c r="M109" i="5"/>
  <c r="L109" i="5"/>
  <c r="K109" i="5"/>
  <c r="J109" i="5"/>
  <c r="H109" i="5"/>
  <c r="B109" i="5"/>
  <c r="AA108" i="5"/>
  <c r="AA109" i="5" s="1"/>
  <c r="Z108" i="5"/>
  <c r="Y108" i="5"/>
  <c r="Y109" i="5" s="1"/>
  <c r="X108" i="5"/>
  <c r="W108" i="5"/>
  <c r="V108" i="5"/>
  <c r="U108" i="5"/>
  <c r="T108" i="5"/>
  <c r="T109" i="5" s="1"/>
  <c r="S108" i="5"/>
  <c r="S109" i="5" s="1"/>
  <c r="R108" i="5"/>
  <c r="R109" i="5" s="1"/>
  <c r="Q108" i="5"/>
  <c r="Q109" i="5" s="1"/>
  <c r="P108" i="5"/>
  <c r="P109" i="5" s="1"/>
  <c r="O108" i="5"/>
  <c r="N108" i="5"/>
  <c r="N109" i="5" s="1"/>
  <c r="M108" i="5"/>
  <c r="L108" i="5"/>
  <c r="K108" i="5"/>
  <c r="J108" i="5"/>
  <c r="I108" i="5"/>
  <c r="I109" i="5" s="1"/>
  <c r="H108" i="5"/>
  <c r="G108" i="5"/>
  <c r="G109" i="5" s="1"/>
  <c r="F108" i="5"/>
  <c r="F109" i="5" s="1"/>
  <c r="E108" i="5"/>
  <c r="E109" i="5" s="1"/>
  <c r="D108" i="5"/>
  <c r="D109" i="5" s="1"/>
  <c r="C108" i="5"/>
  <c r="C109" i="5" s="1"/>
  <c r="B107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4" i="5"/>
  <c r="B106" i="5" s="1"/>
  <c r="AA98" i="5"/>
  <c r="Z98" i="5"/>
  <c r="U98" i="5"/>
  <c r="S98" i="5"/>
  <c r="R98" i="5"/>
  <c r="Q98" i="5"/>
  <c r="P98" i="5"/>
  <c r="O98" i="5"/>
  <c r="J98" i="5"/>
  <c r="H98" i="5"/>
  <c r="G98" i="5"/>
  <c r="F98" i="5"/>
  <c r="E98" i="5"/>
  <c r="D98" i="5"/>
  <c r="B98" i="5"/>
  <c r="AA97" i="5"/>
  <c r="Z97" i="5"/>
  <c r="Y97" i="5"/>
  <c r="Y98" i="5" s="1"/>
  <c r="X97" i="5"/>
  <c r="X98" i="5" s="1"/>
  <c r="W97" i="5"/>
  <c r="W98" i="5" s="1"/>
  <c r="V97" i="5"/>
  <c r="V98" i="5" s="1"/>
  <c r="U97" i="5"/>
  <c r="T97" i="5"/>
  <c r="T98" i="5" s="1"/>
  <c r="S97" i="5"/>
  <c r="R97" i="5"/>
  <c r="Q97" i="5"/>
  <c r="P97" i="5"/>
  <c r="O97" i="5"/>
  <c r="N97" i="5"/>
  <c r="N98" i="5" s="1"/>
  <c r="M97" i="5"/>
  <c r="M98" i="5" s="1"/>
  <c r="L97" i="5"/>
  <c r="L98" i="5" s="1"/>
  <c r="K97" i="5"/>
  <c r="K98" i="5" s="1"/>
  <c r="J97" i="5"/>
  <c r="I97" i="5"/>
  <c r="I98" i="5" s="1"/>
  <c r="H97" i="5"/>
  <c r="G97" i="5"/>
  <c r="F97" i="5"/>
  <c r="E97" i="5"/>
  <c r="D97" i="5"/>
  <c r="C97" i="5"/>
  <c r="C98" i="5" s="1"/>
  <c r="B96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3" i="5"/>
  <c r="B95" i="5" s="1"/>
  <c r="V87" i="5"/>
  <c r="U87" i="5"/>
  <c r="T87" i="5"/>
  <c r="S87" i="5"/>
  <c r="R87" i="5"/>
  <c r="Q87" i="5"/>
  <c r="K87" i="5"/>
  <c r="J87" i="5"/>
  <c r="I87" i="5"/>
  <c r="H87" i="5"/>
  <c r="G87" i="5"/>
  <c r="F87" i="5"/>
  <c r="B87" i="5"/>
  <c r="AA86" i="5"/>
  <c r="AA87" i="5" s="1"/>
  <c r="Z86" i="5"/>
  <c r="Z87" i="5" s="1"/>
  <c r="Y86" i="5"/>
  <c r="Y87" i="5" s="1"/>
  <c r="X86" i="5"/>
  <c r="X87" i="5" s="1"/>
  <c r="W86" i="5"/>
  <c r="W87" i="5" s="1"/>
  <c r="V86" i="5"/>
  <c r="U86" i="5"/>
  <c r="T86" i="5"/>
  <c r="S86" i="5"/>
  <c r="R86" i="5"/>
  <c r="Q86" i="5"/>
  <c r="P86" i="5"/>
  <c r="P87" i="5" s="1"/>
  <c r="O86" i="5"/>
  <c r="O87" i="5" s="1"/>
  <c r="N86" i="5"/>
  <c r="N87" i="5" s="1"/>
  <c r="M86" i="5"/>
  <c r="M87" i="5" s="1"/>
  <c r="L86" i="5"/>
  <c r="L87" i="5" s="1"/>
  <c r="K86" i="5"/>
  <c r="J86" i="5"/>
  <c r="I86" i="5"/>
  <c r="H86" i="5"/>
  <c r="G86" i="5"/>
  <c r="F86" i="5"/>
  <c r="E86" i="5"/>
  <c r="E87" i="5" s="1"/>
  <c r="D86" i="5"/>
  <c r="D87" i="5" s="1"/>
  <c r="C86" i="5"/>
  <c r="C87" i="5" s="1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2" i="5"/>
  <c r="B84" i="5" s="1"/>
  <c r="B85" i="5" s="1"/>
  <c r="W76" i="5"/>
  <c r="V76" i="5"/>
  <c r="U76" i="5"/>
  <c r="T76" i="5"/>
  <c r="S76" i="5"/>
  <c r="L76" i="5"/>
  <c r="K76" i="5"/>
  <c r="J76" i="5"/>
  <c r="I76" i="5"/>
  <c r="H76" i="5"/>
  <c r="C76" i="5"/>
  <c r="B76" i="5"/>
  <c r="AA75" i="5"/>
  <c r="AA76" i="5" s="1"/>
  <c r="Z75" i="5"/>
  <c r="Z76" i="5" s="1"/>
  <c r="Y75" i="5"/>
  <c r="Y76" i="5" s="1"/>
  <c r="X75" i="5"/>
  <c r="X76" i="5" s="1"/>
  <c r="W75" i="5"/>
  <c r="V75" i="5"/>
  <c r="U75" i="5"/>
  <c r="T75" i="5"/>
  <c r="S75" i="5"/>
  <c r="R75" i="5"/>
  <c r="R76" i="5" s="1"/>
  <c r="Q75" i="5"/>
  <c r="Q76" i="5" s="1"/>
  <c r="P75" i="5"/>
  <c r="P76" i="5" s="1"/>
  <c r="O75" i="5"/>
  <c r="O76" i="5" s="1"/>
  <c r="N75" i="5"/>
  <c r="N76" i="5" s="1"/>
  <c r="M75" i="5"/>
  <c r="M76" i="5" s="1"/>
  <c r="L75" i="5"/>
  <c r="K75" i="5"/>
  <c r="J75" i="5"/>
  <c r="I75" i="5"/>
  <c r="H75" i="5"/>
  <c r="G75" i="5"/>
  <c r="G76" i="5" s="1"/>
  <c r="F75" i="5"/>
  <c r="F76" i="5" s="1"/>
  <c r="E75" i="5"/>
  <c r="E76" i="5" s="1"/>
  <c r="D75" i="5"/>
  <c r="D76" i="5" s="1"/>
  <c r="C75" i="5"/>
  <c r="B73" i="5"/>
  <c r="B74" i="5" s="1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1" i="5"/>
  <c r="AA65" i="5"/>
  <c r="Y65" i="5"/>
  <c r="X65" i="5"/>
  <c r="W65" i="5"/>
  <c r="V65" i="5"/>
  <c r="U65" i="5"/>
  <c r="P65" i="5"/>
  <c r="O65" i="5"/>
  <c r="N65" i="5"/>
  <c r="M65" i="5"/>
  <c r="L65" i="5"/>
  <c r="K65" i="5"/>
  <c r="J65" i="5"/>
  <c r="C65" i="5"/>
  <c r="B65" i="5"/>
  <c r="AA64" i="5"/>
  <c r="Z64" i="5"/>
  <c r="Z65" i="5" s="1"/>
  <c r="Y64" i="5"/>
  <c r="X64" i="5"/>
  <c r="W64" i="5"/>
  <c r="V64" i="5"/>
  <c r="U64" i="5"/>
  <c r="T64" i="5"/>
  <c r="T65" i="5" s="1"/>
  <c r="S64" i="5"/>
  <c r="S65" i="5" s="1"/>
  <c r="R64" i="5"/>
  <c r="R65" i="5" s="1"/>
  <c r="Q64" i="5"/>
  <c r="Q65" i="5" s="1"/>
  <c r="P64" i="5"/>
  <c r="O64" i="5"/>
  <c r="N64" i="5"/>
  <c r="M64" i="5"/>
  <c r="L64" i="5"/>
  <c r="K64" i="5"/>
  <c r="J64" i="5"/>
  <c r="I64" i="5"/>
  <c r="I65" i="5" s="1"/>
  <c r="H64" i="5"/>
  <c r="H65" i="5" s="1"/>
  <c r="G64" i="5"/>
  <c r="G65" i="5" s="1"/>
  <c r="F64" i="5"/>
  <c r="F65" i="5" s="1"/>
  <c r="E64" i="5"/>
  <c r="E65" i="5" s="1"/>
  <c r="D64" i="5"/>
  <c r="D65" i="5" s="1"/>
  <c r="C64" i="5"/>
  <c r="B62" i="5"/>
  <c r="B63" i="5" s="1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0" i="5"/>
  <c r="AA53" i="5"/>
  <c r="Z53" i="5"/>
  <c r="Y53" i="5"/>
  <c r="X53" i="5"/>
  <c r="R53" i="5"/>
  <c r="Q53" i="5"/>
  <c r="P53" i="5"/>
  <c r="O53" i="5"/>
  <c r="N53" i="5"/>
  <c r="M53" i="5"/>
  <c r="G53" i="5"/>
  <c r="E53" i="5"/>
  <c r="D53" i="5"/>
  <c r="C53" i="5"/>
  <c r="AA52" i="5"/>
  <c r="Z52" i="5"/>
  <c r="Y52" i="5"/>
  <c r="X52" i="5"/>
  <c r="W52" i="5"/>
  <c r="W53" i="5" s="1"/>
  <c r="V52" i="5"/>
  <c r="V53" i="5" s="1"/>
  <c r="U52" i="5"/>
  <c r="U53" i="5" s="1"/>
  <c r="T52" i="5"/>
  <c r="T53" i="5" s="1"/>
  <c r="S52" i="5"/>
  <c r="S53" i="5" s="1"/>
  <c r="R52" i="5"/>
  <c r="Q52" i="5"/>
  <c r="P52" i="5"/>
  <c r="O52" i="5"/>
  <c r="N52" i="5"/>
  <c r="M52" i="5"/>
  <c r="L52" i="5"/>
  <c r="L53" i="5" s="1"/>
  <c r="K52" i="5"/>
  <c r="K53" i="5" s="1"/>
  <c r="J52" i="5"/>
  <c r="J53" i="5" s="1"/>
  <c r="I52" i="5"/>
  <c r="I53" i="5" s="1"/>
  <c r="H52" i="5"/>
  <c r="H53" i="5" s="1"/>
  <c r="G52" i="5"/>
  <c r="F52" i="5"/>
  <c r="F53" i="5" s="1"/>
  <c r="E52" i="5"/>
  <c r="D52" i="5"/>
  <c r="C52" i="5"/>
  <c r="Z42" i="5"/>
  <c r="Y42" i="5"/>
  <c r="X42" i="5"/>
  <c r="T42" i="5"/>
  <c r="R42" i="5"/>
  <c r="O42" i="5"/>
  <c r="N42" i="5"/>
  <c r="M42" i="5"/>
  <c r="I42" i="5"/>
  <c r="G42" i="5"/>
  <c r="D42" i="5"/>
  <c r="C42" i="5"/>
  <c r="AA41" i="5"/>
  <c r="AA42" i="5" s="1"/>
  <c r="Z41" i="5"/>
  <c r="Y41" i="5"/>
  <c r="X41" i="5"/>
  <c r="W41" i="5"/>
  <c r="W42" i="5" s="1"/>
  <c r="V41" i="5"/>
  <c r="V42" i="5" s="1"/>
  <c r="U41" i="5"/>
  <c r="U42" i="5" s="1"/>
  <c r="T41" i="5"/>
  <c r="S41" i="5"/>
  <c r="S42" i="5" s="1"/>
  <c r="R41" i="5"/>
  <c r="Q41" i="5"/>
  <c r="Q42" i="5" s="1"/>
  <c r="P41" i="5"/>
  <c r="P42" i="5" s="1"/>
  <c r="O41" i="5"/>
  <c r="N41" i="5"/>
  <c r="M41" i="5"/>
  <c r="L41" i="5"/>
  <c r="L42" i="5" s="1"/>
  <c r="K41" i="5"/>
  <c r="K42" i="5" s="1"/>
  <c r="J41" i="5"/>
  <c r="J42" i="5" s="1"/>
  <c r="I41" i="5"/>
  <c r="H41" i="5"/>
  <c r="H42" i="5" s="1"/>
  <c r="G41" i="5"/>
  <c r="F41" i="5"/>
  <c r="F42" i="5" s="1"/>
  <c r="E41" i="5"/>
  <c r="E42" i="5" s="1"/>
  <c r="D41" i="5"/>
  <c r="C41" i="5"/>
  <c r="AA31" i="5"/>
  <c r="Z31" i="5"/>
  <c r="Y31" i="5"/>
  <c r="U31" i="5"/>
  <c r="S31" i="5"/>
  <c r="Q31" i="5"/>
  <c r="P31" i="5"/>
  <c r="O31" i="5"/>
  <c r="N31" i="5"/>
  <c r="J31" i="5"/>
  <c r="H31" i="5"/>
  <c r="E31" i="5"/>
  <c r="D31" i="5"/>
  <c r="C31" i="5"/>
  <c r="AA30" i="5"/>
  <c r="Z30" i="5"/>
  <c r="Y30" i="5"/>
  <c r="X30" i="5"/>
  <c r="X31" i="5" s="1"/>
  <c r="W30" i="5"/>
  <c r="W31" i="5" s="1"/>
  <c r="V30" i="5"/>
  <c r="V31" i="5" s="1"/>
  <c r="U30" i="5"/>
  <c r="T30" i="5"/>
  <c r="T31" i="5" s="1"/>
  <c r="S30" i="5"/>
  <c r="R30" i="5"/>
  <c r="R31" i="5" s="1"/>
  <c r="Q30" i="5"/>
  <c r="P30" i="5"/>
  <c r="O30" i="5"/>
  <c r="N30" i="5"/>
  <c r="M30" i="5"/>
  <c r="M31" i="5" s="1"/>
  <c r="L30" i="5"/>
  <c r="L31" i="5" s="1"/>
  <c r="K30" i="5"/>
  <c r="K31" i="5" s="1"/>
  <c r="J30" i="5"/>
  <c r="I30" i="5"/>
  <c r="I31" i="5" s="1"/>
  <c r="H30" i="5"/>
  <c r="G30" i="5"/>
  <c r="G31" i="5" s="1"/>
  <c r="F30" i="5"/>
  <c r="F31" i="5" s="1"/>
  <c r="E30" i="5"/>
  <c r="D30" i="5"/>
  <c r="C30" i="5"/>
  <c r="AA20" i="5"/>
  <c r="Z20" i="5"/>
  <c r="Q20" i="5"/>
  <c r="P20" i="5"/>
  <c r="O20" i="5"/>
  <c r="K20" i="5"/>
  <c r="J20" i="5"/>
  <c r="I20" i="5"/>
  <c r="E20" i="5"/>
  <c r="AA19" i="5"/>
  <c r="Z19" i="5"/>
  <c r="Y19" i="5"/>
  <c r="Y20" i="5" s="1"/>
  <c r="X19" i="5"/>
  <c r="X20" i="5" s="1"/>
  <c r="W19" i="5"/>
  <c r="W20" i="5" s="1"/>
  <c r="V19" i="5"/>
  <c r="V20" i="5" s="1"/>
  <c r="U19" i="5"/>
  <c r="U20" i="5" s="1"/>
  <c r="T19" i="5"/>
  <c r="T20" i="5" s="1"/>
  <c r="S19" i="5"/>
  <c r="S20" i="5" s="1"/>
  <c r="R19" i="5"/>
  <c r="R20" i="5" s="1"/>
  <c r="Q19" i="5"/>
  <c r="P19" i="5"/>
  <c r="O19" i="5"/>
  <c r="N19" i="5"/>
  <c r="N20" i="5" s="1"/>
  <c r="M19" i="5"/>
  <c r="M20" i="5" s="1"/>
  <c r="L19" i="5"/>
  <c r="L20" i="5" s="1"/>
  <c r="K19" i="5"/>
  <c r="J19" i="5"/>
  <c r="I19" i="5"/>
  <c r="H19" i="5"/>
  <c r="H20" i="5" s="1"/>
  <c r="G19" i="5"/>
  <c r="G20" i="5" s="1"/>
  <c r="F19" i="5"/>
  <c r="F20" i="5" s="1"/>
  <c r="E19" i="5"/>
  <c r="D19" i="5"/>
  <c r="D20" i="5" s="1"/>
  <c r="C19" i="5"/>
  <c r="C20" i="5" s="1"/>
  <c r="Z9" i="5"/>
  <c r="W9" i="5"/>
  <c r="V9" i="5"/>
  <c r="U9" i="5"/>
  <c r="S9" i="5"/>
  <c r="Q9" i="5"/>
  <c r="O9" i="5"/>
  <c r="M9" i="5"/>
  <c r="K9" i="5"/>
  <c r="I9" i="5"/>
  <c r="G9" i="5"/>
  <c r="D9" i="5"/>
  <c r="C9" i="5"/>
  <c r="AA8" i="5"/>
  <c r="AA9" i="5" s="1"/>
  <c r="Z8" i="5"/>
  <c r="Y8" i="5"/>
  <c r="Y9" i="5" s="1"/>
  <c r="X8" i="5"/>
  <c r="X9" i="5" s="1"/>
  <c r="W8" i="5"/>
  <c r="V8" i="5"/>
  <c r="U8" i="5"/>
  <c r="T8" i="5"/>
  <c r="T9" i="5" s="1"/>
  <c r="S8" i="5"/>
  <c r="R8" i="5"/>
  <c r="R9" i="5" s="1"/>
  <c r="Q8" i="5"/>
  <c r="P8" i="5"/>
  <c r="P9" i="5" s="1"/>
  <c r="O8" i="5"/>
  <c r="N8" i="5"/>
  <c r="N9" i="5" s="1"/>
  <c r="M8" i="5"/>
  <c r="L8" i="5"/>
  <c r="L9" i="5" s="1"/>
  <c r="K8" i="5"/>
  <c r="J8" i="5"/>
  <c r="J9" i="5" s="1"/>
  <c r="I8" i="5"/>
  <c r="H8" i="5"/>
  <c r="H9" i="5" s="1"/>
  <c r="G8" i="5"/>
  <c r="F8" i="5"/>
  <c r="F9" i="5" s="1"/>
  <c r="E8" i="5"/>
  <c r="E9" i="5" s="1"/>
  <c r="D8" i="5"/>
  <c r="C8" i="5"/>
  <c r="B4" i="5"/>
  <c r="B6" i="5" s="1"/>
  <c r="B7" i="5" s="1"/>
  <c r="Z164" i="4"/>
  <c r="X164" i="4"/>
  <c r="S164" i="4"/>
  <c r="Q164" i="4"/>
  <c r="P164" i="4"/>
  <c r="O164" i="4"/>
  <c r="M164" i="4"/>
  <c r="H164" i="4"/>
  <c r="G164" i="4"/>
  <c r="F164" i="4"/>
  <c r="E164" i="4"/>
  <c r="D164" i="4"/>
  <c r="C164" i="4"/>
  <c r="B164" i="4"/>
  <c r="AA163" i="4"/>
  <c r="AA164" i="4" s="1"/>
  <c r="Z163" i="4"/>
  <c r="Y163" i="4"/>
  <c r="Y164" i="4" s="1"/>
  <c r="X163" i="4"/>
  <c r="W163" i="4"/>
  <c r="W164" i="4" s="1"/>
  <c r="V163" i="4"/>
  <c r="V164" i="4" s="1"/>
  <c r="U163" i="4"/>
  <c r="U164" i="4" s="1"/>
  <c r="T163" i="4"/>
  <c r="T164" i="4" s="1"/>
  <c r="S163" i="4"/>
  <c r="R163" i="4"/>
  <c r="R164" i="4" s="1"/>
  <c r="Q163" i="4"/>
  <c r="P163" i="4"/>
  <c r="O163" i="4"/>
  <c r="N163" i="4"/>
  <c r="N164" i="4" s="1"/>
  <c r="M163" i="4"/>
  <c r="L163" i="4"/>
  <c r="L164" i="4" s="1"/>
  <c r="K163" i="4"/>
  <c r="K164" i="4" s="1"/>
  <c r="J163" i="4"/>
  <c r="J164" i="4" s="1"/>
  <c r="I163" i="4"/>
  <c r="I164" i="4" s="1"/>
  <c r="H163" i="4"/>
  <c r="G163" i="4"/>
  <c r="F163" i="4"/>
  <c r="E163" i="4"/>
  <c r="D163" i="4"/>
  <c r="C163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59" i="4"/>
  <c r="B161" i="4" s="1"/>
  <c r="B162" i="4" s="1"/>
  <c r="AA153" i="4"/>
  <c r="Z153" i="4"/>
  <c r="S153" i="4"/>
  <c r="R153" i="4"/>
  <c r="Q153" i="4"/>
  <c r="P153" i="4"/>
  <c r="O153" i="4"/>
  <c r="N153" i="4"/>
  <c r="H153" i="4"/>
  <c r="G153" i="4"/>
  <c r="F153" i="4"/>
  <c r="E153" i="4"/>
  <c r="D153" i="4"/>
  <c r="C153" i="4"/>
  <c r="B153" i="4"/>
  <c r="AA152" i="4"/>
  <c r="Z152" i="4"/>
  <c r="Y152" i="4"/>
  <c r="Y153" i="4" s="1"/>
  <c r="X152" i="4"/>
  <c r="X153" i="4" s="1"/>
  <c r="W152" i="4"/>
  <c r="W153" i="4" s="1"/>
  <c r="V152" i="4"/>
  <c r="V153" i="4" s="1"/>
  <c r="U152" i="4"/>
  <c r="U153" i="4" s="1"/>
  <c r="T152" i="4"/>
  <c r="T153" i="4" s="1"/>
  <c r="S152" i="4"/>
  <c r="R152" i="4"/>
  <c r="Q152" i="4"/>
  <c r="P152" i="4"/>
  <c r="O152" i="4"/>
  <c r="N152" i="4"/>
  <c r="M152" i="4"/>
  <c r="M153" i="4" s="1"/>
  <c r="L152" i="4"/>
  <c r="L153" i="4" s="1"/>
  <c r="K152" i="4"/>
  <c r="K153" i="4" s="1"/>
  <c r="J152" i="4"/>
  <c r="J153" i="4" s="1"/>
  <c r="I152" i="4"/>
  <c r="I153" i="4" s="1"/>
  <c r="H152" i="4"/>
  <c r="G152" i="4"/>
  <c r="F152" i="4"/>
  <c r="E152" i="4"/>
  <c r="D152" i="4"/>
  <c r="C152" i="4"/>
  <c r="B151" i="4"/>
  <c r="B150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8" i="4"/>
  <c r="AA142" i="4"/>
  <c r="Z142" i="4"/>
  <c r="W142" i="4"/>
  <c r="V142" i="4"/>
  <c r="U142" i="4"/>
  <c r="Q142" i="4"/>
  <c r="P142" i="4"/>
  <c r="O142" i="4"/>
  <c r="N142" i="4"/>
  <c r="L142" i="4"/>
  <c r="K142" i="4"/>
  <c r="J142" i="4"/>
  <c r="F142" i="4"/>
  <c r="B142" i="4"/>
  <c r="AA141" i="4"/>
  <c r="Z141" i="4"/>
  <c r="Y141" i="4"/>
  <c r="Y142" i="4" s="1"/>
  <c r="X141" i="4"/>
  <c r="X142" i="4" s="1"/>
  <c r="W141" i="4"/>
  <c r="V141" i="4"/>
  <c r="U141" i="4"/>
  <c r="T141" i="4"/>
  <c r="T142" i="4" s="1"/>
  <c r="S141" i="4"/>
  <c r="S142" i="4" s="1"/>
  <c r="R141" i="4"/>
  <c r="R142" i="4" s="1"/>
  <c r="Q141" i="4"/>
  <c r="P141" i="4"/>
  <c r="O141" i="4"/>
  <c r="N141" i="4"/>
  <c r="M141" i="4"/>
  <c r="M142" i="4" s="1"/>
  <c r="L141" i="4"/>
  <c r="K141" i="4"/>
  <c r="J141" i="4"/>
  <c r="I141" i="4"/>
  <c r="I142" i="4" s="1"/>
  <c r="H141" i="4"/>
  <c r="H142" i="4" s="1"/>
  <c r="G141" i="4"/>
  <c r="G142" i="4" s="1"/>
  <c r="F141" i="4"/>
  <c r="E141" i="4"/>
  <c r="E142" i="4" s="1"/>
  <c r="D141" i="4"/>
  <c r="D142" i="4" s="1"/>
  <c r="C141" i="4"/>
  <c r="C142" i="4" s="1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7" i="4"/>
  <c r="B139" i="4" s="1"/>
  <c r="B140" i="4" s="1"/>
  <c r="V131" i="4"/>
  <c r="U131" i="4"/>
  <c r="T131" i="4"/>
  <c r="S131" i="4"/>
  <c r="R131" i="4"/>
  <c r="Q131" i="4"/>
  <c r="H131" i="4"/>
  <c r="G131" i="4"/>
  <c r="F131" i="4"/>
  <c r="E131" i="4"/>
  <c r="B131" i="4"/>
  <c r="AA130" i="4"/>
  <c r="AA131" i="4" s="1"/>
  <c r="Z130" i="4"/>
  <c r="Z131" i="4" s="1"/>
  <c r="Y130" i="4"/>
  <c r="Y131" i="4" s="1"/>
  <c r="X130" i="4"/>
  <c r="X131" i="4" s="1"/>
  <c r="W130" i="4"/>
  <c r="W131" i="4" s="1"/>
  <c r="V130" i="4"/>
  <c r="U130" i="4"/>
  <c r="T130" i="4"/>
  <c r="S130" i="4"/>
  <c r="R130" i="4"/>
  <c r="Q130" i="4"/>
  <c r="P130" i="4"/>
  <c r="P131" i="4" s="1"/>
  <c r="O130" i="4"/>
  <c r="O131" i="4" s="1"/>
  <c r="N130" i="4"/>
  <c r="N131" i="4" s="1"/>
  <c r="M130" i="4"/>
  <c r="M131" i="4" s="1"/>
  <c r="L130" i="4"/>
  <c r="L131" i="4" s="1"/>
  <c r="K130" i="4"/>
  <c r="K131" i="4" s="1"/>
  <c r="J130" i="4"/>
  <c r="J131" i="4" s="1"/>
  <c r="I130" i="4"/>
  <c r="I131" i="4" s="1"/>
  <c r="H130" i="4"/>
  <c r="G130" i="4"/>
  <c r="F130" i="4"/>
  <c r="E130" i="4"/>
  <c r="D130" i="4"/>
  <c r="D131" i="4" s="1"/>
  <c r="C130" i="4"/>
  <c r="C131" i="4" s="1"/>
  <c r="B128" i="4"/>
  <c r="B129" i="4" s="1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6" i="4"/>
  <c r="Z120" i="4"/>
  <c r="Y120" i="4"/>
  <c r="X120" i="4"/>
  <c r="W120" i="4"/>
  <c r="O120" i="4"/>
  <c r="N120" i="4"/>
  <c r="M120" i="4"/>
  <c r="L120" i="4"/>
  <c r="D120" i="4"/>
  <c r="C120" i="4"/>
  <c r="B120" i="4"/>
  <c r="AA119" i="4"/>
  <c r="AA120" i="4" s="1"/>
  <c r="Z119" i="4"/>
  <c r="Y119" i="4"/>
  <c r="X119" i="4"/>
  <c r="W119" i="4"/>
  <c r="V119" i="4"/>
  <c r="V120" i="4" s="1"/>
  <c r="U119" i="4"/>
  <c r="U120" i="4" s="1"/>
  <c r="T119" i="4"/>
  <c r="T120" i="4" s="1"/>
  <c r="S119" i="4"/>
  <c r="S120" i="4" s="1"/>
  <c r="R119" i="4"/>
  <c r="R120" i="4" s="1"/>
  <c r="Q119" i="4"/>
  <c r="Q120" i="4" s="1"/>
  <c r="P119" i="4"/>
  <c r="P120" i="4" s="1"/>
  <c r="O119" i="4"/>
  <c r="N119" i="4"/>
  <c r="M119" i="4"/>
  <c r="L119" i="4"/>
  <c r="K119" i="4"/>
  <c r="K120" i="4" s="1"/>
  <c r="J119" i="4"/>
  <c r="J120" i="4" s="1"/>
  <c r="I119" i="4"/>
  <c r="I120" i="4" s="1"/>
  <c r="H119" i="4"/>
  <c r="H120" i="4" s="1"/>
  <c r="G119" i="4"/>
  <c r="G120" i="4" s="1"/>
  <c r="F119" i="4"/>
  <c r="F120" i="4" s="1"/>
  <c r="E119" i="4"/>
  <c r="E120" i="4" s="1"/>
  <c r="D119" i="4"/>
  <c r="C119" i="4"/>
  <c r="B117" i="4"/>
  <c r="B118" i="4" s="1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5" i="4"/>
  <c r="AA108" i="4"/>
  <c r="Z108" i="4"/>
  <c r="Y108" i="4"/>
  <c r="X108" i="4"/>
  <c r="R108" i="4"/>
  <c r="Q108" i="4"/>
  <c r="P108" i="4"/>
  <c r="O108" i="4"/>
  <c r="N108" i="4"/>
  <c r="M108" i="4"/>
  <c r="E108" i="4"/>
  <c r="D108" i="4"/>
  <c r="C108" i="4"/>
  <c r="AA107" i="4"/>
  <c r="Z107" i="4"/>
  <c r="Y107" i="4"/>
  <c r="X107" i="4"/>
  <c r="W107" i="4"/>
  <c r="W108" i="4" s="1"/>
  <c r="V107" i="4"/>
  <c r="V108" i="4" s="1"/>
  <c r="U107" i="4"/>
  <c r="U108" i="4" s="1"/>
  <c r="T107" i="4"/>
  <c r="T108" i="4" s="1"/>
  <c r="S107" i="4"/>
  <c r="S108" i="4" s="1"/>
  <c r="R107" i="4"/>
  <c r="Q107" i="4"/>
  <c r="P107" i="4"/>
  <c r="O107" i="4"/>
  <c r="N107" i="4"/>
  <c r="M107" i="4"/>
  <c r="L107" i="4"/>
  <c r="L108" i="4" s="1"/>
  <c r="K107" i="4"/>
  <c r="K108" i="4" s="1"/>
  <c r="J107" i="4"/>
  <c r="J108" i="4" s="1"/>
  <c r="I107" i="4"/>
  <c r="I108" i="4" s="1"/>
  <c r="H107" i="4"/>
  <c r="H108" i="4" s="1"/>
  <c r="G107" i="4"/>
  <c r="G108" i="4" s="1"/>
  <c r="F107" i="4"/>
  <c r="F108" i="4" s="1"/>
  <c r="E107" i="4"/>
  <c r="D107" i="4"/>
  <c r="C107" i="4"/>
  <c r="V104" i="4"/>
  <c r="R104" i="4"/>
  <c r="J104" i="4"/>
  <c r="I104" i="4"/>
  <c r="H104" i="4"/>
  <c r="G104" i="4"/>
  <c r="F104" i="4"/>
  <c r="AA97" i="4"/>
  <c r="Z97" i="4"/>
  <c r="Y97" i="4"/>
  <c r="S97" i="4"/>
  <c r="R97" i="4"/>
  <c r="Q97" i="4"/>
  <c r="P97" i="4"/>
  <c r="O97" i="4"/>
  <c r="N97" i="4"/>
  <c r="F97" i="4"/>
  <c r="E97" i="4"/>
  <c r="D97" i="4"/>
  <c r="C97" i="4"/>
  <c r="AA96" i="4"/>
  <c r="Z96" i="4"/>
  <c r="Y96" i="4"/>
  <c r="X96" i="4"/>
  <c r="X97" i="4" s="1"/>
  <c r="W96" i="4"/>
  <c r="W97" i="4" s="1"/>
  <c r="V96" i="4"/>
  <c r="V97" i="4" s="1"/>
  <c r="U96" i="4"/>
  <c r="U97" i="4" s="1"/>
  <c r="T96" i="4"/>
  <c r="T97" i="4" s="1"/>
  <c r="S96" i="4"/>
  <c r="R96" i="4"/>
  <c r="Q96" i="4"/>
  <c r="P96" i="4"/>
  <c r="O96" i="4"/>
  <c r="N96" i="4"/>
  <c r="M96" i="4"/>
  <c r="M97" i="4" s="1"/>
  <c r="L96" i="4"/>
  <c r="L97" i="4" s="1"/>
  <c r="K96" i="4"/>
  <c r="K97" i="4" s="1"/>
  <c r="J96" i="4"/>
  <c r="J97" i="4" s="1"/>
  <c r="I96" i="4"/>
  <c r="I97" i="4" s="1"/>
  <c r="H96" i="4"/>
  <c r="H97" i="4" s="1"/>
  <c r="G96" i="4"/>
  <c r="G97" i="4" s="1"/>
  <c r="F96" i="4"/>
  <c r="E96" i="4"/>
  <c r="D96" i="4"/>
  <c r="C96" i="4"/>
  <c r="T93" i="4"/>
  <c r="L93" i="4"/>
  <c r="K93" i="4"/>
  <c r="J93" i="4"/>
  <c r="I93" i="4"/>
  <c r="H93" i="4"/>
  <c r="AA86" i="4"/>
  <c r="Z86" i="4"/>
  <c r="T86" i="4"/>
  <c r="Q86" i="4"/>
  <c r="P86" i="4"/>
  <c r="O86" i="4"/>
  <c r="F86" i="4"/>
  <c r="E86" i="4"/>
  <c r="D86" i="4"/>
  <c r="AA85" i="4"/>
  <c r="Z85" i="4"/>
  <c r="Y85" i="4"/>
  <c r="Y86" i="4" s="1"/>
  <c r="X85" i="4"/>
  <c r="X86" i="4" s="1"/>
  <c r="W85" i="4"/>
  <c r="W86" i="4" s="1"/>
  <c r="V85" i="4"/>
  <c r="V86" i="4" s="1"/>
  <c r="U85" i="4"/>
  <c r="U86" i="4" s="1"/>
  <c r="T85" i="4"/>
  <c r="S85" i="4"/>
  <c r="S86" i="4" s="1"/>
  <c r="R85" i="4"/>
  <c r="R86" i="4" s="1"/>
  <c r="Q85" i="4"/>
  <c r="P85" i="4"/>
  <c r="O85" i="4"/>
  <c r="N85" i="4"/>
  <c r="N86" i="4" s="1"/>
  <c r="M85" i="4"/>
  <c r="M86" i="4" s="1"/>
  <c r="L85" i="4"/>
  <c r="L86" i="4" s="1"/>
  <c r="K85" i="4"/>
  <c r="K86" i="4" s="1"/>
  <c r="J85" i="4"/>
  <c r="J86" i="4" s="1"/>
  <c r="I85" i="4"/>
  <c r="I86" i="4" s="1"/>
  <c r="H85" i="4"/>
  <c r="H86" i="4" s="1"/>
  <c r="G85" i="4"/>
  <c r="G86" i="4" s="1"/>
  <c r="F85" i="4"/>
  <c r="E85" i="4"/>
  <c r="D85" i="4"/>
  <c r="C85" i="4"/>
  <c r="C86" i="4" s="1"/>
  <c r="X81" i="4"/>
  <c r="U81" i="4"/>
  <c r="S81" i="4"/>
  <c r="Q81" i="4"/>
  <c r="P81" i="4"/>
  <c r="O81" i="4"/>
  <c r="K81" i="4"/>
  <c r="F81" i="4"/>
  <c r="E81" i="4"/>
  <c r="D81" i="4"/>
  <c r="C81" i="4"/>
  <c r="AA75" i="4"/>
  <c r="Y75" i="4"/>
  <c r="R75" i="4"/>
  <c r="P75" i="4"/>
  <c r="K75" i="4"/>
  <c r="G75" i="4"/>
  <c r="E75" i="4"/>
  <c r="C75" i="4"/>
  <c r="AA74" i="4"/>
  <c r="Z74" i="4"/>
  <c r="Z75" i="4" s="1"/>
  <c r="Y74" i="4"/>
  <c r="X74" i="4"/>
  <c r="X75" i="4" s="1"/>
  <c r="W74" i="4"/>
  <c r="W75" i="4" s="1"/>
  <c r="V74" i="4"/>
  <c r="V75" i="4" s="1"/>
  <c r="U74" i="4"/>
  <c r="U75" i="4" s="1"/>
  <c r="T74" i="4"/>
  <c r="T75" i="4" s="1"/>
  <c r="S74" i="4"/>
  <c r="S75" i="4" s="1"/>
  <c r="R74" i="4"/>
  <c r="Q74" i="4"/>
  <c r="Q75" i="4" s="1"/>
  <c r="P74" i="4"/>
  <c r="O74" i="4"/>
  <c r="O75" i="4" s="1"/>
  <c r="N74" i="4"/>
  <c r="N75" i="4" s="1"/>
  <c r="M74" i="4"/>
  <c r="M75" i="4" s="1"/>
  <c r="L74" i="4"/>
  <c r="L75" i="4" s="1"/>
  <c r="K74" i="4"/>
  <c r="J74" i="4"/>
  <c r="J75" i="4" s="1"/>
  <c r="I74" i="4"/>
  <c r="I75" i="4" s="1"/>
  <c r="H74" i="4"/>
  <c r="H75" i="4" s="1"/>
  <c r="G74" i="4"/>
  <c r="F74" i="4"/>
  <c r="F75" i="4" s="1"/>
  <c r="E74" i="4"/>
  <c r="D74" i="4"/>
  <c r="D75" i="4" s="1"/>
  <c r="C74" i="4"/>
  <c r="X70" i="4"/>
  <c r="T70" i="4"/>
  <c r="R70" i="4"/>
  <c r="Q70" i="4"/>
  <c r="P70" i="4"/>
  <c r="O70" i="4"/>
  <c r="K70" i="4"/>
  <c r="F70" i="4"/>
  <c r="E70" i="4"/>
  <c r="D70" i="4"/>
  <c r="C70" i="4"/>
  <c r="X64" i="4"/>
  <c r="V64" i="4"/>
  <c r="U64" i="4"/>
  <c r="T64" i="4"/>
  <c r="S64" i="4"/>
  <c r="R64" i="4"/>
  <c r="Q64" i="4"/>
  <c r="K64" i="4"/>
  <c r="H64" i="4"/>
  <c r="G64" i="4"/>
  <c r="F64" i="4"/>
  <c r="D64" i="4"/>
  <c r="AA63" i="4"/>
  <c r="AA64" i="4" s="1"/>
  <c r="Z63" i="4"/>
  <c r="Z64" i="4" s="1"/>
  <c r="Y63" i="4"/>
  <c r="Y64" i="4" s="1"/>
  <c r="X63" i="4"/>
  <c r="W63" i="4"/>
  <c r="W64" i="4" s="1"/>
  <c r="V63" i="4"/>
  <c r="U63" i="4"/>
  <c r="T63" i="4"/>
  <c r="S63" i="4"/>
  <c r="R63" i="4"/>
  <c r="Q63" i="4"/>
  <c r="P63" i="4"/>
  <c r="P64" i="4" s="1"/>
  <c r="O63" i="4"/>
  <c r="O64" i="4" s="1"/>
  <c r="N63" i="4"/>
  <c r="N64" i="4" s="1"/>
  <c r="M63" i="4"/>
  <c r="M64" i="4" s="1"/>
  <c r="L63" i="4"/>
  <c r="L64" i="4" s="1"/>
  <c r="K63" i="4"/>
  <c r="J63" i="4"/>
  <c r="J64" i="4" s="1"/>
  <c r="I63" i="4"/>
  <c r="I64" i="4" s="1"/>
  <c r="H63" i="4"/>
  <c r="G63" i="4"/>
  <c r="F63" i="4"/>
  <c r="E63" i="4"/>
  <c r="E64" i="4" s="1"/>
  <c r="D63" i="4"/>
  <c r="C63" i="4"/>
  <c r="C64" i="4" s="1"/>
  <c r="O60" i="4"/>
  <c r="E60" i="4"/>
  <c r="E61" i="4" s="1"/>
  <c r="E62" i="4" s="1"/>
  <c r="AA59" i="4"/>
  <c r="W59" i="4"/>
  <c r="S59" i="4"/>
  <c r="R59" i="4"/>
  <c r="Q59" i="4"/>
  <c r="P59" i="4"/>
  <c r="O59" i="4"/>
  <c r="N59" i="4"/>
  <c r="H59" i="4"/>
  <c r="F59" i="4"/>
  <c r="E59" i="4"/>
  <c r="D59" i="4"/>
  <c r="C59" i="4"/>
  <c r="W53" i="4"/>
  <c r="T53" i="4"/>
  <c r="S53" i="4"/>
  <c r="P53" i="4"/>
  <c r="O53" i="4"/>
  <c r="N53" i="4"/>
  <c r="K53" i="4"/>
  <c r="I53" i="4"/>
  <c r="E53" i="4"/>
  <c r="D53" i="4"/>
  <c r="C53" i="4"/>
  <c r="AA52" i="4"/>
  <c r="AA53" i="4" s="1"/>
  <c r="Z52" i="4"/>
  <c r="Z53" i="4" s="1"/>
  <c r="Y52" i="4"/>
  <c r="Y53" i="4" s="1"/>
  <c r="X52" i="4"/>
  <c r="X53" i="4" s="1"/>
  <c r="W52" i="4"/>
  <c r="V52" i="4"/>
  <c r="V53" i="4" s="1"/>
  <c r="U52" i="4"/>
  <c r="U53" i="4" s="1"/>
  <c r="T52" i="4"/>
  <c r="S52" i="4"/>
  <c r="R52" i="4"/>
  <c r="R53" i="4" s="1"/>
  <c r="Q52" i="4"/>
  <c r="Q53" i="4" s="1"/>
  <c r="P52" i="4"/>
  <c r="O52" i="4"/>
  <c r="N52" i="4"/>
  <c r="M52" i="4"/>
  <c r="M53" i="4" s="1"/>
  <c r="L52" i="4"/>
  <c r="L53" i="4" s="1"/>
  <c r="K52" i="4"/>
  <c r="J52" i="4"/>
  <c r="J53" i="4" s="1"/>
  <c r="I52" i="4"/>
  <c r="H52" i="4"/>
  <c r="H53" i="4" s="1"/>
  <c r="G52" i="4"/>
  <c r="G53" i="4" s="1"/>
  <c r="F52" i="4"/>
  <c r="F53" i="4" s="1"/>
  <c r="E52" i="4"/>
  <c r="D52" i="4"/>
  <c r="C52" i="4"/>
  <c r="K50" i="4"/>
  <c r="K51" i="4" s="1"/>
  <c r="Y49" i="4"/>
  <c r="X49" i="4"/>
  <c r="W49" i="4"/>
  <c r="M49" i="4"/>
  <c r="L49" i="4"/>
  <c r="K49" i="4"/>
  <c r="AA48" i="4"/>
  <c r="Z48" i="4"/>
  <c r="Y48" i="4"/>
  <c r="Y50" i="4" s="1"/>
  <c r="Y51" i="4" s="1"/>
  <c r="X48" i="4"/>
  <c r="X50" i="4" s="1"/>
  <c r="X51" i="4" s="1"/>
  <c r="V48" i="4"/>
  <c r="S48" i="4"/>
  <c r="Q48" i="4"/>
  <c r="P48" i="4"/>
  <c r="O48" i="4"/>
  <c r="N48" i="4"/>
  <c r="M48" i="4"/>
  <c r="M50" i="4" s="1"/>
  <c r="M51" i="4" s="1"/>
  <c r="K48" i="4"/>
  <c r="J48" i="4"/>
  <c r="G48" i="4"/>
  <c r="E48" i="4"/>
  <c r="D48" i="4"/>
  <c r="C48" i="4"/>
  <c r="AA42" i="4"/>
  <c r="Z42" i="4"/>
  <c r="W42" i="4"/>
  <c r="U42" i="4"/>
  <c r="Q42" i="4"/>
  <c r="P42" i="4"/>
  <c r="O42" i="4"/>
  <c r="N42" i="4"/>
  <c r="K42" i="4"/>
  <c r="J42" i="4"/>
  <c r="E42" i="4"/>
  <c r="D42" i="4"/>
  <c r="C42" i="4"/>
  <c r="AA41" i="4"/>
  <c r="Z41" i="4"/>
  <c r="Y41" i="4"/>
  <c r="Y42" i="4" s="1"/>
  <c r="X41" i="4"/>
  <c r="X42" i="4" s="1"/>
  <c r="W41" i="4"/>
  <c r="V41" i="4"/>
  <c r="V42" i="4" s="1"/>
  <c r="U41" i="4"/>
  <c r="T41" i="4"/>
  <c r="T42" i="4" s="1"/>
  <c r="S41" i="4"/>
  <c r="S42" i="4" s="1"/>
  <c r="R41" i="4"/>
  <c r="R42" i="4" s="1"/>
  <c r="Q41" i="4"/>
  <c r="P41" i="4"/>
  <c r="O41" i="4"/>
  <c r="N41" i="4"/>
  <c r="M41" i="4"/>
  <c r="M42" i="4" s="1"/>
  <c r="L41" i="4"/>
  <c r="L42" i="4" s="1"/>
  <c r="K41" i="4"/>
  <c r="J41" i="4"/>
  <c r="I41" i="4"/>
  <c r="I42" i="4" s="1"/>
  <c r="H41" i="4"/>
  <c r="H42" i="4" s="1"/>
  <c r="G41" i="4"/>
  <c r="G42" i="4" s="1"/>
  <c r="F41" i="4"/>
  <c r="F42" i="4" s="1"/>
  <c r="E41" i="4"/>
  <c r="D41" i="4"/>
  <c r="C41" i="4"/>
  <c r="Y38" i="4"/>
  <c r="X38" i="4"/>
  <c r="AA37" i="4"/>
  <c r="Z37" i="4"/>
  <c r="Y37" i="4"/>
  <c r="W37" i="4"/>
  <c r="S37" i="4"/>
  <c r="Q37" i="4"/>
  <c r="P37" i="4"/>
  <c r="O37" i="4"/>
  <c r="N37" i="4"/>
  <c r="L37" i="4"/>
  <c r="K37" i="4"/>
  <c r="G37" i="4"/>
  <c r="E37" i="4"/>
  <c r="D37" i="4"/>
  <c r="C37" i="4"/>
  <c r="AA31" i="4"/>
  <c r="Z31" i="4"/>
  <c r="W31" i="4"/>
  <c r="V31" i="4"/>
  <c r="P31" i="4"/>
  <c r="O31" i="4"/>
  <c r="N31" i="4"/>
  <c r="K31" i="4"/>
  <c r="E31" i="4"/>
  <c r="D31" i="4"/>
  <c r="C31" i="4"/>
  <c r="AA30" i="4"/>
  <c r="Z30" i="4"/>
  <c r="Y30" i="4"/>
  <c r="Y31" i="4" s="1"/>
  <c r="X30" i="4"/>
  <c r="X31" i="4" s="1"/>
  <c r="W30" i="4"/>
  <c r="V30" i="4"/>
  <c r="U30" i="4"/>
  <c r="U31" i="4" s="1"/>
  <c r="T30" i="4"/>
  <c r="T31" i="4" s="1"/>
  <c r="S30" i="4"/>
  <c r="S31" i="4" s="1"/>
  <c r="R30" i="4"/>
  <c r="R31" i="4" s="1"/>
  <c r="Q30" i="4"/>
  <c r="Q31" i="4" s="1"/>
  <c r="P30" i="4"/>
  <c r="O30" i="4"/>
  <c r="N30" i="4"/>
  <c r="M30" i="4"/>
  <c r="M31" i="4" s="1"/>
  <c r="L30" i="4"/>
  <c r="L31" i="4" s="1"/>
  <c r="K30" i="4"/>
  <c r="J30" i="4"/>
  <c r="J31" i="4" s="1"/>
  <c r="I30" i="4"/>
  <c r="I31" i="4" s="1"/>
  <c r="H30" i="4"/>
  <c r="H31" i="4" s="1"/>
  <c r="G30" i="4"/>
  <c r="G31" i="4" s="1"/>
  <c r="F30" i="4"/>
  <c r="F31" i="4" s="1"/>
  <c r="E30" i="4"/>
  <c r="D30" i="4"/>
  <c r="C30" i="4"/>
  <c r="M27" i="4"/>
  <c r="L27" i="4"/>
  <c r="C27" i="4"/>
  <c r="AA26" i="4"/>
  <c r="Z26" i="4"/>
  <c r="Y26" i="4"/>
  <c r="V26" i="4"/>
  <c r="T26" i="4"/>
  <c r="S26" i="4"/>
  <c r="R26" i="4"/>
  <c r="Q26" i="4"/>
  <c r="P26" i="4"/>
  <c r="O26" i="4"/>
  <c r="N26" i="4"/>
  <c r="K26" i="4"/>
  <c r="I26" i="4"/>
  <c r="H26" i="4"/>
  <c r="G26" i="4"/>
  <c r="F26" i="4"/>
  <c r="E26" i="4"/>
  <c r="D26" i="4"/>
  <c r="C26" i="4"/>
  <c r="W20" i="4"/>
  <c r="V20" i="4"/>
  <c r="U20" i="4"/>
  <c r="L20" i="4"/>
  <c r="K20" i="4"/>
  <c r="J20" i="4"/>
  <c r="AA19" i="4"/>
  <c r="AA20" i="4" s="1"/>
  <c r="Z19" i="4"/>
  <c r="Z20" i="4" s="1"/>
  <c r="Y19" i="4"/>
  <c r="Y20" i="4" s="1"/>
  <c r="X19" i="4"/>
  <c r="X20" i="4" s="1"/>
  <c r="W19" i="4"/>
  <c r="V19" i="4"/>
  <c r="U19" i="4"/>
  <c r="T19" i="4"/>
  <c r="T20" i="4" s="1"/>
  <c r="S19" i="4"/>
  <c r="S20" i="4" s="1"/>
  <c r="R19" i="4"/>
  <c r="R20" i="4" s="1"/>
  <c r="Q19" i="4"/>
  <c r="Q20" i="4" s="1"/>
  <c r="P19" i="4"/>
  <c r="P20" i="4" s="1"/>
  <c r="O19" i="4"/>
  <c r="O20" i="4" s="1"/>
  <c r="N19" i="4"/>
  <c r="N20" i="4" s="1"/>
  <c r="M19" i="4"/>
  <c r="M20" i="4" s="1"/>
  <c r="L19" i="4"/>
  <c r="K19" i="4"/>
  <c r="J19" i="4"/>
  <c r="I19" i="4"/>
  <c r="I20" i="4" s="1"/>
  <c r="H19" i="4"/>
  <c r="H20" i="4" s="1"/>
  <c r="G19" i="4"/>
  <c r="G20" i="4" s="1"/>
  <c r="F19" i="4"/>
  <c r="F20" i="4" s="1"/>
  <c r="E19" i="4"/>
  <c r="E20" i="4" s="1"/>
  <c r="D19" i="4"/>
  <c r="D20" i="4" s="1"/>
  <c r="C19" i="4"/>
  <c r="C20" i="4" s="1"/>
  <c r="B17" i="4"/>
  <c r="B18" i="4" s="1"/>
  <c r="Z16" i="4"/>
  <c r="Y16" i="4"/>
  <c r="AA15" i="4"/>
  <c r="T15" i="4"/>
  <c r="S15" i="4"/>
  <c r="R15" i="4"/>
  <c r="Q15" i="4"/>
  <c r="P15" i="4"/>
  <c r="I15" i="4"/>
  <c r="H15" i="4"/>
  <c r="G15" i="4"/>
  <c r="F15" i="4"/>
  <c r="E15" i="4"/>
  <c r="B15" i="4"/>
  <c r="X9" i="4"/>
  <c r="W9" i="4"/>
  <c r="V9" i="4"/>
  <c r="M9" i="4"/>
  <c r="L9" i="4"/>
  <c r="K9" i="4"/>
  <c r="AA8" i="4"/>
  <c r="AA9" i="4" s="1"/>
  <c r="Z8" i="4"/>
  <c r="Z9" i="4" s="1"/>
  <c r="Y8" i="4"/>
  <c r="Y9" i="4" s="1"/>
  <c r="X8" i="4"/>
  <c r="W8" i="4"/>
  <c r="V8" i="4"/>
  <c r="U8" i="4"/>
  <c r="U9" i="4" s="1"/>
  <c r="T8" i="4"/>
  <c r="T9" i="4" s="1"/>
  <c r="S8" i="4"/>
  <c r="S9" i="4" s="1"/>
  <c r="R8" i="4"/>
  <c r="R9" i="4" s="1"/>
  <c r="Q8" i="4"/>
  <c r="Q9" i="4" s="1"/>
  <c r="P8" i="4"/>
  <c r="P9" i="4" s="1"/>
  <c r="O8" i="4"/>
  <c r="O9" i="4" s="1"/>
  <c r="N8" i="4"/>
  <c r="N9" i="4" s="1"/>
  <c r="M8" i="4"/>
  <c r="L8" i="4"/>
  <c r="K8" i="4"/>
  <c r="J8" i="4"/>
  <c r="J9" i="4" s="1"/>
  <c r="I8" i="4"/>
  <c r="I9" i="4" s="1"/>
  <c r="H8" i="4"/>
  <c r="H9" i="4" s="1"/>
  <c r="G8" i="4"/>
  <c r="G9" i="4" s="1"/>
  <c r="F8" i="4"/>
  <c r="F9" i="4" s="1"/>
  <c r="E8" i="4"/>
  <c r="E9" i="4" s="1"/>
  <c r="D8" i="4"/>
  <c r="D9" i="4" s="1"/>
  <c r="C8" i="4"/>
  <c r="C9" i="4" s="1"/>
  <c r="B6" i="4"/>
  <c r="B7" i="4" s="1"/>
  <c r="Y5" i="4"/>
  <c r="P5" i="4"/>
  <c r="U4" i="4"/>
  <c r="T4" i="4"/>
  <c r="S4" i="4"/>
  <c r="R4" i="4"/>
  <c r="Q4" i="4"/>
  <c r="J4" i="4"/>
  <c r="I4" i="4"/>
  <c r="H4" i="4"/>
  <c r="G4" i="4"/>
  <c r="F4" i="4"/>
  <c r="B4" i="4"/>
  <c r="P43" i="3"/>
  <c r="D43" i="3"/>
  <c r="C43" i="3"/>
  <c r="B43" i="3"/>
  <c r="C42" i="3"/>
  <c r="B42" i="3"/>
  <c r="F36" i="3"/>
  <c r="Q49" i="5" s="1"/>
  <c r="E36" i="3"/>
  <c r="Z38" i="6" s="1"/>
  <c r="D36" i="3"/>
  <c r="L27" i="5" s="1"/>
  <c r="C36" i="3"/>
  <c r="K38" i="4" s="1"/>
  <c r="K39" i="4" s="1"/>
  <c r="K40" i="4" s="1"/>
  <c r="B36" i="3"/>
  <c r="D16" i="4" s="1"/>
  <c r="F21" i="3"/>
  <c r="E21" i="3"/>
  <c r="D21" i="3"/>
  <c r="X59" i="4" s="1"/>
  <c r="C21" i="3"/>
  <c r="R37" i="4" s="1"/>
  <c r="Q17" i="3"/>
  <c r="P17" i="3"/>
  <c r="O17" i="3"/>
  <c r="Q16" i="3"/>
  <c r="P16" i="3"/>
  <c r="N16" i="3"/>
  <c r="M16" i="3"/>
  <c r="F12" i="3"/>
  <c r="E12" i="3"/>
  <c r="D12" i="3"/>
  <c r="C12" i="3"/>
  <c r="Q5" i="3"/>
  <c r="P5" i="3"/>
  <c r="O5" i="3"/>
  <c r="N5" i="3"/>
  <c r="N17" i="3" s="1"/>
  <c r="M5" i="3"/>
  <c r="M17" i="3" s="1"/>
  <c r="Q4" i="3"/>
  <c r="Q43" i="3" s="1"/>
  <c r="P4" i="3"/>
  <c r="O4" i="3"/>
  <c r="O43" i="3" s="1"/>
  <c r="N4" i="3"/>
  <c r="N43" i="3" s="1"/>
  <c r="C19" i="2"/>
  <c r="I16" i="9" l="1"/>
  <c r="T16" i="9"/>
  <c r="J16" i="9"/>
  <c r="U16" i="9"/>
  <c r="K16" i="9"/>
  <c r="V16" i="9"/>
  <c r="L16" i="9"/>
  <c r="W16" i="9"/>
  <c r="M16" i="9"/>
  <c r="X16" i="9"/>
  <c r="D16" i="9"/>
  <c r="O16" i="9"/>
  <c r="E16" i="9"/>
  <c r="P16" i="9"/>
  <c r="F16" i="9"/>
  <c r="G16" i="9"/>
  <c r="S16" i="9"/>
  <c r="C16" i="9"/>
  <c r="N16" i="9"/>
  <c r="Y16" i="9"/>
  <c r="Z16" i="9"/>
  <c r="AA16" i="9"/>
  <c r="Q16" i="9"/>
  <c r="R16" i="9"/>
  <c r="H16" i="9"/>
  <c r="N40" i="3"/>
  <c r="E40" i="3"/>
  <c r="V37" i="5" s="1"/>
  <c r="Q40" i="3"/>
  <c r="P40" i="3"/>
  <c r="O40" i="3"/>
  <c r="M42" i="3"/>
  <c r="B104" i="7"/>
  <c r="B106" i="7" s="1"/>
  <c r="B107" i="7" s="1"/>
  <c r="B104" i="6"/>
  <c r="B106" i="6" s="1"/>
  <c r="B107" i="6" s="1"/>
  <c r="B48" i="5"/>
  <c r="B50" i="5" s="1"/>
  <c r="B51" i="5" s="1"/>
  <c r="B103" i="4"/>
  <c r="B105" i="4" s="1"/>
  <c r="B106" i="4" s="1"/>
  <c r="F42" i="3"/>
  <c r="B92" i="4"/>
  <c r="B94" i="4" s="1"/>
  <c r="B95" i="4" s="1"/>
  <c r="Q42" i="3"/>
  <c r="O5" i="4"/>
  <c r="X16" i="4"/>
  <c r="O39" i="4"/>
  <c r="O40" i="4" s="1"/>
  <c r="W38" i="4"/>
  <c r="W39" i="4" s="1"/>
  <c r="W40" i="4" s="1"/>
  <c r="AA17" i="4"/>
  <c r="AA18" i="4" s="1"/>
  <c r="W27" i="4"/>
  <c r="C5" i="4"/>
  <c r="T28" i="4"/>
  <c r="T29" i="4" s="1"/>
  <c r="Y27" i="4"/>
  <c r="Y28" i="4" s="1"/>
  <c r="Y29" i="4" s="1"/>
  <c r="D61" i="4"/>
  <c r="D62" i="4" s="1"/>
  <c r="F41" i="3"/>
  <c r="E41" i="3"/>
  <c r="D41" i="3"/>
  <c r="C41" i="3"/>
  <c r="B41" i="3"/>
  <c r="Z5" i="7"/>
  <c r="O5" i="7"/>
  <c r="D5" i="7"/>
  <c r="Y5" i="7"/>
  <c r="N5" i="7"/>
  <c r="C5" i="7"/>
  <c r="X5" i="7"/>
  <c r="M5" i="7"/>
  <c r="W5" i="7"/>
  <c r="L5" i="7"/>
  <c r="Q5" i="7"/>
  <c r="F5" i="7"/>
  <c r="P5" i="7"/>
  <c r="V5" i="6"/>
  <c r="K5" i="6"/>
  <c r="K5" i="7"/>
  <c r="J5" i="7"/>
  <c r="AA5" i="7"/>
  <c r="G5" i="7"/>
  <c r="R5" i="7"/>
  <c r="AA5" i="6"/>
  <c r="O5" i="6"/>
  <c r="C5" i="6"/>
  <c r="Z5" i="6"/>
  <c r="N5" i="6"/>
  <c r="Y5" i="6"/>
  <c r="M5" i="6"/>
  <c r="V5" i="7"/>
  <c r="X5" i="6"/>
  <c r="L5" i="6"/>
  <c r="U5" i="7"/>
  <c r="T5" i="7"/>
  <c r="S5" i="7"/>
  <c r="I5" i="7"/>
  <c r="H5" i="7"/>
  <c r="P5" i="6"/>
  <c r="D5" i="6"/>
  <c r="F5" i="6"/>
  <c r="X5" i="5"/>
  <c r="M5" i="5"/>
  <c r="U5" i="6"/>
  <c r="V5" i="5"/>
  <c r="K5" i="5"/>
  <c r="T5" i="6"/>
  <c r="S5" i="6"/>
  <c r="T5" i="5"/>
  <c r="I5" i="5"/>
  <c r="H5" i="6"/>
  <c r="Z5" i="5"/>
  <c r="O5" i="5"/>
  <c r="D5" i="5"/>
  <c r="Q5" i="6"/>
  <c r="AA5" i="5"/>
  <c r="H5" i="5"/>
  <c r="J5" i="6"/>
  <c r="Y5" i="5"/>
  <c r="G5" i="5"/>
  <c r="I5" i="6"/>
  <c r="W5" i="5"/>
  <c r="F5" i="5"/>
  <c r="G5" i="6"/>
  <c r="U5" i="5"/>
  <c r="E5" i="5"/>
  <c r="E5" i="7"/>
  <c r="R5" i="6"/>
  <c r="J5" i="5"/>
  <c r="V16" i="4"/>
  <c r="K16" i="4"/>
  <c r="W5" i="4"/>
  <c r="L5" i="4"/>
  <c r="I16" i="4"/>
  <c r="I17" i="4" s="1"/>
  <c r="I18" i="4" s="1"/>
  <c r="U5" i="4"/>
  <c r="U6" i="4" s="1"/>
  <c r="U7" i="4" s="1"/>
  <c r="F16" i="4"/>
  <c r="F17" i="4" s="1"/>
  <c r="F18" i="4" s="1"/>
  <c r="E16" i="4"/>
  <c r="U16" i="4"/>
  <c r="J16" i="4"/>
  <c r="V5" i="4"/>
  <c r="K5" i="4"/>
  <c r="J5" i="4"/>
  <c r="J6" i="4" s="1"/>
  <c r="J7" i="4" s="1"/>
  <c r="P16" i="4"/>
  <c r="P17" i="4" s="1"/>
  <c r="P18" i="4" s="1"/>
  <c r="Q5" i="4"/>
  <c r="Q6" i="4" s="1"/>
  <c r="Q7" i="4" s="1"/>
  <c r="S5" i="5"/>
  <c r="R5" i="5"/>
  <c r="S16" i="4"/>
  <c r="S17" i="4" s="1"/>
  <c r="S18" i="4" s="1"/>
  <c r="H16" i="4"/>
  <c r="T5" i="4"/>
  <c r="T6" i="4" s="1"/>
  <c r="T7" i="4" s="1"/>
  <c r="I5" i="4"/>
  <c r="I6" i="4" s="1"/>
  <c r="I7" i="4" s="1"/>
  <c r="H5" i="4"/>
  <c r="R5" i="4"/>
  <c r="R6" i="4" s="1"/>
  <c r="R7" i="4" s="1"/>
  <c r="W5" i="6"/>
  <c r="Q5" i="5"/>
  <c r="R16" i="4"/>
  <c r="R17" i="4" s="1"/>
  <c r="R18" i="4" s="1"/>
  <c r="G16" i="4"/>
  <c r="S5" i="4"/>
  <c r="E5" i="6"/>
  <c r="P5" i="5"/>
  <c r="G5" i="4"/>
  <c r="G6" i="4" s="1"/>
  <c r="G7" i="4" s="1"/>
  <c r="N5" i="5"/>
  <c r="L5" i="5"/>
  <c r="C5" i="5"/>
  <c r="W16" i="4"/>
  <c r="L16" i="4"/>
  <c r="X5" i="4"/>
  <c r="M5" i="4"/>
  <c r="T16" i="4"/>
  <c r="T17" i="4" s="1"/>
  <c r="T18" i="4" s="1"/>
  <c r="Q16" i="4"/>
  <c r="AA16" i="4"/>
  <c r="F5" i="4"/>
  <c r="F6" i="4" s="1"/>
  <c r="F7" i="4" s="1"/>
  <c r="E17" i="4"/>
  <c r="E18" i="4" s="1"/>
  <c r="C16" i="4"/>
  <c r="X27" i="4"/>
  <c r="X72" i="4"/>
  <c r="X73" i="4" s="1"/>
  <c r="D5" i="4"/>
  <c r="G17" i="4"/>
  <c r="G18" i="4" s="1"/>
  <c r="M16" i="4"/>
  <c r="B40" i="3"/>
  <c r="Y16" i="7"/>
  <c r="N16" i="7"/>
  <c r="C16" i="7"/>
  <c r="X16" i="7"/>
  <c r="M16" i="7"/>
  <c r="W16" i="7"/>
  <c r="L16" i="7"/>
  <c r="V16" i="7"/>
  <c r="K16" i="7"/>
  <c r="AA16" i="7"/>
  <c r="P16" i="7"/>
  <c r="E16" i="7"/>
  <c r="O16" i="7"/>
  <c r="U16" i="6"/>
  <c r="J16" i="6"/>
  <c r="J16" i="7"/>
  <c r="I16" i="7"/>
  <c r="Z16" i="7"/>
  <c r="F16" i="7"/>
  <c r="Q16" i="7"/>
  <c r="U16" i="7"/>
  <c r="AA16" i="6"/>
  <c r="O16" i="6"/>
  <c r="C16" i="6"/>
  <c r="T16" i="7"/>
  <c r="Z16" i="6"/>
  <c r="N16" i="6"/>
  <c r="AA16" i="5"/>
  <c r="P16" i="5"/>
  <c r="E16" i="5"/>
  <c r="S16" i="7"/>
  <c r="Y16" i="6"/>
  <c r="M16" i="6"/>
  <c r="R16" i="7"/>
  <c r="X16" i="6"/>
  <c r="L16" i="6"/>
  <c r="H16" i="7"/>
  <c r="G16" i="7"/>
  <c r="D16" i="7"/>
  <c r="P16" i="6"/>
  <c r="D16" i="6"/>
  <c r="T16" i="6"/>
  <c r="R16" i="5"/>
  <c r="F16" i="5"/>
  <c r="R16" i="6"/>
  <c r="O16" i="5"/>
  <c r="C16" i="5"/>
  <c r="Q16" i="6"/>
  <c r="Z16" i="5"/>
  <c r="N16" i="5"/>
  <c r="K16" i="6"/>
  <c r="Y16" i="5"/>
  <c r="M16" i="5"/>
  <c r="W16" i="6"/>
  <c r="E16" i="6"/>
  <c r="T16" i="5"/>
  <c r="H16" i="5"/>
  <c r="U16" i="5"/>
  <c r="U38" i="4"/>
  <c r="J38" i="4"/>
  <c r="S16" i="5"/>
  <c r="Q16" i="5"/>
  <c r="V16" i="6"/>
  <c r="L16" i="5"/>
  <c r="V16" i="5"/>
  <c r="I16" i="6"/>
  <c r="J16" i="5"/>
  <c r="T38" i="4"/>
  <c r="H38" i="4"/>
  <c r="U27" i="4"/>
  <c r="J27" i="4"/>
  <c r="H27" i="4"/>
  <c r="Z38" i="4"/>
  <c r="Z39" i="4" s="1"/>
  <c r="Z40" i="4" s="1"/>
  <c r="Z27" i="4"/>
  <c r="H16" i="6"/>
  <c r="I16" i="5"/>
  <c r="S38" i="4"/>
  <c r="S39" i="4" s="1"/>
  <c r="S40" i="4" s="1"/>
  <c r="G38" i="4"/>
  <c r="G39" i="4" s="1"/>
  <c r="G40" i="4" s="1"/>
  <c r="T27" i="4"/>
  <c r="I27" i="4"/>
  <c r="I28" i="4" s="1"/>
  <c r="I29" i="4" s="1"/>
  <c r="F38" i="4"/>
  <c r="S27" i="4"/>
  <c r="S28" i="4" s="1"/>
  <c r="S29" i="4" s="1"/>
  <c r="P27" i="4"/>
  <c r="P28" i="4" s="1"/>
  <c r="P29" i="4" s="1"/>
  <c r="N38" i="4"/>
  <c r="D27" i="4"/>
  <c r="D28" i="4" s="1"/>
  <c r="D29" i="4" s="1"/>
  <c r="G16" i="6"/>
  <c r="G16" i="5"/>
  <c r="E27" i="4"/>
  <c r="E28" i="4" s="1"/>
  <c r="E29" i="4" s="1"/>
  <c r="F16" i="6"/>
  <c r="D16" i="5"/>
  <c r="Q38" i="4"/>
  <c r="E38" i="4"/>
  <c r="E39" i="4" s="1"/>
  <c r="E40" i="4" s="1"/>
  <c r="R27" i="4"/>
  <c r="G27" i="4"/>
  <c r="O38" i="4"/>
  <c r="AA27" i="4"/>
  <c r="AA28" i="4" s="1"/>
  <c r="AA29" i="4" s="1"/>
  <c r="P38" i="4"/>
  <c r="D38" i="4"/>
  <c r="Q27" i="4"/>
  <c r="Q28" i="4" s="1"/>
  <c r="Q29" i="4" s="1"/>
  <c r="F27" i="4"/>
  <c r="F28" i="4" s="1"/>
  <c r="F29" i="4" s="1"/>
  <c r="AA38" i="4"/>
  <c r="AA39" i="4" s="1"/>
  <c r="AA40" i="4" s="1"/>
  <c r="X16" i="5"/>
  <c r="W16" i="5"/>
  <c r="S16" i="6"/>
  <c r="K16" i="5"/>
  <c r="V38" i="4"/>
  <c r="I38" i="4"/>
  <c r="V27" i="4"/>
  <c r="V28" i="4" s="1"/>
  <c r="V29" i="4" s="1"/>
  <c r="K27" i="4"/>
  <c r="K28" i="4" s="1"/>
  <c r="K29" i="4" s="1"/>
  <c r="R38" i="4"/>
  <c r="R39" i="4" s="1"/>
  <c r="R40" i="4" s="1"/>
  <c r="C38" i="4"/>
  <c r="O27" i="4"/>
  <c r="B93" i="7"/>
  <c r="B95" i="7" s="1"/>
  <c r="B96" i="7" s="1"/>
  <c r="B93" i="6"/>
  <c r="B95" i="6" s="1"/>
  <c r="B96" i="6" s="1"/>
  <c r="AA5" i="4"/>
  <c r="C28" i="4"/>
  <c r="C29" i="4" s="1"/>
  <c r="D39" i="4"/>
  <c r="D40" i="4" s="1"/>
  <c r="W61" i="4"/>
  <c r="W62" i="4" s="1"/>
  <c r="H17" i="4"/>
  <c r="H18" i="4" s="1"/>
  <c r="H28" i="4"/>
  <c r="H29" i="4" s="1"/>
  <c r="L38" i="4"/>
  <c r="L39" i="4" s="1"/>
  <c r="L40" i="4" s="1"/>
  <c r="Q17" i="4"/>
  <c r="Q18" i="4" s="1"/>
  <c r="P39" i="4"/>
  <c r="P40" i="4" s="1"/>
  <c r="AA5" i="8"/>
  <c r="J5" i="8"/>
  <c r="Z5" i="8"/>
  <c r="F5" i="8"/>
  <c r="Y5" i="8"/>
  <c r="E5" i="8"/>
  <c r="AF16" i="8"/>
  <c r="X5" i="8"/>
  <c r="D5" i="8"/>
  <c r="AE5" i="8"/>
  <c r="K5" i="8"/>
  <c r="C5" i="8"/>
  <c r="AH5" i="8"/>
  <c r="AG5" i="8"/>
  <c r="AE16" i="8"/>
  <c r="AF5" i="8"/>
  <c r="T5" i="8"/>
  <c r="M5" i="8"/>
  <c r="S5" i="8"/>
  <c r="R5" i="8"/>
  <c r="Q5" i="8"/>
  <c r="L5" i="8"/>
  <c r="Q48" i="5"/>
  <c r="Q50" i="5" s="1"/>
  <c r="Q51" i="5" s="1"/>
  <c r="F48" i="5"/>
  <c r="AA48" i="5"/>
  <c r="AA50" i="5" s="1"/>
  <c r="AA51" i="5" s="1"/>
  <c r="P48" i="5"/>
  <c r="P50" i="5" s="1"/>
  <c r="P51" i="5" s="1"/>
  <c r="E48" i="5"/>
  <c r="E50" i="5" s="1"/>
  <c r="E51" i="5" s="1"/>
  <c r="U48" i="5"/>
  <c r="H48" i="5"/>
  <c r="S48" i="5"/>
  <c r="D48" i="5"/>
  <c r="R48" i="5"/>
  <c r="R50" i="5" s="1"/>
  <c r="R51" i="5" s="1"/>
  <c r="C48" i="5"/>
  <c r="O48" i="5"/>
  <c r="W48" i="5"/>
  <c r="J48" i="5"/>
  <c r="G48" i="5"/>
  <c r="R103" i="4"/>
  <c r="R105" i="4" s="1"/>
  <c r="R106" i="4" s="1"/>
  <c r="G103" i="4"/>
  <c r="G105" i="4" s="1"/>
  <c r="G106" i="4" s="1"/>
  <c r="S92" i="4"/>
  <c r="S94" i="4" s="1"/>
  <c r="S95" i="4" s="1"/>
  <c r="H92" i="4"/>
  <c r="H94" i="4" s="1"/>
  <c r="H95" i="4" s="1"/>
  <c r="Z48" i="5"/>
  <c r="Q103" i="4"/>
  <c r="F103" i="4"/>
  <c r="F105" i="4" s="1"/>
  <c r="F106" i="4" s="1"/>
  <c r="R92" i="4"/>
  <c r="R94" i="4" s="1"/>
  <c r="R95" i="4" s="1"/>
  <c r="G92" i="4"/>
  <c r="Y48" i="5"/>
  <c r="Y50" i="5" s="1"/>
  <c r="Y51" i="5" s="1"/>
  <c r="AA103" i="4"/>
  <c r="P103" i="4"/>
  <c r="P105" i="4" s="1"/>
  <c r="P106" i="4" s="1"/>
  <c r="E103" i="4"/>
  <c r="Q92" i="4"/>
  <c r="Q94" i="4" s="1"/>
  <c r="Q95" i="4" s="1"/>
  <c r="F92" i="4"/>
  <c r="X48" i="5"/>
  <c r="Z103" i="4"/>
  <c r="Z105" i="4" s="1"/>
  <c r="Z106" i="4" s="1"/>
  <c r="O103" i="4"/>
  <c r="D103" i="4"/>
  <c r="AA92" i="4"/>
  <c r="P92" i="4"/>
  <c r="P94" i="4" s="1"/>
  <c r="P95" i="4" s="1"/>
  <c r="E92" i="4"/>
  <c r="I48" i="5"/>
  <c r="I50" i="5" s="1"/>
  <c r="I51" i="5" s="1"/>
  <c r="S103" i="4"/>
  <c r="H103" i="4"/>
  <c r="H105" i="4" s="1"/>
  <c r="H106" i="4" s="1"/>
  <c r="T92" i="4"/>
  <c r="T94" i="4" s="1"/>
  <c r="T95" i="4" s="1"/>
  <c r="I92" i="4"/>
  <c r="I94" i="4" s="1"/>
  <c r="I95" i="4" s="1"/>
  <c r="T48" i="5"/>
  <c r="T50" i="5" s="1"/>
  <c r="T51" i="5" s="1"/>
  <c r="X103" i="4"/>
  <c r="C103" i="4"/>
  <c r="Z92" i="4"/>
  <c r="J92" i="4"/>
  <c r="J94" i="4" s="1"/>
  <c r="J95" i="4" s="1"/>
  <c r="X92" i="4"/>
  <c r="X94" i="4" s="1"/>
  <c r="X95" i="4" s="1"/>
  <c r="N48" i="5"/>
  <c r="N50" i="5" s="1"/>
  <c r="N51" i="5" s="1"/>
  <c r="W103" i="4"/>
  <c r="Y92" i="4"/>
  <c r="D92" i="4"/>
  <c r="V103" i="4"/>
  <c r="V105" i="4" s="1"/>
  <c r="V106" i="4" s="1"/>
  <c r="C92" i="4"/>
  <c r="C94" i="4" s="1"/>
  <c r="C95" i="4" s="1"/>
  <c r="M48" i="5"/>
  <c r="L48" i="5"/>
  <c r="U103" i="4"/>
  <c r="W92" i="4"/>
  <c r="W94" i="4" s="1"/>
  <c r="W95" i="4" s="1"/>
  <c r="K48" i="5"/>
  <c r="T103" i="4"/>
  <c r="V92" i="4"/>
  <c r="U92" i="4"/>
  <c r="N103" i="4"/>
  <c r="M103" i="4"/>
  <c r="O92" i="4"/>
  <c r="O94" i="4" s="1"/>
  <c r="O95" i="4" s="1"/>
  <c r="L103" i="4"/>
  <c r="N92" i="4"/>
  <c r="K103" i="4"/>
  <c r="M92" i="4"/>
  <c r="M94" i="4" s="1"/>
  <c r="M95" i="4" s="1"/>
  <c r="J103" i="4"/>
  <c r="J105" i="4" s="1"/>
  <c r="J106" i="4" s="1"/>
  <c r="L92" i="4"/>
  <c r="L94" i="4" s="1"/>
  <c r="L95" i="4" s="1"/>
  <c r="V48" i="5"/>
  <c r="Y103" i="4"/>
  <c r="Y105" i="4" s="1"/>
  <c r="Y106" i="4" s="1"/>
  <c r="I103" i="4"/>
  <c r="I105" i="4" s="1"/>
  <c r="I106" i="4" s="1"/>
  <c r="K92" i="4"/>
  <c r="K94" i="4" s="1"/>
  <c r="K95" i="4" s="1"/>
  <c r="F43" i="3"/>
  <c r="O28" i="4"/>
  <c r="O29" i="4" s="1"/>
  <c r="P83" i="4"/>
  <c r="P84" i="4" s="1"/>
  <c r="Z5" i="4"/>
  <c r="G50" i="4"/>
  <c r="G51" i="4" s="1"/>
  <c r="S6" i="4"/>
  <c r="S7" i="4" s="1"/>
  <c r="N27" i="4"/>
  <c r="N28" i="4" s="1"/>
  <c r="N29" i="4" s="1"/>
  <c r="C39" i="4"/>
  <c r="C40" i="4" s="1"/>
  <c r="Z50" i="4"/>
  <c r="Z51" i="4" s="1"/>
  <c r="Y39" i="4"/>
  <c r="Y40" i="4" s="1"/>
  <c r="B71" i="6"/>
  <c r="B73" i="6" s="1"/>
  <c r="B74" i="6" s="1"/>
  <c r="B71" i="7"/>
  <c r="B73" i="7" s="1"/>
  <c r="B74" i="7" s="1"/>
  <c r="B26" i="5"/>
  <c r="B28" i="5" s="1"/>
  <c r="B29" i="5" s="1"/>
  <c r="D42" i="3"/>
  <c r="B59" i="4"/>
  <c r="B61" i="4" s="1"/>
  <c r="B62" i="4" s="1"/>
  <c r="O42" i="3"/>
  <c r="E5" i="4"/>
  <c r="N16" i="4"/>
  <c r="B82" i="6"/>
  <c r="B84" i="6" s="1"/>
  <c r="B85" i="6" s="1"/>
  <c r="B82" i="7"/>
  <c r="B84" i="7" s="1"/>
  <c r="B85" i="7" s="1"/>
  <c r="E42" i="3"/>
  <c r="B37" i="5"/>
  <c r="B39" i="5" s="1"/>
  <c r="B40" i="5" s="1"/>
  <c r="B81" i="4"/>
  <c r="B83" i="4" s="1"/>
  <c r="B84" i="4" s="1"/>
  <c r="B70" i="4"/>
  <c r="B72" i="4" s="1"/>
  <c r="B73" i="4" s="1"/>
  <c r="H6" i="4"/>
  <c r="H7" i="4" s="1"/>
  <c r="N5" i="4"/>
  <c r="O16" i="4"/>
  <c r="Z28" i="4"/>
  <c r="Z29" i="4" s="1"/>
  <c r="N39" i="4"/>
  <c r="N40" i="4" s="1"/>
  <c r="M38" i="4"/>
  <c r="B48" i="4"/>
  <c r="B50" i="4" s="1"/>
  <c r="B51" i="4" s="1"/>
  <c r="Z49" i="4"/>
  <c r="C21" i="2"/>
  <c r="C40" i="3" s="1"/>
  <c r="O15" i="5" s="1"/>
  <c r="O17" i="5" s="1"/>
  <c r="O18" i="5" s="1"/>
  <c r="X4" i="4"/>
  <c r="X6" i="4" s="1"/>
  <c r="X7" i="4" s="1"/>
  <c r="L15" i="4"/>
  <c r="F49" i="4"/>
  <c r="M4" i="3"/>
  <c r="M43" i="3" s="1"/>
  <c r="B15" i="5"/>
  <c r="B17" i="5" s="1"/>
  <c r="B18" i="5" s="1"/>
  <c r="B37" i="4"/>
  <c r="B39" i="4" s="1"/>
  <c r="B40" i="4" s="1"/>
  <c r="T81" i="4"/>
  <c r="T83" i="4" s="1"/>
  <c r="T84" i="4" s="1"/>
  <c r="I81" i="4"/>
  <c r="U70" i="4"/>
  <c r="J70" i="4"/>
  <c r="R81" i="4"/>
  <c r="R83" i="4" s="1"/>
  <c r="R84" i="4" s="1"/>
  <c r="G81" i="4"/>
  <c r="S70" i="4"/>
  <c r="S72" i="4" s="1"/>
  <c r="S73" i="4" s="1"/>
  <c r="H70" i="4"/>
  <c r="N42" i="3"/>
  <c r="E4" i="4"/>
  <c r="P4" i="4"/>
  <c r="P6" i="4" s="1"/>
  <c r="P7" i="4" s="1"/>
  <c r="AA4" i="4"/>
  <c r="AA6" i="4" s="1"/>
  <c r="AA7" i="4" s="1"/>
  <c r="D15" i="4"/>
  <c r="D17" i="4" s="1"/>
  <c r="D18" i="4" s="1"/>
  <c r="O15" i="4"/>
  <c r="O17" i="4" s="1"/>
  <c r="O18" i="4" s="1"/>
  <c r="Z15" i="4"/>
  <c r="Z17" i="4" s="1"/>
  <c r="Z18" i="4" s="1"/>
  <c r="J37" i="4"/>
  <c r="J39" i="4" s="1"/>
  <c r="J40" i="4" s="1"/>
  <c r="V37" i="4"/>
  <c r="V39" i="4" s="1"/>
  <c r="V40" i="4" s="1"/>
  <c r="J49" i="4"/>
  <c r="J50" i="4" s="1"/>
  <c r="J51" i="4" s="1"/>
  <c r="V49" i="4"/>
  <c r="V50" i="4" s="1"/>
  <c r="V51" i="4" s="1"/>
  <c r="M59" i="4"/>
  <c r="Z59" i="4"/>
  <c r="N60" i="4"/>
  <c r="N61" i="4" s="1"/>
  <c r="N62" i="4" s="1"/>
  <c r="AA60" i="4"/>
  <c r="AA61" i="4" s="1"/>
  <c r="AA62" i="4" s="1"/>
  <c r="N70" i="4"/>
  <c r="AA70" i="4"/>
  <c r="AA72" i="4" s="1"/>
  <c r="AA73" i="4" s="1"/>
  <c r="O71" i="4"/>
  <c r="O72" i="4" s="1"/>
  <c r="O73" i="4" s="1"/>
  <c r="N81" i="4"/>
  <c r="AA81" i="4"/>
  <c r="P82" i="4"/>
  <c r="G93" i="4"/>
  <c r="W93" i="4"/>
  <c r="U104" i="4"/>
  <c r="C71" i="4"/>
  <c r="C72" i="4" s="1"/>
  <c r="C73" i="4" s="1"/>
  <c r="Q71" i="4"/>
  <c r="Q72" i="4" s="1"/>
  <c r="Q73" i="4" s="1"/>
  <c r="C82" i="4"/>
  <c r="C83" i="4" s="1"/>
  <c r="C84" i="4" s="1"/>
  <c r="R82" i="4"/>
  <c r="J49" i="5"/>
  <c r="O61" i="4"/>
  <c r="O62" i="4" s="1"/>
  <c r="C60" i="4"/>
  <c r="C61" i="4" s="1"/>
  <c r="C62" i="4" s="1"/>
  <c r="P60" i="4"/>
  <c r="P61" i="4" s="1"/>
  <c r="P62" i="4" s="1"/>
  <c r="D71" i="4"/>
  <c r="D72" i="4" s="1"/>
  <c r="D73" i="4" s="1"/>
  <c r="S71" i="4"/>
  <c r="E82" i="4"/>
  <c r="E83" i="4" s="1"/>
  <c r="E84" i="4" s="1"/>
  <c r="S82" i="4"/>
  <c r="S83" i="4" s="1"/>
  <c r="S84" i="4" s="1"/>
  <c r="L49" i="5"/>
  <c r="E27" i="6"/>
  <c r="D60" i="4"/>
  <c r="R60" i="4"/>
  <c r="R61" i="4" s="1"/>
  <c r="R62" i="4" s="1"/>
  <c r="F71" i="4"/>
  <c r="F72" i="4" s="1"/>
  <c r="F73" i="4" s="1"/>
  <c r="T71" i="4"/>
  <c r="T72" i="4" s="1"/>
  <c r="T73" i="4" s="1"/>
  <c r="G82" i="4"/>
  <c r="T82" i="4"/>
  <c r="O49" i="5"/>
  <c r="F27" i="6"/>
  <c r="H71" i="4"/>
  <c r="U71" i="4"/>
  <c r="H82" i="4"/>
  <c r="U82" i="4"/>
  <c r="U83" i="4" s="1"/>
  <c r="U84" i="4" s="1"/>
  <c r="P49" i="5"/>
  <c r="Q27" i="6"/>
  <c r="AA49" i="4"/>
  <c r="U60" i="4"/>
  <c r="I71" i="4"/>
  <c r="E38" i="5"/>
  <c r="U27" i="6"/>
  <c r="C49" i="4"/>
  <c r="C50" i="4" s="1"/>
  <c r="C51" i="4" s="1"/>
  <c r="I82" i="4"/>
  <c r="O16" i="3"/>
  <c r="O21" i="3" s="1"/>
  <c r="U49" i="7"/>
  <c r="J49" i="7"/>
  <c r="T49" i="7"/>
  <c r="I49" i="7"/>
  <c r="S49" i="7"/>
  <c r="H49" i="7"/>
  <c r="R49" i="7"/>
  <c r="G49" i="7"/>
  <c r="V49" i="7"/>
  <c r="K49" i="7"/>
  <c r="P49" i="7"/>
  <c r="O49" i="7"/>
  <c r="N49" i="7"/>
  <c r="M49" i="7"/>
  <c r="W49" i="7"/>
  <c r="Q49" i="7"/>
  <c r="R49" i="6"/>
  <c r="G49" i="6"/>
  <c r="L49" i="7"/>
  <c r="Q49" i="6"/>
  <c r="F49" i="6"/>
  <c r="F49" i="7"/>
  <c r="AA49" i="6"/>
  <c r="P49" i="6"/>
  <c r="E49" i="6"/>
  <c r="D49" i="7"/>
  <c r="C49" i="7"/>
  <c r="X49" i="6"/>
  <c r="M49" i="6"/>
  <c r="X49" i="7"/>
  <c r="S49" i="6"/>
  <c r="H49" i="6"/>
  <c r="Y49" i="6"/>
  <c r="D49" i="6"/>
  <c r="Y49" i="5"/>
  <c r="N49" i="5"/>
  <c r="C49" i="5"/>
  <c r="W49" i="6"/>
  <c r="C49" i="6"/>
  <c r="X49" i="5"/>
  <c r="M49" i="5"/>
  <c r="V49" i="6"/>
  <c r="U49" i="6"/>
  <c r="AA49" i="7"/>
  <c r="Z49" i="7"/>
  <c r="Y49" i="7"/>
  <c r="E49" i="7"/>
  <c r="Z49" i="6"/>
  <c r="I49" i="6"/>
  <c r="V49" i="5"/>
  <c r="I49" i="5"/>
  <c r="T49" i="5"/>
  <c r="G49" i="5"/>
  <c r="S49" i="5"/>
  <c r="F49" i="5"/>
  <c r="T49" i="6"/>
  <c r="R49" i="5"/>
  <c r="E49" i="5"/>
  <c r="J49" i="6"/>
  <c r="Z49" i="5"/>
  <c r="K49" i="5"/>
  <c r="D49" i="5"/>
  <c r="Z104" i="4"/>
  <c r="O104" i="4"/>
  <c r="D104" i="4"/>
  <c r="AA93" i="4"/>
  <c r="P93" i="4"/>
  <c r="E93" i="4"/>
  <c r="Y104" i="4"/>
  <c r="N104" i="4"/>
  <c r="C104" i="4"/>
  <c r="Z93" i="4"/>
  <c r="O93" i="4"/>
  <c r="D93" i="4"/>
  <c r="AA49" i="5"/>
  <c r="X104" i="4"/>
  <c r="M104" i="4"/>
  <c r="Y93" i="4"/>
  <c r="N93" i="4"/>
  <c r="C93" i="4"/>
  <c r="W49" i="5"/>
  <c r="W104" i="4"/>
  <c r="L104" i="4"/>
  <c r="X93" i="4"/>
  <c r="M93" i="4"/>
  <c r="O49" i="6"/>
  <c r="H49" i="5"/>
  <c r="AA104" i="4"/>
  <c r="P104" i="4"/>
  <c r="E104" i="4"/>
  <c r="Q93" i="4"/>
  <c r="F93" i="4"/>
  <c r="V4" i="4"/>
  <c r="V6" i="4" s="1"/>
  <c r="V7" i="4" s="1"/>
  <c r="J15" i="4"/>
  <c r="J17" i="4" s="1"/>
  <c r="J18" i="4" s="1"/>
  <c r="U15" i="4"/>
  <c r="U17" i="4" s="1"/>
  <c r="U18" i="4" s="1"/>
  <c r="Q39" i="4"/>
  <c r="Q40" i="4" s="1"/>
  <c r="D49" i="4"/>
  <c r="D50" i="4" s="1"/>
  <c r="D51" i="4" s="1"/>
  <c r="P49" i="4"/>
  <c r="I60" i="4"/>
  <c r="V60" i="4"/>
  <c r="G70" i="4"/>
  <c r="G72" i="4" s="1"/>
  <c r="G73" i="4" s="1"/>
  <c r="V70" i="4"/>
  <c r="J71" i="4"/>
  <c r="W71" i="4"/>
  <c r="H81" i="4"/>
  <c r="H83" i="4" s="1"/>
  <c r="H84" i="4" s="1"/>
  <c r="V81" i="4"/>
  <c r="V83" i="4" s="1"/>
  <c r="V84" i="4" s="1"/>
  <c r="J82" i="4"/>
  <c r="W82" i="4"/>
  <c r="R93" i="4"/>
  <c r="K104" i="4"/>
  <c r="C27" i="5"/>
  <c r="I38" i="5"/>
  <c r="U49" i="5"/>
  <c r="K38" i="6"/>
  <c r="K49" i="6"/>
  <c r="B4" i="6"/>
  <c r="B6" i="6" s="1"/>
  <c r="B7" i="6" s="1"/>
  <c r="B4" i="7"/>
  <c r="B6" i="7" s="1"/>
  <c r="B7" i="7" s="1"/>
  <c r="P50" i="4"/>
  <c r="P51" i="4" s="1"/>
  <c r="O49" i="4"/>
  <c r="O50" i="4" s="1"/>
  <c r="O51" i="4" s="1"/>
  <c r="G60" i="4"/>
  <c r="V71" i="4"/>
  <c r="V82" i="4"/>
  <c r="B15" i="6"/>
  <c r="B17" i="6" s="1"/>
  <c r="B18" i="6" s="1"/>
  <c r="B15" i="7"/>
  <c r="B17" i="7" s="1"/>
  <c r="B18" i="7" s="1"/>
  <c r="K4" i="4"/>
  <c r="K6" i="4" s="1"/>
  <c r="K7" i="4" s="1"/>
  <c r="E43" i="3"/>
  <c r="L4" i="4"/>
  <c r="L6" i="4" s="1"/>
  <c r="L7" i="4" s="1"/>
  <c r="W4" i="4"/>
  <c r="K15" i="4"/>
  <c r="K17" i="4" s="1"/>
  <c r="K18" i="4" s="1"/>
  <c r="V15" i="4"/>
  <c r="V17" i="4" s="1"/>
  <c r="V18" i="4" s="1"/>
  <c r="J26" i="4"/>
  <c r="J28" i="4" s="1"/>
  <c r="J29" i="4" s="1"/>
  <c r="U26" i="4"/>
  <c r="F37" i="4"/>
  <c r="F48" i="4"/>
  <c r="F50" i="4" s="1"/>
  <c r="F51" i="4" s="1"/>
  <c r="R48" i="4"/>
  <c r="E49" i="4"/>
  <c r="E50" i="4" s="1"/>
  <c r="E51" i="4" s="1"/>
  <c r="Q49" i="4"/>
  <c r="Q50" i="4" s="1"/>
  <c r="Q51" i="4" s="1"/>
  <c r="G59" i="4"/>
  <c r="U59" i="4"/>
  <c r="J60" i="4"/>
  <c r="W60" i="4"/>
  <c r="I70" i="4"/>
  <c r="I72" i="4" s="1"/>
  <c r="I73" i="4" s="1"/>
  <c r="W70" i="4"/>
  <c r="W72" i="4" s="1"/>
  <c r="W73" i="4" s="1"/>
  <c r="K71" i="4"/>
  <c r="K72" i="4" s="1"/>
  <c r="K73" i="4" s="1"/>
  <c r="X71" i="4"/>
  <c r="J81" i="4"/>
  <c r="J83" i="4" s="1"/>
  <c r="J84" i="4" s="1"/>
  <c r="W81" i="4"/>
  <c r="W83" i="4" s="1"/>
  <c r="W84" i="4" s="1"/>
  <c r="K82" i="4"/>
  <c r="X82" i="4"/>
  <c r="S93" i="4"/>
  <c r="Q104" i="4"/>
  <c r="F27" i="5"/>
  <c r="K38" i="5"/>
  <c r="M38" i="6"/>
  <c r="L49" i="6"/>
  <c r="J27" i="5"/>
  <c r="M38" i="5"/>
  <c r="N49" i="6"/>
  <c r="G28" i="4"/>
  <c r="G29" i="4" s="1"/>
  <c r="AA50" i="4"/>
  <c r="AA51" i="4" s="1"/>
  <c r="T60" i="4"/>
  <c r="W38" i="7"/>
  <c r="L38" i="7"/>
  <c r="V38" i="7"/>
  <c r="K38" i="7"/>
  <c r="U38" i="7"/>
  <c r="J38" i="7"/>
  <c r="T38" i="7"/>
  <c r="I38" i="7"/>
  <c r="Y38" i="7"/>
  <c r="N38" i="7"/>
  <c r="C38" i="7"/>
  <c r="Q38" i="7"/>
  <c r="S38" i="6"/>
  <c r="H38" i="6"/>
  <c r="P38" i="7"/>
  <c r="R38" i="6"/>
  <c r="G38" i="6"/>
  <c r="O38" i="7"/>
  <c r="Q38" i="6"/>
  <c r="F38" i="6"/>
  <c r="H38" i="7"/>
  <c r="G38" i="7"/>
  <c r="Y38" i="6"/>
  <c r="N38" i="6"/>
  <c r="C38" i="6"/>
  <c r="R38" i="7"/>
  <c r="T38" i="6"/>
  <c r="I38" i="6"/>
  <c r="S38" i="7"/>
  <c r="W38" i="6"/>
  <c r="Z38" i="5"/>
  <c r="O38" i="5"/>
  <c r="D38" i="5"/>
  <c r="M38" i="7"/>
  <c r="V38" i="6"/>
  <c r="Y38" i="5"/>
  <c r="N38" i="5"/>
  <c r="C38" i="5"/>
  <c r="F38" i="7"/>
  <c r="U38" i="6"/>
  <c r="E38" i="7"/>
  <c r="P38" i="6"/>
  <c r="D38" i="7"/>
  <c r="AA38" i="7"/>
  <c r="X38" i="7"/>
  <c r="X38" i="6"/>
  <c r="D38" i="6"/>
  <c r="Z38" i="7"/>
  <c r="L38" i="6"/>
  <c r="W38" i="5"/>
  <c r="J38" i="5"/>
  <c r="J38" i="6"/>
  <c r="U38" i="5"/>
  <c r="H38" i="5"/>
  <c r="E38" i="6"/>
  <c r="T38" i="5"/>
  <c r="G38" i="5"/>
  <c r="S38" i="5"/>
  <c r="F38" i="5"/>
  <c r="O38" i="6"/>
  <c r="AA38" i="5"/>
  <c r="L38" i="5"/>
  <c r="X38" i="5"/>
  <c r="Q82" i="4"/>
  <c r="Q83" i="4" s="1"/>
  <c r="Q84" i="4" s="1"/>
  <c r="F82" i="4"/>
  <c r="F83" i="4" s="1"/>
  <c r="F84" i="4" s="1"/>
  <c r="R71" i="4"/>
  <c r="R72" i="4" s="1"/>
  <c r="R73" i="4" s="1"/>
  <c r="G71" i="4"/>
  <c r="V38" i="5"/>
  <c r="R38" i="5"/>
  <c r="Z82" i="4"/>
  <c r="O82" i="4"/>
  <c r="O83" i="4" s="1"/>
  <c r="O84" i="4" s="1"/>
  <c r="D82" i="4"/>
  <c r="D83" i="4" s="1"/>
  <c r="D84" i="4" s="1"/>
  <c r="AA71" i="4"/>
  <c r="P71" i="4"/>
  <c r="P72" i="4" s="1"/>
  <c r="P73" i="4" s="1"/>
  <c r="E71" i="4"/>
  <c r="E72" i="4" s="1"/>
  <c r="E73" i="4" s="1"/>
  <c r="Q38" i="5"/>
  <c r="W15" i="4"/>
  <c r="W17" i="4" s="1"/>
  <c r="W18" i="4" s="1"/>
  <c r="R49" i="4"/>
  <c r="K60" i="4"/>
  <c r="Y71" i="4"/>
  <c r="X83" i="4"/>
  <c r="X84" i="4" s="1"/>
  <c r="L82" i="4"/>
  <c r="X37" i="4"/>
  <c r="X39" i="4" s="1"/>
  <c r="X40" i="4" s="1"/>
  <c r="M37" i="4"/>
  <c r="M39" i="4" s="1"/>
  <c r="M40" i="4" s="1"/>
  <c r="C4" i="4"/>
  <c r="C6" i="4" s="1"/>
  <c r="C7" i="4" s="1"/>
  <c r="Y4" i="4"/>
  <c r="Y6" i="4" s="1"/>
  <c r="Y7" i="4" s="1"/>
  <c r="M15" i="4"/>
  <c r="M17" i="4" s="1"/>
  <c r="M18" i="4" s="1"/>
  <c r="X15" i="4"/>
  <c r="X17" i="4" s="1"/>
  <c r="X18" i="4" s="1"/>
  <c r="L26" i="4"/>
  <c r="L28" i="4" s="1"/>
  <c r="L29" i="4" s="1"/>
  <c r="W26" i="4"/>
  <c r="W28" i="4" s="1"/>
  <c r="W29" i="4" s="1"/>
  <c r="H37" i="4"/>
  <c r="H39" i="4" s="1"/>
  <c r="H40" i="4" s="1"/>
  <c r="T37" i="4"/>
  <c r="T39" i="4" s="1"/>
  <c r="T40" i="4" s="1"/>
  <c r="H48" i="4"/>
  <c r="H50" i="4" s="1"/>
  <c r="H51" i="4" s="1"/>
  <c r="T48" i="4"/>
  <c r="G49" i="4"/>
  <c r="S49" i="4"/>
  <c r="S50" i="4" s="1"/>
  <c r="S51" i="4" s="1"/>
  <c r="J59" i="4"/>
  <c r="L60" i="4"/>
  <c r="Y60" i="4"/>
  <c r="L70" i="4"/>
  <c r="Y70" i="4"/>
  <c r="Y72" i="4" s="1"/>
  <c r="Y73" i="4" s="1"/>
  <c r="M71" i="4"/>
  <c r="Z71" i="4"/>
  <c r="L81" i="4"/>
  <c r="Y81" i="4"/>
  <c r="M82" i="4"/>
  <c r="AA82" i="4"/>
  <c r="U93" i="4"/>
  <c r="S104" i="4"/>
  <c r="P38" i="5"/>
  <c r="AA38" i="6"/>
  <c r="X27" i="7"/>
  <c r="M27" i="7"/>
  <c r="W27" i="7"/>
  <c r="L27" i="7"/>
  <c r="V27" i="7"/>
  <c r="K27" i="7"/>
  <c r="U27" i="7"/>
  <c r="J27" i="7"/>
  <c r="Z27" i="7"/>
  <c r="O27" i="7"/>
  <c r="D27" i="7"/>
  <c r="P27" i="7"/>
  <c r="T27" i="6"/>
  <c r="I27" i="6"/>
  <c r="N27" i="7"/>
  <c r="S27" i="6"/>
  <c r="H27" i="6"/>
  <c r="I27" i="7"/>
  <c r="AA27" i="7"/>
  <c r="F27" i="7"/>
  <c r="Q27" i="7"/>
  <c r="R27" i="7"/>
  <c r="Z27" i="6"/>
  <c r="M27" i="6"/>
  <c r="AA27" i="5"/>
  <c r="P27" i="5"/>
  <c r="E27" i="5"/>
  <c r="H27" i="7"/>
  <c r="Y27" i="6"/>
  <c r="L27" i="6"/>
  <c r="Z27" i="5"/>
  <c r="O27" i="5"/>
  <c r="D27" i="5"/>
  <c r="G27" i="7"/>
  <c r="X27" i="6"/>
  <c r="K27" i="6"/>
  <c r="E27" i="7"/>
  <c r="W27" i="6"/>
  <c r="J27" i="6"/>
  <c r="C27" i="7"/>
  <c r="Y27" i="7"/>
  <c r="S27" i="7"/>
  <c r="AA27" i="6"/>
  <c r="N27" i="6"/>
  <c r="R27" i="6"/>
  <c r="X27" i="5"/>
  <c r="K27" i="5"/>
  <c r="P27" i="6"/>
  <c r="V27" i="5"/>
  <c r="I27" i="5"/>
  <c r="O27" i="6"/>
  <c r="U27" i="5"/>
  <c r="H27" i="5"/>
  <c r="G27" i="6"/>
  <c r="T27" i="5"/>
  <c r="G27" i="5"/>
  <c r="V27" i="6"/>
  <c r="M27" i="5"/>
  <c r="C27" i="6"/>
  <c r="S27" i="5"/>
  <c r="S60" i="4"/>
  <c r="S61" i="4" s="1"/>
  <c r="S62" i="4" s="1"/>
  <c r="H60" i="4"/>
  <c r="H61" i="4" s="1"/>
  <c r="H62" i="4" s="1"/>
  <c r="T49" i="4"/>
  <c r="I49" i="4"/>
  <c r="T27" i="7"/>
  <c r="R27" i="5"/>
  <c r="Q27" i="5"/>
  <c r="Q60" i="4"/>
  <c r="Q61" i="4" s="1"/>
  <c r="Q62" i="4" s="1"/>
  <c r="F60" i="4"/>
  <c r="F61" i="4" s="1"/>
  <c r="F62" i="4" s="1"/>
  <c r="N27" i="5"/>
  <c r="D27" i="6"/>
  <c r="W27" i="5"/>
  <c r="R28" i="4"/>
  <c r="R29" i="4" s="1"/>
  <c r="N49" i="4"/>
  <c r="N50" i="4" s="1"/>
  <c r="N51" i="4" s="1"/>
  <c r="M4" i="4"/>
  <c r="M6" i="4" s="1"/>
  <c r="M7" i="4" s="1"/>
  <c r="X60" i="4"/>
  <c r="X61" i="4" s="1"/>
  <c r="X62" i="4" s="1"/>
  <c r="L71" i="4"/>
  <c r="K83" i="4"/>
  <c r="K84" i="4" s="1"/>
  <c r="Y82" i="4"/>
  <c r="Y18" i="8"/>
  <c r="Y19" i="8" s="1"/>
  <c r="E18" i="8"/>
  <c r="E19" i="8" s="1"/>
  <c r="AH7" i="8"/>
  <c r="AH8" i="8" s="1"/>
  <c r="Q7" i="8"/>
  <c r="Q8" i="8" s="1"/>
  <c r="X18" i="8"/>
  <c r="X19" i="8" s="1"/>
  <c r="D18" i="8"/>
  <c r="D19" i="8" s="1"/>
  <c r="AG7" i="8"/>
  <c r="AG8" i="8" s="1"/>
  <c r="M7" i="8"/>
  <c r="M8" i="8" s="1"/>
  <c r="T18" i="8"/>
  <c r="T19" i="8" s="1"/>
  <c r="C18" i="8"/>
  <c r="C19" i="8" s="1"/>
  <c r="AF7" i="8"/>
  <c r="AF8" i="8" s="1"/>
  <c r="L7" i="8"/>
  <c r="L8" i="8" s="1"/>
  <c r="S18" i="8"/>
  <c r="S19" i="8" s="1"/>
  <c r="AE7" i="8"/>
  <c r="AE8" i="8" s="1"/>
  <c r="K7" i="8"/>
  <c r="K8" i="8" s="1"/>
  <c r="Z18" i="8"/>
  <c r="Z19" i="8" s="1"/>
  <c r="F18" i="8"/>
  <c r="F19" i="8" s="1"/>
  <c r="R7" i="8"/>
  <c r="R8" i="8" s="1"/>
  <c r="R18" i="8"/>
  <c r="R19" i="8" s="1"/>
  <c r="F7" i="8"/>
  <c r="F8" i="8" s="1"/>
  <c r="Q18" i="8"/>
  <c r="Q19" i="8" s="1"/>
  <c r="E7" i="8"/>
  <c r="E8" i="8" s="1"/>
  <c r="M18" i="8"/>
  <c r="M19" i="8" s="1"/>
  <c r="D7" i="8"/>
  <c r="D8" i="8" s="1"/>
  <c r="L18" i="8"/>
  <c r="L19" i="8" s="1"/>
  <c r="C7" i="8"/>
  <c r="C8" i="8" s="1"/>
  <c r="C9" i="8" s="1"/>
  <c r="K18" i="8"/>
  <c r="K19" i="8" s="1"/>
  <c r="AA7" i="8"/>
  <c r="AA8" i="8" s="1"/>
  <c r="J18" i="8"/>
  <c r="J19" i="8" s="1"/>
  <c r="Z7" i="8"/>
  <c r="Z8" i="8" s="1"/>
  <c r="AE18" i="8"/>
  <c r="AE19" i="8" s="1"/>
  <c r="S7" i="8"/>
  <c r="S8" i="8" s="1"/>
  <c r="AA18" i="8"/>
  <c r="AA19" i="8" s="1"/>
  <c r="Y7" i="8"/>
  <c r="Y8" i="8" s="1"/>
  <c r="X7" i="8"/>
  <c r="X8" i="8" s="1"/>
  <c r="T7" i="8"/>
  <c r="T8" i="8" s="1"/>
  <c r="J7" i="8"/>
  <c r="J8" i="8" s="1"/>
  <c r="AF18" i="8"/>
  <c r="AF19" i="8" s="1"/>
  <c r="AH18" i="8"/>
  <c r="AH19" i="8" s="1"/>
  <c r="AG18" i="8"/>
  <c r="AG19" i="8" s="1"/>
  <c r="N4" i="4"/>
  <c r="N6" i="4" s="1"/>
  <c r="N7" i="4" s="1"/>
  <c r="V59" i="4"/>
  <c r="K59" i="4"/>
  <c r="K61" i="4" s="1"/>
  <c r="K62" i="4" s="1"/>
  <c r="W48" i="4"/>
  <c r="W50" i="4" s="1"/>
  <c r="W51" i="4" s="1"/>
  <c r="L48" i="4"/>
  <c r="L50" i="4" s="1"/>
  <c r="L51" i="4" s="1"/>
  <c r="T59" i="4"/>
  <c r="T61" i="4" s="1"/>
  <c r="T62" i="4" s="1"/>
  <c r="I59" i="4"/>
  <c r="I61" i="4" s="1"/>
  <c r="I62" i="4" s="1"/>
  <c r="D4" i="4"/>
  <c r="D6" i="4" s="1"/>
  <c r="D7" i="4" s="1"/>
  <c r="O4" i="4"/>
  <c r="O6" i="4" s="1"/>
  <c r="O7" i="4" s="1"/>
  <c r="Z4" i="4"/>
  <c r="Z6" i="4" s="1"/>
  <c r="Z7" i="4" s="1"/>
  <c r="C15" i="4"/>
  <c r="C17" i="4" s="1"/>
  <c r="C18" i="4" s="1"/>
  <c r="N15" i="4"/>
  <c r="N17" i="4" s="1"/>
  <c r="N18" i="4" s="1"/>
  <c r="Y15" i="4"/>
  <c r="Y17" i="4" s="1"/>
  <c r="Y18" i="4" s="1"/>
  <c r="B26" i="4"/>
  <c r="B28" i="4" s="1"/>
  <c r="B29" i="4" s="1"/>
  <c r="M26" i="4"/>
  <c r="M28" i="4" s="1"/>
  <c r="M29" i="4" s="1"/>
  <c r="X26" i="4"/>
  <c r="X28" i="4" s="1"/>
  <c r="X29" i="4" s="1"/>
  <c r="I37" i="4"/>
  <c r="I39" i="4" s="1"/>
  <c r="I40" i="4" s="1"/>
  <c r="U37" i="4"/>
  <c r="U39" i="4" s="1"/>
  <c r="U40" i="4" s="1"/>
  <c r="I48" i="4"/>
  <c r="U48" i="4"/>
  <c r="H49" i="4"/>
  <c r="U49" i="4"/>
  <c r="L59" i="4"/>
  <c r="L61" i="4" s="1"/>
  <c r="L62" i="4" s="1"/>
  <c r="Y59" i="4"/>
  <c r="Y61" i="4" s="1"/>
  <c r="Y62" i="4" s="1"/>
  <c r="M60" i="4"/>
  <c r="Z60" i="4"/>
  <c r="M70" i="4"/>
  <c r="Z70" i="4"/>
  <c r="Z72" i="4" s="1"/>
  <c r="Z73" i="4" s="1"/>
  <c r="N71" i="4"/>
  <c r="M81" i="4"/>
  <c r="M83" i="4" s="1"/>
  <c r="M84" i="4" s="1"/>
  <c r="Z81" i="4"/>
  <c r="N82" i="4"/>
  <c r="V93" i="4"/>
  <c r="T104" i="4"/>
  <c r="Y27" i="5"/>
  <c r="R9" i="8" l="1"/>
  <c r="AG20" i="8"/>
  <c r="J20" i="8"/>
  <c r="AG9" i="8"/>
  <c r="D37" i="5"/>
  <c r="D39" i="5" s="1"/>
  <c r="D40" i="5" s="1"/>
  <c r="N37" i="5"/>
  <c r="N39" i="5" s="1"/>
  <c r="N40" i="5" s="1"/>
  <c r="AA9" i="8"/>
  <c r="W37" i="5"/>
  <c r="W39" i="5" s="1"/>
  <c r="W40" i="5" s="1"/>
  <c r="U37" i="5"/>
  <c r="U39" i="5" s="1"/>
  <c r="U40" i="5" s="1"/>
  <c r="Z20" i="8"/>
  <c r="L9" i="8"/>
  <c r="F37" i="5"/>
  <c r="F39" i="5" s="1"/>
  <c r="F40" i="5" s="1"/>
  <c r="E9" i="8"/>
  <c r="Q37" i="5"/>
  <c r="Q39" i="5" s="1"/>
  <c r="Q40" i="5" s="1"/>
  <c r="X37" i="5"/>
  <c r="X39" i="5" s="1"/>
  <c r="X40" i="5" s="1"/>
  <c r="F20" i="8"/>
  <c r="X20" i="8"/>
  <c r="E37" i="5"/>
  <c r="E39" i="5" s="1"/>
  <c r="E40" i="5" s="1"/>
  <c r="M20" i="8"/>
  <c r="Y37" i="5"/>
  <c r="Y39" i="5" s="1"/>
  <c r="Y40" i="5" s="1"/>
  <c r="AF9" i="8"/>
  <c r="K37" i="5"/>
  <c r="K39" i="5" s="1"/>
  <c r="K40" i="5" s="1"/>
  <c r="H37" i="5"/>
  <c r="H39" i="5" s="1"/>
  <c r="H40" i="5" s="1"/>
  <c r="S9" i="8"/>
  <c r="C20" i="8"/>
  <c r="F9" i="8"/>
  <c r="D20" i="8"/>
  <c r="K20" i="8"/>
  <c r="Y9" i="8"/>
  <c r="Y20" i="8"/>
  <c r="O37" i="5"/>
  <c r="O39" i="5" s="1"/>
  <c r="O40" i="5" s="1"/>
  <c r="AA20" i="8"/>
  <c r="Q20" i="8"/>
  <c r="L37" i="5"/>
  <c r="L39" i="5" s="1"/>
  <c r="L40" i="5" s="1"/>
  <c r="G37" i="5"/>
  <c r="G39" i="5" s="1"/>
  <c r="G40" i="5" s="1"/>
  <c r="AE20" i="8"/>
  <c r="T20" i="8"/>
  <c r="C37" i="5"/>
  <c r="C39" i="5" s="1"/>
  <c r="C40" i="5" s="1"/>
  <c r="R37" i="5"/>
  <c r="R39" i="5" s="1"/>
  <c r="R40" i="5" s="1"/>
  <c r="Z9" i="8"/>
  <c r="R20" i="8"/>
  <c r="M9" i="8"/>
  <c r="M37" i="5"/>
  <c r="M39" i="5" s="1"/>
  <c r="M40" i="5" s="1"/>
  <c r="P37" i="5"/>
  <c r="P39" i="5" s="1"/>
  <c r="P40" i="5" s="1"/>
  <c r="AH20" i="8"/>
  <c r="S37" i="5"/>
  <c r="S39" i="5" s="1"/>
  <c r="S40" i="5" s="1"/>
  <c r="AF20" i="8"/>
  <c r="J37" i="5"/>
  <c r="J39" i="5" s="1"/>
  <c r="J40" i="5" s="1"/>
  <c r="J9" i="8"/>
  <c r="K9" i="8"/>
  <c r="Q9" i="8"/>
  <c r="T37" i="5"/>
  <c r="T39" i="5" s="1"/>
  <c r="T40" i="5" s="1"/>
  <c r="T9" i="8"/>
  <c r="L20" i="8"/>
  <c r="AE9" i="8"/>
  <c r="AH9" i="8"/>
  <c r="I37" i="5"/>
  <c r="I39" i="5" s="1"/>
  <c r="I40" i="5" s="1"/>
  <c r="X9" i="8"/>
  <c r="D9" i="8"/>
  <c r="S20" i="8"/>
  <c r="E20" i="8"/>
  <c r="AA37" i="5"/>
  <c r="AA39" i="5" s="1"/>
  <c r="AA40" i="5" s="1"/>
  <c r="Z37" i="5"/>
  <c r="Z39" i="5" s="1"/>
  <c r="Z40" i="5" s="1"/>
  <c r="G15" i="9"/>
  <c r="R15" i="9"/>
  <c r="C15" i="9"/>
  <c r="H15" i="9"/>
  <c r="S15" i="9"/>
  <c r="I15" i="9"/>
  <c r="T15" i="9"/>
  <c r="J15" i="9"/>
  <c r="U15" i="9"/>
  <c r="K15" i="9"/>
  <c r="V15" i="9"/>
  <c r="M15" i="9"/>
  <c r="N15" i="9"/>
  <c r="D15" i="9"/>
  <c r="E15" i="9"/>
  <c r="Q15" i="9"/>
  <c r="L15" i="9"/>
  <c r="W15" i="9"/>
  <c r="X15" i="9"/>
  <c r="Y15" i="9"/>
  <c r="O15" i="9"/>
  <c r="Z15" i="9"/>
  <c r="P15" i="9"/>
  <c r="AA15" i="9"/>
  <c r="F15" i="9"/>
  <c r="E3" i="9"/>
  <c r="P3" i="9"/>
  <c r="AA3" i="9"/>
  <c r="F3" i="9"/>
  <c r="Q3" i="9"/>
  <c r="C3" i="9"/>
  <c r="G3" i="9"/>
  <c r="R3" i="9"/>
  <c r="H3" i="9"/>
  <c r="S3" i="9"/>
  <c r="I3" i="9"/>
  <c r="T3" i="9"/>
  <c r="J3" i="9"/>
  <c r="U3" i="9"/>
  <c r="K3" i="9"/>
  <c r="V3" i="9"/>
  <c r="L3" i="9"/>
  <c r="W3" i="9"/>
  <c r="M3" i="9"/>
  <c r="X3" i="9"/>
  <c r="N3" i="9"/>
  <c r="Y3" i="9"/>
  <c r="D3" i="9"/>
  <c r="O3" i="9"/>
  <c r="Z3" i="9"/>
  <c r="Y4" i="5"/>
  <c r="Y6" i="5" s="1"/>
  <c r="Y7" i="5" s="1"/>
  <c r="G4" i="9"/>
  <c r="R4" i="9"/>
  <c r="H4" i="9"/>
  <c r="S4" i="9"/>
  <c r="I4" i="9"/>
  <c r="T4" i="9"/>
  <c r="J4" i="9"/>
  <c r="U4" i="9"/>
  <c r="K4" i="9"/>
  <c r="V4" i="9"/>
  <c r="L4" i="9"/>
  <c r="W4" i="9"/>
  <c r="M4" i="9"/>
  <c r="X4" i="9"/>
  <c r="C4" i="9"/>
  <c r="N4" i="9"/>
  <c r="Y4" i="9"/>
  <c r="D4" i="9"/>
  <c r="O4" i="9"/>
  <c r="Z4" i="9"/>
  <c r="E4" i="9"/>
  <c r="P4" i="9"/>
  <c r="AA4" i="9"/>
  <c r="F4" i="9"/>
  <c r="Q4" i="9"/>
  <c r="T15" i="6"/>
  <c r="T17" i="6" s="1"/>
  <c r="T18" i="6" s="1"/>
  <c r="V4" i="5"/>
  <c r="V6" i="5" s="1"/>
  <c r="V7" i="5" s="1"/>
  <c r="M4" i="5"/>
  <c r="M6" i="5" s="1"/>
  <c r="M7" i="5" s="1"/>
  <c r="E4" i="5"/>
  <c r="E6" i="5" s="1"/>
  <c r="E7" i="5" s="1"/>
  <c r="P4" i="5"/>
  <c r="P6" i="5" s="1"/>
  <c r="P7" i="5" s="1"/>
  <c r="U15" i="5"/>
  <c r="U17" i="5" s="1"/>
  <c r="U18" i="5" s="1"/>
  <c r="P15" i="5"/>
  <c r="P17" i="5" s="1"/>
  <c r="P18" i="5" s="1"/>
  <c r="G4" i="5"/>
  <c r="G6" i="5" s="1"/>
  <c r="G7" i="5" s="1"/>
  <c r="R15" i="5"/>
  <c r="R17" i="5" s="1"/>
  <c r="R18" i="5" s="1"/>
  <c r="H15" i="7"/>
  <c r="H17" i="7" s="1"/>
  <c r="H18" i="7" s="1"/>
  <c r="M15" i="5"/>
  <c r="M17" i="5" s="1"/>
  <c r="M18" i="5" s="1"/>
  <c r="V4" i="6"/>
  <c r="V6" i="6" s="1"/>
  <c r="V7" i="6" s="1"/>
  <c r="V15" i="5"/>
  <c r="V17" i="5" s="1"/>
  <c r="V18" i="5" s="1"/>
  <c r="X4" i="6"/>
  <c r="X6" i="6" s="1"/>
  <c r="X7" i="6" s="1"/>
  <c r="S4" i="5"/>
  <c r="S6" i="5" s="1"/>
  <c r="S7" i="5" s="1"/>
  <c r="Y15" i="5"/>
  <c r="Y17" i="5" s="1"/>
  <c r="Y18" i="5" s="1"/>
  <c r="O4" i="7"/>
  <c r="O6" i="7" s="1"/>
  <c r="O7" i="7" s="1"/>
  <c r="I15" i="5"/>
  <c r="I17" i="5" s="1"/>
  <c r="I18" i="5" s="1"/>
  <c r="K4" i="5"/>
  <c r="K6" i="5" s="1"/>
  <c r="K7" i="5" s="1"/>
  <c r="K15" i="5"/>
  <c r="K17" i="5" s="1"/>
  <c r="K18" i="5" s="1"/>
  <c r="X15" i="7"/>
  <c r="X17" i="7" s="1"/>
  <c r="X18" i="7" s="1"/>
  <c r="P15" i="6"/>
  <c r="P17" i="6" s="1"/>
  <c r="P18" i="6" s="1"/>
  <c r="V4" i="7"/>
  <c r="V6" i="7" s="1"/>
  <c r="V7" i="7" s="1"/>
  <c r="F15" i="7"/>
  <c r="F17" i="7" s="1"/>
  <c r="F18" i="7" s="1"/>
  <c r="F15" i="5"/>
  <c r="F17" i="5" s="1"/>
  <c r="F18" i="5" s="1"/>
  <c r="K15" i="6"/>
  <c r="K17" i="6" s="1"/>
  <c r="K18" i="6" s="1"/>
  <c r="P15" i="7"/>
  <c r="P17" i="7" s="1"/>
  <c r="P18" i="7" s="1"/>
  <c r="L15" i="7"/>
  <c r="L17" i="7" s="1"/>
  <c r="L18" i="7" s="1"/>
  <c r="C15" i="7"/>
  <c r="C17" i="7" s="1"/>
  <c r="C18" i="7" s="1"/>
  <c r="Z15" i="6"/>
  <c r="Z17" i="6" s="1"/>
  <c r="Z18" i="6" s="1"/>
  <c r="I15" i="7"/>
  <c r="I17" i="7" s="1"/>
  <c r="I18" i="7" s="1"/>
  <c r="T4" i="7"/>
  <c r="T6" i="7" s="1"/>
  <c r="T7" i="7" s="1"/>
  <c r="I15" i="6"/>
  <c r="I17" i="6" s="1"/>
  <c r="I18" i="6" s="1"/>
  <c r="O15" i="7"/>
  <c r="O17" i="7" s="1"/>
  <c r="O18" i="7" s="1"/>
  <c r="M15" i="7"/>
  <c r="M17" i="7" s="1"/>
  <c r="M18" i="7" s="1"/>
  <c r="J61" i="4"/>
  <c r="J62" i="4" s="1"/>
  <c r="T15" i="5"/>
  <c r="T17" i="5" s="1"/>
  <c r="T18" i="5" s="1"/>
  <c r="D15" i="5"/>
  <c r="D17" i="5" s="1"/>
  <c r="D18" i="5" s="1"/>
  <c r="N4" i="5"/>
  <c r="N6" i="5" s="1"/>
  <c r="N7" i="5" s="1"/>
  <c r="U28" i="4"/>
  <c r="U29" i="4" s="1"/>
  <c r="V72" i="4"/>
  <c r="V73" i="4" s="1"/>
  <c r="H15" i="6"/>
  <c r="H17" i="6" s="1"/>
  <c r="H18" i="6" s="1"/>
  <c r="Q15" i="6"/>
  <c r="Q17" i="6" s="1"/>
  <c r="Q18" i="6" s="1"/>
  <c r="AA15" i="6"/>
  <c r="AA17" i="6" s="1"/>
  <c r="AA18" i="6" s="1"/>
  <c r="T15" i="7"/>
  <c r="T17" i="7" s="1"/>
  <c r="T18" i="7" s="1"/>
  <c r="AA15" i="7"/>
  <c r="AA17" i="7" s="1"/>
  <c r="AA18" i="7" s="1"/>
  <c r="G83" i="4"/>
  <c r="G84" i="4" s="1"/>
  <c r="U4" i="6"/>
  <c r="U6" i="6" s="1"/>
  <c r="U7" i="6" s="1"/>
  <c r="L4" i="6"/>
  <c r="L6" i="6" s="1"/>
  <c r="L7" i="6" s="1"/>
  <c r="X4" i="7"/>
  <c r="X6" i="7" s="1"/>
  <c r="X7" i="7" s="1"/>
  <c r="D4" i="7"/>
  <c r="D6" i="7" s="1"/>
  <c r="D7" i="7" s="1"/>
  <c r="V50" i="5"/>
  <c r="V51" i="5" s="1"/>
  <c r="V94" i="4"/>
  <c r="V95" i="4" s="1"/>
  <c r="W105" i="4"/>
  <c r="W106" i="4" s="1"/>
  <c r="S105" i="4"/>
  <c r="S106" i="4" s="1"/>
  <c r="E105" i="4"/>
  <c r="E106" i="4" s="1"/>
  <c r="U50" i="5"/>
  <c r="U51" i="5" s="1"/>
  <c r="T105" i="4"/>
  <c r="T106" i="4" s="1"/>
  <c r="F15" i="6"/>
  <c r="F17" i="6" s="1"/>
  <c r="F18" i="6" s="1"/>
  <c r="J4" i="5"/>
  <c r="J6" i="5" s="1"/>
  <c r="J7" i="5" s="1"/>
  <c r="I4" i="5"/>
  <c r="I6" i="5" s="1"/>
  <c r="I7" i="5" s="1"/>
  <c r="J15" i="6"/>
  <c r="J17" i="6" s="1"/>
  <c r="J18" i="6" s="1"/>
  <c r="W15" i="7"/>
  <c r="W17" i="7" s="1"/>
  <c r="W18" i="7" s="1"/>
  <c r="D15" i="6"/>
  <c r="D17" i="6" s="1"/>
  <c r="D18" i="6" s="1"/>
  <c r="S15" i="7"/>
  <c r="S17" i="7" s="1"/>
  <c r="S18" i="7" s="1"/>
  <c r="Q15" i="7"/>
  <c r="Q17" i="7" s="1"/>
  <c r="Q18" i="7" s="1"/>
  <c r="T4" i="6"/>
  <c r="T6" i="6" s="1"/>
  <c r="T7" i="6" s="1"/>
  <c r="N72" i="4"/>
  <c r="N73" i="4" s="1"/>
  <c r="F4" i="6"/>
  <c r="F6" i="6" s="1"/>
  <c r="F7" i="6" s="1"/>
  <c r="L4" i="7"/>
  <c r="L6" i="7" s="1"/>
  <c r="L7" i="7" s="1"/>
  <c r="K4" i="7"/>
  <c r="K6" i="7" s="1"/>
  <c r="K7" i="7" s="1"/>
  <c r="Z4" i="7"/>
  <c r="Z6" i="7" s="1"/>
  <c r="Z7" i="7" s="1"/>
  <c r="K50" i="5"/>
  <c r="K51" i="5" s="1"/>
  <c r="E94" i="4"/>
  <c r="E95" i="4" s="1"/>
  <c r="AA105" i="4"/>
  <c r="AA106" i="4" s="1"/>
  <c r="G50" i="5"/>
  <c r="G51" i="5" s="1"/>
  <c r="J15" i="5"/>
  <c r="J17" i="5" s="1"/>
  <c r="J18" i="5" s="1"/>
  <c r="G15" i="5"/>
  <c r="G17" i="5" s="1"/>
  <c r="G18" i="5" s="1"/>
  <c r="B60" i="7"/>
  <c r="B62" i="7" s="1"/>
  <c r="B63" i="7" s="1"/>
  <c r="B60" i="6"/>
  <c r="B62" i="6" s="1"/>
  <c r="B63" i="6" s="1"/>
  <c r="W4" i="6"/>
  <c r="W6" i="6" s="1"/>
  <c r="W7" i="6" s="1"/>
  <c r="M4" i="6"/>
  <c r="M6" i="6" s="1"/>
  <c r="M7" i="6" s="1"/>
  <c r="N4" i="7"/>
  <c r="N6" i="7" s="1"/>
  <c r="N7" i="7" s="1"/>
  <c r="E4" i="7"/>
  <c r="E6" i="7" s="1"/>
  <c r="E7" i="7" s="1"/>
  <c r="J50" i="5"/>
  <c r="J51" i="5" s="1"/>
  <c r="B33" i="4"/>
  <c r="B34" i="4" s="1"/>
  <c r="J3" i="8" s="1"/>
  <c r="J4" i="8" s="1"/>
  <c r="U4" i="5"/>
  <c r="U6" i="5" s="1"/>
  <c r="U7" i="5" s="1"/>
  <c r="C15" i="5"/>
  <c r="C17" i="5" s="1"/>
  <c r="C18" i="5" s="1"/>
  <c r="H15" i="5"/>
  <c r="H17" i="5" s="1"/>
  <c r="H18" i="5" s="1"/>
  <c r="O4" i="5"/>
  <c r="O6" i="5" s="1"/>
  <c r="O7" i="5" s="1"/>
  <c r="AA4" i="5"/>
  <c r="AA6" i="5" s="1"/>
  <c r="AA7" i="5" s="1"/>
  <c r="U61" i="4"/>
  <c r="U62" i="4" s="1"/>
  <c r="W6" i="4"/>
  <c r="W7" i="4" s="1"/>
  <c r="G15" i="6"/>
  <c r="G17" i="6" s="1"/>
  <c r="G18" i="6" s="1"/>
  <c r="L15" i="6"/>
  <c r="L17" i="6" s="1"/>
  <c r="L18" i="6" s="1"/>
  <c r="K15" i="7"/>
  <c r="K17" i="7" s="1"/>
  <c r="K18" i="7" s="1"/>
  <c r="N15" i="7"/>
  <c r="N17" i="7" s="1"/>
  <c r="N18" i="7" s="1"/>
  <c r="S4" i="6"/>
  <c r="S6" i="6" s="1"/>
  <c r="S7" i="6" s="1"/>
  <c r="Z4" i="5"/>
  <c r="Z6" i="5" s="1"/>
  <c r="Z7" i="5" s="1"/>
  <c r="X4" i="5"/>
  <c r="X6" i="5" s="1"/>
  <c r="X7" i="5" s="1"/>
  <c r="J72" i="4"/>
  <c r="J73" i="4" s="1"/>
  <c r="H4" i="6"/>
  <c r="H6" i="6" s="1"/>
  <c r="H7" i="6" s="1"/>
  <c r="Z4" i="6"/>
  <c r="Z6" i="6" s="1"/>
  <c r="Z7" i="6" s="1"/>
  <c r="S4" i="7"/>
  <c r="S6" i="7" s="1"/>
  <c r="S7" i="7" s="1"/>
  <c r="P4" i="7"/>
  <c r="P6" i="7" s="1"/>
  <c r="P7" i="7" s="1"/>
  <c r="K105" i="4"/>
  <c r="K106" i="4" s="1"/>
  <c r="U105" i="4"/>
  <c r="U106" i="4" s="1"/>
  <c r="Z94" i="4"/>
  <c r="Z95" i="4" s="1"/>
  <c r="AA94" i="4"/>
  <c r="AA95" i="4" s="1"/>
  <c r="G94" i="4"/>
  <c r="G95" i="4" s="1"/>
  <c r="W50" i="5"/>
  <c r="W51" i="5" s="1"/>
  <c r="F50" i="5"/>
  <c r="F51" i="5" s="1"/>
  <c r="W15" i="5"/>
  <c r="W17" i="5" s="1"/>
  <c r="W18" i="5" s="1"/>
  <c r="S15" i="5"/>
  <c r="S17" i="5" s="1"/>
  <c r="S18" i="5" s="1"/>
  <c r="Q4" i="5"/>
  <c r="Q6" i="5" s="1"/>
  <c r="Q7" i="5" s="1"/>
  <c r="G61" i="4"/>
  <c r="G62" i="4" s="1"/>
  <c r="B66" i="4" s="1"/>
  <c r="B67" i="4" s="1"/>
  <c r="R15" i="6"/>
  <c r="R17" i="6" s="1"/>
  <c r="R18" i="6" s="1"/>
  <c r="Y15" i="6"/>
  <c r="Y17" i="6" s="1"/>
  <c r="Y18" i="6" s="1"/>
  <c r="U15" i="7"/>
  <c r="U17" i="7" s="1"/>
  <c r="U18" i="7" s="1"/>
  <c r="Y15" i="7"/>
  <c r="Y17" i="7" s="1"/>
  <c r="Y18" i="7" s="1"/>
  <c r="Z61" i="4"/>
  <c r="Z62" i="4" s="1"/>
  <c r="E6" i="4"/>
  <c r="E7" i="4" s="1"/>
  <c r="B12" i="4" s="1"/>
  <c r="U72" i="4"/>
  <c r="U73" i="4" s="1"/>
  <c r="L17" i="4"/>
  <c r="L18" i="4" s="1"/>
  <c r="B22" i="4" s="1"/>
  <c r="B23" i="4" s="1"/>
  <c r="E4" i="6"/>
  <c r="E6" i="6" s="1"/>
  <c r="E7" i="6" s="1"/>
  <c r="M4" i="7"/>
  <c r="M6" i="7" s="1"/>
  <c r="M7" i="7" s="1"/>
  <c r="C4" i="6"/>
  <c r="C6" i="6" s="1"/>
  <c r="C7" i="6" s="1"/>
  <c r="AA4" i="7"/>
  <c r="AA6" i="7" s="1"/>
  <c r="AA7" i="7" s="1"/>
  <c r="N94" i="4"/>
  <c r="N95" i="4" s="1"/>
  <c r="L50" i="5"/>
  <c r="L51" i="5" s="1"/>
  <c r="C105" i="4"/>
  <c r="C106" i="4" s="1"/>
  <c r="B110" i="4" s="1"/>
  <c r="B111" i="4" s="1"/>
  <c r="D105" i="4"/>
  <c r="D106" i="4" s="1"/>
  <c r="O50" i="5"/>
  <c r="O51" i="5" s="1"/>
  <c r="L72" i="4"/>
  <c r="L73" i="4" s="1"/>
  <c r="Z37" i="7"/>
  <c r="Z39" i="7" s="1"/>
  <c r="Z40" i="7" s="1"/>
  <c r="O37" i="7"/>
  <c r="O39" i="7" s="1"/>
  <c r="O40" i="7" s="1"/>
  <c r="D37" i="7"/>
  <c r="D39" i="7" s="1"/>
  <c r="D40" i="7" s="1"/>
  <c r="Y37" i="7"/>
  <c r="Y39" i="7" s="1"/>
  <c r="Y40" i="7" s="1"/>
  <c r="N37" i="7"/>
  <c r="N39" i="7" s="1"/>
  <c r="N40" i="7" s="1"/>
  <c r="C37" i="7"/>
  <c r="C39" i="7" s="1"/>
  <c r="C40" i="7" s="1"/>
  <c r="X37" i="7"/>
  <c r="X39" i="7" s="1"/>
  <c r="X40" i="7" s="1"/>
  <c r="M37" i="7"/>
  <c r="M39" i="7" s="1"/>
  <c r="M40" i="7" s="1"/>
  <c r="W37" i="7"/>
  <c r="W39" i="7" s="1"/>
  <c r="W40" i="7" s="1"/>
  <c r="L37" i="7"/>
  <c r="L39" i="7" s="1"/>
  <c r="L40" i="7" s="1"/>
  <c r="Q37" i="7"/>
  <c r="Q39" i="7" s="1"/>
  <c r="Q40" i="7" s="1"/>
  <c r="F37" i="7"/>
  <c r="F39" i="7" s="1"/>
  <c r="F40" i="7" s="1"/>
  <c r="U37" i="7"/>
  <c r="U39" i="7" s="1"/>
  <c r="U40" i="7" s="1"/>
  <c r="V37" i="6"/>
  <c r="V39" i="6" s="1"/>
  <c r="V40" i="6" s="1"/>
  <c r="K37" i="6"/>
  <c r="K39" i="6" s="1"/>
  <c r="K40" i="6" s="1"/>
  <c r="T37" i="7"/>
  <c r="T39" i="7" s="1"/>
  <c r="T40" i="7" s="1"/>
  <c r="U37" i="6"/>
  <c r="U39" i="6" s="1"/>
  <c r="U40" i="6" s="1"/>
  <c r="J37" i="6"/>
  <c r="J39" i="6" s="1"/>
  <c r="J40" i="6" s="1"/>
  <c r="S37" i="7"/>
  <c r="S39" i="7" s="1"/>
  <c r="S40" i="7" s="1"/>
  <c r="T37" i="6"/>
  <c r="T39" i="6" s="1"/>
  <c r="T40" i="6" s="1"/>
  <c r="I37" i="6"/>
  <c r="I39" i="6" s="1"/>
  <c r="I40" i="6" s="1"/>
  <c r="P37" i="7"/>
  <c r="P39" i="7" s="1"/>
  <c r="P40" i="7" s="1"/>
  <c r="K37" i="7"/>
  <c r="K39" i="7" s="1"/>
  <c r="K40" i="7" s="1"/>
  <c r="V37" i="7"/>
  <c r="V39" i="7" s="1"/>
  <c r="V40" i="7" s="1"/>
  <c r="E37" i="7"/>
  <c r="E39" i="7" s="1"/>
  <c r="E40" i="7" s="1"/>
  <c r="W37" i="6"/>
  <c r="W39" i="6" s="1"/>
  <c r="W40" i="6" s="1"/>
  <c r="L37" i="6"/>
  <c r="L39" i="6" s="1"/>
  <c r="L40" i="6" s="1"/>
  <c r="AA37" i="6"/>
  <c r="AA39" i="6" s="1"/>
  <c r="AA40" i="6" s="1"/>
  <c r="H37" i="6"/>
  <c r="H39" i="6" s="1"/>
  <c r="H40" i="6" s="1"/>
  <c r="Z37" i="6"/>
  <c r="Z39" i="6" s="1"/>
  <c r="Z40" i="6" s="1"/>
  <c r="G37" i="6"/>
  <c r="G39" i="6" s="1"/>
  <c r="G40" i="6" s="1"/>
  <c r="Y37" i="6"/>
  <c r="Y39" i="6" s="1"/>
  <c r="Y40" i="6" s="1"/>
  <c r="F37" i="6"/>
  <c r="F39" i="6" s="1"/>
  <c r="F40" i="6" s="1"/>
  <c r="X37" i="6"/>
  <c r="X39" i="6" s="1"/>
  <c r="X40" i="6" s="1"/>
  <c r="E37" i="6"/>
  <c r="E39" i="6" s="1"/>
  <c r="E40" i="6" s="1"/>
  <c r="AA37" i="7"/>
  <c r="AA39" i="7" s="1"/>
  <c r="AA40" i="7" s="1"/>
  <c r="R37" i="7"/>
  <c r="R39" i="7" s="1"/>
  <c r="R40" i="7" s="1"/>
  <c r="J37" i="7"/>
  <c r="J39" i="7" s="1"/>
  <c r="J40" i="7" s="1"/>
  <c r="I37" i="7"/>
  <c r="I39" i="7" s="1"/>
  <c r="I40" i="7" s="1"/>
  <c r="G37" i="7"/>
  <c r="G39" i="7" s="1"/>
  <c r="G40" i="7" s="1"/>
  <c r="M37" i="6"/>
  <c r="M39" i="6" s="1"/>
  <c r="M40" i="6" s="1"/>
  <c r="C37" i="6"/>
  <c r="C39" i="6" s="1"/>
  <c r="C40" i="6" s="1"/>
  <c r="S37" i="6"/>
  <c r="S39" i="6" s="1"/>
  <c r="S40" i="6" s="1"/>
  <c r="N37" i="6"/>
  <c r="N39" i="6" s="1"/>
  <c r="N40" i="6" s="1"/>
  <c r="O37" i="6"/>
  <c r="O39" i="6" s="1"/>
  <c r="O40" i="6" s="1"/>
  <c r="D37" i="6"/>
  <c r="D39" i="6" s="1"/>
  <c r="D40" i="6" s="1"/>
  <c r="H37" i="7"/>
  <c r="H39" i="7" s="1"/>
  <c r="H40" i="7" s="1"/>
  <c r="P37" i="6"/>
  <c r="P39" i="6" s="1"/>
  <c r="P40" i="6" s="1"/>
  <c r="R37" i="6"/>
  <c r="R39" i="6" s="1"/>
  <c r="R40" i="6" s="1"/>
  <c r="Q37" i="6"/>
  <c r="Q39" i="6" s="1"/>
  <c r="Q40" i="6" s="1"/>
  <c r="S15" i="6"/>
  <c r="S17" i="6" s="1"/>
  <c r="S18" i="6" s="1"/>
  <c r="N15" i="6"/>
  <c r="N17" i="6" s="1"/>
  <c r="N18" i="6" s="1"/>
  <c r="J15" i="7"/>
  <c r="J17" i="7" s="1"/>
  <c r="J18" i="7" s="1"/>
  <c r="D15" i="7"/>
  <c r="D17" i="7" s="1"/>
  <c r="D18" i="7" s="1"/>
  <c r="M61" i="4"/>
  <c r="M62" i="4" s="1"/>
  <c r="I83" i="4"/>
  <c r="I84" i="4" s="1"/>
  <c r="B88" i="4" s="1"/>
  <c r="B89" i="4" s="1"/>
  <c r="Q4" i="6"/>
  <c r="Q6" i="6" s="1"/>
  <c r="Q7" i="6" s="1"/>
  <c r="O4" i="6"/>
  <c r="O6" i="6" s="1"/>
  <c r="O7" i="6" s="1"/>
  <c r="N4" i="6"/>
  <c r="N6" i="6" s="1"/>
  <c r="N7" i="6" s="1"/>
  <c r="F4" i="7"/>
  <c r="F6" i="7" s="1"/>
  <c r="F7" i="7" s="1"/>
  <c r="B26" i="7"/>
  <c r="B28" i="7" s="1"/>
  <c r="B29" i="7" s="1"/>
  <c r="B26" i="6"/>
  <c r="B28" i="6" s="1"/>
  <c r="B29" i="6" s="1"/>
  <c r="L105" i="4"/>
  <c r="L106" i="4" s="1"/>
  <c r="M50" i="5"/>
  <c r="M51" i="5" s="1"/>
  <c r="X105" i="4"/>
  <c r="X106" i="4" s="1"/>
  <c r="O105" i="4"/>
  <c r="O106" i="4" s="1"/>
  <c r="C50" i="5"/>
  <c r="C51" i="5" s="1"/>
  <c r="T4" i="5"/>
  <c r="T6" i="5" s="1"/>
  <c r="T7" i="5" s="1"/>
  <c r="V39" i="5"/>
  <c r="V40" i="5" s="1"/>
  <c r="AA4" i="6"/>
  <c r="AA6" i="6" s="1"/>
  <c r="AA7" i="6" s="1"/>
  <c r="Q4" i="7"/>
  <c r="Q6" i="7" s="1"/>
  <c r="Q7" i="7" s="1"/>
  <c r="M72" i="4"/>
  <c r="M73" i="4" s="1"/>
  <c r="Y4" i="7"/>
  <c r="Y6" i="7" s="1"/>
  <c r="Y7" i="7" s="1"/>
  <c r="E15" i="5"/>
  <c r="E17" i="5" s="1"/>
  <c r="E18" i="5" s="1"/>
  <c r="C4" i="7"/>
  <c r="C6" i="7" s="1"/>
  <c r="C7" i="7" s="1"/>
  <c r="W4" i="7"/>
  <c r="W6" i="7" s="1"/>
  <c r="W7" i="7" s="1"/>
  <c r="U4" i="7"/>
  <c r="U6" i="7" s="1"/>
  <c r="U7" i="7" s="1"/>
  <c r="G4" i="7"/>
  <c r="G6" i="7" s="1"/>
  <c r="G7" i="7" s="1"/>
  <c r="M105" i="4"/>
  <c r="M106" i="4" s="1"/>
  <c r="X50" i="5"/>
  <c r="X51" i="5" s="1"/>
  <c r="Z50" i="5"/>
  <c r="Z51" i="5" s="1"/>
  <c r="D50" i="5"/>
  <c r="D51" i="5" s="1"/>
  <c r="D40" i="3"/>
  <c r="R4" i="5"/>
  <c r="R6" i="5" s="1"/>
  <c r="R7" i="5" s="1"/>
  <c r="R4" i="6"/>
  <c r="R6" i="6" s="1"/>
  <c r="R7" i="6" s="1"/>
  <c r="Y4" i="6"/>
  <c r="Y6" i="6" s="1"/>
  <c r="Y7" i="6" s="1"/>
  <c r="X48" i="7"/>
  <c r="X50" i="7" s="1"/>
  <c r="X51" i="7" s="1"/>
  <c r="M48" i="7"/>
  <c r="M50" i="7" s="1"/>
  <c r="M51" i="7" s="1"/>
  <c r="W48" i="7"/>
  <c r="W50" i="7" s="1"/>
  <c r="W51" i="7" s="1"/>
  <c r="V48" i="7"/>
  <c r="V50" i="7" s="1"/>
  <c r="V51" i="7" s="1"/>
  <c r="K48" i="7"/>
  <c r="K50" i="7" s="1"/>
  <c r="K51" i="7" s="1"/>
  <c r="U48" i="7"/>
  <c r="U50" i="7" s="1"/>
  <c r="U51" i="7" s="1"/>
  <c r="J48" i="7"/>
  <c r="J50" i="7" s="1"/>
  <c r="J51" i="7" s="1"/>
  <c r="Y48" i="7"/>
  <c r="Y50" i="7" s="1"/>
  <c r="Y51" i="7" s="1"/>
  <c r="N48" i="7"/>
  <c r="N50" i="7" s="1"/>
  <c r="N51" i="7" s="1"/>
  <c r="C48" i="7"/>
  <c r="C50" i="7" s="1"/>
  <c r="C51" i="7" s="1"/>
  <c r="T48" i="7"/>
  <c r="T50" i="7" s="1"/>
  <c r="T51" i="7" s="1"/>
  <c r="E48" i="7"/>
  <c r="E50" i="7" s="1"/>
  <c r="E51" i="7" s="1"/>
  <c r="S48" i="7"/>
  <c r="S50" i="7" s="1"/>
  <c r="S51" i="7" s="1"/>
  <c r="D48" i="7"/>
  <c r="D50" i="7" s="1"/>
  <c r="D51" i="7" s="1"/>
  <c r="R48" i="7"/>
  <c r="R50" i="7" s="1"/>
  <c r="R51" i="7" s="1"/>
  <c r="Q48" i="7"/>
  <c r="Q50" i="7" s="1"/>
  <c r="Q51" i="7" s="1"/>
  <c r="AA48" i="7"/>
  <c r="AA50" i="7" s="1"/>
  <c r="AA51" i="7" s="1"/>
  <c r="G48" i="7"/>
  <c r="G50" i="7" s="1"/>
  <c r="G51" i="7" s="1"/>
  <c r="H48" i="7"/>
  <c r="H50" i="7" s="1"/>
  <c r="H51" i="7" s="1"/>
  <c r="U48" i="6"/>
  <c r="U50" i="6" s="1"/>
  <c r="U51" i="6" s="1"/>
  <c r="J48" i="6"/>
  <c r="J50" i="6" s="1"/>
  <c r="J51" i="6" s="1"/>
  <c r="F48" i="7"/>
  <c r="F50" i="7" s="1"/>
  <c r="F51" i="7" s="1"/>
  <c r="T48" i="6"/>
  <c r="T50" i="6" s="1"/>
  <c r="T51" i="6" s="1"/>
  <c r="I48" i="6"/>
  <c r="I50" i="6" s="1"/>
  <c r="I51" i="6" s="1"/>
  <c r="S48" i="6"/>
  <c r="S50" i="6" s="1"/>
  <c r="S51" i="6" s="1"/>
  <c r="H48" i="6"/>
  <c r="H50" i="6" s="1"/>
  <c r="H51" i="6" s="1"/>
  <c r="AA48" i="6"/>
  <c r="AA50" i="6" s="1"/>
  <c r="AA51" i="6" s="1"/>
  <c r="P48" i="6"/>
  <c r="P50" i="6" s="1"/>
  <c r="P51" i="6" s="1"/>
  <c r="E48" i="6"/>
  <c r="E50" i="6" s="1"/>
  <c r="E51" i="6" s="1"/>
  <c r="I48" i="7"/>
  <c r="I50" i="7" s="1"/>
  <c r="I51" i="7" s="1"/>
  <c r="V48" i="6"/>
  <c r="V50" i="6" s="1"/>
  <c r="V51" i="6" s="1"/>
  <c r="K48" i="6"/>
  <c r="K50" i="6" s="1"/>
  <c r="K51" i="6" s="1"/>
  <c r="O48" i="7"/>
  <c r="O50" i="7" s="1"/>
  <c r="O51" i="7" s="1"/>
  <c r="L48" i="6"/>
  <c r="L50" i="6" s="1"/>
  <c r="L51" i="6" s="1"/>
  <c r="L48" i="7"/>
  <c r="L50" i="7" s="1"/>
  <c r="L51" i="7" s="1"/>
  <c r="G48" i="6"/>
  <c r="G50" i="6" s="1"/>
  <c r="G51" i="6" s="1"/>
  <c r="Z48" i="6"/>
  <c r="Z50" i="6" s="1"/>
  <c r="Z51" i="6" s="1"/>
  <c r="F48" i="6"/>
  <c r="F50" i="6" s="1"/>
  <c r="F51" i="6" s="1"/>
  <c r="Y48" i="6"/>
  <c r="Y50" i="6" s="1"/>
  <c r="Y51" i="6" s="1"/>
  <c r="D48" i="6"/>
  <c r="D50" i="6" s="1"/>
  <c r="D51" i="6" s="1"/>
  <c r="P48" i="7"/>
  <c r="P50" i="7" s="1"/>
  <c r="P51" i="7" s="1"/>
  <c r="M48" i="6"/>
  <c r="M50" i="6" s="1"/>
  <c r="M51" i="6" s="1"/>
  <c r="W48" i="6"/>
  <c r="W50" i="6" s="1"/>
  <c r="W51" i="6" s="1"/>
  <c r="Q48" i="6"/>
  <c r="Q50" i="6" s="1"/>
  <c r="Q51" i="6" s="1"/>
  <c r="O48" i="6"/>
  <c r="O50" i="6" s="1"/>
  <c r="O51" i="6" s="1"/>
  <c r="N48" i="6"/>
  <c r="N50" i="6" s="1"/>
  <c r="N51" i="6" s="1"/>
  <c r="Z48" i="7"/>
  <c r="Z50" i="7" s="1"/>
  <c r="Z51" i="7" s="1"/>
  <c r="R48" i="6"/>
  <c r="R50" i="6" s="1"/>
  <c r="R51" i="6" s="1"/>
  <c r="C48" i="6"/>
  <c r="C50" i="6" s="1"/>
  <c r="C51" i="6" s="1"/>
  <c r="X48" i="6"/>
  <c r="X50" i="6" s="1"/>
  <c r="X51" i="6" s="1"/>
  <c r="Q105" i="4"/>
  <c r="Q106" i="4" s="1"/>
  <c r="N15" i="5"/>
  <c r="N17" i="5" s="1"/>
  <c r="N18" i="5" s="1"/>
  <c r="L4" i="5"/>
  <c r="L6" i="5" s="1"/>
  <c r="L7" i="5" s="1"/>
  <c r="R50" i="4"/>
  <c r="R51" i="4" s="1"/>
  <c r="W15" i="6"/>
  <c r="W17" i="6" s="1"/>
  <c r="W18" i="6" s="1"/>
  <c r="V15" i="7"/>
  <c r="V17" i="7" s="1"/>
  <c r="V18" i="7" s="1"/>
  <c r="G15" i="7"/>
  <c r="G17" i="7" s="1"/>
  <c r="G18" i="7" s="1"/>
  <c r="R15" i="7"/>
  <c r="R17" i="7" s="1"/>
  <c r="R18" i="7" s="1"/>
  <c r="Z15" i="7"/>
  <c r="Z17" i="7" s="1"/>
  <c r="Z18" i="7" s="1"/>
  <c r="H4" i="5"/>
  <c r="H6" i="5" s="1"/>
  <c r="H7" i="5" s="1"/>
  <c r="F4" i="5"/>
  <c r="F6" i="5" s="1"/>
  <c r="F7" i="5" s="1"/>
  <c r="Z83" i="4"/>
  <c r="Z84" i="4" s="1"/>
  <c r="U50" i="4"/>
  <c r="U51" i="4" s="1"/>
  <c r="V61" i="4"/>
  <c r="V62" i="4" s="1"/>
  <c r="Y83" i="4"/>
  <c r="Y84" i="4" s="1"/>
  <c r="T50" i="4"/>
  <c r="T51" i="4" s="1"/>
  <c r="X15" i="5"/>
  <c r="X17" i="5" s="1"/>
  <c r="X18" i="5" s="1"/>
  <c r="Z15" i="5"/>
  <c r="Z17" i="5" s="1"/>
  <c r="Z18" i="5" s="1"/>
  <c r="W4" i="5"/>
  <c r="W6" i="5" s="1"/>
  <c r="W7" i="5" s="1"/>
  <c r="V15" i="6"/>
  <c r="V17" i="6" s="1"/>
  <c r="V18" i="6" s="1"/>
  <c r="C15" i="6"/>
  <c r="C17" i="6" s="1"/>
  <c r="C18" i="6" s="1"/>
  <c r="M15" i="6"/>
  <c r="M17" i="6" s="1"/>
  <c r="M18" i="6" s="1"/>
  <c r="E15" i="7"/>
  <c r="E17" i="7" s="1"/>
  <c r="E18" i="7" s="1"/>
  <c r="L15" i="5"/>
  <c r="L17" i="5" s="1"/>
  <c r="L18" i="5" s="1"/>
  <c r="AA83" i="4"/>
  <c r="AA84" i="4" s="1"/>
  <c r="H72" i="4"/>
  <c r="H73" i="4" s="1"/>
  <c r="B77" i="4" s="1"/>
  <c r="B78" i="4" s="1"/>
  <c r="X3" i="8" s="1"/>
  <c r="X4" i="8" s="1"/>
  <c r="G4" i="6"/>
  <c r="G6" i="6" s="1"/>
  <c r="G7" i="6" s="1"/>
  <c r="H4" i="7"/>
  <c r="H6" i="7" s="1"/>
  <c r="H7" i="7" s="1"/>
  <c r="D4" i="6"/>
  <c r="D6" i="6" s="1"/>
  <c r="D7" i="6" s="1"/>
  <c r="I4" i="7"/>
  <c r="I6" i="7" s="1"/>
  <c r="I7" i="7" s="1"/>
  <c r="R4" i="7"/>
  <c r="R6" i="7" s="1"/>
  <c r="R7" i="7" s="1"/>
  <c r="N105" i="4"/>
  <c r="N106" i="4" s="1"/>
  <c r="D94" i="4"/>
  <c r="D95" i="4" s="1"/>
  <c r="B99" i="4" s="1"/>
  <c r="B100" i="4" s="1"/>
  <c r="AE3" i="8" s="1"/>
  <c r="AE4" i="8" s="1"/>
  <c r="F94" i="4"/>
  <c r="F95" i="4" s="1"/>
  <c r="S50" i="5"/>
  <c r="S51" i="5" s="1"/>
  <c r="I50" i="4"/>
  <c r="I51" i="4" s="1"/>
  <c r="B55" i="4" s="1"/>
  <c r="B56" i="4" s="1"/>
  <c r="Q3" i="8" s="1"/>
  <c r="Q4" i="8" s="1"/>
  <c r="L83" i="4"/>
  <c r="L84" i="4" s="1"/>
  <c r="Q15" i="5"/>
  <c r="Q17" i="5" s="1"/>
  <c r="Q18" i="5" s="1"/>
  <c r="AA15" i="5"/>
  <c r="AA17" i="5" s="1"/>
  <c r="AA18" i="5" s="1"/>
  <c r="C4" i="5"/>
  <c r="C6" i="5" s="1"/>
  <c r="C7" i="5" s="1"/>
  <c r="F39" i="4"/>
  <c r="F40" i="4" s="1"/>
  <c r="B44" i="4" s="1"/>
  <c r="B45" i="4" s="1"/>
  <c r="U15" i="6"/>
  <c r="U17" i="6" s="1"/>
  <c r="U18" i="6" s="1"/>
  <c r="E15" i="6"/>
  <c r="E17" i="6" s="1"/>
  <c r="E18" i="6" s="1"/>
  <c r="O15" i="6"/>
  <c r="O17" i="6" s="1"/>
  <c r="O18" i="6" s="1"/>
  <c r="X15" i="6"/>
  <c r="X17" i="6" s="1"/>
  <c r="X18" i="6" s="1"/>
  <c r="D4" i="5"/>
  <c r="D6" i="5" s="1"/>
  <c r="D7" i="5" s="1"/>
  <c r="K4" i="6"/>
  <c r="K6" i="6" s="1"/>
  <c r="K7" i="6" s="1"/>
  <c r="I4" i="6"/>
  <c r="I6" i="6" s="1"/>
  <c r="I7" i="6" s="1"/>
  <c r="N83" i="4"/>
  <c r="N84" i="4" s="1"/>
  <c r="J4" i="6"/>
  <c r="J6" i="6" s="1"/>
  <c r="J7" i="6" s="1"/>
  <c r="J4" i="7"/>
  <c r="J6" i="7" s="1"/>
  <c r="J7" i="7" s="1"/>
  <c r="P4" i="6"/>
  <c r="P6" i="6" s="1"/>
  <c r="P7" i="6" s="1"/>
  <c r="B37" i="7"/>
  <c r="B39" i="7" s="1"/>
  <c r="B40" i="7" s="1"/>
  <c r="B37" i="6"/>
  <c r="B39" i="6" s="1"/>
  <c r="B40" i="6" s="1"/>
  <c r="U94" i="4"/>
  <c r="U95" i="4" s="1"/>
  <c r="Y94" i="4"/>
  <c r="Y95" i="4" s="1"/>
  <c r="H50" i="5"/>
  <c r="H51" i="5" s="1"/>
  <c r="B48" i="7"/>
  <c r="B50" i="7" s="1"/>
  <c r="B51" i="7" s="1"/>
  <c r="B48" i="6"/>
  <c r="B50" i="6" s="1"/>
  <c r="B51" i="6" s="1"/>
  <c r="C3" i="8" l="1"/>
  <c r="C4" i="8" s="1"/>
  <c r="C10" i="8" s="1"/>
  <c r="AE10" i="8"/>
  <c r="Q10" i="8"/>
  <c r="X10" i="8"/>
  <c r="J10" i="8"/>
  <c r="B22" i="9"/>
  <c r="B11" i="9"/>
  <c r="B12" i="9"/>
  <c r="B9" i="9"/>
  <c r="B23" i="9"/>
  <c r="B24" i="9"/>
  <c r="B21" i="9"/>
  <c r="B10" i="9"/>
  <c r="B55" i="5"/>
  <c r="B56" i="5" s="1"/>
  <c r="AF3" i="8" s="1"/>
  <c r="AF4" i="8" s="1"/>
  <c r="AF10" i="8" s="1"/>
  <c r="B44" i="5"/>
  <c r="B45" i="5" s="1"/>
  <c r="Y3" i="8" s="1"/>
  <c r="Y4" i="8" s="1"/>
  <c r="Y10" i="8" s="1"/>
  <c r="B22" i="5"/>
  <c r="B23" i="5" s="1"/>
  <c r="K3" i="8" s="1"/>
  <c r="K4" i="8" s="1"/>
  <c r="K10" i="8" s="1"/>
  <c r="B11" i="7"/>
  <c r="B12" i="7" s="1"/>
  <c r="F3" i="8" s="1"/>
  <c r="F4" i="8" s="1"/>
  <c r="F10" i="8" s="1"/>
  <c r="B22" i="6"/>
  <c r="B23" i="6" s="1"/>
  <c r="L3" i="8" s="1"/>
  <c r="L4" i="8" s="1"/>
  <c r="L10" i="8" s="1"/>
  <c r="B22" i="7"/>
  <c r="B23" i="7" s="1"/>
  <c r="M3" i="8" s="1"/>
  <c r="M4" i="8" s="1"/>
  <c r="M10" i="8" s="1"/>
  <c r="B11" i="6"/>
  <c r="B12" i="6" s="1"/>
  <c r="E3" i="8" s="1"/>
  <c r="E4" i="8" s="1"/>
  <c r="E10" i="8" s="1"/>
  <c r="B44" i="7"/>
  <c r="B45" i="7" s="1"/>
  <c r="AA3" i="8" s="1"/>
  <c r="AA4" i="8" s="1"/>
  <c r="AA10" i="8" s="1"/>
  <c r="B55" i="7"/>
  <c r="B56" i="7" s="1"/>
  <c r="AH3" i="8" s="1"/>
  <c r="AH4" i="8" s="1"/>
  <c r="AH10" i="8" s="1"/>
  <c r="B55" i="6"/>
  <c r="B56" i="6" s="1"/>
  <c r="AG3" i="8" s="1"/>
  <c r="AG4" i="8" s="1"/>
  <c r="AG10" i="8" s="1"/>
  <c r="B44" i="6"/>
  <c r="B45" i="6" s="1"/>
  <c r="Z3" i="8" s="1"/>
  <c r="Z4" i="8" s="1"/>
  <c r="Z10" i="8" s="1"/>
  <c r="B11" i="5"/>
  <c r="B12" i="5" s="1"/>
  <c r="D3" i="8" s="1"/>
  <c r="D4" i="8" s="1"/>
  <c r="D10" i="8" s="1"/>
  <c r="I26" i="5"/>
  <c r="I28" i="5" s="1"/>
  <c r="I29" i="5" s="1"/>
  <c r="Z26" i="7"/>
  <c r="Z28" i="7" s="1"/>
  <c r="Z29" i="7" s="1"/>
  <c r="W26" i="6"/>
  <c r="W28" i="6" s="1"/>
  <c r="W29" i="6" s="1"/>
  <c r="X26" i="6"/>
  <c r="X28" i="6" s="1"/>
  <c r="X29" i="6" s="1"/>
  <c r="Z26" i="6"/>
  <c r="Z28" i="6" s="1"/>
  <c r="Z29" i="6" s="1"/>
  <c r="G26" i="5"/>
  <c r="G28" i="5" s="1"/>
  <c r="G29" i="5" s="1"/>
  <c r="V26" i="5"/>
  <c r="V28" i="5" s="1"/>
  <c r="V29" i="5" s="1"/>
  <c r="S26" i="6"/>
  <c r="S28" i="6" s="1"/>
  <c r="S29" i="6" s="1"/>
  <c r="Q26" i="5"/>
  <c r="Q28" i="5" s="1"/>
  <c r="Q29" i="5" s="1"/>
  <c r="H26" i="5"/>
  <c r="H28" i="5" s="1"/>
  <c r="H29" i="5" s="1"/>
  <c r="Y26" i="5"/>
  <c r="Y28" i="5" s="1"/>
  <c r="Y29" i="5" s="1"/>
  <c r="E26" i="6"/>
  <c r="E28" i="6" s="1"/>
  <c r="E29" i="6" s="1"/>
  <c r="D26" i="6"/>
  <c r="D28" i="6" s="1"/>
  <c r="D29" i="6" s="1"/>
  <c r="O26" i="7"/>
  <c r="O28" i="7" s="1"/>
  <c r="O29" i="7" s="1"/>
  <c r="L26" i="6"/>
  <c r="L28" i="6" s="1"/>
  <c r="L29" i="6" s="1"/>
  <c r="I26" i="6"/>
  <c r="I28" i="6" s="1"/>
  <c r="I29" i="6" s="1"/>
  <c r="M26" i="6"/>
  <c r="M28" i="6" s="1"/>
  <c r="M29" i="6" s="1"/>
  <c r="W26" i="5"/>
  <c r="W28" i="5" s="1"/>
  <c r="W29" i="5" s="1"/>
  <c r="M26" i="5"/>
  <c r="M28" i="5" s="1"/>
  <c r="M29" i="5" s="1"/>
  <c r="S26" i="5"/>
  <c r="S28" i="5" s="1"/>
  <c r="S29" i="5" s="1"/>
  <c r="D26" i="5"/>
  <c r="D28" i="5" s="1"/>
  <c r="D29" i="5" s="1"/>
  <c r="N26" i="5"/>
  <c r="N28" i="5" s="1"/>
  <c r="N29" i="5" s="1"/>
  <c r="D26" i="7"/>
  <c r="D28" i="7" s="1"/>
  <c r="D29" i="7" s="1"/>
  <c r="S26" i="7"/>
  <c r="S28" i="7" s="1"/>
  <c r="S29" i="7" s="1"/>
  <c r="U26" i="6"/>
  <c r="U28" i="6" s="1"/>
  <c r="U29" i="6" s="1"/>
  <c r="R26" i="6"/>
  <c r="R28" i="6" s="1"/>
  <c r="R29" i="6" s="1"/>
  <c r="J26" i="5"/>
  <c r="J28" i="5" s="1"/>
  <c r="J29" i="5" s="1"/>
  <c r="Y26" i="7"/>
  <c r="Y28" i="7" s="1"/>
  <c r="Y29" i="7" s="1"/>
  <c r="V26" i="6"/>
  <c r="V28" i="6" s="1"/>
  <c r="V29" i="6" s="1"/>
  <c r="H26" i="6"/>
  <c r="H28" i="6" s="1"/>
  <c r="H29" i="6" s="1"/>
  <c r="P26" i="6"/>
  <c r="P28" i="6" s="1"/>
  <c r="P29" i="6" s="1"/>
  <c r="F26" i="5"/>
  <c r="F28" i="5" s="1"/>
  <c r="F29" i="5" s="1"/>
  <c r="M26" i="7"/>
  <c r="M28" i="7" s="1"/>
  <c r="M29" i="7" s="1"/>
  <c r="Y26" i="6"/>
  <c r="Y28" i="6" s="1"/>
  <c r="Y29" i="6" s="1"/>
  <c r="Z26" i="5"/>
  <c r="Z28" i="5" s="1"/>
  <c r="Z29" i="5" s="1"/>
  <c r="AA26" i="5"/>
  <c r="AA28" i="5" s="1"/>
  <c r="AA29" i="5" s="1"/>
  <c r="N26" i="7"/>
  <c r="N28" i="7" s="1"/>
  <c r="N29" i="7" s="1"/>
  <c r="K26" i="6"/>
  <c r="K28" i="6" s="1"/>
  <c r="K29" i="6" s="1"/>
  <c r="T26" i="6"/>
  <c r="T28" i="6" s="1"/>
  <c r="T29" i="6" s="1"/>
  <c r="O26" i="6"/>
  <c r="O28" i="6" s="1"/>
  <c r="O29" i="6" s="1"/>
  <c r="V26" i="7"/>
  <c r="V28" i="7" s="1"/>
  <c r="V29" i="7" s="1"/>
  <c r="C26" i="7"/>
  <c r="C28" i="7" s="1"/>
  <c r="C29" i="7" s="1"/>
  <c r="Q26" i="7"/>
  <c r="Q28" i="7" s="1"/>
  <c r="Q29" i="7" s="1"/>
  <c r="G26" i="6"/>
  <c r="G28" i="6" s="1"/>
  <c r="G29" i="6" s="1"/>
  <c r="N26" i="6"/>
  <c r="N28" i="6" s="1"/>
  <c r="N29" i="6" s="1"/>
  <c r="T26" i="5"/>
  <c r="T28" i="5" s="1"/>
  <c r="T29" i="5" s="1"/>
  <c r="P26" i="5"/>
  <c r="P28" i="5" s="1"/>
  <c r="P29" i="5" s="1"/>
  <c r="X26" i="7"/>
  <c r="X28" i="7" s="1"/>
  <c r="X29" i="7" s="1"/>
  <c r="J26" i="7"/>
  <c r="J28" i="7" s="1"/>
  <c r="J29" i="7" s="1"/>
  <c r="W26" i="7"/>
  <c r="W28" i="7" s="1"/>
  <c r="W29" i="7" s="1"/>
  <c r="AA26" i="6"/>
  <c r="AA28" i="6" s="1"/>
  <c r="AA29" i="6" s="1"/>
  <c r="E26" i="5"/>
  <c r="E28" i="5" s="1"/>
  <c r="E29" i="5" s="1"/>
  <c r="O26" i="5"/>
  <c r="O28" i="5" s="1"/>
  <c r="O29" i="5" s="1"/>
  <c r="G26" i="7"/>
  <c r="G28" i="7" s="1"/>
  <c r="G29" i="7" s="1"/>
  <c r="C26" i="5"/>
  <c r="C28" i="5" s="1"/>
  <c r="C29" i="5" s="1"/>
  <c r="AA26" i="7"/>
  <c r="AA28" i="7" s="1"/>
  <c r="AA29" i="7" s="1"/>
  <c r="R26" i="7"/>
  <c r="R28" i="7" s="1"/>
  <c r="R29" i="7" s="1"/>
  <c r="F26" i="7"/>
  <c r="F28" i="7" s="1"/>
  <c r="F29" i="7" s="1"/>
  <c r="L26" i="7"/>
  <c r="L28" i="7" s="1"/>
  <c r="L29" i="7" s="1"/>
  <c r="I26" i="7"/>
  <c r="I28" i="7" s="1"/>
  <c r="I29" i="7" s="1"/>
  <c r="P26" i="7"/>
  <c r="P28" i="7" s="1"/>
  <c r="P29" i="7" s="1"/>
  <c r="K26" i="7"/>
  <c r="K28" i="7" s="1"/>
  <c r="K29" i="7" s="1"/>
  <c r="Q26" i="6"/>
  <c r="Q28" i="6" s="1"/>
  <c r="Q29" i="6" s="1"/>
  <c r="K26" i="5"/>
  <c r="K28" i="5" s="1"/>
  <c r="K29" i="5" s="1"/>
  <c r="E26" i="7"/>
  <c r="E28" i="7" s="1"/>
  <c r="E29" i="7" s="1"/>
  <c r="T26" i="7"/>
  <c r="T28" i="7" s="1"/>
  <c r="T29" i="7" s="1"/>
  <c r="J26" i="6"/>
  <c r="J28" i="6" s="1"/>
  <c r="J29" i="6" s="1"/>
  <c r="H26" i="7"/>
  <c r="H28" i="7" s="1"/>
  <c r="H29" i="7" s="1"/>
  <c r="F26" i="6"/>
  <c r="F28" i="6" s="1"/>
  <c r="F29" i="6" s="1"/>
  <c r="R26" i="5"/>
  <c r="R28" i="5" s="1"/>
  <c r="R29" i="5" s="1"/>
  <c r="L26" i="5"/>
  <c r="L28" i="5" s="1"/>
  <c r="L29" i="5" s="1"/>
  <c r="X26" i="5"/>
  <c r="X28" i="5" s="1"/>
  <c r="X29" i="5" s="1"/>
  <c r="C26" i="6"/>
  <c r="C28" i="6" s="1"/>
  <c r="C29" i="6" s="1"/>
  <c r="U26" i="5"/>
  <c r="U28" i="5" s="1"/>
  <c r="U29" i="5" s="1"/>
  <c r="U26" i="7"/>
  <c r="U28" i="7" s="1"/>
  <c r="U29" i="7" s="1"/>
  <c r="B33" i="7" l="1"/>
  <c r="B34" i="7" s="1"/>
  <c r="T3" i="8" s="1"/>
  <c r="T4" i="8" s="1"/>
  <c r="T10" i="8" s="1"/>
  <c r="B33" i="6"/>
  <c r="B34" i="6" s="1"/>
  <c r="S3" i="8" s="1"/>
  <c r="S4" i="8" s="1"/>
  <c r="S10" i="8" s="1"/>
  <c r="B33" i="5"/>
  <c r="B34" i="5" s="1"/>
  <c r="R3" i="8" s="1"/>
  <c r="R4" i="8" s="1"/>
  <c r="R10" i="8" s="1"/>
  <c r="C159" i="4" l="1"/>
  <c r="C161" i="4" s="1"/>
  <c r="C162" i="4" s="1"/>
  <c r="C137" i="4"/>
  <c r="C139" i="4" s="1"/>
  <c r="C140" i="4" s="1"/>
  <c r="C115" i="4"/>
  <c r="C117" i="4" s="1"/>
  <c r="C118" i="4" s="1"/>
  <c r="C148" i="4"/>
  <c r="C150" i="4" s="1"/>
  <c r="C151" i="4" s="1"/>
  <c r="C126" i="4"/>
  <c r="C128" i="4" s="1"/>
  <c r="C129" i="4" s="1"/>
  <c r="O41" i="3"/>
  <c r="C82" i="5" s="1"/>
  <c r="C84" i="5" s="1"/>
  <c r="C85" i="5" s="1"/>
  <c r="P41" i="3"/>
  <c r="G93" i="5" s="1"/>
  <c r="G95" i="5" s="1"/>
  <c r="G96" i="5" s="1"/>
  <c r="E115" i="4"/>
  <c r="E117" i="4" s="1"/>
  <c r="E118" i="4" s="1"/>
  <c r="K137" i="4"/>
  <c r="K139" i="4" s="1"/>
  <c r="K140" i="4" s="1"/>
  <c r="AA115" i="4"/>
  <c r="AA117" i="4" s="1"/>
  <c r="AA118" i="4" s="1"/>
  <c r="R159" i="4"/>
  <c r="R161" i="4" s="1"/>
  <c r="R162" i="4" s="1"/>
  <c r="G159" i="4"/>
  <c r="G161" i="4" s="1"/>
  <c r="G162" i="4" s="1"/>
  <c r="O126" i="4"/>
  <c r="O128" i="4" s="1"/>
  <c r="O129" i="4" s="1"/>
  <c r="G148" i="4"/>
  <c r="G150" i="4" s="1"/>
  <c r="G151" i="4" s="1"/>
  <c r="E126" i="4"/>
  <c r="E128" i="4" s="1"/>
  <c r="E129" i="4" s="1"/>
  <c r="D126" i="4"/>
  <c r="D128" i="4" s="1"/>
  <c r="D129" i="4" s="1"/>
  <c r="P115" i="4"/>
  <c r="P117" i="4" s="1"/>
  <c r="P118" i="4" s="1"/>
  <c r="R148" i="4"/>
  <c r="R150" i="4" s="1"/>
  <c r="R151" i="4" s="1"/>
  <c r="J137" i="4"/>
  <c r="J139" i="4" s="1"/>
  <c r="J140" i="4" s="1"/>
  <c r="F115" i="4"/>
  <c r="F117" i="4" s="1"/>
  <c r="F118" i="4" s="1"/>
  <c r="Y126" i="4"/>
  <c r="Y128" i="4" s="1"/>
  <c r="Y129" i="4" s="1"/>
  <c r="E148" i="4"/>
  <c r="E150" i="4" s="1"/>
  <c r="E151" i="4" s="1"/>
  <c r="Z126" i="4"/>
  <c r="Z128" i="4" s="1"/>
  <c r="Z129" i="4" s="1"/>
  <c r="Y148" i="4"/>
  <c r="Y150" i="4" s="1"/>
  <c r="Y151" i="4" s="1"/>
  <c r="T162" i="4"/>
  <c r="T159" i="4"/>
  <c r="T161" i="4" s="1"/>
  <c r="N41" i="3"/>
  <c r="E71" i="5" s="1"/>
  <c r="E73" i="5" s="1"/>
  <c r="E74" i="5" s="1"/>
  <c r="S159" i="4"/>
  <c r="S161" i="4" s="1"/>
  <c r="S162" i="4" s="1"/>
  <c r="I137" i="4"/>
  <c r="I139" i="4" s="1"/>
  <c r="I140" i="4" s="1"/>
  <c r="N148" i="4"/>
  <c r="N150" i="4" s="1"/>
  <c r="N151" i="4" s="1"/>
  <c r="M41" i="3"/>
  <c r="H60" i="5" s="1"/>
  <c r="H62" i="5" s="1"/>
  <c r="H63" i="5" s="1"/>
  <c r="I159" i="4"/>
  <c r="I161" i="4" s="1"/>
  <c r="I162" i="4" s="1"/>
  <c r="S148" i="4"/>
  <c r="S150" i="4" s="1"/>
  <c r="S151" i="4" s="1"/>
  <c r="H148" i="4"/>
  <c r="H150" i="4" s="1"/>
  <c r="H151" i="4" s="1"/>
  <c r="Q41" i="3"/>
  <c r="T137" i="4"/>
  <c r="T139" i="4" s="1"/>
  <c r="T140" i="4" s="1"/>
  <c r="H159" i="4"/>
  <c r="H161" i="4" s="1"/>
  <c r="H162" i="4" s="1"/>
  <c r="M126" i="4"/>
  <c r="M128" i="4" s="1"/>
  <c r="M129" i="4" s="1"/>
  <c r="H137" i="4"/>
  <c r="H139" i="4" s="1"/>
  <c r="H140" i="4" s="1"/>
  <c r="Y117" i="4"/>
  <c r="Y118" i="4" s="1"/>
  <c r="Y115" i="4"/>
  <c r="M115" i="4"/>
  <c r="M117" i="4" s="1"/>
  <c r="M118" i="4" s="1"/>
  <c r="K115" i="4"/>
  <c r="K117" i="4" s="1"/>
  <c r="K118" i="4" s="1"/>
  <c r="I126" i="4"/>
  <c r="I128" i="4" s="1"/>
  <c r="I129" i="4" s="1"/>
  <c r="D137" i="4"/>
  <c r="D139" i="4" s="1"/>
  <c r="D140" i="4" s="1"/>
  <c r="O148" i="4"/>
  <c r="O150" i="4" s="1"/>
  <c r="O151" i="4" s="1"/>
  <c r="N115" i="4"/>
  <c r="N117" i="4" s="1"/>
  <c r="N118" i="4" s="1"/>
  <c r="L117" i="4"/>
  <c r="L118" i="4" s="1"/>
  <c r="L115" i="4"/>
  <c r="J126" i="4"/>
  <c r="J128" i="4" s="1"/>
  <c r="J129" i="4" s="1"/>
  <c r="E137" i="4"/>
  <c r="E139" i="4" s="1"/>
  <c r="E140" i="4" s="1"/>
  <c r="P148" i="4"/>
  <c r="P150" i="4" s="1"/>
  <c r="P151" i="4" s="1"/>
  <c r="O115" i="4"/>
  <c r="O117" i="4" s="1"/>
  <c r="O118" i="4" s="1"/>
  <c r="T115" i="4"/>
  <c r="T117" i="4" s="1"/>
  <c r="T118" i="4" s="1"/>
  <c r="L126" i="4"/>
  <c r="L128" i="4" s="1"/>
  <c r="L129" i="4" s="1"/>
  <c r="R137" i="4"/>
  <c r="R139" i="4" s="1"/>
  <c r="R140" i="4" s="1"/>
  <c r="E159" i="4"/>
  <c r="E161" i="4" s="1"/>
  <c r="E162" i="4" s="1"/>
  <c r="Q115" i="4"/>
  <c r="Q117" i="4" s="1"/>
  <c r="Q118" i="4" s="1"/>
  <c r="X115" i="4"/>
  <c r="X117" i="4"/>
  <c r="X118" i="4" s="1"/>
  <c r="X126" i="4"/>
  <c r="X128" i="4" s="1"/>
  <c r="X129" i="4" s="1"/>
  <c r="F137" i="4"/>
  <c r="F139" i="4" s="1"/>
  <c r="F140" i="4" s="1"/>
  <c r="S137" i="4"/>
  <c r="S139" i="4" s="1"/>
  <c r="S140" i="4" s="1"/>
  <c r="F159" i="4"/>
  <c r="F161" i="4" s="1"/>
  <c r="F162" i="4" s="1"/>
  <c r="P159" i="4"/>
  <c r="P161" i="4" s="1"/>
  <c r="P162" i="4" s="1"/>
  <c r="Q159" i="4"/>
  <c r="Q161" i="4" s="1"/>
  <c r="Q162" i="4" s="1"/>
  <c r="W159" i="4"/>
  <c r="W161" i="4" s="1"/>
  <c r="W162" i="4" s="1"/>
  <c r="Z115" i="4"/>
  <c r="Z117" i="4" s="1"/>
  <c r="Z118" i="4" s="1"/>
  <c r="P126" i="4"/>
  <c r="P128" i="4" s="1"/>
  <c r="P129" i="4" s="1"/>
  <c r="I148" i="4"/>
  <c r="I150" i="4" s="1"/>
  <c r="I151" i="4" s="1"/>
  <c r="AA159" i="4"/>
  <c r="AA161" i="4" s="1"/>
  <c r="AA162" i="4" s="1"/>
  <c r="Z148" i="4"/>
  <c r="Z150" i="4" s="1"/>
  <c r="Z151" i="4" s="1"/>
  <c r="N126" i="4"/>
  <c r="N128" i="4" s="1"/>
  <c r="N129" i="4" s="1"/>
  <c r="H115" i="4"/>
  <c r="H117" i="4" s="1"/>
  <c r="H118" i="4" s="1"/>
  <c r="W126" i="4"/>
  <c r="W128" i="4" s="1"/>
  <c r="W129" i="4" s="1"/>
  <c r="U137" i="4"/>
  <c r="U139" i="4" s="1"/>
  <c r="U140" i="4" s="1"/>
  <c r="D150" i="4"/>
  <c r="D151" i="4" s="1"/>
  <c r="D148" i="4"/>
  <c r="W148" i="4"/>
  <c r="W150" i="4" s="1"/>
  <c r="W151" i="4" s="1"/>
  <c r="X159" i="4"/>
  <c r="X161" i="4" s="1"/>
  <c r="X162" i="4" s="1"/>
  <c r="G137" i="4"/>
  <c r="G139" i="4" s="1"/>
  <c r="G140" i="4" s="1"/>
  <c r="D115" i="4"/>
  <c r="D117" i="4" s="1"/>
  <c r="D118" i="4" s="1"/>
  <c r="I115" i="4"/>
  <c r="I117" i="4" s="1"/>
  <c r="I118" i="4" s="1"/>
  <c r="V137" i="4"/>
  <c r="V139" i="4" s="1"/>
  <c r="V140" i="4" s="1"/>
  <c r="L148" i="4"/>
  <c r="L150" i="4" s="1"/>
  <c r="L151" i="4" s="1"/>
  <c r="X148" i="4"/>
  <c r="X150" i="4"/>
  <c r="X151" i="4" s="1"/>
  <c r="W115" i="4"/>
  <c r="W117" i="4" s="1"/>
  <c r="W118" i="4" s="1"/>
  <c r="AA148" i="4"/>
  <c r="AA150" i="4" s="1"/>
  <c r="AA151" i="4" s="1"/>
  <c r="S115" i="4"/>
  <c r="S117" i="4"/>
  <c r="S118" i="4" s="1"/>
  <c r="G115" i="4"/>
  <c r="G117" i="4" s="1"/>
  <c r="G118" i="4" s="1"/>
  <c r="U115" i="4"/>
  <c r="U117" i="4"/>
  <c r="U118" i="4" s="1"/>
  <c r="R115" i="4"/>
  <c r="R117" i="4" s="1"/>
  <c r="R118" i="4" s="1"/>
  <c r="V115" i="4"/>
  <c r="V117" i="4" s="1"/>
  <c r="V118" i="4" s="1"/>
  <c r="J115" i="4"/>
  <c r="J117" i="4" s="1"/>
  <c r="J118" i="4" s="1"/>
  <c r="F126" i="4"/>
  <c r="F128" i="4" s="1"/>
  <c r="F129" i="4" s="1"/>
  <c r="Q126" i="4"/>
  <c r="Q128" i="4" s="1"/>
  <c r="Q129" i="4" s="1"/>
  <c r="G126" i="4"/>
  <c r="G128" i="4" s="1"/>
  <c r="G129" i="4"/>
  <c r="R126" i="4"/>
  <c r="R128" i="4" s="1"/>
  <c r="R129" i="4" s="1"/>
  <c r="H126" i="4"/>
  <c r="H128" i="4" s="1"/>
  <c r="H129" i="4" s="1"/>
  <c r="S126" i="4"/>
  <c r="S128" i="4"/>
  <c r="S129" i="4" s="1"/>
  <c r="T126" i="4"/>
  <c r="T128" i="4" s="1"/>
  <c r="T129" i="4" s="1"/>
  <c r="U126" i="4"/>
  <c r="U128" i="4" s="1"/>
  <c r="U129" i="4" s="1"/>
  <c r="V126" i="4"/>
  <c r="V128" i="4" s="1"/>
  <c r="V129" i="4" s="1"/>
  <c r="K126" i="4"/>
  <c r="K128" i="4" s="1"/>
  <c r="K129" i="4" s="1"/>
  <c r="AA126" i="4"/>
  <c r="AA128" i="4" s="1"/>
  <c r="AA129" i="4" s="1"/>
  <c r="Q137" i="4"/>
  <c r="Q139" i="4" s="1"/>
  <c r="Q140" i="4" s="1"/>
  <c r="L137" i="4"/>
  <c r="L139" i="4"/>
  <c r="L140" i="4" s="1"/>
  <c r="M137" i="4"/>
  <c r="M139" i="4" s="1"/>
  <c r="M140" i="4" s="1"/>
  <c r="X137" i="4"/>
  <c r="X139" i="4" s="1"/>
  <c r="X140" i="4" s="1"/>
  <c r="N137" i="4"/>
  <c r="N139" i="4"/>
  <c r="N140" i="4" s="1"/>
  <c r="Y137" i="4"/>
  <c r="Y139" i="4" s="1"/>
  <c r="Y140" i="4" s="1"/>
  <c r="O137" i="4"/>
  <c r="O139" i="4" s="1"/>
  <c r="O140" i="4" s="1"/>
  <c r="Z137" i="4"/>
  <c r="Z139" i="4" s="1"/>
  <c r="Z140" i="4" s="1"/>
  <c r="P137" i="4"/>
  <c r="P139" i="4"/>
  <c r="P140" i="4" s="1"/>
  <c r="AA137" i="4"/>
  <c r="AA139" i="4" s="1"/>
  <c r="AA140" i="4" s="1"/>
  <c r="W137" i="4"/>
  <c r="W139" i="4" s="1"/>
  <c r="W140" i="4" s="1"/>
  <c r="F148" i="4"/>
  <c r="F150" i="4" s="1"/>
  <c r="F151" i="4" s="1"/>
  <c r="Q148" i="4"/>
  <c r="Q150" i="4" s="1"/>
  <c r="Q151" i="4" s="1"/>
  <c r="T148" i="4"/>
  <c r="T150" i="4"/>
  <c r="T151" i="4" s="1"/>
  <c r="J148" i="4"/>
  <c r="J150" i="4" s="1"/>
  <c r="J151" i="4" s="1"/>
  <c r="U148" i="4"/>
  <c r="U150" i="4" s="1"/>
  <c r="U151" i="4" s="1"/>
  <c r="K148" i="4"/>
  <c r="K150" i="4"/>
  <c r="K151" i="4"/>
  <c r="V148" i="4"/>
  <c r="V150" i="4" s="1"/>
  <c r="V151" i="4" s="1"/>
  <c r="M148" i="4"/>
  <c r="M150" i="4" s="1"/>
  <c r="M151" i="4" s="1"/>
  <c r="J159" i="4"/>
  <c r="J161" i="4" s="1"/>
  <c r="J162" i="4" s="1"/>
  <c r="U159" i="4"/>
  <c r="U161" i="4"/>
  <c r="U162" i="4"/>
  <c r="M159" i="4"/>
  <c r="M161" i="4"/>
  <c r="M162" i="4" s="1"/>
  <c r="N159" i="4"/>
  <c r="N161" i="4" s="1"/>
  <c r="N162" i="4" s="1"/>
  <c r="Y159" i="4"/>
  <c r="Y161" i="4" s="1"/>
  <c r="Y162" i="4" s="1"/>
  <c r="V159" i="4"/>
  <c r="V161" i="4" s="1"/>
  <c r="V162" i="4" s="1"/>
  <c r="L159" i="4"/>
  <c r="L161" i="4" s="1"/>
  <c r="L162" i="4" s="1"/>
  <c r="D159" i="4"/>
  <c r="D161" i="4"/>
  <c r="D162" i="4" s="1"/>
  <c r="O159" i="4"/>
  <c r="O161" i="4" s="1"/>
  <c r="O162" i="4" s="1"/>
  <c r="Z159" i="4"/>
  <c r="Z161" i="4" s="1"/>
  <c r="Z162" i="4" s="1"/>
  <c r="K159" i="4"/>
  <c r="K161" i="4"/>
  <c r="K162" i="4"/>
  <c r="W93" i="5" l="1"/>
  <c r="W95" i="5" s="1"/>
  <c r="W96" i="5" s="1"/>
  <c r="K93" i="5"/>
  <c r="K95" i="5" s="1"/>
  <c r="K96" i="5" s="1"/>
  <c r="J93" i="5"/>
  <c r="J95" i="5" s="1"/>
  <c r="J96" i="5" s="1"/>
  <c r="X93" i="5"/>
  <c r="X95" i="5" s="1"/>
  <c r="X96" i="5" s="1"/>
  <c r="X82" i="5"/>
  <c r="X84" i="5" s="1"/>
  <c r="X85" i="5" s="1"/>
  <c r="Z82" i="5"/>
  <c r="Z84" i="5" s="1"/>
  <c r="Z85" i="5" s="1"/>
  <c r="T71" i="5"/>
  <c r="T73" i="5" s="1"/>
  <c r="T74" i="5" s="1"/>
  <c r="G71" i="5"/>
  <c r="G73" i="5" s="1"/>
  <c r="G74" i="5" s="1"/>
  <c r="X71" i="5"/>
  <c r="X73" i="5" s="1"/>
  <c r="X74" i="5" s="1"/>
  <c r="V93" i="5"/>
  <c r="V95" i="5" s="1"/>
  <c r="V96" i="5" s="1"/>
  <c r="G82" i="5"/>
  <c r="G84" i="5" s="1"/>
  <c r="G85" i="5" s="1"/>
  <c r="AA82" i="5"/>
  <c r="AA84" i="5" s="1"/>
  <c r="AA85" i="5" s="1"/>
  <c r="D82" i="5"/>
  <c r="D84" i="5" s="1"/>
  <c r="D85" i="5" s="1"/>
  <c r="I93" i="5"/>
  <c r="I95" i="5" s="1"/>
  <c r="I96" i="5" s="1"/>
  <c r="H93" i="5"/>
  <c r="H95" i="5" s="1"/>
  <c r="H96" i="5" s="1"/>
  <c r="V82" i="5"/>
  <c r="V84" i="5" s="1"/>
  <c r="V85" i="5" s="1"/>
  <c r="F71" i="5"/>
  <c r="F73" i="5" s="1"/>
  <c r="F74" i="5" s="1"/>
  <c r="R82" i="5"/>
  <c r="R84" i="5" s="1"/>
  <c r="R85" i="5" s="1"/>
  <c r="V71" i="5"/>
  <c r="V73" i="5" s="1"/>
  <c r="V74" i="5" s="1"/>
  <c r="Y93" i="5"/>
  <c r="Y95" i="5" s="1"/>
  <c r="Y96" i="5" s="1"/>
  <c r="M93" i="5"/>
  <c r="M95" i="5" s="1"/>
  <c r="M96" i="5" s="1"/>
  <c r="L82" i="5"/>
  <c r="L84" i="5" s="1"/>
  <c r="L85" i="5" s="1"/>
  <c r="N82" i="5"/>
  <c r="N84" i="5" s="1"/>
  <c r="N85" i="5" s="1"/>
  <c r="L71" i="5"/>
  <c r="L73" i="5" s="1"/>
  <c r="L74" i="5" s="1"/>
  <c r="R71" i="5"/>
  <c r="R73" i="5" s="1"/>
  <c r="R74" i="5" s="1"/>
  <c r="R93" i="5"/>
  <c r="R95" i="5" s="1"/>
  <c r="R96" i="5" s="1"/>
  <c r="Q93" i="5"/>
  <c r="Q95" i="5" s="1"/>
  <c r="Q96" i="5" s="1"/>
  <c r="H82" i="5"/>
  <c r="H84" i="5" s="1"/>
  <c r="H85" i="5" s="1"/>
  <c r="O44" i="3"/>
  <c r="D82" i="7" s="1"/>
  <c r="D84" i="7" s="1"/>
  <c r="D85" i="7" s="1"/>
  <c r="I71" i="5"/>
  <c r="I73" i="5" s="1"/>
  <c r="I74" i="5" s="1"/>
  <c r="P71" i="5"/>
  <c r="P73" i="5" s="1"/>
  <c r="P74" i="5" s="1"/>
  <c r="Z93" i="5"/>
  <c r="Z95" i="5" s="1"/>
  <c r="Z96" i="5" s="1"/>
  <c r="O93" i="5"/>
  <c r="O95" i="5" s="1"/>
  <c r="O96" i="5" s="1"/>
  <c r="J82" i="5"/>
  <c r="J84" i="5" s="1"/>
  <c r="J85" i="5" s="1"/>
  <c r="D71" i="5"/>
  <c r="D73" i="5" s="1"/>
  <c r="D74" i="5" s="1"/>
  <c r="N93" i="5"/>
  <c r="N95" i="5" s="1"/>
  <c r="N96" i="5" s="1"/>
  <c r="U93" i="5"/>
  <c r="U95" i="5" s="1"/>
  <c r="U96" i="5" s="1"/>
  <c r="S93" i="5"/>
  <c r="S95" i="5" s="1"/>
  <c r="S96" i="5" s="1"/>
  <c r="T93" i="5"/>
  <c r="T95" i="5" s="1"/>
  <c r="T96" i="5" s="1"/>
  <c r="I82" i="5"/>
  <c r="I84" i="5" s="1"/>
  <c r="I85" i="5" s="1"/>
  <c r="Y82" i="5"/>
  <c r="Y84" i="5" s="1"/>
  <c r="Y85" i="5" s="1"/>
  <c r="R60" i="5"/>
  <c r="R62" i="5" s="1"/>
  <c r="R63" i="5" s="1"/>
  <c r="V60" i="5"/>
  <c r="V62" i="5" s="1"/>
  <c r="V63" i="5" s="1"/>
  <c r="K60" i="5"/>
  <c r="K62" i="5" s="1"/>
  <c r="K63" i="5" s="1"/>
  <c r="J60" i="5"/>
  <c r="J62" i="5" s="1"/>
  <c r="J63" i="5" s="1"/>
  <c r="T60" i="5"/>
  <c r="T62" i="5" s="1"/>
  <c r="T63" i="5" s="1"/>
  <c r="X60" i="5"/>
  <c r="X62" i="5" s="1"/>
  <c r="X63" i="5" s="1"/>
  <c r="C104" i="5"/>
  <c r="C106" i="5" s="1"/>
  <c r="C107" i="5" s="1"/>
  <c r="F104" i="5"/>
  <c r="F106" i="5" s="1"/>
  <c r="F107" i="5" s="1"/>
  <c r="G104" i="5"/>
  <c r="G106" i="5" s="1"/>
  <c r="G107" i="5" s="1"/>
  <c r="X104" i="5"/>
  <c r="X106" i="5" s="1"/>
  <c r="X107" i="5" s="1"/>
  <c r="I104" i="5"/>
  <c r="I106" i="5" s="1"/>
  <c r="I107" i="5" s="1"/>
  <c r="O104" i="5"/>
  <c r="O106" i="5" s="1"/>
  <c r="O107" i="5" s="1"/>
  <c r="T104" i="5"/>
  <c r="T106" i="5" s="1"/>
  <c r="T107" i="5" s="1"/>
  <c r="P104" i="5"/>
  <c r="P106" i="5" s="1"/>
  <c r="P107" i="5" s="1"/>
  <c r="D104" i="5"/>
  <c r="D106" i="5" s="1"/>
  <c r="D107" i="5" s="1"/>
  <c r="J104" i="5"/>
  <c r="J106" i="5" s="1"/>
  <c r="J107" i="5" s="1"/>
  <c r="V104" i="5"/>
  <c r="V106" i="5" s="1"/>
  <c r="V107" i="5" s="1"/>
  <c r="K104" i="5"/>
  <c r="K106" i="5" s="1"/>
  <c r="K107" i="5" s="1"/>
  <c r="W104" i="5"/>
  <c r="W106" i="5" s="1"/>
  <c r="W107" i="5" s="1"/>
  <c r="Z104" i="5"/>
  <c r="Z106" i="5" s="1"/>
  <c r="Z107" i="5" s="1"/>
  <c r="Q104" i="5"/>
  <c r="Q106" i="5" s="1"/>
  <c r="Q107" i="5" s="1"/>
  <c r="Y104" i="5"/>
  <c r="Y106" i="5" s="1"/>
  <c r="Y107" i="5" s="1"/>
  <c r="N104" i="5"/>
  <c r="N106" i="5" s="1"/>
  <c r="N107" i="5" s="1"/>
  <c r="R104" i="5"/>
  <c r="R106" i="5" s="1"/>
  <c r="R107" i="5" s="1"/>
  <c r="H104" i="5"/>
  <c r="H106" i="5" s="1"/>
  <c r="H107" i="5" s="1"/>
  <c r="L104" i="5"/>
  <c r="L106" i="5" s="1"/>
  <c r="L107" i="5" s="1"/>
  <c r="E104" i="5"/>
  <c r="E106" i="5" s="1"/>
  <c r="E107" i="5" s="1"/>
  <c r="M104" i="5"/>
  <c r="M106" i="5" s="1"/>
  <c r="M107" i="5" s="1"/>
  <c r="S104" i="5"/>
  <c r="S106" i="5" s="1"/>
  <c r="S107" i="5" s="1"/>
  <c r="U104" i="5"/>
  <c r="U106" i="5" s="1"/>
  <c r="U107" i="5" s="1"/>
  <c r="AA104" i="5"/>
  <c r="AA106" i="5" s="1"/>
  <c r="AA107" i="5" s="1"/>
  <c r="Q44" i="3"/>
  <c r="Z60" i="5"/>
  <c r="Z62" i="5" s="1"/>
  <c r="Z63" i="5" s="1"/>
  <c r="G60" i="5"/>
  <c r="G62" i="5" s="1"/>
  <c r="G63" i="5" s="1"/>
  <c r="U60" i="5"/>
  <c r="U62" i="5" s="1"/>
  <c r="U63" i="5" s="1"/>
  <c r="Y60" i="5"/>
  <c r="Y62" i="5" s="1"/>
  <c r="Y63" i="5" s="1"/>
  <c r="W60" i="5"/>
  <c r="W62" i="5" s="1"/>
  <c r="W63" i="5" s="1"/>
  <c r="AA71" i="5"/>
  <c r="AA73" i="5" s="1"/>
  <c r="AA74" i="5" s="1"/>
  <c r="H71" i="5"/>
  <c r="H73" i="5" s="1"/>
  <c r="H74" i="5" s="1"/>
  <c r="S71" i="5"/>
  <c r="S73" i="5" s="1"/>
  <c r="S74" i="5" s="1"/>
  <c r="E60" i="5"/>
  <c r="E62" i="5" s="1"/>
  <c r="E63" i="5" s="1"/>
  <c r="L60" i="5"/>
  <c r="L62" i="5" s="1"/>
  <c r="L63" i="5" s="1"/>
  <c r="M60" i="5"/>
  <c r="M62" i="5" s="1"/>
  <c r="M63" i="5" s="1"/>
  <c r="Q60" i="5"/>
  <c r="Q62" i="5" s="1"/>
  <c r="Q63" i="5" s="1"/>
  <c r="O71" i="5"/>
  <c r="O73" i="5" s="1"/>
  <c r="O74" i="5" s="1"/>
  <c r="Y71" i="5"/>
  <c r="Y73" i="5" s="1"/>
  <c r="Y74" i="5" s="1"/>
  <c r="W71" i="5"/>
  <c r="W73" i="5" s="1"/>
  <c r="W74" i="5" s="1"/>
  <c r="C71" i="5"/>
  <c r="C73" i="5" s="1"/>
  <c r="C74" i="5" s="1"/>
  <c r="N44" i="3"/>
  <c r="Z71" i="5"/>
  <c r="Z73" i="5" s="1"/>
  <c r="Z74" i="5" s="1"/>
  <c r="K71" i="5"/>
  <c r="K73" i="5" s="1"/>
  <c r="K74" i="5" s="1"/>
  <c r="Q71" i="5"/>
  <c r="Q73" i="5" s="1"/>
  <c r="Q74" i="5" s="1"/>
  <c r="U71" i="5"/>
  <c r="U73" i="5" s="1"/>
  <c r="U74" i="5" s="1"/>
  <c r="N71" i="5"/>
  <c r="N73" i="5" s="1"/>
  <c r="N74" i="5" s="1"/>
  <c r="C60" i="5"/>
  <c r="C62" i="5" s="1"/>
  <c r="C63" i="5" s="1"/>
  <c r="M44" i="3"/>
  <c r="I60" i="5"/>
  <c r="I62" i="5" s="1"/>
  <c r="I63" i="5" s="1"/>
  <c r="S60" i="5"/>
  <c r="S62" i="5" s="1"/>
  <c r="S63" i="5" s="1"/>
  <c r="D60" i="5"/>
  <c r="D62" i="5" s="1"/>
  <c r="D63" i="5" s="1"/>
  <c r="AA60" i="5"/>
  <c r="AA62" i="5" s="1"/>
  <c r="AA63" i="5" s="1"/>
  <c r="F60" i="5"/>
  <c r="F62" i="5" s="1"/>
  <c r="F63" i="5" s="1"/>
  <c r="P60" i="5"/>
  <c r="P62" i="5" s="1"/>
  <c r="P63" i="5" s="1"/>
  <c r="N60" i="5"/>
  <c r="N62" i="5" s="1"/>
  <c r="N63" i="5" s="1"/>
  <c r="O60" i="5"/>
  <c r="O62" i="5" s="1"/>
  <c r="O63" i="5" s="1"/>
  <c r="M71" i="5"/>
  <c r="M73" i="5" s="1"/>
  <c r="M74" i="5" s="1"/>
  <c r="J71" i="5"/>
  <c r="J73" i="5" s="1"/>
  <c r="J74" i="5" s="1"/>
  <c r="B155" i="4"/>
  <c r="B156" i="4" s="1"/>
  <c r="X14" i="8" s="1"/>
  <c r="X15" i="8" s="1"/>
  <c r="F93" i="5"/>
  <c r="F95" i="5" s="1"/>
  <c r="F96" i="5" s="1"/>
  <c r="P93" i="5"/>
  <c r="P95" i="5" s="1"/>
  <c r="P96" i="5" s="1"/>
  <c r="P44" i="3"/>
  <c r="B122" i="4"/>
  <c r="B123" i="4" s="1"/>
  <c r="C14" i="8" s="1"/>
  <c r="C15" i="8" s="1"/>
  <c r="AA93" i="5"/>
  <c r="AA95" i="5" s="1"/>
  <c r="AA96" i="5" s="1"/>
  <c r="E93" i="5"/>
  <c r="E95" i="5" s="1"/>
  <c r="E96" i="5" s="1"/>
  <c r="B144" i="4"/>
  <c r="B145" i="4" s="1"/>
  <c r="Q14" i="8" s="1"/>
  <c r="Q15" i="8" s="1"/>
  <c r="B166" i="4"/>
  <c r="B167" i="4" s="1"/>
  <c r="AE14" i="8" s="1"/>
  <c r="AE15" i="8" s="1"/>
  <c r="AE21" i="8" s="1"/>
  <c r="D93" i="5"/>
  <c r="D95" i="5" s="1"/>
  <c r="D96" i="5" s="1"/>
  <c r="L93" i="5"/>
  <c r="L95" i="5" s="1"/>
  <c r="L96" i="5" s="1"/>
  <c r="C93" i="5"/>
  <c r="C95" i="5" s="1"/>
  <c r="C96" i="5" s="1"/>
  <c r="B133" i="4"/>
  <c r="B134" i="4" s="1"/>
  <c r="J14" i="8" s="1"/>
  <c r="J15" i="8" s="1"/>
  <c r="W82" i="5"/>
  <c r="W84" i="5" s="1"/>
  <c r="W85" i="5" s="1"/>
  <c r="F82" i="5"/>
  <c r="F84" i="5" s="1"/>
  <c r="F85" i="5" s="1"/>
  <c r="U82" i="5"/>
  <c r="U84" i="5" s="1"/>
  <c r="U85" i="5" s="1"/>
  <c r="Q82" i="5"/>
  <c r="Q84" i="5" s="1"/>
  <c r="Q85" i="5" s="1"/>
  <c r="T82" i="5"/>
  <c r="T84" i="5" s="1"/>
  <c r="T85" i="5" s="1"/>
  <c r="K82" i="5"/>
  <c r="K84" i="5" s="1"/>
  <c r="K85" i="5" s="1"/>
  <c r="O82" i="5"/>
  <c r="O84" i="5" s="1"/>
  <c r="O85" i="5" s="1"/>
  <c r="E82" i="5"/>
  <c r="E84" i="5" s="1"/>
  <c r="E85" i="5" s="1"/>
  <c r="P82" i="5"/>
  <c r="P84" i="5" s="1"/>
  <c r="P85" i="5" s="1"/>
  <c r="M82" i="5"/>
  <c r="M84" i="5" s="1"/>
  <c r="M85" i="5" s="1"/>
  <c r="S82" i="5"/>
  <c r="S84" i="5" s="1"/>
  <c r="S85" i="5" s="1"/>
  <c r="K82" i="7" l="1"/>
  <c r="K84" i="7" s="1"/>
  <c r="K85" i="7" s="1"/>
  <c r="S82" i="7"/>
  <c r="S84" i="7" s="1"/>
  <c r="S85" i="7" s="1"/>
  <c r="C82" i="7"/>
  <c r="C84" i="7" s="1"/>
  <c r="C85" i="7" s="1"/>
  <c r="G82" i="6"/>
  <c r="G84" i="6" s="1"/>
  <c r="G85" i="6" s="1"/>
  <c r="L82" i="7"/>
  <c r="L84" i="7" s="1"/>
  <c r="L85" i="7" s="1"/>
  <c r="X82" i="7"/>
  <c r="X84" i="7" s="1"/>
  <c r="X85" i="7" s="1"/>
  <c r="H82" i="6"/>
  <c r="H84" i="6" s="1"/>
  <c r="H85" i="6" s="1"/>
  <c r="AA82" i="6"/>
  <c r="AA84" i="6" s="1"/>
  <c r="AA85" i="6" s="1"/>
  <c r="L82" i="6"/>
  <c r="L84" i="6" s="1"/>
  <c r="L85" i="6" s="1"/>
  <c r="T82" i="6"/>
  <c r="T84" i="6" s="1"/>
  <c r="T85" i="6" s="1"/>
  <c r="P82" i="6"/>
  <c r="P84" i="6" s="1"/>
  <c r="P85" i="6" s="1"/>
  <c r="O82" i="7"/>
  <c r="O84" i="7" s="1"/>
  <c r="O85" i="7" s="1"/>
  <c r="M82" i="6"/>
  <c r="M84" i="6" s="1"/>
  <c r="M85" i="6" s="1"/>
  <c r="J82" i="7"/>
  <c r="J84" i="7" s="1"/>
  <c r="J85" i="7" s="1"/>
  <c r="E82" i="7"/>
  <c r="E84" i="7" s="1"/>
  <c r="E85" i="7" s="1"/>
  <c r="G82" i="7"/>
  <c r="G84" i="7" s="1"/>
  <c r="G85" i="7" s="1"/>
  <c r="F82" i="6"/>
  <c r="F84" i="6" s="1"/>
  <c r="F85" i="6" s="1"/>
  <c r="S82" i="6"/>
  <c r="S84" i="6" s="1"/>
  <c r="S85" i="6" s="1"/>
  <c r="Y82" i="6"/>
  <c r="Y84" i="6" s="1"/>
  <c r="Y85" i="6" s="1"/>
  <c r="Y82" i="7"/>
  <c r="Y84" i="7" s="1"/>
  <c r="Y85" i="7" s="1"/>
  <c r="H82" i="7"/>
  <c r="H84" i="7" s="1"/>
  <c r="H85" i="7" s="1"/>
  <c r="P82" i="7"/>
  <c r="P84" i="7" s="1"/>
  <c r="P85" i="7" s="1"/>
  <c r="B89" i="5"/>
  <c r="B90" i="5" s="1"/>
  <c r="R14" i="8" s="1"/>
  <c r="R15" i="8" s="1"/>
  <c r="K82" i="6"/>
  <c r="K84" i="6" s="1"/>
  <c r="K85" i="6" s="1"/>
  <c r="R82" i="6"/>
  <c r="R84" i="6" s="1"/>
  <c r="R85" i="6" s="1"/>
  <c r="Z82" i="6"/>
  <c r="Z84" i="6" s="1"/>
  <c r="Z85" i="6" s="1"/>
  <c r="AA82" i="7"/>
  <c r="AA84" i="7" s="1"/>
  <c r="AA85" i="7" s="1"/>
  <c r="X82" i="6"/>
  <c r="X84" i="6" s="1"/>
  <c r="X85" i="6" s="1"/>
  <c r="I82" i="6"/>
  <c r="I84" i="6" s="1"/>
  <c r="I85" i="6" s="1"/>
  <c r="V82" i="7"/>
  <c r="V84" i="7" s="1"/>
  <c r="V85" i="7" s="1"/>
  <c r="N82" i="6"/>
  <c r="N84" i="6" s="1"/>
  <c r="N85" i="6" s="1"/>
  <c r="F82" i="7"/>
  <c r="F84" i="7" s="1"/>
  <c r="F85" i="7" s="1"/>
  <c r="W82" i="7"/>
  <c r="W84" i="7" s="1"/>
  <c r="W85" i="7" s="1"/>
  <c r="C82" i="6"/>
  <c r="C84" i="6" s="1"/>
  <c r="C85" i="6" s="1"/>
  <c r="T82" i="7"/>
  <c r="T84" i="7" s="1"/>
  <c r="T85" i="7" s="1"/>
  <c r="Q82" i="6"/>
  <c r="Q84" i="6" s="1"/>
  <c r="Q85" i="6" s="1"/>
  <c r="N82" i="7"/>
  <c r="N84" i="7" s="1"/>
  <c r="N85" i="7" s="1"/>
  <c r="Q82" i="7"/>
  <c r="Q84" i="7" s="1"/>
  <c r="Q85" i="7" s="1"/>
  <c r="E82" i="6"/>
  <c r="E84" i="6" s="1"/>
  <c r="E85" i="6" s="1"/>
  <c r="M82" i="7"/>
  <c r="M84" i="7" s="1"/>
  <c r="M85" i="7" s="1"/>
  <c r="U82" i="7"/>
  <c r="U84" i="7" s="1"/>
  <c r="U85" i="7" s="1"/>
  <c r="U82" i="6"/>
  <c r="U84" i="6" s="1"/>
  <c r="U85" i="6" s="1"/>
  <c r="R82" i="7"/>
  <c r="R84" i="7" s="1"/>
  <c r="R85" i="7" s="1"/>
  <c r="J82" i="6"/>
  <c r="J84" i="6" s="1"/>
  <c r="J85" i="6" s="1"/>
  <c r="O82" i="6"/>
  <c r="O84" i="6" s="1"/>
  <c r="O85" i="6" s="1"/>
  <c r="D82" i="6"/>
  <c r="D84" i="6" s="1"/>
  <c r="D85" i="6" s="1"/>
  <c r="W82" i="6"/>
  <c r="W84" i="6" s="1"/>
  <c r="W85" i="6" s="1"/>
  <c r="I82" i="7"/>
  <c r="I84" i="7" s="1"/>
  <c r="I85" i="7" s="1"/>
  <c r="Z82" i="7"/>
  <c r="Z84" i="7" s="1"/>
  <c r="Z85" i="7" s="1"/>
  <c r="V82" i="6"/>
  <c r="V84" i="6" s="1"/>
  <c r="V85" i="6" s="1"/>
  <c r="C71" i="7"/>
  <c r="C73" i="7" s="1"/>
  <c r="C74" i="7" s="1"/>
  <c r="U71" i="7"/>
  <c r="U73" i="7" s="1"/>
  <c r="U74" i="7" s="1"/>
  <c r="N71" i="7"/>
  <c r="N73" i="7" s="1"/>
  <c r="N74" i="7" s="1"/>
  <c r="Q71" i="6"/>
  <c r="Q73" i="6" s="1"/>
  <c r="Q74" i="6" s="1"/>
  <c r="X71" i="7"/>
  <c r="X73" i="7" s="1"/>
  <c r="X74" i="7" s="1"/>
  <c r="K71" i="6"/>
  <c r="K73" i="6" s="1"/>
  <c r="K74" i="6" s="1"/>
  <c r="U71" i="6"/>
  <c r="U73" i="6" s="1"/>
  <c r="U74" i="6" s="1"/>
  <c r="D71" i="6"/>
  <c r="D73" i="6" s="1"/>
  <c r="D74" i="6" s="1"/>
  <c r="C71" i="6"/>
  <c r="C73" i="6" s="1"/>
  <c r="C74" i="6" s="1"/>
  <c r="L71" i="6"/>
  <c r="L73" i="6" s="1"/>
  <c r="L74" i="6" s="1"/>
  <c r="G71" i="7"/>
  <c r="G73" i="7" s="1"/>
  <c r="G74" i="7" s="1"/>
  <c r="AA71" i="7"/>
  <c r="AA73" i="7" s="1"/>
  <c r="AA74" i="7" s="1"/>
  <c r="N71" i="6"/>
  <c r="N73" i="6" s="1"/>
  <c r="N74" i="6" s="1"/>
  <c r="K71" i="7"/>
  <c r="K73" i="7" s="1"/>
  <c r="K74" i="7" s="1"/>
  <c r="I71" i="6"/>
  <c r="I73" i="6" s="1"/>
  <c r="I74" i="6" s="1"/>
  <c r="E71" i="7"/>
  <c r="E73" i="7" s="1"/>
  <c r="E74" i="7" s="1"/>
  <c r="Q71" i="7"/>
  <c r="Q73" i="7" s="1"/>
  <c r="Q74" i="7" s="1"/>
  <c r="G71" i="6"/>
  <c r="G73" i="6" s="1"/>
  <c r="G74" i="6" s="1"/>
  <c r="Y71" i="7"/>
  <c r="Y73" i="7" s="1"/>
  <c r="Y74" i="7" s="1"/>
  <c r="J71" i="7"/>
  <c r="J73" i="7" s="1"/>
  <c r="J74" i="7" s="1"/>
  <c r="R71" i="7"/>
  <c r="R73" i="7" s="1"/>
  <c r="R74" i="7" s="1"/>
  <c r="AA71" i="6"/>
  <c r="AA73" i="6" s="1"/>
  <c r="AA74" i="6" s="1"/>
  <c r="Y71" i="6"/>
  <c r="Y73" i="6" s="1"/>
  <c r="Y74" i="6" s="1"/>
  <c r="Z71" i="7"/>
  <c r="Z73" i="7" s="1"/>
  <c r="Z74" i="7" s="1"/>
  <c r="P71" i="7"/>
  <c r="P73" i="7" s="1"/>
  <c r="P74" i="7" s="1"/>
  <c r="F71" i="6"/>
  <c r="F73" i="6" s="1"/>
  <c r="F74" i="6" s="1"/>
  <c r="I71" i="7"/>
  <c r="I73" i="7" s="1"/>
  <c r="I74" i="7" s="1"/>
  <c r="W71" i="7"/>
  <c r="W73" i="7" s="1"/>
  <c r="W74" i="7" s="1"/>
  <c r="O71" i="6"/>
  <c r="O73" i="6" s="1"/>
  <c r="O74" i="6" s="1"/>
  <c r="P71" i="6"/>
  <c r="P73" i="6" s="1"/>
  <c r="P74" i="6" s="1"/>
  <c r="O71" i="7"/>
  <c r="O73" i="7" s="1"/>
  <c r="O74" i="7" s="1"/>
  <c r="H71" i="7"/>
  <c r="H73" i="7" s="1"/>
  <c r="H74" i="7" s="1"/>
  <c r="L71" i="7"/>
  <c r="L73" i="7" s="1"/>
  <c r="L74" i="7" s="1"/>
  <c r="S71" i="6"/>
  <c r="S73" i="6" s="1"/>
  <c r="S74" i="6" s="1"/>
  <c r="T71" i="7"/>
  <c r="T73" i="7" s="1"/>
  <c r="T74" i="7" s="1"/>
  <c r="Z71" i="6"/>
  <c r="Z73" i="6" s="1"/>
  <c r="Z74" i="6" s="1"/>
  <c r="M71" i="7"/>
  <c r="M73" i="7" s="1"/>
  <c r="M74" i="7" s="1"/>
  <c r="V71" i="7"/>
  <c r="V73" i="7" s="1"/>
  <c r="V74" i="7" s="1"/>
  <c r="R71" i="6"/>
  <c r="R73" i="6" s="1"/>
  <c r="R74" i="6" s="1"/>
  <c r="M71" i="6"/>
  <c r="M73" i="6" s="1"/>
  <c r="M74" i="6" s="1"/>
  <c r="W71" i="6"/>
  <c r="W73" i="6" s="1"/>
  <c r="W74" i="6" s="1"/>
  <c r="T71" i="6"/>
  <c r="T73" i="6" s="1"/>
  <c r="T74" i="6" s="1"/>
  <c r="F71" i="7"/>
  <c r="F73" i="7" s="1"/>
  <c r="F74" i="7" s="1"/>
  <c r="X71" i="6"/>
  <c r="X73" i="6" s="1"/>
  <c r="X74" i="6" s="1"/>
  <c r="V71" i="6"/>
  <c r="V73" i="6" s="1"/>
  <c r="V74" i="6" s="1"/>
  <c r="H71" i="6"/>
  <c r="H73" i="6" s="1"/>
  <c r="H74" i="6" s="1"/>
  <c r="E71" i="6"/>
  <c r="E73" i="6" s="1"/>
  <c r="E74" i="6" s="1"/>
  <c r="J71" i="6"/>
  <c r="J73" i="6" s="1"/>
  <c r="J74" i="6" s="1"/>
  <c r="D71" i="7"/>
  <c r="D73" i="7" s="1"/>
  <c r="D74" i="7" s="1"/>
  <c r="S71" i="7"/>
  <c r="S73" i="7" s="1"/>
  <c r="S74" i="7" s="1"/>
  <c r="V93" i="6"/>
  <c r="V95" i="6" s="1"/>
  <c r="V96" i="6" s="1"/>
  <c r="F93" i="7"/>
  <c r="F95" i="7" s="1"/>
  <c r="F96" i="7" s="1"/>
  <c r="T93" i="7"/>
  <c r="T95" i="7" s="1"/>
  <c r="T96" i="7" s="1"/>
  <c r="L93" i="7"/>
  <c r="L95" i="7" s="1"/>
  <c r="L96" i="7" s="1"/>
  <c r="I93" i="7"/>
  <c r="I95" i="7" s="1"/>
  <c r="I96" i="7" s="1"/>
  <c r="N93" i="7"/>
  <c r="N95" i="7" s="1"/>
  <c r="N96" i="7" s="1"/>
  <c r="O93" i="6"/>
  <c r="O95" i="6" s="1"/>
  <c r="O96" i="6" s="1"/>
  <c r="N93" i="6"/>
  <c r="N95" i="6" s="1"/>
  <c r="N96" i="6" s="1"/>
  <c r="H93" i="6"/>
  <c r="H95" i="6" s="1"/>
  <c r="H96" i="6" s="1"/>
  <c r="Y93" i="7"/>
  <c r="Y95" i="7" s="1"/>
  <c r="Y96" i="7" s="1"/>
  <c r="Z93" i="7"/>
  <c r="Z95" i="7" s="1"/>
  <c r="Z96" i="7" s="1"/>
  <c r="K93" i="6"/>
  <c r="K95" i="6" s="1"/>
  <c r="K96" i="6" s="1"/>
  <c r="C93" i="7"/>
  <c r="C95" i="7" s="1"/>
  <c r="C96" i="7" s="1"/>
  <c r="C93" i="6"/>
  <c r="C95" i="6" s="1"/>
  <c r="C96" i="6" s="1"/>
  <c r="S93" i="6"/>
  <c r="S95" i="6" s="1"/>
  <c r="S96" i="6" s="1"/>
  <c r="Q93" i="7"/>
  <c r="Q95" i="7" s="1"/>
  <c r="Q96" i="7" s="1"/>
  <c r="F93" i="6"/>
  <c r="F95" i="6" s="1"/>
  <c r="F96" i="6" s="1"/>
  <c r="W93" i="7"/>
  <c r="W95" i="7" s="1"/>
  <c r="W96" i="7" s="1"/>
  <c r="W93" i="6"/>
  <c r="W95" i="6" s="1"/>
  <c r="W96" i="6" s="1"/>
  <c r="X93" i="7"/>
  <c r="X95" i="7" s="1"/>
  <c r="X96" i="7" s="1"/>
  <c r="U93" i="7"/>
  <c r="U95" i="7" s="1"/>
  <c r="U96" i="7" s="1"/>
  <c r="D93" i="7"/>
  <c r="D95" i="7" s="1"/>
  <c r="D96" i="7" s="1"/>
  <c r="M93" i="7"/>
  <c r="M95" i="7" s="1"/>
  <c r="M96" i="7" s="1"/>
  <c r="Q93" i="6"/>
  <c r="Q95" i="6" s="1"/>
  <c r="Q96" i="6" s="1"/>
  <c r="J93" i="6"/>
  <c r="J95" i="6" s="1"/>
  <c r="J96" i="6" s="1"/>
  <c r="D93" i="6"/>
  <c r="D95" i="6" s="1"/>
  <c r="D96" i="6" s="1"/>
  <c r="P93" i="7"/>
  <c r="P95" i="7" s="1"/>
  <c r="P96" i="7" s="1"/>
  <c r="AA93" i="6"/>
  <c r="AA95" i="6" s="1"/>
  <c r="AA96" i="6" s="1"/>
  <c r="T93" i="6"/>
  <c r="T95" i="6" s="1"/>
  <c r="T96" i="6" s="1"/>
  <c r="G93" i="6"/>
  <c r="G95" i="6" s="1"/>
  <c r="G96" i="6" s="1"/>
  <c r="H93" i="7"/>
  <c r="H95" i="7" s="1"/>
  <c r="H96" i="7" s="1"/>
  <c r="V93" i="7"/>
  <c r="V95" i="7" s="1"/>
  <c r="V96" i="7" s="1"/>
  <c r="P93" i="6"/>
  <c r="P95" i="6" s="1"/>
  <c r="P96" i="6" s="1"/>
  <c r="R93" i="6"/>
  <c r="R95" i="6" s="1"/>
  <c r="R96" i="6" s="1"/>
  <c r="L93" i="6"/>
  <c r="L95" i="6" s="1"/>
  <c r="L96" i="6" s="1"/>
  <c r="U93" i="6"/>
  <c r="U95" i="6" s="1"/>
  <c r="U96" i="6" s="1"/>
  <c r="Y93" i="6"/>
  <c r="Y95" i="6" s="1"/>
  <c r="Y96" i="6" s="1"/>
  <c r="R93" i="7"/>
  <c r="R95" i="7" s="1"/>
  <c r="R96" i="7" s="1"/>
  <c r="AA93" i="7"/>
  <c r="AA95" i="7" s="1"/>
  <c r="AA96" i="7" s="1"/>
  <c r="E93" i="7"/>
  <c r="E95" i="7" s="1"/>
  <c r="E96" i="7" s="1"/>
  <c r="E93" i="6"/>
  <c r="E95" i="6" s="1"/>
  <c r="E96" i="6" s="1"/>
  <c r="G93" i="7"/>
  <c r="G95" i="7" s="1"/>
  <c r="G96" i="7" s="1"/>
  <c r="J93" i="7"/>
  <c r="J95" i="7" s="1"/>
  <c r="J96" i="7" s="1"/>
  <c r="I93" i="6"/>
  <c r="I95" i="6" s="1"/>
  <c r="I96" i="6" s="1"/>
  <c r="O93" i="7"/>
  <c r="O95" i="7" s="1"/>
  <c r="O96" i="7" s="1"/>
  <c r="K93" i="7"/>
  <c r="K95" i="7" s="1"/>
  <c r="K96" i="7" s="1"/>
  <c r="X93" i="6"/>
  <c r="X95" i="6" s="1"/>
  <c r="X96" i="6" s="1"/>
  <c r="M93" i="6"/>
  <c r="M95" i="6" s="1"/>
  <c r="M96" i="6" s="1"/>
  <c r="Z93" i="6"/>
  <c r="Z95" i="6" s="1"/>
  <c r="Z96" i="6" s="1"/>
  <c r="S93" i="7"/>
  <c r="S95" i="7" s="1"/>
  <c r="S96" i="7" s="1"/>
  <c r="B78" i="5"/>
  <c r="B79" i="5" s="1"/>
  <c r="K14" i="8" s="1"/>
  <c r="K15" i="8" s="1"/>
  <c r="B67" i="5"/>
  <c r="B68" i="5" s="1"/>
  <c r="D14" i="8" s="1"/>
  <c r="D15" i="8" s="1"/>
  <c r="C104" i="6"/>
  <c r="C106" i="6" s="1"/>
  <c r="C107" i="6" s="1"/>
  <c r="C104" i="7"/>
  <c r="C106" i="7" s="1"/>
  <c r="C107" i="7" s="1"/>
  <c r="Y104" i="7"/>
  <c r="Y106" i="7" s="1"/>
  <c r="Y107" i="7" s="1"/>
  <c r="J104" i="6"/>
  <c r="J106" i="6" s="1"/>
  <c r="J107" i="6" s="1"/>
  <c r="T104" i="6"/>
  <c r="T106" i="6" s="1"/>
  <c r="T107" i="6" s="1"/>
  <c r="K104" i="6"/>
  <c r="K106" i="6" s="1"/>
  <c r="K107" i="6" s="1"/>
  <c r="Q104" i="6"/>
  <c r="Q106" i="6" s="1"/>
  <c r="Q107" i="6" s="1"/>
  <c r="M104" i="7"/>
  <c r="M106" i="7" s="1"/>
  <c r="M107" i="7" s="1"/>
  <c r="Y104" i="6"/>
  <c r="Y106" i="6" s="1"/>
  <c r="Y107" i="6" s="1"/>
  <c r="AA104" i="7"/>
  <c r="AA106" i="7" s="1"/>
  <c r="AA107" i="7" s="1"/>
  <c r="D104" i="7"/>
  <c r="D106" i="7" s="1"/>
  <c r="D107" i="7" s="1"/>
  <c r="W104" i="7"/>
  <c r="W106" i="7" s="1"/>
  <c r="W107" i="7" s="1"/>
  <c r="L104" i="7"/>
  <c r="L106" i="7" s="1"/>
  <c r="L107" i="7" s="1"/>
  <c r="I104" i="7"/>
  <c r="I106" i="7" s="1"/>
  <c r="I107" i="7" s="1"/>
  <c r="J104" i="7"/>
  <c r="J106" i="7" s="1"/>
  <c r="J107" i="7" s="1"/>
  <c r="N104" i="6"/>
  <c r="N106" i="6" s="1"/>
  <c r="N107" i="6" s="1"/>
  <c r="V104" i="6"/>
  <c r="V106" i="6" s="1"/>
  <c r="V107" i="6" s="1"/>
  <c r="D104" i="6"/>
  <c r="D106" i="6" s="1"/>
  <c r="D107" i="6" s="1"/>
  <c r="E104" i="7"/>
  <c r="E106" i="7" s="1"/>
  <c r="E107" i="7" s="1"/>
  <c r="M104" i="6"/>
  <c r="M106" i="6" s="1"/>
  <c r="M107" i="6" s="1"/>
  <c r="X104" i="6"/>
  <c r="X106" i="6" s="1"/>
  <c r="X107" i="6" s="1"/>
  <c r="K104" i="7"/>
  <c r="K106" i="7" s="1"/>
  <c r="K107" i="7" s="1"/>
  <c r="G104" i="6"/>
  <c r="G106" i="6" s="1"/>
  <c r="G107" i="6" s="1"/>
  <c r="F104" i="7"/>
  <c r="F106" i="7" s="1"/>
  <c r="F107" i="7" s="1"/>
  <c r="P104" i="7"/>
  <c r="P106" i="7" s="1"/>
  <c r="P107" i="7" s="1"/>
  <c r="W104" i="6"/>
  <c r="W106" i="6" s="1"/>
  <c r="W107" i="6" s="1"/>
  <c r="F104" i="6"/>
  <c r="F106" i="6" s="1"/>
  <c r="F107" i="6" s="1"/>
  <c r="R104" i="7"/>
  <c r="R106" i="7" s="1"/>
  <c r="R107" i="7" s="1"/>
  <c r="X104" i="7"/>
  <c r="X106" i="7" s="1"/>
  <c r="X107" i="7" s="1"/>
  <c r="V104" i="7"/>
  <c r="V106" i="7" s="1"/>
  <c r="V107" i="7" s="1"/>
  <c r="R104" i="6"/>
  <c r="R106" i="6" s="1"/>
  <c r="R107" i="6" s="1"/>
  <c r="O104" i="7"/>
  <c r="O106" i="7" s="1"/>
  <c r="O107" i="7" s="1"/>
  <c r="H104" i="6"/>
  <c r="H106" i="6" s="1"/>
  <c r="H107" i="6" s="1"/>
  <c r="N104" i="7"/>
  <c r="N106" i="7" s="1"/>
  <c r="N107" i="7" s="1"/>
  <c r="H104" i="7"/>
  <c r="H106" i="7" s="1"/>
  <c r="H107" i="7" s="1"/>
  <c r="L104" i="6"/>
  <c r="L106" i="6" s="1"/>
  <c r="L107" i="6" s="1"/>
  <c r="U104" i="7"/>
  <c r="U106" i="7" s="1"/>
  <c r="U107" i="7" s="1"/>
  <c r="T104" i="7"/>
  <c r="T106" i="7" s="1"/>
  <c r="T107" i="7" s="1"/>
  <c r="O104" i="6"/>
  <c r="O106" i="6" s="1"/>
  <c r="O107" i="6" s="1"/>
  <c r="Z104" i="7"/>
  <c r="Z106" i="7" s="1"/>
  <c r="Z107" i="7" s="1"/>
  <c r="E104" i="6"/>
  <c r="E106" i="6" s="1"/>
  <c r="E107" i="6" s="1"/>
  <c r="S104" i="6"/>
  <c r="S106" i="6" s="1"/>
  <c r="S107" i="6" s="1"/>
  <c r="Q104" i="7"/>
  <c r="Q106" i="7" s="1"/>
  <c r="Q107" i="7" s="1"/>
  <c r="Z104" i="6"/>
  <c r="Z106" i="6" s="1"/>
  <c r="Z107" i="6" s="1"/>
  <c r="AA104" i="6"/>
  <c r="AA106" i="6" s="1"/>
  <c r="AA107" i="6" s="1"/>
  <c r="S104" i="7"/>
  <c r="S106" i="7" s="1"/>
  <c r="S107" i="7" s="1"/>
  <c r="G104" i="7"/>
  <c r="G106" i="7" s="1"/>
  <c r="G107" i="7" s="1"/>
  <c r="I104" i="6"/>
  <c r="I106" i="6" s="1"/>
  <c r="I107" i="6" s="1"/>
  <c r="P104" i="6"/>
  <c r="P106" i="6" s="1"/>
  <c r="P107" i="6" s="1"/>
  <c r="U104" i="6"/>
  <c r="U106" i="6" s="1"/>
  <c r="U107" i="6" s="1"/>
  <c r="C60" i="6"/>
  <c r="C62" i="6" s="1"/>
  <c r="C63" i="6" s="1"/>
  <c r="O60" i="6"/>
  <c r="O62" i="6" s="1"/>
  <c r="O63" i="6" s="1"/>
  <c r="P60" i="7"/>
  <c r="P62" i="7" s="1"/>
  <c r="P63" i="7" s="1"/>
  <c r="D60" i="6"/>
  <c r="D62" i="6" s="1"/>
  <c r="D63" i="6" s="1"/>
  <c r="C60" i="7"/>
  <c r="C62" i="7" s="1"/>
  <c r="C63" i="7" s="1"/>
  <c r="H60" i="6"/>
  <c r="H62" i="6" s="1"/>
  <c r="H63" i="6" s="1"/>
  <c r="E60" i="6"/>
  <c r="E62" i="6" s="1"/>
  <c r="E63" i="6" s="1"/>
  <c r="G60" i="7"/>
  <c r="G62" i="7" s="1"/>
  <c r="G63" i="7" s="1"/>
  <c r="I60" i="6"/>
  <c r="I62" i="6" s="1"/>
  <c r="I63" i="6" s="1"/>
  <c r="G60" i="6"/>
  <c r="G62" i="6" s="1"/>
  <c r="G63" i="6" s="1"/>
  <c r="K60" i="6"/>
  <c r="K62" i="6" s="1"/>
  <c r="K63" i="6" s="1"/>
  <c r="X60" i="6"/>
  <c r="X62" i="6" s="1"/>
  <c r="X63" i="6" s="1"/>
  <c r="L60" i="6"/>
  <c r="L62" i="6" s="1"/>
  <c r="L63" i="6" s="1"/>
  <c r="Y60" i="7"/>
  <c r="Y62" i="7" s="1"/>
  <c r="Y63" i="7" s="1"/>
  <c r="I60" i="7"/>
  <c r="I62" i="7" s="1"/>
  <c r="I63" i="7" s="1"/>
  <c r="D60" i="7"/>
  <c r="D62" i="7" s="1"/>
  <c r="D63" i="7" s="1"/>
  <c r="F60" i="6"/>
  <c r="F62" i="6" s="1"/>
  <c r="F63" i="6" s="1"/>
  <c r="Q60" i="7"/>
  <c r="Q62" i="7" s="1"/>
  <c r="Q63" i="7" s="1"/>
  <c r="Q60" i="6"/>
  <c r="Q62" i="6" s="1"/>
  <c r="Q63" i="6" s="1"/>
  <c r="O60" i="7"/>
  <c r="O62" i="7" s="1"/>
  <c r="O63" i="7" s="1"/>
  <c r="M60" i="7"/>
  <c r="M62" i="7" s="1"/>
  <c r="M63" i="7" s="1"/>
  <c r="J60" i="7"/>
  <c r="J62" i="7" s="1"/>
  <c r="J63" i="7" s="1"/>
  <c r="J60" i="6"/>
  <c r="J62" i="6" s="1"/>
  <c r="J63" i="6" s="1"/>
  <c r="P60" i="6"/>
  <c r="P62" i="6" s="1"/>
  <c r="P63" i="6" s="1"/>
  <c r="M60" i="6"/>
  <c r="M62" i="6" s="1"/>
  <c r="M63" i="6" s="1"/>
  <c r="X60" i="7"/>
  <c r="X62" i="7" s="1"/>
  <c r="X63" i="7" s="1"/>
  <c r="U60" i="7"/>
  <c r="U62" i="7" s="1"/>
  <c r="U63" i="7" s="1"/>
  <c r="V60" i="7"/>
  <c r="V62" i="7" s="1"/>
  <c r="V63" i="7" s="1"/>
  <c r="W60" i="6"/>
  <c r="W62" i="6" s="1"/>
  <c r="W63" i="6" s="1"/>
  <c r="T60" i="6"/>
  <c r="T62" i="6" s="1"/>
  <c r="T63" i="6" s="1"/>
  <c r="AA60" i="7"/>
  <c r="AA62" i="7" s="1"/>
  <c r="AA63" i="7" s="1"/>
  <c r="E60" i="7"/>
  <c r="E62" i="7" s="1"/>
  <c r="E63" i="7" s="1"/>
  <c r="N60" i="7"/>
  <c r="N62" i="7" s="1"/>
  <c r="N63" i="7" s="1"/>
  <c r="Z60" i="6"/>
  <c r="Z62" i="6" s="1"/>
  <c r="Z63" i="6" s="1"/>
  <c r="S60" i="6"/>
  <c r="S62" i="6" s="1"/>
  <c r="S63" i="6" s="1"/>
  <c r="Z60" i="7"/>
  <c r="Z62" i="7" s="1"/>
  <c r="Z63" i="7" s="1"/>
  <c r="R60" i="6"/>
  <c r="R62" i="6" s="1"/>
  <c r="R63" i="6" s="1"/>
  <c r="K60" i="7"/>
  <c r="K62" i="7" s="1"/>
  <c r="K63" i="7" s="1"/>
  <c r="H60" i="7"/>
  <c r="H62" i="7" s="1"/>
  <c r="H63" i="7" s="1"/>
  <c r="AA60" i="6"/>
  <c r="AA62" i="6" s="1"/>
  <c r="AA63" i="6" s="1"/>
  <c r="S60" i="7"/>
  <c r="S62" i="7" s="1"/>
  <c r="S63" i="7" s="1"/>
  <c r="F60" i="7"/>
  <c r="F62" i="7" s="1"/>
  <c r="F63" i="7" s="1"/>
  <c r="R60" i="7"/>
  <c r="R62" i="7" s="1"/>
  <c r="R63" i="7" s="1"/>
  <c r="L60" i="7"/>
  <c r="L62" i="7" s="1"/>
  <c r="L63" i="7" s="1"/>
  <c r="Y60" i="6"/>
  <c r="Y62" i="6" s="1"/>
  <c r="Y63" i="6" s="1"/>
  <c r="T60" i="7"/>
  <c r="T62" i="7" s="1"/>
  <c r="T63" i="7" s="1"/>
  <c r="W60" i="7"/>
  <c r="W62" i="7" s="1"/>
  <c r="W63" i="7" s="1"/>
  <c r="U60" i="6"/>
  <c r="U62" i="6" s="1"/>
  <c r="U63" i="6" s="1"/>
  <c r="V60" i="6"/>
  <c r="V62" i="6" s="1"/>
  <c r="V63" i="6" s="1"/>
  <c r="N60" i="6"/>
  <c r="N62" i="6" s="1"/>
  <c r="N63" i="6" s="1"/>
  <c r="B100" i="5"/>
  <c r="B101" i="5" s="1"/>
  <c r="Y14" i="8" s="1"/>
  <c r="Y15" i="8" s="1"/>
  <c r="B111" i="5"/>
  <c r="B112" i="5" s="1"/>
  <c r="AF14" i="8" s="1"/>
  <c r="AF15" i="8" s="1"/>
  <c r="AF21" i="8" s="1"/>
  <c r="B89" i="7" l="1"/>
  <c r="B90" i="7" s="1"/>
  <c r="T14" i="8" s="1"/>
  <c r="T15" i="8" s="1"/>
  <c r="B89" i="6"/>
  <c r="B90" i="6" s="1"/>
  <c r="S14" i="8" s="1"/>
  <c r="S15" i="8" s="1"/>
  <c r="B78" i="6"/>
  <c r="B79" i="6" s="1"/>
  <c r="L14" i="8" s="1"/>
  <c r="L15" i="8" s="1"/>
  <c r="B100" i="6"/>
  <c r="B101" i="6" s="1"/>
  <c r="Z14" i="8" s="1"/>
  <c r="Z15" i="8" s="1"/>
  <c r="B100" i="7"/>
  <c r="B101" i="7" s="1"/>
  <c r="AA14" i="8" s="1"/>
  <c r="AA15" i="8" s="1"/>
  <c r="B111" i="7"/>
  <c r="B112" i="7" s="1"/>
  <c r="AH14" i="8" s="1"/>
  <c r="AH15" i="8" s="1"/>
  <c r="B67" i="6"/>
  <c r="B68" i="6" s="1"/>
  <c r="E14" i="8" s="1"/>
  <c r="E15" i="8" s="1"/>
  <c r="B111" i="6"/>
  <c r="B112" i="6" s="1"/>
  <c r="AG14" i="8" s="1"/>
  <c r="AG15" i="8" s="1"/>
  <c r="B67" i="7"/>
  <c r="B68" i="7" s="1"/>
  <c r="F14" i="8" s="1"/>
  <c r="F15" i="8" s="1"/>
  <c r="B78" i="7"/>
  <c r="B79" i="7" s="1"/>
  <c r="M14" i="8" s="1"/>
  <c r="M15" i="8" s="1"/>
  <c r="R16" i="8" l="1"/>
  <c r="R21" i="8" s="1"/>
  <c r="C16" i="8"/>
  <c r="C21" i="8" s="1"/>
  <c r="M16" i="8"/>
  <c r="M21" i="8" s="1"/>
  <c r="AH16" i="8"/>
  <c r="AH21" i="8" s="1"/>
  <c r="AA16" i="8"/>
  <c r="AA21" i="8" s="1"/>
  <c r="Z16" i="8"/>
  <c r="Z21" i="8" s="1"/>
  <c r="Q16" i="8"/>
  <c r="Q21" i="8" s="1"/>
  <c r="T16" i="8"/>
  <c r="T21" i="8" s="1"/>
  <c r="K16" i="8"/>
  <c r="K21" i="8" s="1"/>
  <c r="AG16" i="8"/>
  <c r="AG21" i="8" s="1"/>
  <c r="Y16" i="8"/>
  <c r="Y21" i="8" s="1"/>
  <c r="X16" i="8"/>
  <c r="X21" i="8" s="1"/>
  <c r="L16" i="8"/>
  <c r="L21" i="8" s="1"/>
  <c r="S16" i="8"/>
  <c r="S21" i="8" s="1"/>
  <c r="J16" i="8"/>
  <c r="J21" i="8" s="1"/>
  <c r="F16" i="8"/>
  <c r="F21" i="8" s="1"/>
  <c r="E16" i="8"/>
  <c r="E21" i="8" s="1"/>
  <c r="D16" i="8"/>
  <c r="D21" i="8" s="1"/>
</calcChain>
</file>

<file path=xl/sharedStrings.xml><?xml version="1.0" encoding="utf-8"?>
<sst xmlns="http://schemas.openxmlformats.org/spreadsheetml/2006/main" count="1028" uniqueCount="162">
  <si>
    <t>Parameter</t>
  </si>
  <si>
    <t>Year</t>
  </si>
  <si>
    <t>Value</t>
  </si>
  <si>
    <t>Unit</t>
  </si>
  <si>
    <t>Standard Values</t>
  </si>
  <si>
    <t>Current Year</t>
  </si>
  <si>
    <t>Inflation</t>
  </si>
  <si>
    <t>WACC</t>
  </si>
  <si>
    <t>USD to EUR</t>
  </si>
  <si>
    <t xml:space="preserve">Electricity </t>
  </si>
  <si>
    <t>LCOE</t>
  </si>
  <si>
    <t>$/MWh</t>
  </si>
  <si>
    <t>Jet Fuel A-1 Characteristics</t>
  </si>
  <si>
    <t>Emissions Intensity</t>
  </si>
  <si>
    <t>gCO2/MJ</t>
  </si>
  <si>
    <t>Energy Density</t>
  </si>
  <si>
    <t>MJ/kg</t>
  </si>
  <si>
    <t>MJ/l</t>
  </si>
  <si>
    <t>Volumetric Density</t>
  </si>
  <si>
    <t>kg/l</t>
  </si>
  <si>
    <t>Jet Fuel A-1 Price</t>
  </si>
  <si>
    <t>$/l</t>
  </si>
  <si>
    <t>Scenario Specific Values</t>
  </si>
  <si>
    <t>IEA Reference</t>
  </si>
  <si>
    <t>EIA Reference</t>
  </si>
  <si>
    <t>EIA Low Oil Price Scenario</t>
  </si>
  <si>
    <t>EIA High Scenario</t>
  </si>
  <si>
    <t>Direct Air Capture</t>
  </si>
  <si>
    <t>LCOR</t>
  </si>
  <si>
    <t>$/tCO2</t>
  </si>
  <si>
    <t>Key Parameters</t>
  </si>
  <si>
    <t>Source</t>
  </si>
  <si>
    <t>Note</t>
  </si>
  <si>
    <t>Plant Lifetime (years)</t>
  </si>
  <si>
    <t>Both</t>
  </si>
  <si>
    <t xml:space="preserve">Marchese et. al. </t>
  </si>
  <si>
    <t>Discount Rate</t>
  </si>
  <si>
    <t>Medium risk discount rate considered as low risk is 0%</t>
  </si>
  <si>
    <t>Plant Parameters</t>
  </si>
  <si>
    <t>Annual Full Load Hours</t>
  </si>
  <si>
    <t>h</t>
  </si>
  <si>
    <t>Process Parameters</t>
  </si>
  <si>
    <t>Fuel Production C.1</t>
  </si>
  <si>
    <t>t/h</t>
  </si>
  <si>
    <t>Fuel Production C.2</t>
  </si>
  <si>
    <t>Fuel Production C.3</t>
  </si>
  <si>
    <t>Fuel Production C.4</t>
  </si>
  <si>
    <t>Fuel Production C.5</t>
  </si>
  <si>
    <t>H2 Consumption</t>
  </si>
  <si>
    <t>CO2 Consumption</t>
  </si>
  <si>
    <t>Annual CO2 Consumption</t>
  </si>
  <si>
    <t>t</t>
  </si>
  <si>
    <t>Calculated</t>
  </si>
  <si>
    <t>DAC Electricity Consumption</t>
  </si>
  <si>
    <t>kWh/t</t>
  </si>
  <si>
    <t>Fasihi et. al. 2019, Table 2</t>
  </si>
  <si>
    <t>K2CO3 process is considered as it is modelled here</t>
  </si>
  <si>
    <t>Annual DAC Electricity Consumption</t>
  </si>
  <si>
    <t>MWh</t>
  </si>
  <si>
    <t>Annual Process Electricity Consumption C.1</t>
  </si>
  <si>
    <t>Annual Process Electricity Consumption C.2</t>
  </si>
  <si>
    <t>Annual Process Electricity Consumption C.3</t>
  </si>
  <si>
    <t>Annual Process Electricity Consumption C.4</t>
  </si>
  <si>
    <t>Annual Process Electricity Consumption C.5</t>
  </si>
  <si>
    <t>External Costs</t>
  </si>
  <si>
    <t>Electricity Price: Hydropower</t>
  </si>
  <si>
    <t>€/MWh</t>
  </si>
  <si>
    <t>Electricity Price: Onshore Wind</t>
  </si>
  <si>
    <t>Electricity Price: Geothermal</t>
  </si>
  <si>
    <t>Electricity Price: Offshore Wind</t>
  </si>
  <si>
    <t>Electricity Price: CSP</t>
  </si>
  <si>
    <t>Electricity Price: Baseload (Wind + Solar)</t>
  </si>
  <si>
    <t>Electricity Price: Baseload</t>
  </si>
  <si>
    <t>Fuel Characteristics</t>
  </si>
  <si>
    <t>GHG Emissions</t>
  </si>
  <si>
    <t>Process is considered to be carbon neutral with embedded CO2 captured via DAC</t>
  </si>
  <si>
    <t>CAPEX</t>
  </si>
  <si>
    <t>Component</t>
  </si>
  <si>
    <t>C.1</t>
  </si>
  <si>
    <t>C.2</t>
  </si>
  <si>
    <t>C.3</t>
  </si>
  <si>
    <t>C.4</t>
  </si>
  <si>
    <t>C.5</t>
  </si>
  <si>
    <t>Electrolysis</t>
  </si>
  <si>
    <t>M€</t>
  </si>
  <si>
    <t>Marchese et. al. Supplementary Information Table S.6</t>
  </si>
  <si>
    <t>Other CAPEX</t>
  </si>
  <si>
    <t>DAC</t>
  </si>
  <si>
    <t>Thermal Integration</t>
  </si>
  <si>
    <t>RWGS</t>
  </si>
  <si>
    <t>FT</t>
  </si>
  <si>
    <t>Total Syngas Compression</t>
  </si>
  <si>
    <t>Distillation</t>
  </si>
  <si>
    <t>Afterburn Combustor</t>
  </si>
  <si>
    <t>Total CAPEX</t>
  </si>
  <si>
    <t>OPEX</t>
  </si>
  <si>
    <t>M€/year</t>
  </si>
  <si>
    <t>Marchese et. al. Supplementary Information Table S.7</t>
  </si>
  <si>
    <t>Electricity</t>
  </si>
  <si>
    <t>Other OPEX</t>
  </si>
  <si>
    <t>Total OPEX (non electric)</t>
  </si>
  <si>
    <t>Total OPEX (including electricity)</t>
  </si>
  <si>
    <t>Hydropower</t>
  </si>
  <si>
    <t>Onshore Wind</t>
  </si>
  <si>
    <t>PV</t>
  </si>
  <si>
    <t>Geothermal</t>
  </si>
  <si>
    <t>Offshore Wind</t>
  </si>
  <si>
    <t>CSP</t>
  </si>
  <si>
    <t>Baseload (Solar + Wind)</t>
  </si>
  <si>
    <t>Revenues</t>
  </si>
  <si>
    <t>O2 Sale</t>
  </si>
  <si>
    <t>FT C5-C11</t>
  </si>
  <si>
    <t>FT C11-C20</t>
  </si>
  <si>
    <t>Total Revenue</t>
  </si>
  <si>
    <t>2021 Corrected</t>
  </si>
  <si>
    <t>2050 Corrected</t>
  </si>
  <si>
    <t>CO2 Cost</t>
  </si>
  <si>
    <t>CO2 Corrected CAPEX</t>
  </si>
  <si>
    <t>CO2 Corrected OPEX (non electric)</t>
  </si>
  <si>
    <t>C.1 Hydropower</t>
  </si>
  <si>
    <t>Cost (€)</t>
  </si>
  <si>
    <t>Revenue (€)</t>
  </si>
  <si>
    <t>Free Cash Flow (€)</t>
  </si>
  <si>
    <t>Discounted Cash Flow (€)</t>
  </si>
  <si>
    <t>Fuel Production (kg)</t>
  </si>
  <si>
    <t>Discounted Fuel Production (kg)</t>
  </si>
  <si>
    <t>Production Cost of Fuel (€/kg)</t>
  </si>
  <si>
    <t>Production Cost of Fuel (€/l)</t>
  </si>
  <si>
    <t>C.1 Baseload</t>
  </si>
  <si>
    <t>C.2 Hydropower</t>
  </si>
  <si>
    <t>C.2 Baseload</t>
  </si>
  <si>
    <t>C.3 Hydropower</t>
  </si>
  <si>
    <t>C.3 Baseload</t>
  </si>
  <si>
    <t>C.4 Hydropower</t>
  </si>
  <si>
    <t>C.4 Baseload</t>
  </si>
  <si>
    <t>C.5 Hydropower</t>
  </si>
  <si>
    <t>C.5 Baseload</t>
  </si>
  <si>
    <t>CO2</t>
  </si>
  <si>
    <t>Contributions</t>
  </si>
  <si>
    <t>2024 C.1</t>
  </si>
  <si>
    <t>2024 C.2</t>
  </si>
  <si>
    <t>2024 C.3</t>
  </si>
  <si>
    <t>2024 C.4</t>
  </si>
  <si>
    <t>2024 C.5</t>
  </si>
  <si>
    <t>Base Case</t>
  </si>
  <si>
    <t>LCOE Corrected</t>
  </si>
  <si>
    <t>CO2 Cost Corrected</t>
  </si>
  <si>
    <t>WACC Corrected</t>
  </si>
  <si>
    <t>Syn-Fuel cost</t>
  </si>
  <si>
    <t>€/l</t>
  </si>
  <si>
    <t>Fossil Fuel cost</t>
  </si>
  <si>
    <t>Syn-Fuel emissions</t>
  </si>
  <si>
    <t>gCO2eq/MJ</t>
  </si>
  <si>
    <t>Fossil Fuel emissions</t>
  </si>
  <si>
    <t>CO2 Abated</t>
  </si>
  <si>
    <t>gCO2eq/l</t>
  </si>
  <si>
    <t>Abatement cost</t>
  </si>
  <si>
    <t>2050 C.1</t>
  </si>
  <si>
    <t>2050 C.2</t>
  </si>
  <si>
    <t>2050 C.3</t>
  </si>
  <si>
    <t>2050 C.4</t>
  </si>
  <si>
    <t>2050 C.5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</si>
</sst>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%"/>
    <numFmt numFmtId="166" formatCode="0.0"/>
    <numFmt numFmtId="167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2" fontId="0" fillId="0" borderId="0" xfId="0" applyNumberFormat="1"/>
    <xf numFmtId="0" fontId="3" fillId="0" borderId="0" xfId="0" applyFont="1"/>
    <xf numFmtId="0" fontId="2" fillId="3" borderId="0" xfId="0" applyFont="1" applyFill="1"/>
    <xf numFmtId="0" fontId="0" fillId="3" borderId="0" xfId="0" applyFill="1"/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0" fontId="2" fillId="2" borderId="0" xfId="0" applyFont="1" applyFill="1" applyAlignment="1">
      <alignment horizontal="center"/>
    </xf>
    <xf numFmtId="0" fontId="4" fillId="0" borderId="2" xfId="0" applyFont="1" applyBorder="1"/>
    <xf numFmtId="0" fontId="0" fillId="0" borderId="2" xfId="0" applyBorder="1"/>
    <xf numFmtId="167" fontId="0" fillId="0" borderId="0" xfId="0" applyNumberFormat="1"/>
    <xf numFmtId="1" fontId="0" fillId="0" borderId="0" xfId="0" applyNumberFormat="1"/>
    <xf numFmtId="2" fontId="0" fillId="0" borderId="2" xfId="0" applyNumberFormat="1" applyBorder="1"/>
    <xf numFmtId="9" fontId="1" fillId="0" borderId="0" xfId="1"/>
    <xf numFmtId="0" fontId="2" fillId="3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Master%20Standardisation_SAF.xlsx" TargetMode="External"/><Relationship Id="rId1" Type="http://schemas.openxmlformats.org/officeDocument/2006/relationships/externalLinkPath" Target="Master%20Standardisation_S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MZUE4YIPAMGRCJYCYPO4ESO2WS">
      <xxl21:absoluteUrl r:id="rId2"/>
    </xxl21:alternateUrls>
    <sheetNames>
      <sheetName val="Intro"/>
      <sheetName val="Steps"/>
      <sheetName val="Inputs"/>
      <sheetName val="Electricity"/>
      <sheetName val="Standard Input Calculations"/>
      <sheetName val="Sensitivities"/>
      <sheetName val="Notes for Study Parameters"/>
      <sheetName val="Studies current &amp; future cost"/>
      <sheetName val="Study Parameters"/>
      <sheetName val="Study Parameters 2050"/>
      <sheetName val="Standardization Results"/>
      <sheetName val="CO2 Effect"/>
      <sheetName val="Median CO2"/>
      <sheetName val="Low CO2"/>
      <sheetName val="High CO2"/>
      <sheetName val="Reference"/>
      <sheetName val="High Elec High CO2"/>
      <sheetName val="Low Elec Low CO2"/>
      <sheetName val="Results Reference"/>
      <sheetName val="Results Low Fossil Price"/>
      <sheetName val="Results High Fossil Price"/>
      <sheetName val="Full Abatement"/>
      <sheetName val="Descriptive Stats"/>
      <sheetName val="Per Passenger Cost Calculation"/>
    </sheetNames>
    <sheetDataSet>
      <sheetData sheetId="0"/>
      <sheetData sheetId="1"/>
      <sheetData sheetId="2">
        <row r="5">
          <cell r="C5">
            <v>0.02</v>
          </cell>
        </row>
        <row r="6">
          <cell r="C6">
            <v>7.0000000000000007E-2</v>
          </cell>
        </row>
        <row r="7">
          <cell r="C7">
            <v>0.9</v>
          </cell>
        </row>
        <row r="9">
          <cell r="C9">
            <v>64</v>
          </cell>
        </row>
        <row r="10">
          <cell r="C10">
            <v>11</v>
          </cell>
        </row>
        <row r="12">
          <cell r="C12">
            <v>88.7</v>
          </cell>
        </row>
        <row r="13">
          <cell r="C13">
            <v>88.7</v>
          </cell>
        </row>
        <row r="14">
          <cell r="C14">
            <v>43.2</v>
          </cell>
        </row>
        <row r="15">
          <cell r="C15">
            <v>34.689600000000006</v>
          </cell>
        </row>
        <row r="16">
          <cell r="C16">
            <v>0.80300000000000005</v>
          </cell>
        </row>
        <row r="17">
          <cell r="C17">
            <v>0.8</v>
          </cell>
        </row>
        <row r="19">
          <cell r="C19">
            <v>1.7</v>
          </cell>
        </row>
        <row r="21">
          <cell r="C21">
            <v>0.32246153846153797</v>
          </cell>
        </row>
        <row r="22">
          <cell r="C22">
            <v>0.20923076923076925</v>
          </cell>
        </row>
        <row r="24">
          <cell r="C24">
            <v>1.0209014091790563</v>
          </cell>
        </row>
        <row r="25">
          <cell r="C25">
            <v>2.0095593639301876</v>
          </cell>
        </row>
        <row r="27">
          <cell r="C27">
            <v>0.4828683335488041</v>
          </cell>
        </row>
        <row r="28">
          <cell r="C28">
            <v>0.89646574789915967</v>
          </cell>
        </row>
        <row r="30">
          <cell r="C30">
            <v>1.8838712863606983</v>
          </cell>
        </row>
        <row r="31">
          <cell r="C31">
            <v>3.7893730833872015</v>
          </cell>
        </row>
        <row r="33">
          <cell r="C33">
            <v>1371</v>
          </cell>
        </row>
        <row r="34">
          <cell r="C34">
            <v>523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C18" sqref="C18"/>
    </sheetView>
  </sheetViews>
  <sheetFormatPr defaultColWidth="11" defaultRowHeight="15.75" x14ac:dyDescent="0.25"/>
  <cols>
    <col min="1" max="1" width="24.125" bestFit="1" customWidth="1"/>
    <col min="2" max="2" width="11.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3" customFormat="1" x14ac:dyDescent="0.25">
      <c r="A2" s="2" t="s">
        <v>4</v>
      </c>
    </row>
    <row r="3" spans="1:4" x14ac:dyDescent="0.25">
      <c r="A3" t="s">
        <v>5</v>
      </c>
      <c r="C3">
        <v>2024</v>
      </c>
    </row>
    <row r="4" spans="1:4" x14ac:dyDescent="0.25">
      <c r="A4" t="s">
        <v>6</v>
      </c>
      <c r="C4" s="17">
        <f>[1]Inputs!C5</f>
        <v>0.02</v>
      </c>
    </row>
    <row r="5" spans="1:4" x14ac:dyDescent="0.25">
      <c r="A5" t="s">
        <v>7</v>
      </c>
      <c r="C5" s="17">
        <f>[1]Inputs!C6</f>
        <v>7.0000000000000007E-2</v>
      </c>
    </row>
    <row r="6" spans="1:4" x14ac:dyDescent="0.25">
      <c r="A6" t="s">
        <v>8</v>
      </c>
      <c r="C6">
        <f>[1]Inputs!C7</f>
        <v>0.9</v>
      </c>
    </row>
    <row r="7" spans="1:4" s="3" customFormat="1" x14ac:dyDescent="0.25">
      <c r="A7" s="2" t="s">
        <v>9</v>
      </c>
    </row>
    <row r="8" spans="1:4" x14ac:dyDescent="0.25">
      <c r="A8" s="5" t="s">
        <v>10</v>
      </c>
      <c r="B8">
        <v>2024</v>
      </c>
      <c r="C8" s="4">
        <f>[1]Inputs!C9</f>
        <v>64</v>
      </c>
      <c r="D8" t="s">
        <v>11</v>
      </c>
    </row>
    <row r="9" spans="1:4" x14ac:dyDescent="0.25">
      <c r="A9" s="5" t="s">
        <v>10</v>
      </c>
      <c r="B9">
        <v>2050</v>
      </c>
      <c r="C9" s="4">
        <f>[1]Inputs!C10</f>
        <v>11</v>
      </c>
      <c r="D9" t="s">
        <v>11</v>
      </c>
    </row>
    <row r="10" spans="1:4" s="3" customFormat="1" x14ac:dyDescent="0.25">
      <c r="A10" s="2" t="s">
        <v>12</v>
      </c>
    </row>
    <row r="11" spans="1:4" x14ac:dyDescent="0.25">
      <c r="A11" t="s">
        <v>13</v>
      </c>
      <c r="B11">
        <v>2024</v>
      </c>
      <c r="C11" s="4">
        <f>[1]Inputs!C12</f>
        <v>88.7</v>
      </c>
      <c r="D11" t="s">
        <v>14</v>
      </c>
    </row>
    <row r="12" spans="1:4" x14ac:dyDescent="0.25">
      <c r="A12" t="s">
        <v>13</v>
      </c>
      <c r="B12">
        <v>2050</v>
      </c>
      <c r="C12" s="4">
        <f>[1]Inputs!C13</f>
        <v>88.7</v>
      </c>
      <c r="D12" t="s">
        <v>14</v>
      </c>
    </row>
    <row r="13" spans="1:4" x14ac:dyDescent="0.25">
      <c r="A13" t="s">
        <v>15</v>
      </c>
      <c r="C13" s="4">
        <f>[1]Inputs!C14</f>
        <v>43.2</v>
      </c>
      <c r="D13" t="s">
        <v>16</v>
      </c>
    </row>
    <row r="14" spans="1:4" x14ac:dyDescent="0.25">
      <c r="A14" t="s">
        <v>15</v>
      </c>
      <c r="C14" s="4">
        <f>[1]Inputs!C15</f>
        <v>34.689600000000006</v>
      </c>
      <c r="D14" t="s">
        <v>17</v>
      </c>
    </row>
    <row r="15" spans="1:4" x14ac:dyDescent="0.25">
      <c r="A15" t="s">
        <v>18</v>
      </c>
      <c r="C15" s="4">
        <f>[1]Inputs!C16</f>
        <v>0.80300000000000005</v>
      </c>
      <c r="D15" t="s">
        <v>19</v>
      </c>
    </row>
    <row r="16" spans="1:4" x14ac:dyDescent="0.25">
      <c r="A16" t="s">
        <v>20</v>
      </c>
      <c r="B16">
        <v>2024</v>
      </c>
      <c r="C16" s="4">
        <f>[1]Inputs!C17</f>
        <v>0.8</v>
      </c>
      <c r="D16" t="s">
        <v>21</v>
      </c>
    </row>
    <row r="17" spans="1:4" s="3" customFormat="1" x14ac:dyDescent="0.25">
      <c r="A17" s="2" t="s">
        <v>22</v>
      </c>
    </row>
    <row r="18" spans="1:4" x14ac:dyDescent="0.25">
      <c r="A18" s="5" t="s">
        <v>20</v>
      </c>
      <c r="B18">
        <v>2050</v>
      </c>
      <c r="C18" s="4">
        <f>[1]Inputs!C19</f>
        <v>1.7</v>
      </c>
      <c r="D18" t="s">
        <v>21</v>
      </c>
    </row>
    <row r="19" spans="1:4" s="7" customFormat="1" x14ac:dyDescent="0.25">
      <c r="A19" s="6" t="s">
        <v>23</v>
      </c>
    </row>
    <row r="20" spans="1:4" x14ac:dyDescent="0.25">
      <c r="A20" t="s">
        <v>20</v>
      </c>
      <c r="B20">
        <v>2024</v>
      </c>
      <c r="C20" s="4">
        <f>[1]Inputs!C21</f>
        <v>0.32246153846153797</v>
      </c>
      <c r="D20" t="s">
        <v>21</v>
      </c>
    </row>
    <row r="21" spans="1:4" x14ac:dyDescent="0.25">
      <c r="A21" t="s">
        <v>20</v>
      </c>
      <c r="B21">
        <v>2050</v>
      </c>
      <c r="C21" s="4">
        <f>[1]Inputs!C22</f>
        <v>0.20923076923076925</v>
      </c>
      <c r="D21" t="s">
        <v>21</v>
      </c>
    </row>
    <row r="22" spans="1:4" s="7" customFormat="1" x14ac:dyDescent="0.25">
      <c r="A22" s="6" t="s">
        <v>24</v>
      </c>
    </row>
    <row r="23" spans="1:4" x14ac:dyDescent="0.25">
      <c r="A23" t="s">
        <v>20</v>
      </c>
      <c r="B23">
        <v>2024</v>
      </c>
      <c r="C23" s="4">
        <f>[1]Inputs!C24</f>
        <v>1.0209014091790563</v>
      </c>
      <c r="D23" t="s">
        <v>21</v>
      </c>
    </row>
    <row r="24" spans="1:4" x14ac:dyDescent="0.25">
      <c r="A24" t="s">
        <v>20</v>
      </c>
      <c r="B24">
        <v>2050</v>
      </c>
      <c r="C24" s="4">
        <f>[1]Inputs!C25</f>
        <v>2.0095593639301876</v>
      </c>
      <c r="D24" t="s">
        <v>21</v>
      </c>
    </row>
    <row r="25" spans="1:4" s="7" customFormat="1" x14ac:dyDescent="0.25">
      <c r="A25" s="6" t="s">
        <v>25</v>
      </c>
    </row>
    <row r="26" spans="1:4" x14ac:dyDescent="0.25">
      <c r="A26" t="s">
        <v>20</v>
      </c>
      <c r="B26">
        <v>2024</v>
      </c>
      <c r="C26" s="4">
        <f>[1]Inputs!C27</f>
        <v>0.4828683335488041</v>
      </c>
      <c r="D26" t="s">
        <v>21</v>
      </c>
    </row>
    <row r="27" spans="1:4" x14ac:dyDescent="0.25">
      <c r="A27" t="s">
        <v>20</v>
      </c>
      <c r="B27">
        <v>2050</v>
      </c>
      <c r="C27" s="4">
        <f>[1]Inputs!C28</f>
        <v>0.89646574789915967</v>
      </c>
      <c r="D27" t="s">
        <v>21</v>
      </c>
    </row>
    <row r="28" spans="1:4" s="7" customFormat="1" x14ac:dyDescent="0.25">
      <c r="A28" s="6" t="s">
        <v>26</v>
      </c>
    </row>
    <row r="29" spans="1:4" x14ac:dyDescent="0.25">
      <c r="A29" t="s">
        <v>20</v>
      </c>
      <c r="B29">
        <v>2024</v>
      </c>
      <c r="C29" s="4">
        <f>[1]Inputs!C30</f>
        <v>1.8838712863606983</v>
      </c>
      <c r="D29" t="s">
        <v>21</v>
      </c>
    </row>
    <row r="30" spans="1:4" x14ac:dyDescent="0.25">
      <c r="A30" t="s">
        <v>20</v>
      </c>
      <c r="B30">
        <v>2050</v>
      </c>
      <c r="C30" s="4">
        <f>[1]Inputs!C31</f>
        <v>3.7893730833872015</v>
      </c>
      <c r="D30" t="s">
        <v>21</v>
      </c>
    </row>
    <row r="31" spans="1:4" s="3" customFormat="1" x14ac:dyDescent="0.25">
      <c r="A31" s="2" t="s">
        <v>27</v>
      </c>
    </row>
    <row r="32" spans="1:4" x14ac:dyDescent="0.25">
      <c r="A32" t="s">
        <v>28</v>
      </c>
      <c r="B32">
        <v>2024</v>
      </c>
      <c r="C32" s="4">
        <f>[1]Inputs!C33</f>
        <v>1371</v>
      </c>
      <c r="D32" t="s">
        <v>29</v>
      </c>
    </row>
    <row r="33" spans="1:4" x14ac:dyDescent="0.25">
      <c r="A33" t="s">
        <v>28</v>
      </c>
      <c r="B33">
        <v>2050</v>
      </c>
      <c r="C33" s="4">
        <f>[1]Inputs!C34</f>
        <v>523</v>
      </c>
      <c r="D3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>
      <selection activeCell="C12" sqref="C12"/>
    </sheetView>
  </sheetViews>
  <sheetFormatPr defaultColWidth="11" defaultRowHeight="15.75" x14ac:dyDescent="0.25"/>
  <cols>
    <col min="1" max="1" width="37.125" bestFit="1" customWidth="1"/>
  </cols>
  <sheetData>
    <row r="1" spans="1:6" s="2" customFormat="1" x14ac:dyDescent="0.25">
      <c r="A1" s="2" t="s">
        <v>30</v>
      </c>
    </row>
    <row r="2" spans="1:6" x14ac:dyDescent="0.25">
      <c r="A2" t="s">
        <v>0</v>
      </c>
      <c r="B2" t="s">
        <v>1</v>
      </c>
      <c r="C2" t="s">
        <v>2</v>
      </c>
      <c r="D2" t="s">
        <v>31</v>
      </c>
      <c r="E2" t="s">
        <v>32</v>
      </c>
    </row>
    <row r="3" spans="1:6" x14ac:dyDescent="0.25">
      <c r="A3" t="s">
        <v>33</v>
      </c>
      <c r="B3" t="s">
        <v>34</v>
      </c>
      <c r="C3">
        <v>25</v>
      </c>
      <c r="D3" t="s">
        <v>35</v>
      </c>
    </row>
    <row r="4" spans="1:6" x14ac:dyDescent="0.25">
      <c r="A4" t="s">
        <v>36</v>
      </c>
      <c r="B4" t="s">
        <v>34</v>
      </c>
      <c r="C4" s="9">
        <v>7.4999999999999997E-2</v>
      </c>
      <c r="D4" t="s">
        <v>35</v>
      </c>
      <c r="E4" t="s">
        <v>37</v>
      </c>
    </row>
    <row r="6" spans="1:6" s="2" customFormat="1" x14ac:dyDescent="0.25">
      <c r="A6" s="2" t="s">
        <v>38</v>
      </c>
    </row>
    <row r="7" spans="1:6" x14ac:dyDescent="0.25">
      <c r="A7" t="s">
        <v>0</v>
      </c>
      <c r="B7" t="s">
        <v>1</v>
      </c>
      <c r="C7" t="s">
        <v>2</v>
      </c>
      <c r="D7" t="s">
        <v>3</v>
      </c>
      <c r="E7" t="s">
        <v>31</v>
      </c>
      <c r="F7" t="s">
        <v>32</v>
      </c>
    </row>
    <row r="8" spans="1:6" x14ac:dyDescent="0.25">
      <c r="A8" t="s">
        <v>39</v>
      </c>
      <c r="B8" t="s">
        <v>34</v>
      </c>
      <c r="C8">
        <v>8000</v>
      </c>
      <c r="D8" t="s">
        <v>40</v>
      </c>
      <c r="E8" t="s">
        <v>35</v>
      </c>
    </row>
    <row r="10" spans="1:6" s="2" customFormat="1" x14ac:dyDescent="0.25">
      <c r="A10" s="2" t="s">
        <v>41</v>
      </c>
    </row>
    <row r="11" spans="1:6" x14ac:dyDescent="0.25">
      <c r="A11" t="s">
        <v>0</v>
      </c>
      <c r="B11" t="s">
        <v>1</v>
      </c>
      <c r="C11" t="s">
        <v>2</v>
      </c>
      <c r="D11" t="s">
        <v>3</v>
      </c>
      <c r="E11" t="s">
        <v>31</v>
      </c>
      <c r="F11" t="s">
        <v>32</v>
      </c>
    </row>
    <row r="12" spans="1:6" x14ac:dyDescent="0.25">
      <c r="A12" t="s">
        <v>42</v>
      </c>
      <c r="B12" t="s">
        <v>34</v>
      </c>
      <c r="C12">
        <v>8.6999999999999993</v>
      </c>
      <c r="D12" t="s">
        <v>43</v>
      </c>
      <c r="E12" t="s">
        <v>35</v>
      </c>
    </row>
    <row r="13" spans="1:6" x14ac:dyDescent="0.25">
      <c r="A13" t="s">
        <v>44</v>
      </c>
      <c r="B13" t="s">
        <v>34</v>
      </c>
      <c r="C13">
        <v>3.5</v>
      </c>
      <c r="D13" t="s">
        <v>43</v>
      </c>
      <c r="E13" t="s">
        <v>35</v>
      </c>
    </row>
    <row r="14" spans="1:6" x14ac:dyDescent="0.25">
      <c r="A14" t="s">
        <v>45</v>
      </c>
      <c r="B14" t="s">
        <v>34</v>
      </c>
      <c r="C14">
        <v>4.8</v>
      </c>
      <c r="D14" t="s">
        <v>43</v>
      </c>
      <c r="E14" t="s">
        <v>35</v>
      </c>
    </row>
    <row r="15" spans="1:6" x14ac:dyDescent="0.25">
      <c r="A15" t="s">
        <v>46</v>
      </c>
      <c r="B15" t="s">
        <v>34</v>
      </c>
      <c r="C15">
        <v>6.9</v>
      </c>
      <c r="D15" t="s">
        <v>43</v>
      </c>
      <c r="E15" t="s">
        <v>35</v>
      </c>
    </row>
    <row r="16" spans="1:6" x14ac:dyDescent="0.25">
      <c r="A16" t="s">
        <v>47</v>
      </c>
      <c r="B16" t="s">
        <v>34</v>
      </c>
      <c r="C16">
        <v>6.8</v>
      </c>
      <c r="D16" t="s">
        <v>43</v>
      </c>
      <c r="E16" t="s">
        <v>35</v>
      </c>
    </row>
    <row r="17" spans="1:6" x14ac:dyDescent="0.25">
      <c r="A17" t="s">
        <v>48</v>
      </c>
      <c r="B17" t="s">
        <v>34</v>
      </c>
    </row>
    <row r="18" spans="1:6" x14ac:dyDescent="0.25">
      <c r="A18" t="s">
        <v>49</v>
      </c>
      <c r="B18" t="s">
        <v>34</v>
      </c>
      <c r="C18">
        <v>27</v>
      </c>
      <c r="D18" t="s">
        <v>43</v>
      </c>
      <c r="E18" t="s">
        <v>35</v>
      </c>
    </row>
    <row r="19" spans="1:6" x14ac:dyDescent="0.25">
      <c r="A19" t="s">
        <v>50</v>
      </c>
      <c r="B19" t="s">
        <v>34</v>
      </c>
      <c r="C19">
        <f>C18*C8</f>
        <v>216000</v>
      </c>
      <c r="D19" t="s">
        <v>51</v>
      </c>
      <c r="F19" t="s">
        <v>52</v>
      </c>
    </row>
    <row r="20" spans="1:6" x14ac:dyDescent="0.25">
      <c r="A20" t="s">
        <v>53</v>
      </c>
      <c r="B20" t="s">
        <v>34</v>
      </c>
      <c r="C20">
        <v>694</v>
      </c>
      <c r="D20" t="s">
        <v>54</v>
      </c>
      <c r="E20" t="s">
        <v>55</v>
      </c>
      <c r="F20" t="s">
        <v>56</v>
      </c>
    </row>
    <row r="21" spans="1:6" x14ac:dyDescent="0.25">
      <c r="A21" t="s">
        <v>57</v>
      </c>
      <c r="B21" t="s">
        <v>34</v>
      </c>
      <c r="C21">
        <f>(C20*C19) / 10^3</f>
        <v>149904</v>
      </c>
      <c r="D21" t="s">
        <v>58</v>
      </c>
    </row>
    <row r="22" spans="1:6" x14ac:dyDescent="0.25">
      <c r="A22" t="s">
        <v>59</v>
      </c>
      <c r="B22" t="s">
        <v>34</v>
      </c>
      <c r="C22" s="10">
        <f>SUM('Cost Components'!B23:B29) * 10^6 / SUM('Study Parameters'!C30:C35) / 4</f>
        <v>2384886.1250966717</v>
      </c>
      <c r="D22" t="s">
        <v>58</v>
      </c>
    </row>
    <row r="23" spans="1:6" x14ac:dyDescent="0.25">
      <c r="A23" t="s">
        <v>60</v>
      </c>
      <c r="B23" t="s">
        <v>34</v>
      </c>
      <c r="C23" s="10">
        <f>SUM('Cost Components'!C23:C29) * 10^6/ SUM('Study Parameters'!C30:C35) / 4</f>
        <v>1650148.3609274137</v>
      </c>
      <c r="D23" t="s">
        <v>58</v>
      </c>
    </row>
    <row r="24" spans="1:6" x14ac:dyDescent="0.25">
      <c r="A24" t="s">
        <v>61</v>
      </c>
      <c r="B24" t="s">
        <v>34</v>
      </c>
      <c r="C24" s="10">
        <f>SUM('Cost Components'!D23:D29) * 10^6 / SUM('Study Parameters'!C30:C35) / 3</f>
        <v>2555280.2285389607</v>
      </c>
      <c r="D24" t="s">
        <v>58</v>
      </c>
    </row>
    <row r="25" spans="1:6" x14ac:dyDescent="0.25">
      <c r="A25" t="s">
        <v>62</v>
      </c>
      <c r="B25" t="s">
        <v>34</v>
      </c>
      <c r="C25" s="10">
        <f>SUM('Cost Components'!E23:E29) * 10^6 / SUM('Study Parameters'!C30:C35) / 4</f>
        <v>1758471.5667860922</v>
      </c>
      <c r="D25" t="s">
        <v>58</v>
      </c>
    </row>
    <row r="26" spans="1:6" x14ac:dyDescent="0.25">
      <c r="A26" t="s">
        <v>63</v>
      </c>
      <c r="B26" t="s">
        <v>34</v>
      </c>
      <c r="C26" s="10">
        <f>SUM('Cost Components'!F23:F29) * 10^6 / SUM('Study Parameters'!C30:C35) / 4</f>
        <v>2222533.4995817491</v>
      </c>
      <c r="D26" t="s">
        <v>58</v>
      </c>
    </row>
    <row r="28" spans="1:6" s="2" customFormat="1" x14ac:dyDescent="0.25">
      <c r="A28" s="2" t="s">
        <v>64</v>
      </c>
    </row>
    <row r="29" spans="1:6" x14ac:dyDescent="0.25">
      <c r="A29" t="s">
        <v>0</v>
      </c>
      <c r="B29" t="s">
        <v>1</v>
      </c>
      <c r="C29" t="s">
        <v>2</v>
      </c>
      <c r="D29" t="s">
        <v>3</v>
      </c>
      <c r="E29" t="s">
        <v>31</v>
      </c>
      <c r="F29" t="s">
        <v>32</v>
      </c>
    </row>
    <row r="30" spans="1:6" x14ac:dyDescent="0.25">
      <c r="A30" t="s">
        <v>65</v>
      </c>
      <c r="B30">
        <v>2021</v>
      </c>
      <c r="C30">
        <v>41.05</v>
      </c>
      <c r="D30" t="s">
        <v>66</v>
      </c>
      <c r="E30" t="s">
        <v>35</v>
      </c>
    </row>
    <row r="31" spans="1:6" x14ac:dyDescent="0.25">
      <c r="A31" t="s">
        <v>67</v>
      </c>
      <c r="B31">
        <v>2021</v>
      </c>
      <c r="C31">
        <v>59.39</v>
      </c>
      <c r="D31" t="s">
        <v>66</v>
      </c>
      <c r="E31" t="s">
        <v>35</v>
      </c>
    </row>
    <row r="32" spans="1:6" x14ac:dyDescent="0.25">
      <c r="A32" t="s">
        <v>68</v>
      </c>
      <c r="B32">
        <v>2021</v>
      </c>
      <c r="C32">
        <v>63.76</v>
      </c>
      <c r="D32" t="s">
        <v>66</v>
      </c>
      <c r="E32" t="s">
        <v>35</v>
      </c>
    </row>
    <row r="33" spans="1:6" x14ac:dyDescent="0.25">
      <c r="A33" t="s">
        <v>69</v>
      </c>
      <c r="B33">
        <v>2021</v>
      </c>
      <c r="C33">
        <v>100.44</v>
      </c>
      <c r="D33" t="s">
        <v>66</v>
      </c>
      <c r="E33" t="s">
        <v>35</v>
      </c>
    </row>
    <row r="34" spans="1:6" x14ac:dyDescent="0.25">
      <c r="A34" t="s">
        <v>70</v>
      </c>
      <c r="B34">
        <v>2021</v>
      </c>
      <c r="C34">
        <v>158.94999999999999</v>
      </c>
      <c r="D34" t="s">
        <v>66</v>
      </c>
      <c r="E34" t="s">
        <v>35</v>
      </c>
    </row>
    <row r="35" spans="1:6" x14ac:dyDescent="0.25">
      <c r="A35" t="s">
        <v>71</v>
      </c>
      <c r="B35">
        <v>2021</v>
      </c>
      <c r="C35">
        <v>210</v>
      </c>
      <c r="D35" t="s">
        <v>66</v>
      </c>
      <c r="E35" t="s">
        <v>35</v>
      </c>
    </row>
    <row r="36" spans="1:6" x14ac:dyDescent="0.25">
      <c r="A36" t="s">
        <v>72</v>
      </c>
      <c r="B36">
        <v>2050</v>
      </c>
    </row>
    <row r="38" spans="1:6" s="2" customFormat="1" x14ac:dyDescent="0.25">
      <c r="A38" s="2" t="s">
        <v>73</v>
      </c>
    </row>
    <row r="39" spans="1:6" x14ac:dyDescent="0.25">
      <c r="A39" t="s">
        <v>0</v>
      </c>
      <c r="B39" t="s">
        <v>1</v>
      </c>
      <c r="C39" t="s">
        <v>2</v>
      </c>
      <c r="D39" t="s">
        <v>3</v>
      </c>
      <c r="E39" t="s">
        <v>31</v>
      </c>
      <c r="F39" t="s">
        <v>32</v>
      </c>
    </row>
    <row r="40" spans="1:6" x14ac:dyDescent="0.25">
      <c r="A40" t="s">
        <v>74</v>
      </c>
      <c r="B40" t="s">
        <v>34</v>
      </c>
      <c r="C40">
        <v>0</v>
      </c>
      <c r="D40" t="s">
        <v>14</v>
      </c>
      <c r="E40" t="s">
        <v>35</v>
      </c>
      <c r="F40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4"/>
  <sheetViews>
    <sheetView workbookViewId="0">
      <selection activeCell="A9" sqref="A9"/>
    </sheetView>
  </sheetViews>
  <sheetFormatPr defaultColWidth="11" defaultRowHeight="15.75" x14ac:dyDescent="0.25"/>
  <cols>
    <col min="1" max="1" width="22.375" bestFit="1" customWidth="1"/>
    <col min="2" max="2" width="17.125" bestFit="1" customWidth="1"/>
    <col min="12" max="12" width="30.625" customWidth="1"/>
  </cols>
  <sheetData>
    <row r="1" spans="1:20" x14ac:dyDescent="0.25">
      <c r="A1" s="20">
        <v>2021</v>
      </c>
      <c r="B1" s="19"/>
      <c r="C1" s="19"/>
      <c r="D1" s="19"/>
      <c r="E1" s="19"/>
      <c r="F1" s="19"/>
      <c r="G1" s="19"/>
      <c r="H1" s="19"/>
      <c r="I1" s="19"/>
      <c r="L1" s="20">
        <v>2050</v>
      </c>
      <c r="M1" s="19"/>
      <c r="N1" s="19"/>
      <c r="O1" s="19"/>
      <c r="P1" s="19"/>
      <c r="Q1" s="19"/>
      <c r="R1" s="19"/>
      <c r="S1" s="19"/>
      <c r="T1" s="19"/>
    </row>
    <row r="2" spans="1:20" x14ac:dyDescent="0.25">
      <c r="A2" s="18" t="s">
        <v>76</v>
      </c>
      <c r="B2" s="19"/>
      <c r="C2" s="19"/>
      <c r="D2" s="19"/>
      <c r="E2" s="19"/>
      <c r="F2" s="19"/>
      <c r="G2" s="19"/>
      <c r="H2" s="19"/>
      <c r="I2" s="19"/>
      <c r="L2" s="18" t="s">
        <v>76</v>
      </c>
      <c r="M2" s="19"/>
      <c r="N2" s="19"/>
      <c r="O2" s="19"/>
      <c r="P2" s="19"/>
      <c r="Q2" s="19"/>
      <c r="R2" s="19"/>
      <c r="S2" s="19"/>
      <c r="T2" s="19"/>
    </row>
    <row r="3" spans="1:20" x14ac:dyDescent="0.25">
      <c r="A3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3</v>
      </c>
      <c r="H3" t="s">
        <v>31</v>
      </c>
      <c r="I3" t="s">
        <v>32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Q3" t="s">
        <v>82</v>
      </c>
      <c r="R3" t="s">
        <v>3</v>
      </c>
      <c r="S3" t="s">
        <v>31</v>
      </c>
      <c r="T3" t="s">
        <v>32</v>
      </c>
    </row>
    <row r="4" spans="1:20" x14ac:dyDescent="0.25">
      <c r="A4" t="s">
        <v>83</v>
      </c>
      <c r="B4">
        <v>330</v>
      </c>
      <c r="C4">
        <v>283</v>
      </c>
      <c r="D4">
        <v>310</v>
      </c>
      <c r="E4">
        <v>261</v>
      </c>
      <c r="F4">
        <v>337</v>
      </c>
      <c r="G4" t="s">
        <v>84</v>
      </c>
      <c r="H4" t="s">
        <v>85</v>
      </c>
      <c r="L4" t="s">
        <v>86</v>
      </c>
      <c r="M4">
        <f>M12-M5</f>
        <v>428.2</v>
      </c>
      <c r="N4">
        <f>N12-N5</f>
        <v>309.39999999999998</v>
      </c>
      <c r="O4">
        <f>O12-O5</f>
        <v>321.60000000000002</v>
      </c>
      <c r="P4">
        <f>P12-P5</f>
        <v>339</v>
      </c>
      <c r="Q4">
        <f>Q12-Q5</f>
        <v>347</v>
      </c>
      <c r="R4" t="s">
        <v>84</v>
      </c>
      <c r="S4" t="s">
        <v>85</v>
      </c>
    </row>
    <row r="5" spans="1:20" x14ac:dyDescent="0.25">
      <c r="A5" t="s">
        <v>87</v>
      </c>
      <c r="B5">
        <v>734</v>
      </c>
      <c r="C5">
        <v>698</v>
      </c>
      <c r="D5">
        <v>707</v>
      </c>
      <c r="E5">
        <v>595</v>
      </c>
      <c r="F5">
        <v>535</v>
      </c>
      <c r="G5" t="s">
        <v>84</v>
      </c>
      <c r="H5" t="s">
        <v>85</v>
      </c>
      <c r="L5" t="s">
        <v>87</v>
      </c>
      <c r="M5">
        <f>B5 * 0.2</f>
        <v>146.80000000000001</v>
      </c>
      <c r="N5">
        <f>C5 * 0.2</f>
        <v>139.6</v>
      </c>
      <c r="O5">
        <f>D5 * 0.2</f>
        <v>141.4</v>
      </c>
      <c r="P5">
        <f>E5 * 0.2</f>
        <v>119</v>
      </c>
      <c r="Q5">
        <f>F5 * 0.2</f>
        <v>107</v>
      </c>
      <c r="R5" t="s">
        <v>84</v>
      </c>
      <c r="S5" t="s">
        <v>85</v>
      </c>
    </row>
    <row r="6" spans="1:20" x14ac:dyDescent="0.25">
      <c r="A6" t="s">
        <v>88</v>
      </c>
      <c r="B6">
        <v>416</v>
      </c>
      <c r="C6">
        <v>355</v>
      </c>
      <c r="D6">
        <v>347</v>
      </c>
      <c r="E6">
        <v>305</v>
      </c>
      <c r="F6">
        <v>306</v>
      </c>
      <c r="G6" t="s">
        <v>84</v>
      </c>
      <c r="H6" t="s">
        <v>85</v>
      </c>
    </row>
    <row r="7" spans="1:20" x14ac:dyDescent="0.25">
      <c r="A7" t="s">
        <v>89</v>
      </c>
      <c r="B7">
        <v>115</v>
      </c>
      <c r="C7">
        <v>75</v>
      </c>
      <c r="D7">
        <v>82</v>
      </c>
      <c r="E7">
        <v>79</v>
      </c>
      <c r="F7">
        <v>96</v>
      </c>
      <c r="G7" t="s">
        <v>84</v>
      </c>
      <c r="H7" t="s">
        <v>85</v>
      </c>
    </row>
    <row r="8" spans="1:20" x14ac:dyDescent="0.25">
      <c r="A8" t="s">
        <v>90</v>
      </c>
      <c r="B8">
        <v>223</v>
      </c>
      <c r="C8">
        <v>86</v>
      </c>
      <c r="D8">
        <v>118</v>
      </c>
      <c r="E8">
        <v>164</v>
      </c>
      <c r="F8">
        <v>169</v>
      </c>
      <c r="G8" t="s">
        <v>84</v>
      </c>
      <c r="H8" t="s">
        <v>85</v>
      </c>
    </row>
    <row r="9" spans="1:20" x14ac:dyDescent="0.25">
      <c r="A9" t="s">
        <v>91</v>
      </c>
      <c r="B9">
        <v>32</v>
      </c>
      <c r="C9">
        <v>15</v>
      </c>
      <c r="D9">
        <v>18</v>
      </c>
      <c r="E9">
        <v>22</v>
      </c>
      <c r="F9">
        <v>24</v>
      </c>
      <c r="G9" t="s">
        <v>84</v>
      </c>
      <c r="H9" t="s">
        <v>85</v>
      </c>
    </row>
    <row r="10" spans="1:20" x14ac:dyDescent="0.25">
      <c r="A10" t="s">
        <v>92</v>
      </c>
      <c r="B10">
        <v>14.76</v>
      </c>
      <c r="C10">
        <v>7.8</v>
      </c>
      <c r="D10">
        <v>9.0299999999999994</v>
      </c>
      <c r="E10">
        <v>9.6199999999999992</v>
      </c>
      <c r="F10">
        <v>11.46</v>
      </c>
      <c r="G10" t="s">
        <v>84</v>
      </c>
      <c r="H10" t="s">
        <v>85</v>
      </c>
    </row>
    <row r="11" spans="1:20" x14ac:dyDescent="0.25">
      <c r="A11" t="s">
        <v>93</v>
      </c>
      <c r="B11">
        <v>6</v>
      </c>
      <c r="C11">
        <v>5.5</v>
      </c>
      <c r="D11">
        <v>3</v>
      </c>
      <c r="E11">
        <v>4.3</v>
      </c>
      <c r="F11">
        <v>4.2</v>
      </c>
      <c r="G11" t="s">
        <v>84</v>
      </c>
      <c r="H11" t="s">
        <v>85</v>
      </c>
    </row>
    <row r="12" spans="1:20" s="1" customFormat="1" x14ac:dyDescent="0.25">
      <c r="A12" s="1" t="s">
        <v>94</v>
      </c>
      <c r="B12" s="1">
        <f>SUM(B4:B11)</f>
        <v>1870.76</v>
      </c>
      <c r="C12" s="1">
        <f>SUM(C4:C11)</f>
        <v>1525.3</v>
      </c>
      <c r="D12" s="1">
        <f>SUM(D4:D11)</f>
        <v>1594.03</v>
      </c>
      <c r="E12" s="1">
        <f>SUM(E4:E11)</f>
        <v>1439.9199999999998</v>
      </c>
      <c r="F12" s="1">
        <f>SUM(F4:F11)</f>
        <v>1482.66</v>
      </c>
      <c r="G12" s="1" t="s">
        <v>84</v>
      </c>
      <c r="H12" s="1" t="s">
        <v>85</v>
      </c>
      <c r="L12" s="1" t="s">
        <v>94</v>
      </c>
      <c r="M12" s="1">
        <v>575</v>
      </c>
      <c r="N12" s="1">
        <v>449</v>
      </c>
      <c r="O12" s="1">
        <v>463</v>
      </c>
      <c r="P12" s="1">
        <v>458</v>
      </c>
      <c r="Q12" s="1">
        <v>454</v>
      </c>
      <c r="R12" s="1" t="s">
        <v>84</v>
      </c>
      <c r="S12" s="1" t="s">
        <v>85</v>
      </c>
    </row>
    <row r="14" spans="1:20" x14ac:dyDescent="0.25">
      <c r="A14" s="18" t="s">
        <v>95</v>
      </c>
      <c r="B14" s="19"/>
      <c r="C14" s="19"/>
      <c r="D14" s="19"/>
      <c r="E14" s="19"/>
      <c r="F14" s="19"/>
      <c r="G14" s="19"/>
      <c r="H14" s="19"/>
      <c r="I14" s="19"/>
      <c r="L14" s="18" t="s">
        <v>95</v>
      </c>
      <c r="M14" s="19"/>
      <c r="N14" s="19"/>
      <c r="O14" s="19"/>
      <c r="P14" s="19"/>
      <c r="Q14" s="19"/>
      <c r="R14" s="19"/>
      <c r="S14" s="19"/>
      <c r="T14" s="19"/>
    </row>
    <row r="15" spans="1:20" x14ac:dyDescent="0.2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3</v>
      </c>
      <c r="H15" t="s">
        <v>31</v>
      </c>
      <c r="I15" t="s">
        <v>32</v>
      </c>
      <c r="L15" t="s">
        <v>77</v>
      </c>
      <c r="M15" t="s">
        <v>78</v>
      </c>
      <c r="N15" t="s">
        <v>79</v>
      </c>
      <c r="O15" t="s">
        <v>80</v>
      </c>
      <c r="P15" t="s">
        <v>81</v>
      </c>
      <c r="Q15" t="s">
        <v>82</v>
      </c>
      <c r="R15" t="s">
        <v>3</v>
      </c>
      <c r="S15" t="s">
        <v>31</v>
      </c>
      <c r="T15" t="s">
        <v>32</v>
      </c>
    </row>
    <row r="16" spans="1:20" x14ac:dyDescent="0.25">
      <c r="A16" t="s">
        <v>83</v>
      </c>
      <c r="B16">
        <v>51.8</v>
      </c>
      <c r="C16">
        <v>26.2</v>
      </c>
      <c r="D16">
        <v>26.5</v>
      </c>
      <c r="E16">
        <v>22.4</v>
      </c>
      <c r="F16">
        <v>20.2</v>
      </c>
      <c r="G16" t="s">
        <v>96</v>
      </c>
      <c r="H16" t="s">
        <v>97</v>
      </c>
      <c r="L16" t="s">
        <v>98</v>
      </c>
      <c r="M16">
        <f>(60 * 'Study Parameters'!$C$22) / 10^6</f>
        <v>143.0931675058003</v>
      </c>
      <c r="N16">
        <f>(60 * 'Study Parameters'!$C$23) / 10^6</f>
        <v>99.00890165564482</v>
      </c>
      <c r="O16">
        <f>(60 * 'Study Parameters'!$C$24) / 10^6</f>
        <v>153.31681371233765</v>
      </c>
      <c r="P16">
        <f>(60 * 'Study Parameters'!$C$25) / 10^6</f>
        <v>105.50829400716553</v>
      </c>
      <c r="Q16">
        <f>(60 * 'Study Parameters'!$C$26) / 10^6</f>
        <v>133.35200997490495</v>
      </c>
      <c r="R16" t="s">
        <v>96</v>
      </c>
      <c r="S16" t="s">
        <v>97</v>
      </c>
    </row>
    <row r="17" spans="1:20" x14ac:dyDescent="0.25">
      <c r="A17" t="s">
        <v>87</v>
      </c>
      <c r="B17">
        <v>12.6</v>
      </c>
      <c r="C17">
        <v>10.7</v>
      </c>
      <c r="D17">
        <v>10.5</v>
      </c>
      <c r="E17">
        <v>9.1999999999999993</v>
      </c>
      <c r="F17">
        <v>9.1999999999999993</v>
      </c>
      <c r="G17" t="s">
        <v>96</v>
      </c>
      <c r="H17" t="s">
        <v>97</v>
      </c>
      <c r="L17" t="s">
        <v>87</v>
      </c>
      <c r="M17">
        <f>B17/B5*M5</f>
        <v>2.52</v>
      </c>
      <c r="N17">
        <f>C17/C5*N5</f>
        <v>2.1399999999999997</v>
      </c>
      <c r="O17">
        <f>D17/D5*O5</f>
        <v>2.1</v>
      </c>
      <c r="P17">
        <f>E17/E5*P5</f>
        <v>1.8399999999999999</v>
      </c>
      <c r="Q17">
        <f>F17/F5*Q5</f>
        <v>1.8399999999999999</v>
      </c>
      <c r="R17" t="s">
        <v>96</v>
      </c>
      <c r="S17" t="s">
        <v>97</v>
      </c>
    </row>
    <row r="18" spans="1:20" x14ac:dyDescent="0.25">
      <c r="A18" t="s">
        <v>88</v>
      </c>
      <c r="B18">
        <v>13.6</v>
      </c>
      <c r="C18">
        <v>11.6</v>
      </c>
      <c r="D18">
        <v>12.8</v>
      </c>
      <c r="E18">
        <v>10.7</v>
      </c>
      <c r="F18">
        <v>13.9</v>
      </c>
      <c r="G18" t="s">
        <v>96</v>
      </c>
      <c r="H18" t="s">
        <v>97</v>
      </c>
      <c r="L18" t="s">
        <v>99</v>
      </c>
      <c r="M18" s="1">
        <v>129.5</v>
      </c>
      <c r="N18" s="1">
        <v>101.8</v>
      </c>
      <c r="O18" s="1">
        <v>104.6</v>
      </c>
      <c r="P18" s="1">
        <v>89</v>
      </c>
      <c r="Q18" s="1">
        <v>100</v>
      </c>
      <c r="R18" t="s">
        <v>96</v>
      </c>
      <c r="S18" t="s">
        <v>97</v>
      </c>
    </row>
    <row r="19" spans="1:20" x14ac:dyDescent="0.25">
      <c r="A19" t="s">
        <v>89</v>
      </c>
      <c r="B19">
        <v>9.6999999999999993</v>
      </c>
      <c r="C19">
        <v>7.3</v>
      </c>
      <c r="D19">
        <v>7.8</v>
      </c>
      <c r="E19">
        <v>7.2</v>
      </c>
      <c r="F19">
        <v>7.8</v>
      </c>
      <c r="G19" t="s">
        <v>96</v>
      </c>
      <c r="H19" t="s">
        <v>97</v>
      </c>
    </row>
    <row r="20" spans="1:20" x14ac:dyDescent="0.25">
      <c r="A20" t="s">
        <v>90</v>
      </c>
      <c r="B20">
        <v>41.8</v>
      </c>
      <c r="C20">
        <v>46</v>
      </c>
      <c r="D20">
        <v>47</v>
      </c>
      <c r="E20">
        <v>39.5</v>
      </c>
      <c r="F20">
        <v>48.9</v>
      </c>
      <c r="G20" t="s">
        <v>96</v>
      </c>
      <c r="H20" t="s">
        <v>97</v>
      </c>
    </row>
    <row r="21" spans="1:20" s="1" customFormat="1" x14ac:dyDescent="0.25">
      <c r="A21" s="1" t="s">
        <v>100</v>
      </c>
      <c r="B21" s="1">
        <f>SUM(B16:B20)</f>
        <v>129.5</v>
      </c>
      <c r="C21" s="1">
        <f>SUM(C16:C20)</f>
        <v>101.8</v>
      </c>
      <c r="D21" s="1">
        <f>SUM(D16:D20)</f>
        <v>104.6</v>
      </c>
      <c r="E21" s="1">
        <f>SUM(E16:E20)</f>
        <v>89</v>
      </c>
      <c r="F21" s="1">
        <f>SUM(F16:F20)</f>
        <v>100</v>
      </c>
      <c r="G21" s="1" t="s">
        <v>96</v>
      </c>
      <c r="L21" s="1" t="s">
        <v>101</v>
      </c>
      <c r="M21" s="1">
        <f>SUM(M16:M18)</f>
        <v>275.11316750580033</v>
      </c>
      <c r="N21" s="1">
        <f t="shared" ref="N21:Q21" si="0">SUM(N16:N18)</f>
        <v>202.94890165564482</v>
      </c>
      <c r="O21" s="1">
        <f t="shared" si="0"/>
        <v>260.01681371233764</v>
      </c>
      <c r="P21" s="1">
        <f t="shared" si="0"/>
        <v>196.34829400716552</v>
      </c>
      <c r="Q21" s="1">
        <f t="shared" si="0"/>
        <v>235.19200997490495</v>
      </c>
      <c r="R21" s="1" t="s">
        <v>96</v>
      </c>
    </row>
    <row r="22" spans="1:20" x14ac:dyDescent="0.25">
      <c r="A22" t="s">
        <v>98</v>
      </c>
    </row>
    <row r="23" spans="1:20" x14ac:dyDescent="0.25">
      <c r="A23" t="s">
        <v>102</v>
      </c>
      <c r="B23">
        <v>364.92</v>
      </c>
      <c r="C23">
        <v>252.5</v>
      </c>
      <c r="D23">
        <v>293.2</v>
      </c>
      <c r="E23">
        <v>269.10000000000002</v>
      </c>
      <c r="F23">
        <v>340.1</v>
      </c>
      <c r="G23" t="s">
        <v>96</v>
      </c>
      <c r="H23" t="s">
        <v>97</v>
      </c>
    </row>
    <row r="24" spans="1:20" x14ac:dyDescent="0.25">
      <c r="A24" t="s">
        <v>103</v>
      </c>
      <c r="B24">
        <v>411.51</v>
      </c>
      <c r="C24">
        <v>284.73</v>
      </c>
      <c r="D24">
        <v>330.7</v>
      </c>
      <c r="E24">
        <v>303.39999999999998</v>
      </c>
      <c r="F24">
        <v>383.5</v>
      </c>
      <c r="G24" t="s">
        <v>96</v>
      </c>
      <c r="H24" t="s">
        <v>97</v>
      </c>
    </row>
    <row r="25" spans="1:20" x14ac:dyDescent="0.25">
      <c r="A25" t="s">
        <v>104</v>
      </c>
      <c r="B25">
        <v>527.98</v>
      </c>
      <c r="C25">
        <v>365.32</v>
      </c>
      <c r="D25">
        <v>424.3</v>
      </c>
      <c r="E25">
        <v>389.3</v>
      </c>
      <c r="F25">
        <v>492</v>
      </c>
      <c r="G25" t="s">
        <v>96</v>
      </c>
      <c r="H25" t="s">
        <v>97</v>
      </c>
    </row>
    <row r="26" spans="1:20" x14ac:dyDescent="0.25">
      <c r="A26" t="s">
        <v>105</v>
      </c>
      <c r="B26">
        <v>566.79999999999995</v>
      </c>
      <c r="C26">
        <v>392.18</v>
      </c>
      <c r="D26">
        <v>455.5</v>
      </c>
      <c r="E26">
        <v>417.9</v>
      </c>
      <c r="F26">
        <v>528.20000000000005</v>
      </c>
      <c r="G26" t="s">
        <v>96</v>
      </c>
      <c r="H26" t="s">
        <v>97</v>
      </c>
    </row>
    <row r="27" spans="1:20" x14ac:dyDescent="0.25">
      <c r="A27" t="s">
        <v>106</v>
      </c>
      <c r="B27">
        <v>892.9</v>
      </c>
      <c r="C27">
        <v>617.80999999999995</v>
      </c>
      <c r="D27">
        <v>717.5</v>
      </c>
      <c r="E27">
        <v>658.4</v>
      </c>
      <c r="F27">
        <v>832.1</v>
      </c>
      <c r="G27" t="s">
        <v>96</v>
      </c>
      <c r="H27" t="s">
        <v>97</v>
      </c>
    </row>
    <row r="28" spans="1:20" x14ac:dyDescent="0.25">
      <c r="A28" t="s">
        <v>107</v>
      </c>
      <c r="B28">
        <v>1413.11</v>
      </c>
      <c r="C28">
        <v>977.76</v>
      </c>
      <c r="D28">
        <v>1135.5999999999999</v>
      </c>
      <c r="E28">
        <v>1041.9000000000001</v>
      </c>
      <c r="F28">
        <v>1316.9</v>
      </c>
      <c r="G28" t="s">
        <v>96</v>
      </c>
      <c r="H28" t="s">
        <v>97</v>
      </c>
    </row>
    <row r="29" spans="1:20" x14ac:dyDescent="0.25">
      <c r="A29" t="s">
        <v>108</v>
      </c>
      <c r="B29">
        <v>1866.94</v>
      </c>
      <c r="C29">
        <v>1291.77</v>
      </c>
      <c r="D29">
        <v>1500.2</v>
      </c>
      <c r="E29">
        <v>1376.6</v>
      </c>
      <c r="F29">
        <v>1739.9</v>
      </c>
      <c r="G29" t="s">
        <v>96</v>
      </c>
      <c r="H29" t="s">
        <v>97</v>
      </c>
    </row>
    <row r="31" spans="1:20" x14ac:dyDescent="0.25">
      <c r="A31" s="18" t="s">
        <v>109</v>
      </c>
      <c r="B31" s="19"/>
      <c r="C31" s="19"/>
      <c r="D31" s="19"/>
      <c r="E31" s="19"/>
      <c r="F31" s="19"/>
      <c r="G31" s="19"/>
      <c r="H31" s="19"/>
      <c r="I31" s="19"/>
      <c r="L31" s="18" t="s">
        <v>109</v>
      </c>
      <c r="M31" s="19"/>
      <c r="N31" s="19"/>
      <c r="O31" s="19"/>
      <c r="P31" s="19"/>
      <c r="Q31" s="19"/>
      <c r="R31" s="19"/>
      <c r="S31" s="19"/>
      <c r="T31" s="19"/>
    </row>
    <row r="32" spans="1:20" x14ac:dyDescent="0.25">
      <c r="A32" t="s">
        <v>77</v>
      </c>
      <c r="B32" t="s">
        <v>78</v>
      </c>
      <c r="C32" t="s">
        <v>79</v>
      </c>
      <c r="D32" t="s">
        <v>80</v>
      </c>
      <c r="E32" t="s">
        <v>81</v>
      </c>
      <c r="F32" t="s">
        <v>82</v>
      </c>
      <c r="G32" t="s">
        <v>3</v>
      </c>
      <c r="H32" t="s">
        <v>31</v>
      </c>
      <c r="I32" t="s">
        <v>32</v>
      </c>
      <c r="L32" t="s">
        <v>77</v>
      </c>
      <c r="M32" t="s">
        <v>78</v>
      </c>
      <c r="N32" t="s">
        <v>79</v>
      </c>
      <c r="O32" t="s">
        <v>80</v>
      </c>
      <c r="P32" t="s">
        <v>81</v>
      </c>
      <c r="Q32" t="s">
        <v>82</v>
      </c>
      <c r="R32" t="s">
        <v>3</v>
      </c>
      <c r="S32" t="s">
        <v>31</v>
      </c>
      <c r="T32" t="s">
        <v>32</v>
      </c>
    </row>
    <row r="33" spans="1:20" x14ac:dyDescent="0.25">
      <c r="A33" t="s">
        <v>110</v>
      </c>
      <c r="B33">
        <v>28.5</v>
      </c>
      <c r="C33">
        <v>56.5</v>
      </c>
      <c r="D33">
        <v>45</v>
      </c>
      <c r="E33">
        <v>52.6</v>
      </c>
      <c r="F33">
        <v>62</v>
      </c>
      <c r="G33" t="s">
        <v>96</v>
      </c>
      <c r="H33" t="s">
        <v>97</v>
      </c>
    </row>
    <row r="34" spans="1:20" x14ac:dyDescent="0.25">
      <c r="A34" t="s">
        <v>111</v>
      </c>
      <c r="B34">
        <v>12.1</v>
      </c>
      <c r="C34">
        <v>37.1</v>
      </c>
      <c r="D34">
        <v>15.5</v>
      </c>
      <c r="E34">
        <v>21.6</v>
      </c>
      <c r="F34">
        <v>30.8</v>
      </c>
      <c r="G34" t="s">
        <v>96</v>
      </c>
      <c r="H34" t="s">
        <v>97</v>
      </c>
    </row>
    <row r="35" spans="1:20" x14ac:dyDescent="0.25">
      <c r="A35" t="s">
        <v>112</v>
      </c>
      <c r="B35">
        <v>16.2</v>
      </c>
      <c r="C35">
        <v>56.3</v>
      </c>
      <c r="D35">
        <v>20.5</v>
      </c>
      <c r="E35">
        <v>29</v>
      </c>
      <c r="F35">
        <v>42.4</v>
      </c>
      <c r="G35" t="s">
        <v>96</v>
      </c>
      <c r="H35" t="s">
        <v>97</v>
      </c>
    </row>
    <row r="36" spans="1:20" s="1" customFormat="1" x14ac:dyDescent="0.25">
      <c r="A36" s="1" t="s">
        <v>113</v>
      </c>
      <c r="B36" s="1">
        <f>SUM(B33:B35)</f>
        <v>56.8</v>
      </c>
      <c r="C36" s="1">
        <f>SUM(C33:C35)</f>
        <v>149.89999999999998</v>
      </c>
      <c r="D36" s="1">
        <f>SUM(D33:D35)</f>
        <v>81</v>
      </c>
      <c r="E36" s="1">
        <f>SUM(E33:E35)</f>
        <v>103.2</v>
      </c>
      <c r="F36" s="1">
        <f>SUM(F33:F35)</f>
        <v>135.19999999999999</v>
      </c>
      <c r="G36" s="1" t="s">
        <v>96</v>
      </c>
      <c r="L36" s="1" t="s">
        <v>113</v>
      </c>
      <c r="M36" s="1">
        <v>149.9</v>
      </c>
      <c r="N36" s="1">
        <v>81</v>
      </c>
      <c r="O36" s="1">
        <v>103.2</v>
      </c>
      <c r="P36" s="1">
        <v>135.19999999999999</v>
      </c>
      <c r="Q36" s="1">
        <v>133.69999999999999</v>
      </c>
      <c r="R36" s="1" t="s">
        <v>96</v>
      </c>
    </row>
    <row r="38" spans="1:20" x14ac:dyDescent="0.25">
      <c r="A38" s="20" t="s">
        <v>114</v>
      </c>
      <c r="B38" s="19"/>
      <c r="C38" s="19"/>
      <c r="D38" s="19"/>
      <c r="E38" s="19"/>
      <c r="F38" s="19"/>
      <c r="G38" s="19"/>
      <c r="H38" s="19"/>
      <c r="I38" s="19"/>
      <c r="L38" s="20" t="s">
        <v>115</v>
      </c>
      <c r="M38" s="19"/>
      <c r="N38" s="19"/>
      <c r="O38" s="19"/>
      <c r="P38" s="19"/>
      <c r="Q38" s="19"/>
      <c r="R38" s="19"/>
      <c r="S38" s="19"/>
      <c r="T38" s="19"/>
    </row>
    <row r="39" spans="1:20" x14ac:dyDescent="0.25">
      <c r="A39" t="s">
        <v>77</v>
      </c>
      <c r="B39" t="s">
        <v>78</v>
      </c>
      <c r="C39" t="s">
        <v>79</v>
      </c>
      <c r="D39" t="s">
        <v>80</v>
      </c>
      <c r="E39" t="s">
        <v>81</v>
      </c>
      <c r="F39" t="s">
        <v>82</v>
      </c>
      <c r="G39" t="s">
        <v>3</v>
      </c>
      <c r="L39" t="s">
        <v>77</v>
      </c>
      <c r="M39" t="s">
        <v>78</v>
      </c>
      <c r="N39" t="s">
        <v>79</v>
      </c>
      <c r="O39" t="s">
        <v>80</v>
      </c>
      <c r="P39" t="s">
        <v>81</v>
      </c>
      <c r="Q39" t="s">
        <v>82</v>
      </c>
      <c r="R39" t="s">
        <v>3</v>
      </c>
    </row>
    <row r="40" spans="1:20" x14ac:dyDescent="0.25">
      <c r="A40" t="s">
        <v>98</v>
      </c>
      <c r="B40">
        <f>(('Study Parameters'!C22-'Study Parameters'!C21) * Inputs!$C$8) / 10^6</f>
        <v>143.03885600618699</v>
      </c>
      <c r="C40">
        <f>(('Study Parameters'!C23-'Study Parameters'!C21) * Inputs!$C$8) / 10^6</f>
        <v>96.015639099354473</v>
      </c>
      <c r="D40">
        <f>(('Study Parameters'!C24-'Study Parameters'!C21) * Inputs!$C$8) / 10^6</f>
        <v>153.94407862649348</v>
      </c>
      <c r="E40">
        <f>(('Study Parameters'!C25-'Study Parameters'!E21) * Inputs!$C$8) / 10^6</f>
        <v>112.5421802743099</v>
      </c>
      <c r="F40">
        <f>(('Study Parameters'!C26-'Study Parameters'!F21) * Inputs!$C$8) / 10^6</f>
        <v>142.24214397323195</v>
      </c>
      <c r="G40" t="s">
        <v>96</v>
      </c>
      <c r="L40" t="s">
        <v>98</v>
      </c>
      <c r="M40">
        <f>(Inputs!$C$9* 'Study Parameters'!$C$22) / 10^6</f>
        <v>26.233747376063388</v>
      </c>
      <c r="N40">
        <f>(Inputs!C9 * 'Study Parameters'!$C$23) / 10^6</f>
        <v>18.151631970201553</v>
      </c>
      <c r="O40">
        <f>(Inputs!C9 * 'Study Parameters'!$C$24) / 10^6</f>
        <v>28.108082513928565</v>
      </c>
      <c r="P40">
        <f>(Inputs!C9 * 'Study Parameters'!$C$25) / 10^6</f>
        <v>19.343187234647012</v>
      </c>
      <c r="Q40">
        <f>(Inputs!C9 * 'Study Parameters'!$C$26) / 10^6</f>
        <v>24.447868495399241</v>
      </c>
      <c r="R40" t="s">
        <v>96</v>
      </c>
    </row>
    <row r="41" spans="1:20" x14ac:dyDescent="0.25">
      <c r="A41" t="s">
        <v>116</v>
      </c>
      <c r="B41" s="14">
        <f>(Inputs!$C$32*'Study Parameters'!$C$19) / 10^6</f>
        <v>296.13600000000002</v>
      </c>
      <c r="C41" s="14">
        <f>(Inputs!$C$32*'Study Parameters'!$C$19) / 10^6</f>
        <v>296.13600000000002</v>
      </c>
      <c r="D41" s="14">
        <f>(Inputs!$C$32*'Study Parameters'!$C$19) / 10^6</f>
        <v>296.13600000000002</v>
      </c>
      <c r="E41" s="14">
        <f>(Inputs!$C$32*'Study Parameters'!$C$19) / 10^6</f>
        <v>296.13600000000002</v>
      </c>
      <c r="F41" s="14">
        <f>(Inputs!$C$32*'Study Parameters'!$C$19) / 10^6</f>
        <v>296.13600000000002</v>
      </c>
      <c r="G41" t="s">
        <v>96</v>
      </c>
      <c r="L41" s="1" t="s">
        <v>101</v>
      </c>
      <c r="M41" s="1">
        <f>M21-M16+M40</f>
        <v>158.25374737606342</v>
      </c>
      <c r="N41" s="1">
        <f>N21-N16+N40</f>
        <v>122.09163197020155</v>
      </c>
      <c r="O41" s="1">
        <f>O21-O16+O40</f>
        <v>134.80808251392855</v>
      </c>
      <c r="P41" s="1">
        <f>P21-P16+P40</f>
        <v>110.18318723464699</v>
      </c>
      <c r="Q41" s="1">
        <f>Q21-Q16+Q40</f>
        <v>126.28786849539924</v>
      </c>
      <c r="R41" s="1" t="s">
        <v>96</v>
      </c>
    </row>
    <row r="42" spans="1:20" x14ac:dyDescent="0.25">
      <c r="A42" t="s">
        <v>117</v>
      </c>
      <c r="B42">
        <f>B12-B5</f>
        <v>1136.76</v>
      </c>
      <c r="C42">
        <f>C12-C5</f>
        <v>827.3</v>
      </c>
      <c r="D42">
        <f>D12-D5</f>
        <v>887.03</v>
      </c>
      <c r="E42">
        <f>E12-E5</f>
        <v>844.91999999999985</v>
      </c>
      <c r="F42">
        <f>F12-F5</f>
        <v>947.66000000000008</v>
      </c>
      <c r="G42" t="s">
        <v>84</v>
      </c>
      <c r="L42" t="s">
        <v>116</v>
      </c>
      <c r="M42" s="8">
        <f>('Study Parameters'!$C$19*Inputs!$C$33) / 10^6</f>
        <v>112.968</v>
      </c>
      <c r="N42" s="8">
        <f>('Study Parameters'!$C$19*Inputs!$C$33) / 10^6</f>
        <v>112.968</v>
      </c>
      <c r="O42" s="8">
        <f>('Study Parameters'!$C$19*Inputs!$C$33) / 10^6</f>
        <v>112.968</v>
      </c>
      <c r="P42" s="8">
        <f>('Study Parameters'!$C$19*Inputs!$C$33) / 10^6</f>
        <v>112.968</v>
      </c>
      <c r="Q42" s="8">
        <f>('Study Parameters'!$C$19*Inputs!$C$33) / 10^6</f>
        <v>112.968</v>
      </c>
      <c r="R42" t="s">
        <v>96</v>
      </c>
    </row>
    <row r="43" spans="1:20" x14ac:dyDescent="0.25">
      <c r="A43" t="s">
        <v>118</v>
      </c>
      <c r="B43">
        <f>B21-B17</f>
        <v>116.9</v>
      </c>
      <c r="C43">
        <f>C21-C17</f>
        <v>91.1</v>
      </c>
      <c r="D43">
        <f>D21-D17</f>
        <v>94.1</v>
      </c>
      <c r="E43">
        <f>E21-E17</f>
        <v>79.8</v>
      </c>
      <c r="F43">
        <f>F21-F17</f>
        <v>90.8</v>
      </c>
      <c r="G43" t="s">
        <v>96</v>
      </c>
      <c r="L43" t="s">
        <v>117</v>
      </c>
      <c r="M43">
        <f>M4</f>
        <v>428.2</v>
      </c>
      <c r="N43">
        <f>N4</f>
        <v>309.39999999999998</v>
      </c>
      <c r="O43">
        <f>O4</f>
        <v>321.60000000000002</v>
      </c>
      <c r="P43">
        <f>P4</f>
        <v>339</v>
      </c>
      <c r="Q43">
        <f>Q4</f>
        <v>347</v>
      </c>
      <c r="R43" t="s">
        <v>84</v>
      </c>
    </row>
    <row r="44" spans="1:20" x14ac:dyDescent="0.25">
      <c r="L44" t="s">
        <v>118</v>
      </c>
      <c r="M44">
        <f>M41-M17</f>
        <v>155.73374737606341</v>
      </c>
      <c r="N44">
        <f>N41-N17</f>
        <v>119.95163197020155</v>
      </c>
      <c r="O44">
        <f>O41-O17</f>
        <v>132.70808251392856</v>
      </c>
      <c r="P44">
        <f>P41-P17</f>
        <v>108.34318723464699</v>
      </c>
      <c r="Q44">
        <f>Q41-Q17</f>
        <v>124.44786849539923</v>
      </c>
      <c r="R44" t="s">
        <v>96</v>
      </c>
    </row>
  </sheetData>
  <mergeCells count="10">
    <mergeCell ref="L2:T2"/>
    <mergeCell ref="L38:T38"/>
    <mergeCell ref="A2:I2"/>
    <mergeCell ref="L1:T1"/>
    <mergeCell ref="A14:I14"/>
    <mergeCell ref="A1:I1"/>
    <mergeCell ref="L14:T14"/>
    <mergeCell ref="A31:I31"/>
    <mergeCell ref="L31:T31"/>
    <mergeCell ref="A38:I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67"/>
  <sheetViews>
    <sheetView workbookViewId="0">
      <selection activeCell="B11" sqref="B11"/>
    </sheetView>
  </sheetViews>
  <sheetFormatPr defaultColWidth="11" defaultRowHeight="15.75" x14ac:dyDescent="0.25"/>
  <cols>
    <col min="1" max="1" width="27.375" bestFit="1" customWidth="1"/>
    <col min="2" max="3" width="11.125" bestFit="1" customWidth="1"/>
  </cols>
  <sheetData>
    <row r="1" spans="1:27" x14ac:dyDescent="0.25">
      <c r="A1" s="11">
        <v>2021</v>
      </c>
    </row>
    <row r="2" spans="1:27" x14ac:dyDescent="0.25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</row>
    <row r="3" spans="1:27" x14ac:dyDescent="0.25">
      <c r="A3" s="1" t="s">
        <v>119</v>
      </c>
    </row>
    <row r="4" spans="1:27" x14ac:dyDescent="0.25">
      <c r="A4" t="s">
        <v>120</v>
      </c>
      <c r="B4">
        <f>'Cost Components'!$B$12 * 10^6</f>
        <v>1870760000</v>
      </c>
      <c r="C4">
        <f>('Cost Components'!$B$21  + 'Cost Components'!$B$23) * 10^6</f>
        <v>494420000</v>
      </c>
      <c r="D4">
        <f>('Cost Components'!$B$21  + 'Cost Components'!$B$23) * 10^6</f>
        <v>494420000</v>
      </c>
      <c r="E4">
        <f>('Cost Components'!$B$21  + 'Cost Components'!$B$23) * 10^6</f>
        <v>494420000</v>
      </c>
      <c r="F4">
        <f>('Cost Components'!$B$21  + 'Cost Components'!$B$23) * 10^6</f>
        <v>494420000</v>
      </c>
      <c r="G4">
        <f>('Cost Components'!$B$21  + 'Cost Components'!$B$23) * 10^6</f>
        <v>494420000</v>
      </c>
      <c r="H4">
        <f>('Cost Components'!$B$21  + 'Cost Components'!$B$23) * 10^6</f>
        <v>494420000</v>
      </c>
      <c r="I4">
        <f>('Cost Components'!$B$21  + 'Cost Components'!$B$23) * 10^6</f>
        <v>494420000</v>
      </c>
      <c r="J4">
        <f>('Cost Components'!$B$21  + 'Cost Components'!$B$23) * 10^6</f>
        <v>494420000</v>
      </c>
      <c r="K4">
        <f>('Cost Components'!$B$21  + 'Cost Components'!$B$23) * 10^6</f>
        <v>494420000</v>
      </c>
      <c r="L4">
        <f>('Cost Components'!$B$21  + 'Cost Components'!$B$23) * 10^6</f>
        <v>494420000</v>
      </c>
      <c r="M4">
        <f>('Cost Components'!$B$21  + 'Cost Components'!$B$23) * 10^6</f>
        <v>494420000</v>
      </c>
      <c r="N4">
        <f>('Cost Components'!$B$21  + 'Cost Components'!$B$23) * 10^6</f>
        <v>494420000</v>
      </c>
      <c r="O4">
        <f>('Cost Components'!$B$21  + 'Cost Components'!$B$23) * 10^6</f>
        <v>494420000</v>
      </c>
      <c r="P4">
        <f>('Cost Components'!$B$21  + 'Cost Components'!$B$23) * 10^6</f>
        <v>494420000</v>
      </c>
      <c r="Q4">
        <f>('Cost Components'!$B$21  + 'Cost Components'!$B$23) * 10^6</f>
        <v>494420000</v>
      </c>
      <c r="R4">
        <f>('Cost Components'!$B$21  + 'Cost Components'!$B$23) * 10^6</f>
        <v>494420000</v>
      </c>
      <c r="S4">
        <f>('Cost Components'!$B$21  + 'Cost Components'!$B$23) * 10^6</f>
        <v>494420000</v>
      </c>
      <c r="T4">
        <f>('Cost Components'!$B$21  + 'Cost Components'!$B$23) * 10^6</f>
        <v>494420000</v>
      </c>
      <c r="U4">
        <f>('Cost Components'!$B$21  + 'Cost Components'!$B$23) * 10^6</f>
        <v>494420000</v>
      </c>
      <c r="V4">
        <f>('Cost Components'!$B$21  + 'Cost Components'!$B$23) * 10^6</f>
        <v>494420000</v>
      </c>
      <c r="W4">
        <f>('Cost Components'!$B$21  + 'Cost Components'!$B$23) * 10^6</f>
        <v>494420000</v>
      </c>
      <c r="X4">
        <f>('Cost Components'!$B$21  + 'Cost Components'!$B$23) * 10^6</f>
        <v>494420000</v>
      </c>
      <c r="Y4">
        <f>('Cost Components'!$B$21  + 'Cost Components'!$B$23) * 10^6</f>
        <v>494420000</v>
      </c>
      <c r="Z4">
        <f>('Cost Components'!$B$21  + 'Cost Components'!$B$23) * 10^6</f>
        <v>494420000</v>
      </c>
      <c r="AA4">
        <f>('Cost Components'!$B$21  + 'Cost Components'!$B$23) * 10^6</f>
        <v>494420000</v>
      </c>
    </row>
    <row r="5" spans="1:27" x14ac:dyDescent="0.25">
      <c r="A5" t="s">
        <v>121</v>
      </c>
      <c r="B5">
        <v>0</v>
      </c>
      <c r="C5">
        <f>'Cost Components'!$B$36*10^6</f>
        <v>56800000</v>
      </c>
      <c r="D5">
        <f>'Cost Components'!$B$36*10^6</f>
        <v>56800000</v>
      </c>
      <c r="E5">
        <f>'Cost Components'!$B$36*10^6</f>
        <v>56800000</v>
      </c>
      <c r="F5">
        <f>'Cost Components'!$B$36*10^6</f>
        <v>56800000</v>
      </c>
      <c r="G5">
        <f>'Cost Components'!$B$36*10^6</f>
        <v>56800000</v>
      </c>
      <c r="H5">
        <f>'Cost Components'!$B$36*10^6</f>
        <v>56800000</v>
      </c>
      <c r="I5">
        <f>'Cost Components'!$B$36*10^6</f>
        <v>56800000</v>
      </c>
      <c r="J5">
        <f>'Cost Components'!$B$36*10^6</f>
        <v>56800000</v>
      </c>
      <c r="K5">
        <f>'Cost Components'!$B$36*10^6</f>
        <v>56800000</v>
      </c>
      <c r="L5">
        <f>'Cost Components'!$B$36*10^6</f>
        <v>56800000</v>
      </c>
      <c r="M5">
        <f>'Cost Components'!$B$36*10^6</f>
        <v>56800000</v>
      </c>
      <c r="N5">
        <f>'Cost Components'!$B$36*10^6</f>
        <v>56800000</v>
      </c>
      <c r="O5">
        <f>'Cost Components'!$B$36*10^6</f>
        <v>56800000</v>
      </c>
      <c r="P5">
        <f>'Cost Components'!$B$36*10^6</f>
        <v>56800000</v>
      </c>
      <c r="Q5">
        <f>'Cost Components'!$B$36*10^6</f>
        <v>56800000</v>
      </c>
      <c r="R5">
        <f>'Cost Components'!$B$36*10^6</f>
        <v>56800000</v>
      </c>
      <c r="S5">
        <f>'Cost Components'!$B$36*10^6</f>
        <v>56800000</v>
      </c>
      <c r="T5">
        <f>'Cost Components'!$B$36*10^6</f>
        <v>56800000</v>
      </c>
      <c r="U5">
        <f>'Cost Components'!$B$36*10^6</f>
        <v>56800000</v>
      </c>
      <c r="V5">
        <f>'Cost Components'!$B$36*10^6</f>
        <v>56800000</v>
      </c>
      <c r="W5">
        <f>'Cost Components'!$B$36*10^6</f>
        <v>56800000</v>
      </c>
      <c r="X5">
        <f>'Cost Components'!$B$36*10^6</f>
        <v>56800000</v>
      </c>
      <c r="Y5">
        <f>'Cost Components'!$B$36*10^6</f>
        <v>56800000</v>
      </c>
      <c r="Z5">
        <f>'Cost Components'!$B$36*10^6</f>
        <v>56800000</v>
      </c>
      <c r="AA5">
        <f>'Cost Components'!$B$36*10^6</f>
        <v>56800000</v>
      </c>
    </row>
    <row r="6" spans="1:27" x14ac:dyDescent="0.25">
      <c r="A6" t="s">
        <v>122</v>
      </c>
      <c r="B6">
        <f t="shared" ref="B6:AA6" si="0">B4-B5</f>
        <v>1870760000</v>
      </c>
      <c r="C6">
        <f t="shared" si="0"/>
        <v>437620000</v>
      </c>
      <c r="D6">
        <f t="shared" si="0"/>
        <v>437620000</v>
      </c>
      <c r="E6">
        <f t="shared" si="0"/>
        <v>437620000</v>
      </c>
      <c r="F6">
        <f t="shared" si="0"/>
        <v>437620000</v>
      </c>
      <c r="G6">
        <f t="shared" si="0"/>
        <v>437620000</v>
      </c>
      <c r="H6">
        <f t="shared" si="0"/>
        <v>437620000</v>
      </c>
      <c r="I6">
        <f t="shared" si="0"/>
        <v>437620000</v>
      </c>
      <c r="J6">
        <f t="shared" si="0"/>
        <v>437620000</v>
      </c>
      <c r="K6">
        <f t="shared" si="0"/>
        <v>437620000</v>
      </c>
      <c r="L6">
        <f t="shared" si="0"/>
        <v>437620000</v>
      </c>
      <c r="M6">
        <f t="shared" si="0"/>
        <v>437620000</v>
      </c>
      <c r="N6">
        <f t="shared" si="0"/>
        <v>437620000</v>
      </c>
      <c r="O6">
        <f t="shared" si="0"/>
        <v>437620000</v>
      </c>
      <c r="P6">
        <f t="shared" si="0"/>
        <v>437620000</v>
      </c>
      <c r="Q6">
        <f t="shared" si="0"/>
        <v>437620000</v>
      </c>
      <c r="R6">
        <f t="shared" si="0"/>
        <v>437620000</v>
      </c>
      <c r="S6">
        <f t="shared" si="0"/>
        <v>437620000</v>
      </c>
      <c r="T6">
        <f t="shared" si="0"/>
        <v>437620000</v>
      </c>
      <c r="U6">
        <f t="shared" si="0"/>
        <v>437620000</v>
      </c>
      <c r="V6">
        <f t="shared" si="0"/>
        <v>437620000</v>
      </c>
      <c r="W6">
        <f t="shared" si="0"/>
        <v>437620000</v>
      </c>
      <c r="X6">
        <f t="shared" si="0"/>
        <v>437620000</v>
      </c>
      <c r="Y6">
        <f t="shared" si="0"/>
        <v>437620000</v>
      </c>
      <c r="Z6">
        <f t="shared" si="0"/>
        <v>437620000</v>
      </c>
      <c r="AA6">
        <f t="shared" si="0"/>
        <v>437620000</v>
      </c>
    </row>
    <row r="7" spans="1:27" x14ac:dyDescent="0.25">
      <c r="A7" t="s">
        <v>123</v>
      </c>
      <c r="B7">
        <f>B6/(1+'Study Parameters'!$C$4) ^'Production Cost Baseline'!B$2</f>
        <v>1870760000</v>
      </c>
      <c r="C7">
        <f>C6/(1+'Study Parameters'!$C$4) ^'Production Cost Baseline'!C$2</f>
        <v>407088372.0930233</v>
      </c>
      <c r="D7">
        <f>D6/(1+'Study Parameters'!$C$4) ^'Production Cost Baseline'!D$2</f>
        <v>378686857.76095188</v>
      </c>
      <c r="E7">
        <f>E6/(1+'Study Parameters'!$C$4) ^'Production Cost Baseline'!E$2</f>
        <v>352266844.42879248</v>
      </c>
      <c r="F7">
        <f>F6/(1+'Study Parameters'!$C$4) ^'Production Cost Baseline'!F$2</f>
        <v>327690087.84073716</v>
      </c>
      <c r="G7">
        <f>G6/(1+'Study Parameters'!$C$4) ^'Production Cost Baseline'!G$2</f>
        <v>304827988.68905783</v>
      </c>
      <c r="H7">
        <f>H6/(1+'Study Parameters'!$C$4) ^'Production Cost Baseline'!H$2</f>
        <v>283560919.71075153</v>
      </c>
      <c r="I7">
        <f>I6/(1+'Study Parameters'!$C$4) ^'Production Cost Baseline'!I$2</f>
        <v>263777599.73093161</v>
      </c>
      <c r="J7">
        <f>J6/(1+'Study Parameters'!$C$4) ^'Production Cost Baseline'!J$2</f>
        <v>245374511.37761083</v>
      </c>
      <c r="K7">
        <f>K6/(1+'Study Parameters'!$C$4) ^'Production Cost Baseline'!K$2</f>
        <v>228255359.42103332</v>
      </c>
      <c r="L7">
        <f>L6/(1+'Study Parameters'!$C$4) ^'Production Cost Baseline'!L$2</f>
        <v>212330566.90328684</v>
      </c>
      <c r="M7">
        <f>M6/(1+'Study Parameters'!$C$4) ^'Production Cost Baseline'!M$2</f>
        <v>197516806.42166215</v>
      </c>
      <c r="N7">
        <f>N6/(1+'Study Parameters'!$C$4) ^'Production Cost Baseline'!N$2</f>
        <v>183736564.11317411</v>
      </c>
      <c r="O7">
        <f>O6/(1+'Study Parameters'!$C$4) ^'Production Cost Baseline'!O$2</f>
        <v>170917734.0587666</v>
      </c>
      <c r="P7">
        <f>P6/(1+'Study Parameters'!$C$4) ^'Production Cost Baseline'!P$2</f>
        <v>158993240.98489919</v>
      </c>
      <c r="Q7">
        <f>Q6/(1+'Study Parameters'!$C$4) ^'Production Cost Baseline'!Q$2</f>
        <v>147900689.28827831</v>
      </c>
      <c r="R7">
        <f>R6/(1+'Study Parameters'!$C$4) ^'Production Cost Baseline'!R$2</f>
        <v>137582036.54723564</v>
      </c>
      <c r="S7">
        <f>S6/(1+'Study Parameters'!$C$4) ^'Production Cost Baseline'!S$2</f>
        <v>127983289.81138201</v>
      </c>
      <c r="T7">
        <f>T6/(1+'Study Parameters'!$C$4) ^'Production Cost Baseline'!T$2</f>
        <v>119054223.08035536</v>
      </c>
      <c r="U7">
        <f>U6/(1+'Study Parameters'!$C$4) ^'Production Cost Baseline'!U$2</f>
        <v>110748114.49335381</v>
      </c>
      <c r="V7">
        <f>V6/(1+'Study Parameters'!$C$4) ^'Production Cost Baseline'!V$2</f>
        <v>103021501.85428263</v>
      </c>
      <c r="W7">
        <f>W6/(1+'Study Parameters'!$C$4) ^'Production Cost Baseline'!W$2</f>
        <v>95833955.213286161</v>
      </c>
      <c r="X7">
        <f>X6/(1+'Study Parameters'!$C$4) ^'Production Cost Baseline'!X$2</f>
        <v>89147865.314684808</v>
      </c>
      <c r="Y7">
        <f>Y6/(1+'Study Parameters'!$C$4) ^'Production Cost Baseline'!Y$2</f>
        <v>82928246.804357961</v>
      </c>
      <c r="Z7">
        <f>Z6/(1+'Study Parameters'!$C$4) ^'Production Cost Baseline'!Z$2</f>
        <v>77142555.166844621</v>
      </c>
      <c r="AA7">
        <f>AA6/(1+'Study Parameters'!$C$4) ^'Production Cost Baseline'!AA$2</f>
        <v>71760516.434274063</v>
      </c>
    </row>
    <row r="8" spans="1:27" x14ac:dyDescent="0.25">
      <c r="A8" t="s">
        <v>124</v>
      </c>
      <c r="B8">
        <v>0</v>
      </c>
      <c r="C8">
        <f>'Study Parameters'!$C$12*'Study Parameters'!$C$8 * 10^3</f>
        <v>69600000</v>
      </c>
      <c r="D8">
        <f>'Study Parameters'!$C$12*'Study Parameters'!$C$8 * 10^3</f>
        <v>69600000</v>
      </c>
      <c r="E8">
        <f>'Study Parameters'!$C$12*'Study Parameters'!$C$8 * 10^3</f>
        <v>69600000</v>
      </c>
      <c r="F8">
        <f>'Study Parameters'!$C$12*'Study Parameters'!$C$8 * 10^3</f>
        <v>69600000</v>
      </c>
      <c r="G8">
        <f>'Study Parameters'!$C$12*'Study Parameters'!$C$8 * 10^3</f>
        <v>69600000</v>
      </c>
      <c r="H8">
        <f>'Study Parameters'!$C$12*'Study Parameters'!$C$8 * 10^3</f>
        <v>69600000</v>
      </c>
      <c r="I8">
        <f>'Study Parameters'!$C$12*'Study Parameters'!$C$8 * 10^3</f>
        <v>69600000</v>
      </c>
      <c r="J8">
        <f>'Study Parameters'!$C$12*'Study Parameters'!$C$8 * 10^3</f>
        <v>69600000</v>
      </c>
      <c r="K8">
        <f>'Study Parameters'!$C$12*'Study Parameters'!$C$8 * 10^3</f>
        <v>69600000</v>
      </c>
      <c r="L8">
        <f>'Study Parameters'!$C$12*'Study Parameters'!$C$8 * 10^3</f>
        <v>69600000</v>
      </c>
      <c r="M8">
        <f>'Study Parameters'!$C$12*'Study Parameters'!$C$8 * 10^3</f>
        <v>69600000</v>
      </c>
      <c r="N8">
        <f>'Study Parameters'!$C$12*'Study Parameters'!$C$8 * 10^3</f>
        <v>69600000</v>
      </c>
      <c r="O8">
        <f>'Study Parameters'!$C$12*'Study Parameters'!$C$8 * 10^3</f>
        <v>69600000</v>
      </c>
      <c r="P8">
        <f>'Study Parameters'!$C$12*'Study Parameters'!$C$8 * 10^3</f>
        <v>69600000</v>
      </c>
      <c r="Q8">
        <f>'Study Parameters'!$C$12*'Study Parameters'!$C$8 * 10^3</f>
        <v>69600000</v>
      </c>
      <c r="R8">
        <f>'Study Parameters'!$C$12*'Study Parameters'!$C$8 * 10^3</f>
        <v>69600000</v>
      </c>
      <c r="S8">
        <f>'Study Parameters'!$C$12*'Study Parameters'!$C$8 * 10^3</f>
        <v>69600000</v>
      </c>
      <c r="T8">
        <f>'Study Parameters'!$C$12*'Study Parameters'!$C$8 * 10^3</f>
        <v>69600000</v>
      </c>
      <c r="U8">
        <f>'Study Parameters'!$C$12*'Study Parameters'!$C$8 * 10^3</f>
        <v>69600000</v>
      </c>
      <c r="V8">
        <f>'Study Parameters'!$C$12*'Study Parameters'!$C$8 * 10^3</f>
        <v>69600000</v>
      </c>
      <c r="W8">
        <f>'Study Parameters'!$C$12*'Study Parameters'!$C$8 * 10^3</f>
        <v>69600000</v>
      </c>
      <c r="X8">
        <f>'Study Parameters'!$C$12*'Study Parameters'!$C$8 * 10^3</f>
        <v>69600000</v>
      </c>
      <c r="Y8">
        <f>'Study Parameters'!$C$12*'Study Parameters'!$C$8 * 10^3</f>
        <v>69600000</v>
      </c>
      <c r="Z8">
        <f>'Study Parameters'!$C$12*'Study Parameters'!$C$8 * 10^3</f>
        <v>69600000</v>
      </c>
      <c r="AA8">
        <f>'Study Parameters'!$C$12*'Study Parameters'!$C$8 * 10^3</f>
        <v>69600000</v>
      </c>
    </row>
    <row r="9" spans="1:27" x14ac:dyDescent="0.25">
      <c r="A9" t="s">
        <v>125</v>
      </c>
      <c r="B9">
        <v>0</v>
      </c>
      <c r="C9">
        <f>C8/(1+'Study Parameters'!$C$4) ^'Production Cost Baseline'!C$2</f>
        <v>64744186.046511628</v>
      </c>
      <c r="D9">
        <f>D8/(1+'Study Parameters'!$C$4) ^'Production Cost Baseline'!D$2</f>
        <v>60227149.810708493</v>
      </c>
      <c r="E9">
        <f>E8/(1+'Study Parameters'!$C$4) ^'Production Cost Baseline'!E$2</f>
        <v>56025255.637868367</v>
      </c>
      <c r="F9">
        <f>F8/(1+'Study Parameters'!$C$4) ^'Production Cost Baseline'!F$2</f>
        <v>52116516.872435689</v>
      </c>
      <c r="G9">
        <f>G8/(1+'Study Parameters'!$C$4) ^'Production Cost Baseline'!G$2</f>
        <v>48480480.811568081</v>
      </c>
      <c r="H9">
        <f>H8/(1+'Study Parameters'!$C$4) ^'Production Cost Baseline'!H$2</f>
        <v>45098121.685179621</v>
      </c>
      <c r="I9">
        <f>I8/(1+'Study Parameters'!$C$4) ^'Production Cost Baseline'!I$2</f>
        <v>41951741.102492668</v>
      </c>
      <c r="J9">
        <f>J8/(1+'Study Parameters'!$C$4) ^'Production Cost Baseline'!J$2</f>
        <v>39024875.444179229</v>
      </c>
      <c r="K9">
        <f>K8/(1+'Study Parameters'!$C$4) ^'Production Cost Baseline'!K$2</f>
        <v>36302209.715515561</v>
      </c>
      <c r="L9">
        <f>L8/(1+'Study Parameters'!$C$4) ^'Production Cost Baseline'!L$2</f>
        <v>33769497.409781925</v>
      </c>
      <c r="M9">
        <f>M8/(1+'Study Parameters'!$C$4) ^'Production Cost Baseline'!M$2</f>
        <v>31413485.96258783</v>
      </c>
      <c r="N9">
        <f>N8/(1+'Study Parameters'!$C$4) ^'Production Cost Baseline'!N$2</f>
        <v>29221847.407058448</v>
      </c>
      <c r="O9">
        <f>O8/(1+'Study Parameters'!$C$4) ^'Production Cost Baseline'!O$2</f>
        <v>27183113.867031112</v>
      </c>
      <c r="P9">
        <f>P8/(1+'Study Parameters'!$C$4) ^'Production Cost Baseline'!P$2</f>
        <v>25286617.550726619</v>
      </c>
      <c r="Q9">
        <f>Q8/(1+'Study Parameters'!$C$4) ^'Production Cost Baseline'!Q$2</f>
        <v>23522434.930908483</v>
      </c>
      <c r="R9">
        <f>R8/(1+'Study Parameters'!$C$4) ^'Production Cost Baseline'!R$2</f>
        <v>21881334.819449753</v>
      </c>
      <c r="S9">
        <f>S8/(1+'Study Parameters'!$C$4) ^'Production Cost Baseline'!S$2</f>
        <v>20354730.064604424</v>
      </c>
      <c r="T9">
        <f>T8/(1+'Study Parameters'!$C$4) ^'Production Cost Baseline'!T$2</f>
        <v>18934632.618236672</v>
      </c>
      <c r="U9">
        <f>U8/(1+'Study Parameters'!$C$4) ^'Production Cost Baseline'!U$2</f>
        <v>17613611.73789458</v>
      </c>
      <c r="V9">
        <f>V8/(1+'Study Parameters'!$C$4) ^'Production Cost Baseline'!V$2</f>
        <v>16384755.105018215</v>
      </c>
      <c r="W9">
        <f>W8/(1+'Study Parameters'!$C$4) ^'Production Cost Baseline'!W$2</f>
        <v>15241632.655830896</v>
      </c>
      <c r="X9">
        <f>X8/(1+'Study Parameters'!$C$4) ^'Production Cost Baseline'!X$2</f>
        <v>14178262.935656648</v>
      </c>
      <c r="Y9">
        <f>Y8/(1+'Study Parameters'!$C$4) ^'Production Cost Baseline'!Y$2</f>
        <v>13189081.800610837</v>
      </c>
      <c r="Z9">
        <f>Z8/(1+'Study Parameters'!$C$4) ^'Production Cost Baseline'!Z$2</f>
        <v>12268913.302893803</v>
      </c>
      <c r="AA9">
        <f>AA8/(1+'Study Parameters'!$C$4) ^'Production Cost Baseline'!AA$2</f>
        <v>11412942.60734307</v>
      </c>
    </row>
    <row r="11" spans="1:27" x14ac:dyDescent="0.25">
      <c r="A11" t="s">
        <v>126</v>
      </c>
      <c r="B11">
        <f>SUM(B7:AA7) / SUM(C9:AA9)</f>
        <v>8.6989531048119826</v>
      </c>
    </row>
    <row r="12" spans="1:27" x14ac:dyDescent="0.25">
      <c r="A12" t="s">
        <v>127</v>
      </c>
      <c r="B12">
        <f>B11 * Inputs!$C$15</f>
        <v>6.9852593431640226</v>
      </c>
    </row>
    <row r="14" spans="1:27" x14ac:dyDescent="0.25">
      <c r="A14" s="1" t="s">
        <v>128</v>
      </c>
    </row>
    <row r="15" spans="1:27" x14ac:dyDescent="0.25">
      <c r="A15" t="s">
        <v>120</v>
      </c>
      <c r="B15">
        <f>'Cost Components'!$B$12 * 10^6</f>
        <v>1870760000</v>
      </c>
      <c r="C15">
        <f>('Cost Components'!$B$21  + 'Cost Components'!$B$29) * 10^6</f>
        <v>1996440000</v>
      </c>
      <c r="D15">
        <f>('Cost Components'!$B$21  + 'Cost Components'!$B$29) * 10^6</f>
        <v>1996440000</v>
      </c>
      <c r="E15">
        <f>('Cost Components'!$B$21  + 'Cost Components'!$B$29) * 10^6</f>
        <v>1996440000</v>
      </c>
      <c r="F15">
        <f>('Cost Components'!$B$21  + 'Cost Components'!$B$29) * 10^6</f>
        <v>1996440000</v>
      </c>
      <c r="G15">
        <f>('Cost Components'!$B$21  + 'Cost Components'!$B$29) * 10^6</f>
        <v>1996440000</v>
      </c>
      <c r="H15">
        <f>('Cost Components'!$B$21  + 'Cost Components'!$B$29) * 10^6</f>
        <v>1996440000</v>
      </c>
      <c r="I15">
        <f>('Cost Components'!$B$21  + 'Cost Components'!$B$29) * 10^6</f>
        <v>1996440000</v>
      </c>
      <c r="J15">
        <f>('Cost Components'!$B$21  + 'Cost Components'!$B$29) * 10^6</f>
        <v>1996440000</v>
      </c>
      <c r="K15">
        <f>('Cost Components'!$B$21  + 'Cost Components'!$B$29) * 10^6</f>
        <v>1996440000</v>
      </c>
      <c r="L15">
        <f>('Cost Components'!$B$21  + 'Cost Components'!$B$29) * 10^6</f>
        <v>1996440000</v>
      </c>
      <c r="M15">
        <f>('Cost Components'!$B$21  + 'Cost Components'!$B$29) * 10^6</f>
        <v>1996440000</v>
      </c>
      <c r="N15">
        <f>('Cost Components'!$B$21  + 'Cost Components'!$B$29) * 10^6</f>
        <v>1996440000</v>
      </c>
      <c r="O15">
        <f>('Cost Components'!$B$21  + 'Cost Components'!$B$29) * 10^6</f>
        <v>1996440000</v>
      </c>
      <c r="P15">
        <f>('Cost Components'!$B$21  + 'Cost Components'!$B$29) * 10^6</f>
        <v>1996440000</v>
      </c>
      <c r="Q15">
        <f>('Cost Components'!$B$21  + 'Cost Components'!$B$29) * 10^6</f>
        <v>1996440000</v>
      </c>
      <c r="R15">
        <f>('Cost Components'!$B$21  + 'Cost Components'!$B$29) * 10^6</f>
        <v>1996440000</v>
      </c>
      <c r="S15">
        <f>('Cost Components'!$B$21  + 'Cost Components'!$B$29) * 10^6</f>
        <v>1996440000</v>
      </c>
      <c r="T15">
        <f>('Cost Components'!$B$21  + 'Cost Components'!$B$29) * 10^6</f>
        <v>1996440000</v>
      </c>
      <c r="U15">
        <f>('Cost Components'!$B$21  + 'Cost Components'!$B$29) * 10^6</f>
        <v>1996440000</v>
      </c>
      <c r="V15">
        <f>('Cost Components'!$B$21  + 'Cost Components'!$B$29) * 10^6</f>
        <v>1996440000</v>
      </c>
      <c r="W15">
        <f>('Cost Components'!$B$21  + 'Cost Components'!$B$29) * 10^6</f>
        <v>1996440000</v>
      </c>
      <c r="X15">
        <f>('Cost Components'!$B$21  + 'Cost Components'!$B$29) * 10^6</f>
        <v>1996440000</v>
      </c>
      <c r="Y15">
        <f>('Cost Components'!$B$21  + 'Cost Components'!$B$29) * 10^6</f>
        <v>1996440000</v>
      </c>
      <c r="Z15">
        <f>('Cost Components'!$B$21  + 'Cost Components'!$B$29) * 10^6</f>
        <v>1996440000</v>
      </c>
      <c r="AA15">
        <f>('Cost Components'!$B$21  + 'Cost Components'!$B$29) * 10^6</f>
        <v>1996440000</v>
      </c>
    </row>
    <row r="16" spans="1:27" x14ac:dyDescent="0.25">
      <c r="A16" t="s">
        <v>121</v>
      </c>
      <c r="B16">
        <v>0</v>
      </c>
      <c r="C16">
        <f>'Cost Components'!$B$36*10^6</f>
        <v>56800000</v>
      </c>
      <c r="D16">
        <f>'Cost Components'!$B$36*10^6</f>
        <v>56800000</v>
      </c>
      <c r="E16">
        <f>'Cost Components'!$B$36*10^6</f>
        <v>56800000</v>
      </c>
      <c r="F16">
        <f>'Cost Components'!$B$36*10^6</f>
        <v>56800000</v>
      </c>
      <c r="G16">
        <f>'Cost Components'!$B$36*10^6</f>
        <v>56800000</v>
      </c>
      <c r="H16">
        <f>'Cost Components'!$B$36*10^6</f>
        <v>56800000</v>
      </c>
      <c r="I16">
        <f>'Cost Components'!$B$36*10^6</f>
        <v>56800000</v>
      </c>
      <c r="J16">
        <f>'Cost Components'!$B$36*10^6</f>
        <v>56800000</v>
      </c>
      <c r="K16">
        <f>'Cost Components'!$B$36*10^6</f>
        <v>56800000</v>
      </c>
      <c r="L16">
        <f>'Cost Components'!$B$36*10^6</f>
        <v>56800000</v>
      </c>
      <c r="M16">
        <f>'Cost Components'!$B$36*10^6</f>
        <v>56800000</v>
      </c>
      <c r="N16">
        <f>'Cost Components'!$B$36*10^6</f>
        <v>56800000</v>
      </c>
      <c r="O16">
        <f>'Cost Components'!$B$36*10^6</f>
        <v>56800000</v>
      </c>
      <c r="P16">
        <f>'Cost Components'!$B$36*10^6</f>
        <v>56800000</v>
      </c>
      <c r="Q16">
        <f>'Cost Components'!$B$36*10^6</f>
        <v>56800000</v>
      </c>
      <c r="R16">
        <f>'Cost Components'!$B$36*10^6</f>
        <v>56800000</v>
      </c>
      <c r="S16">
        <f>'Cost Components'!$B$36*10^6</f>
        <v>56800000</v>
      </c>
      <c r="T16">
        <f>'Cost Components'!$B$36*10^6</f>
        <v>56800000</v>
      </c>
      <c r="U16">
        <f>'Cost Components'!$B$36*10^6</f>
        <v>56800000</v>
      </c>
      <c r="V16">
        <f>'Cost Components'!$B$36*10^6</f>
        <v>56800000</v>
      </c>
      <c r="W16">
        <f>'Cost Components'!$B$36*10^6</f>
        <v>56800000</v>
      </c>
      <c r="X16">
        <f>'Cost Components'!$B$36*10^6</f>
        <v>56800000</v>
      </c>
      <c r="Y16">
        <f>'Cost Components'!$B$36*10^6</f>
        <v>56800000</v>
      </c>
      <c r="Z16">
        <f>'Cost Components'!$B$36*10^6</f>
        <v>56800000</v>
      </c>
      <c r="AA16">
        <f>'Cost Components'!$B$36*10^6</f>
        <v>56800000</v>
      </c>
    </row>
    <row r="17" spans="1:27" x14ac:dyDescent="0.25">
      <c r="A17" t="s">
        <v>122</v>
      </c>
      <c r="B17">
        <f t="shared" ref="B17:AA17" si="1">B15-B16</f>
        <v>1870760000</v>
      </c>
      <c r="C17">
        <f t="shared" si="1"/>
        <v>1939640000</v>
      </c>
      <c r="D17">
        <f t="shared" si="1"/>
        <v>1939640000</v>
      </c>
      <c r="E17">
        <f t="shared" si="1"/>
        <v>1939640000</v>
      </c>
      <c r="F17">
        <f t="shared" si="1"/>
        <v>1939640000</v>
      </c>
      <c r="G17">
        <f t="shared" si="1"/>
        <v>1939640000</v>
      </c>
      <c r="H17">
        <f t="shared" si="1"/>
        <v>1939640000</v>
      </c>
      <c r="I17">
        <f t="shared" si="1"/>
        <v>1939640000</v>
      </c>
      <c r="J17">
        <f t="shared" si="1"/>
        <v>1939640000</v>
      </c>
      <c r="K17">
        <f t="shared" si="1"/>
        <v>1939640000</v>
      </c>
      <c r="L17">
        <f t="shared" si="1"/>
        <v>1939640000</v>
      </c>
      <c r="M17">
        <f t="shared" si="1"/>
        <v>1939640000</v>
      </c>
      <c r="N17">
        <f t="shared" si="1"/>
        <v>1939640000</v>
      </c>
      <c r="O17">
        <f t="shared" si="1"/>
        <v>1939640000</v>
      </c>
      <c r="P17">
        <f t="shared" si="1"/>
        <v>1939640000</v>
      </c>
      <c r="Q17">
        <f t="shared" si="1"/>
        <v>1939640000</v>
      </c>
      <c r="R17">
        <f t="shared" si="1"/>
        <v>1939640000</v>
      </c>
      <c r="S17">
        <f t="shared" si="1"/>
        <v>1939640000</v>
      </c>
      <c r="T17">
        <f t="shared" si="1"/>
        <v>1939640000</v>
      </c>
      <c r="U17">
        <f t="shared" si="1"/>
        <v>1939640000</v>
      </c>
      <c r="V17">
        <f t="shared" si="1"/>
        <v>1939640000</v>
      </c>
      <c r="W17">
        <f t="shared" si="1"/>
        <v>1939640000</v>
      </c>
      <c r="X17">
        <f t="shared" si="1"/>
        <v>1939640000</v>
      </c>
      <c r="Y17">
        <f t="shared" si="1"/>
        <v>1939640000</v>
      </c>
      <c r="Z17">
        <f t="shared" si="1"/>
        <v>1939640000</v>
      </c>
      <c r="AA17">
        <f t="shared" si="1"/>
        <v>1939640000</v>
      </c>
    </row>
    <row r="18" spans="1:27" x14ac:dyDescent="0.25">
      <c r="A18" t="s">
        <v>123</v>
      </c>
      <c r="B18">
        <f>B17/(1+'Study Parameters'!$C$4) ^'Production Cost Baseline'!B$2</f>
        <v>1870760000</v>
      </c>
      <c r="C18">
        <f>C17/(1+'Study Parameters'!$C$4) ^'Production Cost Baseline'!C$2</f>
        <v>1804316279.0697675</v>
      </c>
      <c r="D18">
        <f>D17/(1+'Study Parameters'!$C$4) ^'Production Cost Baseline'!D$2</f>
        <v>1678433747.9718769</v>
      </c>
      <c r="E18">
        <f>E17/(1+'Study Parameters'!$C$4) ^'Production Cost Baseline'!E$2</f>
        <v>1561333719.0436065</v>
      </c>
      <c r="F18">
        <f>F17/(1+'Study Parameters'!$C$4) ^'Production Cost Baseline'!F$2</f>
        <v>1452403459.5754478</v>
      </c>
      <c r="G18">
        <f>G17/(1+'Study Parameters'!$C$4) ^'Production Cost Baseline'!G$2</f>
        <v>1351072985.6515794</v>
      </c>
      <c r="H18">
        <f>H17/(1+'Study Parameters'!$C$4) ^'Production Cost Baseline'!H$2</f>
        <v>1256812079.6758878</v>
      </c>
      <c r="I18">
        <f>I17/(1+'Study Parameters'!$C$4) ^'Production Cost Baseline'!I$2</f>
        <v>1169127515.9775701</v>
      </c>
      <c r="J18">
        <f>J17/(1+'Study Parameters'!$C$4) ^'Production Cost Baseline'!J$2</f>
        <v>1087560479.979135</v>
      </c>
      <c r="K18">
        <f>K17/(1+'Study Parameters'!$C$4) ^'Production Cost Baseline'!K$2</f>
        <v>1011684167.4224511</v>
      </c>
      <c r="L18">
        <f>L17/(1+'Study Parameters'!$C$4) ^'Production Cost Baseline'!L$2</f>
        <v>941101551.09065247</v>
      </c>
      <c r="M18">
        <f>M17/(1+'Study Parameters'!$C$4) ^'Production Cost Baseline'!M$2</f>
        <v>875443303.34014165</v>
      </c>
      <c r="N18">
        <f>N17/(1+'Study Parameters'!$C$4) ^'Production Cost Baseline'!N$2</f>
        <v>814365863.57222486</v>
      </c>
      <c r="O18">
        <f>O17/(1+'Study Parameters'!$C$4) ^'Production Cost Baseline'!O$2</f>
        <v>757549640.53230214</v>
      </c>
      <c r="P18">
        <f>P17/(1+'Study Parameters'!$C$4) ^'Production Cost Baseline'!P$2</f>
        <v>704697340.03004861</v>
      </c>
      <c r="Q18">
        <f>Q17/(1+'Study Parameters'!$C$4) ^'Production Cost Baseline'!Q$2</f>
        <v>655532409.3302778</v>
      </c>
      <c r="R18">
        <f>R17/(1+'Study Parameters'!$C$4) ^'Production Cost Baseline'!R$2</f>
        <v>609797590.07467699</v>
      </c>
      <c r="S18">
        <f>S17/(1+'Study Parameters'!$C$4) ^'Production Cost Baseline'!S$2</f>
        <v>567253572.16249025</v>
      </c>
      <c r="T18">
        <f>T17/(1+'Study Parameters'!$C$4) ^'Production Cost Baseline'!T$2</f>
        <v>527677741.54650259</v>
      </c>
      <c r="U18">
        <f>U17/(1+'Study Parameters'!$C$4) ^'Production Cost Baseline'!U$2</f>
        <v>490863015.39209545</v>
      </c>
      <c r="V18">
        <f>V17/(1+'Study Parameters'!$C$4) ^'Production Cost Baseline'!V$2</f>
        <v>456616758.50427485</v>
      </c>
      <c r="W18">
        <f>W17/(1+'Study Parameters'!$C$4) ^'Production Cost Baseline'!W$2</f>
        <v>424759775.35281378</v>
      </c>
      <c r="X18">
        <f>X17/(1+'Study Parameters'!$C$4) ^'Production Cost Baseline'!X$2</f>
        <v>395125372.42122215</v>
      </c>
      <c r="Y18">
        <f>Y17/(1+'Study Parameters'!$C$4) ^'Production Cost Baseline'!Y$2</f>
        <v>367558485.97322989</v>
      </c>
      <c r="Z18">
        <f>Z17/(1+'Study Parameters'!$C$4) ^'Production Cost Baseline'!Z$2</f>
        <v>341914870.67277205</v>
      </c>
      <c r="AA18">
        <f>AA17/(1+'Study Parameters'!$C$4) ^'Production Cost Baseline'!AA$2</f>
        <v>318060344.81188095</v>
      </c>
    </row>
    <row r="19" spans="1:27" x14ac:dyDescent="0.25">
      <c r="A19" t="s">
        <v>124</v>
      </c>
      <c r="B19">
        <v>0</v>
      </c>
      <c r="C19">
        <f>'Study Parameters'!$C$12*'Study Parameters'!$C$8 * 10^3</f>
        <v>69600000</v>
      </c>
      <c r="D19">
        <f>'Study Parameters'!$C$12*'Study Parameters'!$C$8 * 10^3</f>
        <v>69600000</v>
      </c>
      <c r="E19">
        <f>'Study Parameters'!$C$12*'Study Parameters'!$C$8 * 10^3</f>
        <v>69600000</v>
      </c>
      <c r="F19">
        <f>'Study Parameters'!$C$12*'Study Parameters'!$C$8 * 10^3</f>
        <v>69600000</v>
      </c>
      <c r="G19">
        <f>'Study Parameters'!$C$12*'Study Parameters'!$C$8 * 10^3</f>
        <v>69600000</v>
      </c>
      <c r="H19">
        <f>'Study Parameters'!$C$12*'Study Parameters'!$C$8 * 10^3</f>
        <v>69600000</v>
      </c>
      <c r="I19">
        <f>'Study Parameters'!$C$12*'Study Parameters'!$C$8 * 10^3</f>
        <v>69600000</v>
      </c>
      <c r="J19">
        <f>'Study Parameters'!$C$12*'Study Parameters'!$C$8 * 10^3</f>
        <v>69600000</v>
      </c>
      <c r="K19">
        <f>'Study Parameters'!$C$12*'Study Parameters'!$C$8 * 10^3</f>
        <v>69600000</v>
      </c>
      <c r="L19">
        <f>'Study Parameters'!$C$12*'Study Parameters'!$C$8 * 10^3</f>
        <v>69600000</v>
      </c>
      <c r="M19">
        <f>'Study Parameters'!$C$12*'Study Parameters'!$C$8 * 10^3</f>
        <v>69600000</v>
      </c>
      <c r="N19">
        <f>'Study Parameters'!$C$12*'Study Parameters'!$C$8 * 10^3</f>
        <v>69600000</v>
      </c>
      <c r="O19">
        <f>'Study Parameters'!$C$12*'Study Parameters'!$C$8 * 10^3</f>
        <v>69600000</v>
      </c>
      <c r="P19">
        <f>'Study Parameters'!$C$12*'Study Parameters'!$C$8 * 10^3</f>
        <v>69600000</v>
      </c>
      <c r="Q19">
        <f>'Study Parameters'!$C$12*'Study Parameters'!$C$8 * 10^3</f>
        <v>69600000</v>
      </c>
      <c r="R19">
        <f>'Study Parameters'!$C$12*'Study Parameters'!$C$8 * 10^3</f>
        <v>69600000</v>
      </c>
      <c r="S19">
        <f>'Study Parameters'!$C$12*'Study Parameters'!$C$8 * 10^3</f>
        <v>69600000</v>
      </c>
      <c r="T19">
        <f>'Study Parameters'!$C$12*'Study Parameters'!$C$8 * 10^3</f>
        <v>69600000</v>
      </c>
      <c r="U19">
        <f>'Study Parameters'!$C$12*'Study Parameters'!$C$8 * 10^3</f>
        <v>69600000</v>
      </c>
      <c r="V19">
        <f>'Study Parameters'!$C$12*'Study Parameters'!$C$8 * 10^3</f>
        <v>69600000</v>
      </c>
      <c r="W19">
        <f>'Study Parameters'!$C$12*'Study Parameters'!$C$8 * 10^3</f>
        <v>69600000</v>
      </c>
      <c r="X19">
        <f>'Study Parameters'!$C$12*'Study Parameters'!$C$8 * 10^3</f>
        <v>69600000</v>
      </c>
      <c r="Y19">
        <f>'Study Parameters'!$C$12*'Study Parameters'!$C$8 * 10^3</f>
        <v>69600000</v>
      </c>
      <c r="Z19">
        <f>'Study Parameters'!$C$12*'Study Parameters'!$C$8 * 10^3</f>
        <v>69600000</v>
      </c>
      <c r="AA19">
        <f>'Study Parameters'!$C$12*'Study Parameters'!$C$8 * 10^3</f>
        <v>69600000</v>
      </c>
    </row>
    <row r="20" spans="1:27" x14ac:dyDescent="0.25">
      <c r="A20" t="s">
        <v>125</v>
      </c>
      <c r="B20">
        <v>0</v>
      </c>
      <c r="C20">
        <f>C19/(1+'Study Parameters'!$C$4) ^'Production Cost Baseline'!C$2</f>
        <v>64744186.046511628</v>
      </c>
      <c r="D20">
        <f>D19/(1+'Study Parameters'!$C$4) ^'Production Cost Baseline'!D$2</f>
        <v>60227149.810708493</v>
      </c>
      <c r="E20">
        <f>E19/(1+'Study Parameters'!$C$4) ^'Production Cost Baseline'!E$2</f>
        <v>56025255.637868367</v>
      </c>
      <c r="F20">
        <f>F19/(1+'Study Parameters'!$C$4) ^'Production Cost Baseline'!F$2</f>
        <v>52116516.872435689</v>
      </c>
      <c r="G20">
        <f>G19/(1+'Study Parameters'!$C$4) ^'Production Cost Baseline'!G$2</f>
        <v>48480480.811568081</v>
      </c>
      <c r="H20">
        <f>H19/(1+'Study Parameters'!$C$4) ^'Production Cost Baseline'!H$2</f>
        <v>45098121.685179621</v>
      </c>
      <c r="I20">
        <f>I19/(1+'Study Parameters'!$C$4) ^'Production Cost Baseline'!I$2</f>
        <v>41951741.102492668</v>
      </c>
      <c r="J20">
        <f>J19/(1+'Study Parameters'!$C$4) ^'Production Cost Baseline'!J$2</f>
        <v>39024875.444179229</v>
      </c>
      <c r="K20">
        <f>K19/(1+'Study Parameters'!$C$4) ^'Production Cost Baseline'!K$2</f>
        <v>36302209.715515561</v>
      </c>
      <c r="L20">
        <f>L19/(1+'Study Parameters'!$C$4) ^'Production Cost Baseline'!L$2</f>
        <v>33769497.409781925</v>
      </c>
      <c r="M20">
        <f>M19/(1+'Study Parameters'!$C$4) ^'Production Cost Baseline'!M$2</f>
        <v>31413485.96258783</v>
      </c>
      <c r="N20">
        <f>N19/(1+'Study Parameters'!$C$4) ^'Production Cost Baseline'!N$2</f>
        <v>29221847.407058448</v>
      </c>
      <c r="O20">
        <f>O19/(1+'Study Parameters'!$C$4) ^'Production Cost Baseline'!O$2</f>
        <v>27183113.867031112</v>
      </c>
      <c r="P20">
        <f>P19/(1+'Study Parameters'!$C$4) ^'Production Cost Baseline'!P$2</f>
        <v>25286617.550726619</v>
      </c>
      <c r="Q20">
        <f>Q19/(1+'Study Parameters'!$C$4) ^'Production Cost Baseline'!Q$2</f>
        <v>23522434.930908483</v>
      </c>
      <c r="R20">
        <f>R19/(1+'Study Parameters'!$C$4) ^'Production Cost Baseline'!R$2</f>
        <v>21881334.819449753</v>
      </c>
      <c r="S20">
        <f>S19/(1+'Study Parameters'!$C$4) ^'Production Cost Baseline'!S$2</f>
        <v>20354730.064604424</v>
      </c>
      <c r="T20">
        <f>T19/(1+'Study Parameters'!$C$4) ^'Production Cost Baseline'!T$2</f>
        <v>18934632.618236672</v>
      </c>
      <c r="U20">
        <f>U19/(1+'Study Parameters'!$C$4) ^'Production Cost Baseline'!U$2</f>
        <v>17613611.73789458</v>
      </c>
      <c r="V20">
        <f>V19/(1+'Study Parameters'!$C$4) ^'Production Cost Baseline'!V$2</f>
        <v>16384755.105018215</v>
      </c>
      <c r="W20">
        <f>W19/(1+'Study Parameters'!$C$4) ^'Production Cost Baseline'!W$2</f>
        <v>15241632.655830896</v>
      </c>
      <c r="X20">
        <f>X19/(1+'Study Parameters'!$C$4) ^'Production Cost Baseline'!X$2</f>
        <v>14178262.935656648</v>
      </c>
      <c r="Y20">
        <f>Y19/(1+'Study Parameters'!$C$4) ^'Production Cost Baseline'!Y$2</f>
        <v>13189081.800610837</v>
      </c>
      <c r="Z20">
        <f>Z19/(1+'Study Parameters'!$C$4) ^'Production Cost Baseline'!Z$2</f>
        <v>12268913.302893803</v>
      </c>
      <c r="AA20">
        <f>AA19/(1+'Study Parameters'!$C$4) ^'Production Cost Baseline'!AA$2</f>
        <v>11412942.60734307</v>
      </c>
    </row>
    <row r="22" spans="1:27" x14ac:dyDescent="0.25">
      <c r="A22" t="s">
        <v>126</v>
      </c>
      <c r="B22">
        <f>SUM(B18:AA18) / SUM(C20:AA20)</f>
        <v>30.279700231248764</v>
      </c>
    </row>
    <row r="23" spans="1:27" x14ac:dyDescent="0.25">
      <c r="A23" t="s">
        <v>127</v>
      </c>
      <c r="B23">
        <f>B22 * Inputs!$C$15</f>
        <v>24.314599285692758</v>
      </c>
    </row>
    <row r="25" spans="1:27" x14ac:dyDescent="0.25">
      <c r="A25" s="1" t="s">
        <v>129</v>
      </c>
    </row>
    <row r="26" spans="1:27" x14ac:dyDescent="0.25">
      <c r="A26" t="s">
        <v>120</v>
      </c>
      <c r="B26">
        <f>'Cost Components'!$C$12 * 10^6</f>
        <v>1525300000</v>
      </c>
      <c r="C26">
        <f>('Cost Components'!$C$21  + 'Cost Components'!$C$23) * 10^6</f>
        <v>354300000</v>
      </c>
      <c r="D26">
        <f>('Cost Components'!$C$21  + 'Cost Components'!$C$23) * 10^6</f>
        <v>354300000</v>
      </c>
      <c r="E26">
        <f>('Cost Components'!$C$21  + 'Cost Components'!$C$23) * 10^6</f>
        <v>354300000</v>
      </c>
      <c r="F26">
        <f>('Cost Components'!$C$21  + 'Cost Components'!$C$23) * 10^6</f>
        <v>354300000</v>
      </c>
      <c r="G26">
        <f>('Cost Components'!$C$21  + 'Cost Components'!$C$23) * 10^6</f>
        <v>354300000</v>
      </c>
      <c r="H26">
        <f>('Cost Components'!$C$21  + 'Cost Components'!$C$23) * 10^6</f>
        <v>354300000</v>
      </c>
      <c r="I26">
        <f>('Cost Components'!$C$21  + 'Cost Components'!$C$23) * 10^6</f>
        <v>354300000</v>
      </c>
      <c r="J26">
        <f>('Cost Components'!$C$21  + 'Cost Components'!$C$23) * 10^6</f>
        <v>354300000</v>
      </c>
      <c r="K26">
        <f>('Cost Components'!$C$21  + 'Cost Components'!$C$23) * 10^6</f>
        <v>354300000</v>
      </c>
      <c r="L26">
        <f>('Cost Components'!$C$21  + 'Cost Components'!$C$23) * 10^6</f>
        <v>354300000</v>
      </c>
      <c r="M26">
        <f>('Cost Components'!$C$21  + 'Cost Components'!$C$23) * 10^6</f>
        <v>354300000</v>
      </c>
      <c r="N26">
        <f>('Cost Components'!$C$21  + 'Cost Components'!$C$23) * 10^6</f>
        <v>354300000</v>
      </c>
      <c r="O26">
        <f>('Cost Components'!$C$21  + 'Cost Components'!$C$23) * 10^6</f>
        <v>354300000</v>
      </c>
      <c r="P26">
        <f>('Cost Components'!$C$21  + 'Cost Components'!$C$23) * 10^6</f>
        <v>354300000</v>
      </c>
      <c r="Q26">
        <f>('Cost Components'!$C$21  + 'Cost Components'!$C$23) * 10^6</f>
        <v>354300000</v>
      </c>
      <c r="R26">
        <f>('Cost Components'!$C$21  + 'Cost Components'!$C$23) * 10^6</f>
        <v>354300000</v>
      </c>
      <c r="S26">
        <f>('Cost Components'!$C$21  + 'Cost Components'!$C$23) * 10^6</f>
        <v>354300000</v>
      </c>
      <c r="T26">
        <f>('Cost Components'!$C$21  + 'Cost Components'!$C$23) * 10^6</f>
        <v>354300000</v>
      </c>
      <c r="U26">
        <f>('Cost Components'!$C$21  + 'Cost Components'!$C$23) * 10^6</f>
        <v>354300000</v>
      </c>
      <c r="V26">
        <f>('Cost Components'!$C$21  + 'Cost Components'!$C$23) * 10^6</f>
        <v>354300000</v>
      </c>
      <c r="W26">
        <f>('Cost Components'!$C$21  + 'Cost Components'!$C$23) * 10^6</f>
        <v>354300000</v>
      </c>
      <c r="X26">
        <f>('Cost Components'!$C$21  + 'Cost Components'!$C$23) * 10^6</f>
        <v>354300000</v>
      </c>
      <c r="Y26">
        <f>('Cost Components'!$C$21  + 'Cost Components'!$C$23) * 10^6</f>
        <v>354300000</v>
      </c>
      <c r="Z26">
        <f>('Cost Components'!$C$21  + 'Cost Components'!$C$23) * 10^6</f>
        <v>354300000</v>
      </c>
      <c r="AA26">
        <f>('Cost Components'!$C$21  + 'Cost Components'!$C$23) * 10^6</f>
        <v>354300000</v>
      </c>
    </row>
    <row r="27" spans="1:27" x14ac:dyDescent="0.25">
      <c r="A27" t="s">
        <v>121</v>
      </c>
      <c r="B27">
        <v>0</v>
      </c>
      <c r="C27">
        <f>'Cost Components'!$C$36*10^6</f>
        <v>149899999.99999997</v>
      </c>
      <c r="D27">
        <f>'Cost Components'!$C$36*10^6</f>
        <v>149899999.99999997</v>
      </c>
      <c r="E27">
        <f>'Cost Components'!$C$36*10^6</f>
        <v>149899999.99999997</v>
      </c>
      <c r="F27">
        <f>'Cost Components'!$C$36*10^6</f>
        <v>149899999.99999997</v>
      </c>
      <c r="G27">
        <f>'Cost Components'!$C$36*10^6</f>
        <v>149899999.99999997</v>
      </c>
      <c r="H27">
        <f>'Cost Components'!$C$36*10^6</f>
        <v>149899999.99999997</v>
      </c>
      <c r="I27">
        <f>'Cost Components'!$C$36*10^6</f>
        <v>149899999.99999997</v>
      </c>
      <c r="J27">
        <f>'Cost Components'!$C$36*10^6</f>
        <v>149899999.99999997</v>
      </c>
      <c r="K27">
        <f>'Cost Components'!$C$36*10^6</f>
        <v>149899999.99999997</v>
      </c>
      <c r="L27">
        <f>'Cost Components'!$C$36*10^6</f>
        <v>149899999.99999997</v>
      </c>
      <c r="M27">
        <f>'Cost Components'!$C$36*10^6</f>
        <v>149899999.99999997</v>
      </c>
      <c r="N27">
        <f>'Cost Components'!$C$36*10^6</f>
        <v>149899999.99999997</v>
      </c>
      <c r="O27">
        <f>'Cost Components'!$C$36*10^6</f>
        <v>149899999.99999997</v>
      </c>
      <c r="P27">
        <f>'Cost Components'!$C$36*10^6</f>
        <v>149899999.99999997</v>
      </c>
      <c r="Q27">
        <f>'Cost Components'!$C$36*10^6</f>
        <v>149899999.99999997</v>
      </c>
      <c r="R27">
        <f>'Cost Components'!$C$36*10^6</f>
        <v>149899999.99999997</v>
      </c>
      <c r="S27">
        <f>'Cost Components'!$C$36*10^6</f>
        <v>149899999.99999997</v>
      </c>
      <c r="T27">
        <f>'Cost Components'!$C$36*10^6</f>
        <v>149899999.99999997</v>
      </c>
      <c r="U27">
        <f>'Cost Components'!$C$36*10^6</f>
        <v>149899999.99999997</v>
      </c>
      <c r="V27">
        <f>'Cost Components'!$C$36*10^6</f>
        <v>149899999.99999997</v>
      </c>
      <c r="W27">
        <f>'Cost Components'!$C$36*10^6</f>
        <v>149899999.99999997</v>
      </c>
      <c r="X27">
        <f>'Cost Components'!$C$36*10^6</f>
        <v>149899999.99999997</v>
      </c>
      <c r="Y27">
        <f>'Cost Components'!$C$36*10^6</f>
        <v>149899999.99999997</v>
      </c>
      <c r="Z27">
        <f>'Cost Components'!$C$36*10^6</f>
        <v>149899999.99999997</v>
      </c>
      <c r="AA27">
        <f>'Cost Components'!$C$36*10^6</f>
        <v>149899999.99999997</v>
      </c>
    </row>
    <row r="28" spans="1:27" x14ac:dyDescent="0.25">
      <c r="A28" t="s">
        <v>122</v>
      </c>
      <c r="B28">
        <f t="shared" ref="B28:AA28" si="2">B26-B27</f>
        <v>1525300000</v>
      </c>
      <c r="C28">
        <f t="shared" si="2"/>
        <v>204400000.00000003</v>
      </c>
      <c r="D28">
        <f t="shared" si="2"/>
        <v>204400000.00000003</v>
      </c>
      <c r="E28">
        <f t="shared" si="2"/>
        <v>204400000.00000003</v>
      </c>
      <c r="F28">
        <f t="shared" si="2"/>
        <v>204400000.00000003</v>
      </c>
      <c r="G28">
        <f t="shared" si="2"/>
        <v>204400000.00000003</v>
      </c>
      <c r="H28">
        <f t="shared" si="2"/>
        <v>204400000.00000003</v>
      </c>
      <c r="I28">
        <f t="shared" si="2"/>
        <v>204400000.00000003</v>
      </c>
      <c r="J28">
        <f t="shared" si="2"/>
        <v>204400000.00000003</v>
      </c>
      <c r="K28">
        <f t="shared" si="2"/>
        <v>204400000.00000003</v>
      </c>
      <c r="L28">
        <f t="shared" si="2"/>
        <v>204400000.00000003</v>
      </c>
      <c r="M28">
        <f t="shared" si="2"/>
        <v>204400000.00000003</v>
      </c>
      <c r="N28">
        <f t="shared" si="2"/>
        <v>204400000.00000003</v>
      </c>
      <c r="O28">
        <f t="shared" si="2"/>
        <v>204400000.00000003</v>
      </c>
      <c r="P28">
        <f t="shared" si="2"/>
        <v>204400000.00000003</v>
      </c>
      <c r="Q28">
        <f t="shared" si="2"/>
        <v>204400000.00000003</v>
      </c>
      <c r="R28">
        <f t="shared" si="2"/>
        <v>204400000.00000003</v>
      </c>
      <c r="S28">
        <f t="shared" si="2"/>
        <v>204400000.00000003</v>
      </c>
      <c r="T28">
        <f t="shared" si="2"/>
        <v>204400000.00000003</v>
      </c>
      <c r="U28">
        <f t="shared" si="2"/>
        <v>204400000.00000003</v>
      </c>
      <c r="V28">
        <f t="shared" si="2"/>
        <v>204400000.00000003</v>
      </c>
      <c r="W28">
        <f t="shared" si="2"/>
        <v>204400000.00000003</v>
      </c>
      <c r="X28">
        <f t="shared" si="2"/>
        <v>204400000.00000003</v>
      </c>
      <c r="Y28">
        <f t="shared" si="2"/>
        <v>204400000.00000003</v>
      </c>
      <c r="Z28">
        <f t="shared" si="2"/>
        <v>204400000.00000003</v>
      </c>
      <c r="AA28">
        <f t="shared" si="2"/>
        <v>204400000.00000003</v>
      </c>
    </row>
    <row r="29" spans="1:27" x14ac:dyDescent="0.25">
      <c r="A29" t="s">
        <v>123</v>
      </c>
      <c r="B29">
        <f>B28/(1+'Study Parameters'!$C$4) ^'Production Cost Baseline'!B$2</f>
        <v>1525300000</v>
      </c>
      <c r="C29">
        <f>C28/(1+'Study Parameters'!$C$4) ^'Production Cost Baseline'!C$2</f>
        <v>190139534.88372096</v>
      </c>
      <c r="D29">
        <f>D28/(1+'Study Parameters'!$C$4) ^'Production Cost Baseline'!D$2</f>
        <v>176873985.9383451</v>
      </c>
      <c r="E29">
        <f>E28/(1+'Study Parameters'!$C$4) ^'Production Cost Baseline'!E$2</f>
        <v>164533940.40776289</v>
      </c>
      <c r="F29">
        <f>F28/(1+'Study Parameters'!$C$4) ^'Production Cost Baseline'!F$2</f>
        <v>153054828.28629106</v>
      </c>
      <c r="G29">
        <f>G28/(1+'Study Parameters'!$C$4) ^'Production Cost Baseline'!G$2</f>
        <v>142376584.45236376</v>
      </c>
      <c r="H29">
        <f>H28/(1+'Study Parameters'!$C$4) ^'Production Cost Baseline'!H$2</f>
        <v>132443334.3742919</v>
      </c>
      <c r="I29">
        <f>I28/(1+'Study Parameters'!$C$4) ^'Production Cost Baseline'!I$2</f>
        <v>123203101.74352734</v>
      </c>
      <c r="J29">
        <f>J28/(1+'Study Parameters'!$C$4) ^'Production Cost Baseline'!J$2</f>
        <v>114607536.50560683</v>
      </c>
      <c r="K29">
        <f>K28/(1+'Study Parameters'!$C$4) ^'Production Cost Baseline'!K$2</f>
        <v>106611661.86568077</v>
      </c>
      <c r="L29">
        <f>L28/(1+'Study Parameters'!$C$4) ^'Production Cost Baseline'!L$2</f>
        <v>99173638.944819346</v>
      </c>
      <c r="M29">
        <f>M28/(1+'Study Parameters'!$C$4) ^'Production Cost Baseline'!M$2</f>
        <v>92254547.85564588</v>
      </c>
      <c r="N29">
        <f>N28/(1+'Study Parameters'!$C$4) ^'Production Cost Baseline'!N$2</f>
        <v>85818184.051763624</v>
      </c>
      <c r="O29">
        <f>O28/(1+'Study Parameters'!$C$4) ^'Production Cost Baseline'!O$2</f>
        <v>79830868.885361508</v>
      </c>
      <c r="P29">
        <f>P28/(1+'Study Parameters'!$C$4) ^'Production Cost Baseline'!P$2</f>
        <v>74261273.381731629</v>
      </c>
      <c r="Q29">
        <f>Q28/(1+'Study Parameters'!$C$4) ^'Production Cost Baseline'!Q$2</f>
        <v>69080254.308587566</v>
      </c>
      <c r="R29">
        <f>R28/(1+'Study Parameters'!$C$4) ^'Production Cost Baseline'!R$2</f>
        <v>64260701.682407044</v>
      </c>
      <c r="S29">
        <f>S28/(1+'Study Parameters'!$C$4) ^'Production Cost Baseline'!S$2</f>
        <v>59777396.913867019</v>
      </c>
      <c r="T29">
        <f>T28/(1+'Study Parameters'!$C$4) ^'Production Cost Baseline'!T$2</f>
        <v>55606880.850108862</v>
      </c>
      <c r="U29">
        <f>U28/(1+'Study Parameters'!$C$4) ^'Production Cost Baseline'!U$2</f>
        <v>51727331.023357078</v>
      </c>
      <c r="V29">
        <f>V28/(1+'Study Parameters'!$C$4) ^'Production Cost Baseline'!V$2</f>
        <v>48118447.463587984</v>
      </c>
      <c r="W29">
        <f>W28/(1+'Study Parameters'!$C$4) ^'Production Cost Baseline'!W$2</f>
        <v>44761346.477756254</v>
      </c>
      <c r="X29">
        <f>X28/(1+'Study Parameters'!$C$4) ^'Production Cost Baseline'!X$2</f>
        <v>41638461.839773268</v>
      </c>
      <c r="Y29">
        <f>Y28/(1+'Study Parameters'!$C$4) ^'Production Cost Baseline'!Y$2</f>
        <v>38733452.87420769</v>
      </c>
      <c r="Z29">
        <f>Z28/(1+'Study Parameters'!$C$4) ^'Production Cost Baseline'!Z$2</f>
        <v>36031118.952751346</v>
      </c>
      <c r="AA29">
        <f>AA28/(1+'Study Parameters'!$C$4) ^'Production Cost Baseline'!AA$2</f>
        <v>33517319.956047758</v>
      </c>
    </row>
    <row r="30" spans="1:27" x14ac:dyDescent="0.25">
      <c r="A30" t="s">
        <v>124</v>
      </c>
      <c r="B30">
        <v>0</v>
      </c>
      <c r="C30">
        <f>'Study Parameters'!$C$13*'Study Parameters'!$C$8 * 10^3</f>
        <v>28000000</v>
      </c>
      <c r="D30">
        <f>'Study Parameters'!$C$13*'Study Parameters'!$C$8 * 10^3</f>
        <v>28000000</v>
      </c>
      <c r="E30">
        <f>'Study Parameters'!$C$13*'Study Parameters'!$C$8 * 10^3</f>
        <v>28000000</v>
      </c>
      <c r="F30">
        <f>'Study Parameters'!$C$13*'Study Parameters'!$C$8 * 10^3</f>
        <v>28000000</v>
      </c>
      <c r="G30">
        <f>'Study Parameters'!$C$13*'Study Parameters'!$C$8 * 10^3</f>
        <v>28000000</v>
      </c>
      <c r="H30">
        <f>'Study Parameters'!$C$13*'Study Parameters'!$C$8 * 10^3</f>
        <v>28000000</v>
      </c>
      <c r="I30">
        <f>'Study Parameters'!$C$13*'Study Parameters'!$C$8 * 10^3</f>
        <v>28000000</v>
      </c>
      <c r="J30">
        <f>'Study Parameters'!$C$13*'Study Parameters'!$C$8 * 10^3</f>
        <v>28000000</v>
      </c>
      <c r="K30">
        <f>'Study Parameters'!$C$13*'Study Parameters'!$C$8 * 10^3</f>
        <v>28000000</v>
      </c>
      <c r="L30">
        <f>'Study Parameters'!$C$13*'Study Parameters'!$C$8 * 10^3</f>
        <v>28000000</v>
      </c>
      <c r="M30">
        <f>'Study Parameters'!$C$13*'Study Parameters'!$C$8 * 10^3</f>
        <v>28000000</v>
      </c>
      <c r="N30">
        <f>'Study Parameters'!$C$13*'Study Parameters'!$C$8 * 10^3</f>
        <v>28000000</v>
      </c>
      <c r="O30">
        <f>'Study Parameters'!$C$13*'Study Parameters'!$C$8 * 10^3</f>
        <v>28000000</v>
      </c>
      <c r="P30">
        <f>'Study Parameters'!$C$13*'Study Parameters'!$C$8 * 10^3</f>
        <v>28000000</v>
      </c>
      <c r="Q30">
        <f>'Study Parameters'!$C$13*'Study Parameters'!$C$8 * 10^3</f>
        <v>28000000</v>
      </c>
      <c r="R30">
        <f>'Study Parameters'!$C$13*'Study Parameters'!$C$8 * 10^3</f>
        <v>28000000</v>
      </c>
      <c r="S30">
        <f>'Study Parameters'!$C$13*'Study Parameters'!$C$8 * 10^3</f>
        <v>28000000</v>
      </c>
      <c r="T30">
        <f>'Study Parameters'!$C$13*'Study Parameters'!$C$8 * 10^3</f>
        <v>28000000</v>
      </c>
      <c r="U30">
        <f>'Study Parameters'!$C$13*'Study Parameters'!$C$8 * 10^3</f>
        <v>28000000</v>
      </c>
      <c r="V30">
        <f>'Study Parameters'!$C$13*'Study Parameters'!$C$8 * 10^3</f>
        <v>28000000</v>
      </c>
      <c r="W30">
        <f>'Study Parameters'!$C$13*'Study Parameters'!$C$8 * 10^3</f>
        <v>28000000</v>
      </c>
      <c r="X30">
        <f>'Study Parameters'!$C$13*'Study Parameters'!$C$8 * 10^3</f>
        <v>28000000</v>
      </c>
      <c r="Y30">
        <f>'Study Parameters'!$C$13*'Study Parameters'!$C$8 * 10^3</f>
        <v>28000000</v>
      </c>
      <c r="Z30">
        <f>'Study Parameters'!$C$13*'Study Parameters'!$C$8 * 10^3</f>
        <v>28000000</v>
      </c>
      <c r="AA30">
        <f>'Study Parameters'!$C$13*'Study Parameters'!$C$8 * 10^3</f>
        <v>28000000</v>
      </c>
    </row>
    <row r="31" spans="1:27" x14ac:dyDescent="0.25">
      <c r="A31" t="s">
        <v>125</v>
      </c>
      <c r="B31">
        <v>0</v>
      </c>
      <c r="C31">
        <f>C30/(1+'Study Parameters'!$C$4) ^'Production Cost Baseline'!C$2</f>
        <v>26046511.627906978</v>
      </c>
      <c r="D31">
        <f>D30/(1+'Study Parameters'!$C$4) ^'Production Cost Baseline'!D$2</f>
        <v>24229313.142239049</v>
      </c>
      <c r="E31">
        <f>E30/(1+'Study Parameters'!$C$4) ^'Production Cost Baseline'!E$2</f>
        <v>22538895.946268886</v>
      </c>
      <c r="F31">
        <f>F30/(1+'Study Parameters'!$C$4) ^'Production Cost Baseline'!F$2</f>
        <v>20966414.833738498</v>
      </c>
      <c r="G31">
        <f>G30/(1+'Study Parameters'!$C$4) ^'Production Cost Baseline'!G$2</f>
        <v>19503641.705803253</v>
      </c>
      <c r="H31">
        <f>H30/(1+'Study Parameters'!$C$4) ^'Production Cost Baseline'!H$2</f>
        <v>18142922.517026283</v>
      </c>
      <c r="I31">
        <f>I30/(1+'Study Parameters'!$C$4) ^'Production Cost Baseline'!I$2</f>
        <v>16877137.225140728</v>
      </c>
      <c r="J31">
        <f>J30/(1+'Study Parameters'!$C$4) ^'Production Cost Baseline'!J$2</f>
        <v>15699662.535014631</v>
      </c>
      <c r="K31">
        <f>K30/(1+'Study Parameters'!$C$4) ^'Production Cost Baseline'!K$2</f>
        <v>14604337.241874076</v>
      </c>
      <c r="L31">
        <f>L30/(1+'Study Parameters'!$C$4) ^'Production Cost Baseline'!L$2</f>
        <v>13585429.992441004</v>
      </c>
      <c r="M31">
        <f>M30/(1+'Study Parameters'!$C$4) ^'Production Cost Baseline'!M$2</f>
        <v>12637609.295293955</v>
      </c>
      <c r="N31">
        <f>N30/(1+'Study Parameters'!$C$4) ^'Production Cost Baseline'!N$2</f>
        <v>11755915.623529261</v>
      </c>
      <c r="O31">
        <f>O30/(1+'Study Parameters'!$C$4) ^'Production Cost Baseline'!O$2</f>
        <v>10935735.46374815</v>
      </c>
      <c r="P31">
        <f>P30/(1+'Study Parameters'!$C$4) ^'Production Cost Baseline'!P$2</f>
        <v>10172777.175579675</v>
      </c>
      <c r="Q31">
        <f>Q30/(1+'Study Parameters'!$C$4) ^'Production Cost Baseline'!Q$2</f>
        <v>9463048.5354229528</v>
      </c>
      <c r="R31">
        <f>R30/(1+'Study Parameters'!$C$4) ^'Production Cost Baseline'!R$2</f>
        <v>8802835.8469050732</v>
      </c>
      <c r="S31">
        <f>S30/(1+'Study Parameters'!$C$4) ^'Production Cost Baseline'!S$2</f>
        <v>8188684.5087489057</v>
      </c>
      <c r="T31">
        <f>T30/(1+'Study Parameters'!$C$4) ^'Production Cost Baseline'!T$2</f>
        <v>7617380.9383710753</v>
      </c>
      <c r="U31">
        <f>U30/(1+'Study Parameters'!$C$4) ^'Production Cost Baseline'!U$2</f>
        <v>7085935.7566242563</v>
      </c>
      <c r="V31">
        <f>V30/(1+'Study Parameters'!$C$4) ^'Production Cost Baseline'!V$2</f>
        <v>6591568.1456969827</v>
      </c>
      <c r="W31">
        <f>W30/(1+'Study Parameters'!$C$4) ^'Production Cost Baseline'!W$2</f>
        <v>6131691.2983227745</v>
      </c>
      <c r="X31">
        <f>X30/(1+'Study Parameters'!$C$4) ^'Production Cost Baseline'!X$2</f>
        <v>5703898.8821607204</v>
      </c>
      <c r="Y31">
        <f>Y30/(1+'Study Parameters'!$C$4) ^'Production Cost Baseline'!Y$2</f>
        <v>5305952.4485216001</v>
      </c>
      <c r="Z31">
        <f>Z30/(1+'Study Parameters'!$C$4) ^'Production Cost Baseline'!Z$2</f>
        <v>4935769.7195549775</v>
      </c>
      <c r="AA31">
        <f>AA30/(1+'Study Parameters'!$C$4) ^'Production Cost Baseline'!AA$2</f>
        <v>4591413.6926092813</v>
      </c>
    </row>
    <row r="33" spans="1:27" x14ac:dyDescent="0.25">
      <c r="A33" t="s">
        <v>126</v>
      </c>
      <c r="B33">
        <f>SUM(B29:AA29) / SUM(C31:AA31)</f>
        <v>12.186988838103453</v>
      </c>
    </row>
    <row r="34" spans="1:27" x14ac:dyDescent="0.25">
      <c r="A34" t="s">
        <v>127</v>
      </c>
      <c r="B34">
        <f>B33 * Inputs!$C$15</f>
        <v>9.7861520369970734</v>
      </c>
    </row>
    <row r="36" spans="1:27" x14ac:dyDescent="0.25">
      <c r="A36" s="1" t="s">
        <v>130</v>
      </c>
    </row>
    <row r="37" spans="1:27" x14ac:dyDescent="0.25">
      <c r="A37" t="s">
        <v>120</v>
      </c>
      <c r="B37">
        <f>'Cost Components'!$C$12 * 10^6</f>
        <v>1525300000</v>
      </c>
      <c r="C37">
        <f>('Cost Components'!$C$21  + 'Cost Components'!$C$29) * 10^6</f>
        <v>1393570000</v>
      </c>
      <c r="D37">
        <f>('Cost Components'!$C$21  + 'Cost Components'!$C$29) * 10^6</f>
        <v>1393570000</v>
      </c>
      <c r="E37">
        <f>('Cost Components'!$C$21  + 'Cost Components'!$C$29) * 10^6</f>
        <v>1393570000</v>
      </c>
      <c r="F37">
        <f>('Cost Components'!$C$21  + 'Cost Components'!$C$29) * 10^6</f>
        <v>1393570000</v>
      </c>
      <c r="G37">
        <f>('Cost Components'!$C$21  + 'Cost Components'!$C$29) * 10^6</f>
        <v>1393570000</v>
      </c>
      <c r="H37">
        <f>('Cost Components'!$C$21  + 'Cost Components'!$C$29) * 10^6</f>
        <v>1393570000</v>
      </c>
      <c r="I37">
        <f>('Cost Components'!$C$21  + 'Cost Components'!$C$29) * 10^6</f>
        <v>1393570000</v>
      </c>
      <c r="J37">
        <f>('Cost Components'!$C$21  + 'Cost Components'!$C$29) * 10^6</f>
        <v>1393570000</v>
      </c>
      <c r="K37">
        <f>('Cost Components'!$C$21  + 'Cost Components'!$C$29) * 10^6</f>
        <v>1393570000</v>
      </c>
      <c r="L37">
        <f>('Cost Components'!$C$21  + 'Cost Components'!$C$29) * 10^6</f>
        <v>1393570000</v>
      </c>
      <c r="M37">
        <f>('Cost Components'!$C$21  + 'Cost Components'!$C$29) * 10^6</f>
        <v>1393570000</v>
      </c>
      <c r="N37">
        <f>('Cost Components'!$C$21  + 'Cost Components'!$C$29) * 10^6</f>
        <v>1393570000</v>
      </c>
      <c r="O37">
        <f>('Cost Components'!$C$21  + 'Cost Components'!$C$29) * 10^6</f>
        <v>1393570000</v>
      </c>
      <c r="P37">
        <f>('Cost Components'!$C$21  + 'Cost Components'!$C$29) * 10^6</f>
        <v>1393570000</v>
      </c>
      <c r="Q37">
        <f>('Cost Components'!$C$21  + 'Cost Components'!$C$29) * 10^6</f>
        <v>1393570000</v>
      </c>
      <c r="R37">
        <f>('Cost Components'!$C$21  + 'Cost Components'!$C$29) * 10^6</f>
        <v>1393570000</v>
      </c>
      <c r="S37">
        <f>('Cost Components'!$C$21  + 'Cost Components'!$C$29) * 10^6</f>
        <v>1393570000</v>
      </c>
      <c r="T37">
        <f>('Cost Components'!$C$21  + 'Cost Components'!$C$29) * 10^6</f>
        <v>1393570000</v>
      </c>
      <c r="U37">
        <f>('Cost Components'!$C$21  + 'Cost Components'!$C$29) * 10^6</f>
        <v>1393570000</v>
      </c>
      <c r="V37">
        <f>('Cost Components'!$C$21  + 'Cost Components'!$C$29) * 10^6</f>
        <v>1393570000</v>
      </c>
      <c r="W37">
        <f>('Cost Components'!$C$21  + 'Cost Components'!$C$29) * 10^6</f>
        <v>1393570000</v>
      </c>
      <c r="X37">
        <f>('Cost Components'!$C$21  + 'Cost Components'!$C$29) * 10^6</f>
        <v>1393570000</v>
      </c>
      <c r="Y37">
        <f>('Cost Components'!$C$21  + 'Cost Components'!$C$29) * 10^6</f>
        <v>1393570000</v>
      </c>
      <c r="Z37">
        <f>('Cost Components'!$C$21  + 'Cost Components'!$C$29) * 10^6</f>
        <v>1393570000</v>
      </c>
      <c r="AA37">
        <f>('Cost Components'!$C$21  + 'Cost Components'!$C$29) * 10^6</f>
        <v>1393570000</v>
      </c>
    </row>
    <row r="38" spans="1:27" x14ac:dyDescent="0.25">
      <c r="A38" t="s">
        <v>121</v>
      </c>
      <c r="B38">
        <v>0</v>
      </c>
      <c r="C38">
        <f>'Cost Components'!$C$36*10^6</f>
        <v>149899999.99999997</v>
      </c>
      <c r="D38">
        <f>'Cost Components'!$C$36*10^6</f>
        <v>149899999.99999997</v>
      </c>
      <c r="E38">
        <f>'Cost Components'!$C$36*10^6</f>
        <v>149899999.99999997</v>
      </c>
      <c r="F38">
        <f>'Cost Components'!$C$36*10^6</f>
        <v>149899999.99999997</v>
      </c>
      <c r="G38">
        <f>'Cost Components'!$C$36*10^6</f>
        <v>149899999.99999997</v>
      </c>
      <c r="H38">
        <f>'Cost Components'!$C$36*10^6</f>
        <v>149899999.99999997</v>
      </c>
      <c r="I38">
        <f>'Cost Components'!$C$36*10^6</f>
        <v>149899999.99999997</v>
      </c>
      <c r="J38">
        <f>'Cost Components'!$C$36*10^6</f>
        <v>149899999.99999997</v>
      </c>
      <c r="K38">
        <f>'Cost Components'!$C$36*10^6</f>
        <v>149899999.99999997</v>
      </c>
      <c r="L38">
        <f>'Cost Components'!$C$36*10^6</f>
        <v>149899999.99999997</v>
      </c>
      <c r="M38">
        <f>'Cost Components'!$C$36*10^6</f>
        <v>149899999.99999997</v>
      </c>
      <c r="N38">
        <f>'Cost Components'!$C$36*10^6</f>
        <v>149899999.99999997</v>
      </c>
      <c r="O38">
        <f>'Cost Components'!$C$36*10^6</f>
        <v>149899999.99999997</v>
      </c>
      <c r="P38">
        <f>'Cost Components'!$C$36*10^6</f>
        <v>149899999.99999997</v>
      </c>
      <c r="Q38">
        <f>'Cost Components'!$C$36*10^6</f>
        <v>149899999.99999997</v>
      </c>
      <c r="R38">
        <f>'Cost Components'!$C$36*10^6</f>
        <v>149899999.99999997</v>
      </c>
      <c r="S38">
        <f>'Cost Components'!$C$36*10^6</f>
        <v>149899999.99999997</v>
      </c>
      <c r="T38">
        <f>'Cost Components'!$C$36*10^6</f>
        <v>149899999.99999997</v>
      </c>
      <c r="U38">
        <f>'Cost Components'!$C$36*10^6</f>
        <v>149899999.99999997</v>
      </c>
      <c r="V38">
        <f>'Cost Components'!$C$36*10^6</f>
        <v>149899999.99999997</v>
      </c>
      <c r="W38">
        <f>'Cost Components'!$C$36*10^6</f>
        <v>149899999.99999997</v>
      </c>
      <c r="X38">
        <f>'Cost Components'!$C$36*10^6</f>
        <v>149899999.99999997</v>
      </c>
      <c r="Y38">
        <f>'Cost Components'!$C$36*10^6</f>
        <v>149899999.99999997</v>
      </c>
      <c r="Z38">
        <f>'Cost Components'!$C$36*10^6</f>
        <v>149899999.99999997</v>
      </c>
      <c r="AA38">
        <f>'Cost Components'!$C$36*10^6</f>
        <v>149899999.99999997</v>
      </c>
    </row>
    <row r="39" spans="1:27" x14ac:dyDescent="0.25">
      <c r="A39" t="s">
        <v>122</v>
      </c>
      <c r="B39">
        <f t="shared" ref="B39:AA39" si="3">B37-B38</f>
        <v>1525300000</v>
      </c>
      <c r="C39">
        <f t="shared" si="3"/>
        <v>1243670000</v>
      </c>
      <c r="D39">
        <f t="shared" si="3"/>
        <v>1243670000</v>
      </c>
      <c r="E39">
        <f t="shared" si="3"/>
        <v>1243670000</v>
      </c>
      <c r="F39">
        <f t="shared" si="3"/>
        <v>1243670000</v>
      </c>
      <c r="G39">
        <f t="shared" si="3"/>
        <v>1243670000</v>
      </c>
      <c r="H39">
        <f t="shared" si="3"/>
        <v>1243670000</v>
      </c>
      <c r="I39">
        <f t="shared" si="3"/>
        <v>1243670000</v>
      </c>
      <c r="J39">
        <f t="shared" si="3"/>
        <v>1243670000</v>
      </c>
      <c r="K39">
        <f t="shared" si="3"/>
        <v>1243670000</v>
      </c>
      <c r="L39">
        <f t="shared" si="3"/>
        <v>1243670000</v>
      </c>
      <c r="M39">
        <f t="shared" si="3"/>
        <v>1243670000</v>
      </c>
      <c r="N39">
        <f t="shared" si="3"/>
        <v>1243670000</v>
      </c>
      <c r="O39">
        <f t="shared" si="3"/>
        <v>1243670000</v>
      </c>
      <c r="P39">
        <f t="shared" si="3"/>
        <v>1243670000</v>
      </c>
      <c r="Q39">
        <f t="shared" si="3"/>
        <v>1243670000</v>
      </c>
      <c r="R39">
        <f t="shared" si="3"/>
        <v>1243670000</v>
      </c>
      <c r="S39">
        <f t="shared" si="3"/>
        <v>1243670000</v>
      </c>
      <c r="T39">
        <f t="shared" si="3"/>
        <v>1243670000</v>
      </c>
      <c r="U39">
        <f t="shared" si="3"/>
        <v>1243670000</v>
      </c>
      <c r="V39">
        <f t="shared" si="3"/>
        <v>1243670000</v>
      </c>
      <c r="W39">
        <f t="shared" si="3"/>
        <v>1243670000</v>
      </c>
      <c r="X39">
        <f t="shared" si="3"/>
        <v>1243670000</v>
      </c>
      <c r="Y39">
        <f t="shared" si="3"/>
        <v>1243670000</v>
      </c>
      <c r="Z39">
        <f t="shared" si="3"/>
        <v>1243670000</v>
      </c>
      <c r="AA39">
        <f t="shared" si="3"/>
        <v>1243670000</v>
      </c>
    </row>
    <row r="40" spans="1:27" x14ac:dyDescent="0.25">
      <c r="A40" t="s">
        <v>123</v>
      </c>
      <c r="B40">
        <f>B39/(1+'Study Parameters'!$C$4) ^'Production Cost Baseline'!B$2</f>
        <v>1525300000</v>
      </c>
      <c r="C40">
        <f>C39/(1+'Study Parameters'!$C$4) ^'Production Cost Baseline'!C$2</f>
        <v>1156902325.5813954</v>
      </c>
      <c r="D40">
        <f>D39/(1+'Study Parameters'!$C$4) ^'Production Cost Baseline'!D$2</f>
        <v>1076188209.8431585</v>
      </c>
      <c r="E40">
        <f>E39/(1+'Study Parameters'!$C$4) ^'Production Cost Baseline'!E$2</f>
        <v>1001105311.482008</v>
      </c>
      <c r="F40">
        <f>F39/(1+'Study Parameters'!$C$4) ^'Production Cost Baseline'!F$2</f>
        <v>931260754.86698413</v>
      </c>
      <c r="G40">
        <f>G39/(1+'Study Parameters'!$C$4) ^'Production Cost Baseline'!G$2</f>
        <v>866289074.29486895</v>
      </c>
      <c r="H40">
        <f>H39/(1+'Study Parameters'!$C$4) ^'Production Cost Baseline'!H$2</f>
        <v>805850301.66964567</v>
      </c>
      <c r="I40">
        <f>I39/(1+'Study Parameters'!$C$4) ^'Production Cost Baseline'!I$2</f>
        <v>749628187.59967029</v>
      </c>
      <c r="J40">
        <f>J39/(1+'Study Parameters'!$C$4) ^'Production Cost Baseline'!J$2</f>
        <v>697328546.60434449</v>
      </c>
      <c r="K40">
        <f>K39/(1+'Study Parameters'!$C$4) ^'Production Cost Baseline'!K$2</f>
        <v>648677717.7714833</v>
      </c>
      <c r="L40">
        <f>L39/(1+'Study Parameters'!$C$4) ^'Production Cost Baseline'!L$2</f>
        <v>603421132.8106823</v>
      </c>
      <c r="M40">
        <f>M39/(1+'Study Parameters'!$C$4) ^'Production Cost Baseline'!M$2</f>
        <v>561321984.00993693</v>
      </c>
      <c r="N40">
        <f>N39/(1+'Study Parameters'!$C$4) ^'Production Cost Baseline'!N$2</f>
        <v>522159985.12552273</v>
      </c>
      <c r="O40">
        <f>O39/(1+'Study Parameters'!$C$4) ^'Production Cost Baseline'!O$2</f>
        <v>485730218.72141647</v>
      </c>
      <c r="P40">
        <f>P39/(1+'Study Parameters'!$C$4) ^'Production Cost Baseline'!P$2</f>
        <v>451842063.92689908</v>
      </c>
      <c r="Q40">
        <f>Q39/(1+'Study Parameters'!$C$4) ^'Production Cost Baseline'!Q$2</f>
        <v>420318199.00176656</v>
      </c>
      <c r="R40">
        <f>R39/(1+'Study Parameters'!$C$4) ^'Production Cost Baseline'!R$2</f>
        <v>390993673.49001545</v>
      </c>
      <c r="S40">
        <f>S39/(1+'Study Parameters'!$C$4) ^'Production Cost Baseline'!S$2</f>
        <v>363715045.10699111</v>
      </c>
      <c r="T40">
        <f>T39/(1+'Study Parameters'!$C$4) ^'Production Cost Baseline'!T$2</f>
        <v>338339576.84371269</v>
      </c>
      <c r="U40">
        <f>U39/(1+'Study Parameters'!$C$4) ^'Production Cost Baseline'!U$2</f>
        <v>314734490.08717459</v>
      </c>
      <c r="V40">
        <f>V39/(1+'Study Parameters'!$C$4) ^'Production Cost Baseline'!V$2</f>
        <v>292776269.84853452</v>
      </c>
      <c r="W40">
        <f>W39/(1+'Study Parameters'!$C$4) ^'Production Cost Baseline'!W$2</f>
        <v>272350018.46375304</v>
      </c>
      <c r="X40">
        <f>X39/(1+'Study Parameters'!$C$4) ^'Production Cost Baseline'!X$2</f>
        <v>253348854.38488656</v>
      </c>
      <c r="Y40">
        <f>Y39/(1+'Study Parameters'!$C$4) ^'Production Cost Baseline'!Y$2</f>
        <v>235673352.91617355</v>
      </c>
      <c r="Z40">
        <f>Z39/(1+'Study Parameters'!$C$4) ^'Production Cost Baseline'!Z$2</f>
        <v>219231025.96853355</v>
      </c>
      <c r="AA40">
        <f>AA39/(1+'Study Parameters'!$C$4) ^'Production Cost Baseline'!AA$2</f>
        <v>203935838.11026374</v>
      </c>
    </row>
    <row r="41" spans="1:27" x14ac:dyDescent="0.25">
      <c r="A41" t="s">
        <v>124</v>
      </c>
      <c r="B41">
        <v>0</v>
      </c>
      <c r="C41">
        <f>'Study Parameters'!$C$13*'Study Parameters'!$C$8 * 10^3</f>
        <v>28000000</v>
      </c>
      <c r="D41">
        <f>'Study Parameters'!$C$13*'Study Parameters'!$C$8 * 10^3</f>
        <v>28000000</v>
      </c>
      <c r="E41">
        <f>'Study Parameters'!$C$13*'Study Parameters'!$C$8 * 10^3</f>
        <v>28000000</v>
      </c>
      <c r="F41">
        <f>'Study Parameters'!$C$13*'Study Parameters'!$C$8 * 10^3</f>
        <v>28000000</v>
      </c>
      <c r="G41">
        <f>'Study Parameters'!$C$13*'Study Parameters'!$C$8 * 10^3</f>
        <v>28000000</v>
      </c>
      <c r="H41">
        <f>'Study Parameters'!$C$13*'Study Parameters'!$C$8 * 10^3</f>
        <v>28000000</v>
      </c>
      <c r="I41">
        <f>'Study Parameters'!$C$13*'Study Parameters'!$C$8 * 10^3</f>
        <v>28000000</v>
      </c>
      <c r="J41">
        <f>'Study Parameters'!$C$13*'Study Parameters'!$C$8 * 10^3</f>
        <v>28000000</v>
      </c>
      <c r="K41">
        <f>'Study Parameters'!$C$13*'Study Parameters'!$C$8 * 10^3</f>
        <v>28000000</v>
      </c>
      <c r="L41">
        <f>'Study Parameters'!$C$13*'Study Parameters'!$C$8 * 10^3</f>
        <v>28000000</v>
      </c>
      <c r="M41">
        <f>'Study Parameters'!$C$13*'Study Parameters'!$C$8 * 10^3</f>
        <v>28000000</v>
      </c>
      <c r="N41">
        <f>'Study Parameters'!$C$13*'Study Parameters'!$C$8 * 10^3</f>
        <v>28000000</v>
      </c>
      <c r="O41">
        <f>'Study Parameters'!$C$13*'Study Parameters'!$C$8 * 10^3</f>
        <v>28000000</v>
      </c>
      <c r="P41">
        <f>'Study Parameters'!$C$13*'Study Parameters'!$C$8 * 10^3</f>
        <v>28000000</v>
      </c>
      <c r="Q41">
        <f>'Study Parameters'!$C$13*'Study Parameters'!$C$8 * 10^3</f>
        <v>28000000</v>
      </c>
      <c r="R41">
        <f>'Study Parameters'!$C$13*'Study Parameters'!$C$8 * 10^3</f>
        <v>28000000</v>
      </c>
      <c r="S41">
        <f>'Study Parameters'!$C$13*'Study Parameters'!$C$8 * 10^3</f>
        <v>28000000</v>
      </c>
      <c r="T41">
        <f>'Study Parameters'!$C$13*'Study Parameters'!$C$8 * 10^3</f>
        <v>28000000</v>
      </c>
      <c r="U41">
        <f>'Study Parameters'!$C$13*'Study Parameters'!$C$8 * 10^3</f>
        <v>28000000</v>
      </c>
      <c r="V41">
        <f>'Study Parameters'!$C$13*'Study Parameters'!$C$8 * 10^3</f>
        <v>28000000</v>
      </c>
      <c r="W41">
        <f>'Study Parameters'!$C$13*'Study Parameters'!$C$8 * 10^3</f>
        <v>28000000</v>
      </c>
      <c r="X41">
        <f>'Study Parameters'!$C$13*'Study Parameters'!$C$8 * 10^3</f>
        <v>28000000</v>
      </c>
      <c r="Y41">
        <f>'Study Parameters'!$C$13*'Study Parameters'!$C$8 * 10^3</f>
        <v>28000000</v>
      </c>
      <c r="Z41">
        <f>'Study Parameters'!$C$13*'Study Parameters'!$C$8 * 10^3</f>
        <v>28000000</v>
      </c>
      <c r="AA41">
        <f>'Study Parameters'!$C$13*'Study Parameters'!$C$8 * 10^3</f>
        <v>28000000</v>
      </c>
    </row>
    <row r="42" spans="1:27" x14ac:dyDescent="0.25">
      <c r="A42" t="s">
        <v>125</v>
      </c>
      <c r="B42">
        <v>0</v>
      </c>
      <c r="C42">
        <f>C41/(1+'Study Parameters'!$C$4) ^'Production Cost Baseline'!C$2</f>
        <v>26046511.627906978</v>
      </c>
      <c r="D42">
        <f>D41/(1+'Study Parameters'!$C$4) ^'Production Cost Baseline'!D$2</f>
        <v>24229313.142239049</v>
      </c>
      <c r="E42">
        <f>E41/(1+'Study Parameters'!$C$4) ^'Production Cost Baseline'!E$2</f>
        <v>22538895.946268886</v>
      </c>
      <c r="F42">
        <f>F41/(1+'Study Parameters'!$C$4) ^'Production Cost Baseline'!F$2</f>
        <v>20966414.833738498</v>
      </c>
      <c r="G42">
        <f>G41/(1+'Study Parameters'!$C$4) ^'Production Cost Baseline'!G$2</f>
        <v>19503641.705803253</v>
      </c>
      <c r="H42">
        <f>H41/(1+'Study Parameters'!$C$4) ^'Production Cost Baseline'!H$2</f>
        <v>18142922.517026283</v>
      </c>
      <c r="I42">
        <f>I41/(1+'Study Parameters'!$C$4) ^'Production Cost Baseline'!I$2</f>
        <v>16877137.225140728</v>
      </c>
      <c r="J42">
        <f>J41/(1+'Study Parameters'!$C$4) ^'Production Cost Baseline'!J$2</f>
        <v>15699662.535014631</v>
      </c>
      <c r="K42">
        <f>K41/(1+'Study Parameters'!$C$4) ^'Production Cost Baseline'!K$2</f>
        <v>14604337.241874076</v>
      </c>
      <c r="L42">
        <f>L41/(1+'Study Parameters'!$C$4) ^'Production Cost Baseline'!L$2</f>
        <v>13585429.992441004</v>
      </c>
      <c r="M42">
        <f>M41/(1+'Study Parameters'!$C$4) ^'Production Cost Baseline'!M$2</f>
        <v>12637609.295293955</v>
      </c>
      <c r="N42">
        <f>N41/(1+'Study Parameters'!$C$4) ^'Production Cost Baseline'!N$2</f>
        <v>11755915.623529261</v>
      </c>
      <c r="O42">
        <f>O41/(1+'Study Parameters'!$C$4) ^'Production Cost Baseline'!O$2</f>
        <v>10935735.46374815</v>
      </c>
      <c r="P42">
        <f>P41/(1+'Study Parameters'!$C$4) ^'Production Cost Baseline'!P$2</f>
        <v>10172777.175579675</v>
      </c>
      <c r="Q42">
        <f>Q41/(1+'Study Parameters'!$C$4) ^'Production Cost Baseline'!Q$2</f>
        <v>9463048.5354229528</v>
      </c>
      <c r="R42">
        <f>R41/(1+'Study Parameters'!$C$4) ^'Production Cost Baseline'!R$2</f>
        <v>8802835.8469050732</v>
      </c>
      <c r="S42">
        <f>S41/(1+'Study Parameters'!$C$4) ^'Production Cost Baseline'!S$2</f>
        <v>8188684.5087489057</v>
      </c>
      <c r="T42">
        <f>T41/(1+'Study Parameters'!$C$4) ^'Production Cost Baseline'!T$2</f>
        <v>7617380.9383710753</v>
      </c>
      <c r="U42">
        <f>U41/(1+'Study Parameters'!$C$4) ^'Production Cost Baseline'!U$2</f>
        <v>7085935.7566242563</v>
      </c>
      <c r="V42">
        <f>V41/(1+'Study Parameters'!$C$4) ^'Production Cost Baseline'!V$2</f>
        <v>6591568.1456969827</v>
      </c>
      <c r="W42">
        <f>W41/(1+'Study Parameters'!$C$4) ^'Production Cost Baseline'!W$2</f>
        <v>6131691.2983227745</v>
      </c>
      <c r="X42">
        <f>X41/(1+'Study Parameters'!$C$4) ^'Production Cost Baseline'!X$2</f>
        <v>5703898.8821607204</v>
      </c>
      <c r="Y42">
        <f>Y41/(1+'Study Parameters'!$C$4) ^'Production Cost Baseline'!Y$2</f>
        <v>5305952.4485216001</v>
      </c>
      <c r="Z42">
        <f>Z41/(1+'Study Parameters'!$C$4) ^'Production Cost Baseline'!Z$2</f>
        <v>4935769.7195549775</v>
      </c>
      <c r="AA42">
        <f>AA41/(1+'Study Parameters'!$C$4) ^'Production Cost Baseline'!AA$2</f>
        <v>4591413.6926092813</v>
      </c>
    </row>
    <row r="44" spans="1:27" x14ac:dyDescent="0.25">
      <c r="A44" t="s">
        <v>126</v>
      </c>
      <c r="B44">
        <f>SUM(B40:AA40) / SUM(C42:AA42)</f>
        <v>49.303774552389157</v>
      </c>
    </row>
    <row r="45" spans="1:27" x14ac:dyDescent="0.25">
      <c r="A45" t="s">
        <v>127</v>
      </c>
      <c r="B45">
        <f>B44 * Inputs!$C$15</f>
        <v>39.590930965568496</v>
      </c>
    </row>
    <row r="47" spans="1:27" x14ac:dyDescent="0.25">
      <c r="A47" s="1" t="s">
        <v>131</v>
      </c>
    </row>
    <row r="48" spans="1:27" x14ac:dyDescent="0.25">
      <c r="A48" t="s">
        <v>120</v>
      </c>
      <c r="B48">
        <f>'Cost Components'!$D$12 * 10^6</f>
        <v>1594030000</v>
      </c>
      <c r="C48">
        <f>('Cost Components'!$D$21  + 'Cost Components'!$D$23) * 10^6</f>
        <v>397799999.99999994</v>
      </c>
      <c r="D48">
        <f>('Cost Components'!$D$21  + 'Cost Components'!$D$23) * 10^6</f>
        <v>397799999.99999994</v>
      </c>
      <c r="E48">
        <f>('Cost Components'!$D$21  + 'Cost Components'!$D$23) * 10^6</f>
        <v>397799999.99999994</v>
      </c>
      <c r="F48">
        <f>('Cost Components'!$D$21  + 'Cost Components'!$D$23) * 10^6</f>
        <v>397799999.99999994</v>
      </c>
      <c r="G48">
        <f>('Cost Components'!$D$21  + 'Cost Components'!$D$23) * 10^6</f>
        <v>397799999.99999994</v>
      </c>
      <c r="H48">
        <f>('Cost Components'!$D$21  + 'Cost Components'!$D$23) * 10^6</f>
        <v>397799999.99999994</v>
      </c>
      <c r="I48">
        <f>('Cost Components'!$D$21  + 'Cost Components'!$D$23) * 10^6</f>
        <v>397799999.99999994</v>
      </c>
      <c r="J48">
        <f>('Cost Components'!$D$21  + 'Cost Components'!$D$23) * 10^6</f>
        <v>397799999.99999994</v>
      </c>
      <c r="K48">
        <f>('Cost Components'!$D$21  + 'Cost Components'!$D$23) * 10^6</f>
        <v>397799999.99999994</v>
      </c>
      <c r="L48">
        <f>('Cost Components'!$D$21  + 'Cost Components'!$D$23) * 10^6</f>
        <v>397799999.99999994</v>
      </c>
      <c r="M48">
        <f>('Cost Components'!$D$21  + 'Cost Components'!$D$23) * 10^6</f>
        <v>397799999.99999994</v>
      </c>
      <c r="N48">
        <f>('Cost Components'!$D$21  + 'Cost Components'!$D$23) * 10^6</f>
        <v>397799999.99999994</v>
      </c>
      <c r="O48">
        <f>('Cost Components'!$D$21  + 'Cost Components'!$D$23) * 10^6</f>
        <v>397799999.99999994</v>
      </c>
      <c r="P48">
        <f>('Cost Components'!$D$21  + 'Cost Components'!$D$23) * 10^6</f>
        <v>397799999.99999994</v>
      </c>
      <c r="Q48">
        <f>('Cost Components'!$D$21  + 'Cost Components'!$D$23) * 10^6</f>
        <v>397799999.99999994</v>
      </c>
      <c r="R48">
        <f>('Cost Components'!$D$21  + 'Cost Components'!$D$23) * 10^6</f>
        <v>397799999.99999994</v>
      </c>
      <c r="S48">
        <f>('Cost Components'!$D$21  + 'Cost Components'!$D$23) * 10^6</f>
        <v>397799999.99999994</v>
      </c>
      <c r="T48">
        <f>('Cost Components'!$D$21  + 'Cost Components'!$D$23) * 10^6</f>
        <v>397799999.99999994</v>
      </c>
      <c r="U48">
        <f>('Cost Components'!$D$21  + 'Cost Components'!$D$23) * 10^6</f>
        <v>397799999.99999994</v>
      </c>
      <c r="V48">
        <f>('Cost Components'!$D$21  + 'Cost Components'!$D$23) * 10^6</f>
        <v>397799999.99999994</v>
      </c>
      <c r="W48">
        <f>('Cost Components'!$D$21  + 'Cost Components'!$D$23) * 10^6</f>
        <v>397799999.99999994</v>
      </c>
      <c r="X48">
        <f>('Cost Components'!$D$21  + 'Cost Components'!$D$23) * 10^6</f>
        <v>397799999.99999994</v>
      </c>
      <c r="Y48">
        <f>('Cost Components'!$D$21  + 'Cost Components'!$D$23) * 10^6</f>
        <v>397799999.99999994</v>
      </c>
      <c r="Z48">
        <f>('Cost Components'!$D$21  + 'Cost Components'!$D$23) * 10^6</f>
        <v>397799999.99999994</v>
      </c>
      <c r="AA48">
        <f>('Cost Components'!$D$21  + 'Cost Components'!$D$23) * 10^6</f>
        <v>397799999.99999994</v>
      </c>
    </row>
    <row r="49" spans="1:27" x14ac:dyDescent="0.25">
      <c r="A49" t="s">
        <v>121</v>
      </c>
      <c r="B49">
        <v>0</v>
      </c>
      <c r="C49">
        <f>'Cost Components'!$D$36*10^6</f>
        <v>81000000</v>
      </c>
      <c r="D49">
        <f>'Cost Components'!$D$36*10^6</f>
        <v>81000000</v>
      </c>
      <c r="E49">
        <f>'Cost Components'!$D$36*10^6</f>
        <v>81000000</v>
      </c>
      <c r="F49">
        <f>'Cost Components'!$D$36*10^6</f>
        <v>81000000</v>
      </c>
      <c r="G49">
        <f>'Cost Components'!$D$36*10^6</f>
        <v>81000000</v>
      </c>
      <c r="H49">
        <f>'Cost Components'!$D$36*10^6</f>
        <v>81000000</v>
      </c>
      <c r="I49">
        <f>'Cost Components'!$D$36*10^6</f>
        <v>81000000</v>
      </c>
      <c r="J49">
        <f>'Cost Components'!$D$36*10^6</f>
        <v>81000000</v>
      </c>
      <c r="K49">
        <f>'Cost Components'!$D$36*10^6</f>
        <v>81000000</v>
      </c>
      <c r="L49">
        <f>'Cost Components'!$D$36*10^6</f>
        <v>81000000</v>
      </c>
      <c r="M49">
        <f>'Cost Components'!$D$36*10^6</f>
        <v>81000000</v>
      </c>
      <c r="N49">
        <f>'Cost Components'!$D$36*10^6</f>
        <v>81000000</v>
      </c>
      <c r="O49">
        <f>'Cost Components'!$D$36*10^6</f>
        <v>81000000</v>
      </c>
      <c r="P49">
        <f>'Cost Components'!$D$36*10^6</f>
        <v>81000000</v>
      </c>
      <c r="Q49">
        <f>'Cost Components'!$D$36*10^6</f>
        <v>81000000</v>
      </c>
      <c r="R49">
        <f>'Cost Components'!$D$36*10^6</f>
        <v>81000000</v>
      </c>
      <c r="S49">
        <f>'Cost Components'!$D$36*10^6</f>
        <v>81000000</v>
      </c>
      <c r="T49">
        <f>'Cost Components'!$D$36*10^6</f>
        <v>81000000</v>
      </c>
      <c r="U49">
        <f>'Cost Components'!$D$36*10^6</f>
        <v>81000000</v>
      </c>
      <c r="V49">
        <f>'Cost Components'!$D$36*10^6</f>
        <v>81000000</v>
      </c>
      <c r="W49">
        <f>'Cost Components'!$D$36*10^6</f>
        <v>81000000</v>
      </c>
      <c r="X49">
        <f>'Cost Components'!$D$36*10^6</f>
        <v>81000000</v>
      </c>
      <c r="Y49">
        <f>'Cost Components'!$D$36*10^6</f>
        <v>81000000</v>
      </c>
      <c r="Z49">
        <f>'Cost Components'!$D$36*10^6</f>
        <v>81000000</v>
      </c>
      <c r="AA49">
        <f>'Cost Components'!$D$36*10^6</f>
        <v>81000000</v>
      </c>
    </row>
    <row r="50" spans="1:27" x14ac:dyDescent="0.25">
      <c r="A50" t="s">
        <v>122</v>
      </c>
      <c r="B50">
        <f t="shared" ref="B50:AA50" si="4">B48-B49</f>
        <v>1594030000</v>
      </c>
      <c r="C50">
        <f t="shared" si="4"/>
        <v>316799999.99999994</v>
      </c>
      <c r="D50">
        <f t="shared" si="4"/>
        <v>316799999.99999994</v>
      </c>
      <c r="E50">
        <f t="shared" si="4"/>
        <v>316799999.99999994</v>
      </c>
      <c r="F50">
        <f t="shared" si="4"/>
        <v>316799999.99999994</v>
      </c>
      <c r="G50">
        <f t="shared" si="4"/>
        <v>316799999.99999994</v>
      </c>
      <c r="H50">
        <f t="shared" si="4"/>
        <v>316799999.99999994</v>
      </c>
      <c r="I50">
        <f t="shared" si="4"/>
        <v>316799999.99999994</v>
      </c>
      <c r="J50">
        <f t="shared" si="4"/>
        <v>316799999.99999994</v>
      </c>
      <c r="K50">
        <f t="shared" si="4"/>
        <v>316799999.99999994</v>
      </c>
      <c r="L50">
        <f t="shared" si="4"/>
        <v>316799999.99999994</v>
      </c>
      <c r="M50">
        <f t="shared" si="4"/>
        <v>316799999.99999994</v>
      </c>
      <c r="N50">
        <f t="shared" si="4"/>
        <v>316799999.99999994</v>
      </c>
      <c r="O50">
        <f t="shared" si="4"/>
        <v>316799999.99999994</v>
      </c>
      <c r="P50">
        <f t="shared" si="4"/>
        <v>316799999.99999994</v>
      </c>
      <c r="Q50">
        <f t="shared" si="4"/>
        <v>316799999.99999994</v>
      </c>
      <c r="R50">
        <f t="shared" si="4"/>
        <v>316799999.99999994</v>
      </c>
      <c r="S50">
        <f t="shared" si="4"/>
        <v>316799999.99999994</v>
      </c>
      <c r="T50">
        <f t="shared" si="4"/>
        <v>316799999.99999994</v>
      </c>
      <c r="U50">
        <f t="shared" si="4"/>
        <v>316799999.99999994</v>
      </c>
      <c r="V50">
        <f t="shared" si="4"/>
        <v>316799999.99999994</v>
      </c>
      <c r="W50">
        <f t="shared" si="4"/>
        <v>316799999.99999994</v>
      </c>
      <c r="X50">
        <f t="shared" si="4"/>
        <v>316799999.99999994</v>
      </c>
      <c r="Y50">
        <f t="shared" si="4"/>
        <v>316799999.99999994</v>
      </c>
      <c r="Z50">
        <f t="shared" si="4"/>
        <v>316799999.99999994</v>
      </c>
      <c r="AA50">
        <f t="shared" si="4"/>
        <v>316799999.99999994</v>
      </c>
    </row>
    <row r="51" spans="1:27" x14ac:dyDescent="0.25">
      <c r="A51" t="s">
        <v>123</v>
      </c>
      <c r="B51">
        <f>B50/(1+'Study Parameters'!$C$4) ^'Production Cost Baseline'!B$2</f>
        <v>1594030000</v>
      </c>
      <c r="C51">
        <f>C50/(1+'Study Parameters'!$C$4) ^'Production Cost Baseline'!C$2</f>
        <v>294697674.41860461</v>
      </c>
      <c r="D51">
        <f>D50/(1+'Study Parameters'!$C$4) ^'Production Cost Baseline'!D$2</f>
        <v>274137371.55219036</v>
      </c>
      <c r="E51">
        <f>E50/(1+'Study Parameters'!$C$4) ^'Production Cost Baseline'!E$2</f>
        <v>255011508.4206422</v>
      </c>
      <c r="F51">
        <f>F50/(1+'Study Parameters'!$C$4) ^'Production Cost Baseline'!F$2</f>
        <v>237220007.83315551</v>
      </c>
      <c r="G51">
        <f>G50/(1+'Study Parameters'!$C$4) ^'Production Cost Baseline'!G$2</f>
        <v>220669774.72851676</v>
      </c>
      <c r="H51">
        <f>H50/(1+'Study Parameters'!$C$4) ^'Production Cost Baseline'!H$2</f>
        <v>205274209.04978305</v>
      </c>
      <c r="I51">
        <f>I50/(1+'Study Parameters'!$C$4) ^'Production Cost Baseline'!I$2</f>
        <v>190952752.60444933</v>
      </c>
      <c r="J51">
        <f>J50/(1+'Study Parameters'!$C$4) ^'Production Cost Baseline'!J$2</f>
        <v>177630467.53902265</v>
      </c>
      <c r="K51">
        <f>K50/(1+'Study Parameters'!$C$4) ^'Production Cost Baseline'!K$2</f>
        <v>165237644.22234666</v>
      </c>
      <c r="L51">
        <f>L50/(1+'Study Parameters'!$C$4) ^'Production Cost Baseline'!L$2</f>
        <v>153709436.48590389</v>
      </c>
      <c r="M51">
        <f>M50/(1+'Study Parameters'!$C$4) ^'Production Cost Baseline'!M$2</f>
        <v>142985522.31246871</v>
      </c>
      <c r="N51">
        <f>N50/(1+'Study Parameters'!$C$4) ^'Production Cost Baseline'!N$2</f>
        <v>133009788.19764532</v>
      </c>
      <c r="O51">
        <f>O50/(1+'Study Parameters'!$C$4) ^'Production Cost Baseline'!O$2</f>
        <v>123730035.53269333</v>
      </c>
      <c r="P51">
        <f>P50/(1+'Study Parameters'!$C$4) ^'Production Cost Baseline'!P$2</f>
        <v>115097707.47227287</v>
      </c>
      <c r="Q51">
        <f>Q50/(1+'Study Parameters'!$C$4) ^'Production Cost Baseline'!Q$2</f>
        <v>107067634.85792825</v>
      </c>
      <c r="R51">
        <f>R50/(1+'Study Parameters'!$C$4) ^'Production Cost Baseline'!R$2</f>
        <v>99597799.867840245</v>
      </c>
      <c r="S51">
        <f>S50/(1+'Study Parameters'!$C$4) ^'Production Cost Baseline'!S$2</f>
        <v>92649116.156130463</v>
      </c>
      <c r="T51">
        <f>T50/(1+'Study Parameters'!$C$4) ^'Production Cost Baseline'!T$2</f>
        <v>86185224.33128415</v>
      </c>
      <c r="U51">
        <f>U50/(1+'Study Parameters'!$C$4) ^'Production Cost Baseline'!U$2</f>
        <v>80172301.703520134</v>
      </c>
      <c r="V51">
        <f>V50/(1+'Study Parameters'!$C$4) ^'Production Cost Baseline'!V$2</f>
        <v>74578885.305600137</v>
      </c>
      <c r="W51">
        <f>W50/(1+'Study Parameters'!$C$4) ^'Production Cost Baseline'!W$2</f>
        <v>69375707.261023372</v>
      </c>
      <c r="X51">
        <f>X50/(1+'Study Parameters'!$C$4) ^'Production Cost Baseline'!X$2</f>
        <v>64535541.638161287</v>
      </c>
      <c r="Y51">
        <f>Y50/(1+'Study Parameters'!$C$4) ^'Production Cost Baseline'!Y$2</f>
        <v>60033061.988987237</v>
      </c>
      <c r="Z51">
        <f>Z50/(1+'Study Parameters'!$C$4) ^'Production Cost Baseline'!Z$2</f>
        <v>55844708.826964878</v>
      </c>
      <c r="AA51">
        <f>AA50/(1+'Study Parameters'!$C$4) ^'Production Cost Baseline'!AA$2</f>
        <v>51948566.350665003</v>
      </c>
    </row>
    <row r="52" spans="1:27" x14ac:dyDescent="0.25">
      <c r="A52" t="s">
        <v>124</v>
      </c>
      <c r="B52">
        <v>0</v>
      </c>
      <c r="C52">
        <f>'Study Parameters'!$C$14*'Study Parameters'!$C$8 * 10^3</f>
        <v>38400000</v>
      </c>
      <c r="D52">
        <f>'Study Parameters'!$C$14*'Study Parameters'!$C$8 * 10^3</f>
        <v>38400000</v>
      </c>
      <c r="E52">
        <f>'Study Parameters'!$C$14*'Study Parameters'!$C$8 * 10^3</f>
        <v>38400000</v>
      </c>
      <c r="F52">
        <f>'Study Parameters'!$C$14*'Study Parameters'!$C$8 * 10^3</f>
        <v>38400000</v>
      </c>
      <c r="G52">
        <f>'Study Parameters'!$C$14*'Study Parameters'!$C$8 * 10^3</f>
        <v>38400000</v>
      </c>
      <c r="H52">
        <f>'Study Parameters'!$C$14*'Study Parameters'!$C$8 * 10^3</f>
        <v>38400000</v>
      </c>
      <c r="I52">
        <f>'Study Parameters'!$C$14*'Study Parameters'!$C$8 * 10^3</f>
        <v>38400000</v>
      </c>
      <c r="J52">
        <f>'Study Parameters'!$C$14*'Study Parameters'!$C$8 * 10^3</f>
        <v>38400000</v>
      </c>
      <c r="K52">
        <f>'Study Parameters'!$C$14*'Study Parameters'!$C$8 * 10^3</f>
        <v>38400000</v>
      </c>
      <c r="L52">
        <f>'Study Parameters'!$C$14*'Study Parameters'!$C$8 * 10^3</f>
        <v>38400000</v>
      </c>
      <c r="M52">
        <f>'Study Parameters'!$C$14*'Study Parameters'!$C$8 * 10^3</f>
        <v>38400000</v>
      </c>
      <c r="N52">
        <f>'Study Parameters'!$C$14*'Study Parameters'!$C$8 * 10^3</f>
        <v>38400000</v>
      </c>
      <c r="O52">
        <f>'Study Parameters'!$C$14*'Study Parameters'!$C$8 * 10^3</f>
        <v>38400000</v>
      </c>
      <c r="P52">
        <f>'Study Parameters'!$C$14*'Study Parameters'!$C$8 * 10^3</f>
        <v>38400000</v>
      </c>
      <c r="Q52">
        <f>'Study Parameters'!$C$14*'Study Parameters'!$C$8 * 10^3</f>
        <v>38400000</v>
      </c>
      <c r="R52">
        <f>'Study Parameters'!$C$14*'Study Parameters'!$C$8 * 10^3</f>
        <v>38400000</v>
      </c>
      <c r="S52">
        <f>'Study Parameters'!$C$14*'Study Parameters'!$C$8 * 10^3</f>
        <v>38400000</v>
      </c>
      <c r="T52">
        <f>'Study Parameters'!$C$14*'Study Parameters'!$C$8 * 10^3</f>
        <v>38400000</v>
      </c>
      <c r="U52">
        <f>'Study Parameters'!$C$14*'Study Parameters'!$C$8 * 10^3</f>
        <v>38400000</v>
      </c>
      <c r="V52">
        <f>'Study Parameters'!$C$14*'Study Parameters'!$C$8 * 10^3</f>
        <v>38400000</v>
      </c>
      <c r="W52">
        <f>'Study Parameters'!$C$14*'Study Parameters'!$C$8 * 10^3</f>
        <v>38400000</v>
      </c>
      <c r="X52">
        <f>'Study Parameters'!$C$14*'Study Parameters'!$C$8 * 10^3</f>
        <v>38400000</v>
      </c>
      <c r="Y52">
        <f>'Study Parameters'!$C$14*'Study Parameters'!$C$8 * 10^3</f>
        <v>38400000</v>
      </c>
      <c r="Z52">
        <f>'Study Parameters'!$C$14*'Study Parameters'!$C$8 * 10^3</f>
        <v>38400000</v>
      </c>
      <c r="AA52">
        <f>'Study Parameters'!$C$14*'Study Parameters'!$C$8 * 10^3</f>
        <v>38400000</v>
      </c>
    </row>
    <row r="53" spans="1:27" x14ac:dyDescent="0.25">
      <c r="A53" t="s">
        <v>125</v>
      </c>
      <c r="B53">
        <v>0</v>
      </c>
      <c r="C53">
        <f>C52/(1+'Study Parameters'!$C$4) ^'Production Cost Baseline'!C$2</f>
        <v>35720930.232558139</v>
      </c>
      <c r="D53">
        <f>D52/(1+'Study Parameters'!$C$4) ^'Production Cost Baseline'!D$2</f>
        <v>33228772.30935641</v>
      </c>
      <c r="E53">
        <f>E52/(1+'Study Parameters'!$C$4) ^'Production Cost Baseline'!E$2</f>
        <v>30910485.869168755</v>
      </c>
      <c r="F53">
        <f>F52/(1+'Study Parameters'!$C$4) ^'Production Cost Baseline'!F$2</f>
        <v>28753940.343412794</v>
      </c>
      <c r="G53">
        <f>G52/(1+'Study Parameters'!$C$4) ^'Production Cost Baseline'!G$2</f>
        <v>26747851.482244462</v>
      </c>
      <c r="H53">
        <f>H52/(1+'Study Parameters'!$C$4) ^'Production Cost Baseline'!H$2</f>
        <v>24881722.309064619</v>
      </c>
      <c r="I53">
        <f>I52/(1+'Study Parameters'!$C$4) ^'Production Cost Baseline'!I$2</f>
        <v>23145788.194478713</v>
      </c>
      <c r="J53">
        <f>J52/(1+'Study Parameters'!$C$4) ^'Production Cost Baseline'!J$2</f>
        <v>21530965.762305781</v>
      </c>
      <c r="K53">
        <f>K52/(1+'Study Parameters'!$C$4) ^'Production Cost Baseline'!K$2</f>
        <v>20028805.360284448</v>
      </c>
      <c r="L53">
        <f>L52/(1+'Study Parameters'!$C$4) ^'Production Cost Baseline'!L$2</f>
        <v>18631446.846776232</v>
      </c>
      <c r="M53">
        <f>M52/(1+'Study Parameters'!$C$4) ^'Production Cost Baseline'!M$2</f>
        <v>17331578.462117422</v>
      </c>
      <c r="N53">
        <f>N52/(1+'Study Parameters'!$C$4) ^'Production Cost Baseline'!N$2</f>
        <v>16122398.569411557</v>
      </c>
      <c r="O53">
        <f>O52/(1+'Study Parameters'!$C$4) ^'Production Cost Baseline'!O$2</f>
        <v>14997580.06456889</v>
      </c>
      <c r="P53">
        <f>P52/(1+'Study Parameters'!$C$4) ^'Production Cost Baseline'!P$2</f>
        <v>13951237.269366411</v>
      </c>
      <c r="Q53">
        <f>Q52/(1+'Study Parameters'!$C$4) ^'Production Cost Baseline'!Q$2</f>
        <v>12977895.134294337</v>
      </c>
      <c r="R53">
        <f>R52/(1+'Study Parameters'!$C$4) ^'Production Cost Baseline'!R$2</f>
        <v>12072460.590041243</v>
      </c>
      <c r="S53">
        <f>S52/(1+'Study Parameters'!$C$4) ^'Production Cost Baseline'!S$2</f>
        <v>11230195.897712786</v>
      </c>
      <c r="T53">
        <f>T52/(1+'Study Parameters'!$C$4) ^'Production Cost Baseline'!T$2</f>
        <v>10446693.858337475</v>
      </c>
      <c r="U53">
        <f>U52/(1+'Study Parameters'!$C$4) ^'Production Cost Baseline'!U$2</f>
        <v>9717854.7519418374</v>
      </c>
      <c r="V53">
        <f>V52/(1+'Study Parameters'!$C$4) ^'Production Cost Baseline'!V$2</f>
        <v>9039864.8855272904</v>
      </c>
      <c r="W53">
        <f>W52/(1+'Study Parameters'!$C$4) ^'Production Cost Baseline'!W$2</f>
        <v>8409176.6376998052</v>
      </c>
      <c r="X53">
        <f>X52/(1+'Study Parameters'!$C$4) ^'Production Cost Baseline'!X$2</f>
        <v>7822489.8955347026</v>
      </c>
      <c r="Y53">
        <f>Y52/(1+'Study Parameters'!$C$4) ^'Production Cost Baseline'!Y$2</f>
        <v>7276734.7865439095</v>
      </c>
      <c r="Z53">
        <f>Z52/(1+'Study Parameters'!$C$4) ^'Production Cost Baseline'!Z$2</f>
        <v>6769055.6153896842</v>
      </c>
      <c r="AA53">
        <f>AA52/(1+'Study Parameters'!$C$4) ^'Production Cost Baseline'!AA$2</f>
        <v>6296795.9212927287</v>
      </c>
    </row>
    <row r="55" spans="1:27" x14ac:dyDescent="0.25">
      <c r="A55" t="s">
        <v>126</v>
      </c>
      <c r="B55">
        <f>SUM(B51:AA51) / SUM(C53:AA53)</f>
        <v>11.973997446077165</v>
      </c>
    </row>
    <row r="56" spans="1:27" x14ac:dyDescent="0.25">
      <c r="A56" t="s">
        <v>127</v>
      </c>
      <c r="B56">
        <f>B55 * Inputs!$C$15</f>
        <v>9.6151199491999648</v>
      </c>
    </row>
    <row r="58" spans="1:27" x14ac:dyDescent="0.25">
      <c r="A58" s="1" t="s">
        <v>132</v>
      </c>
    </row>
    <row r="59" spans="1:27" x14ac:dyDescent="0.25">
      <c r="A59" t="s">
        <v>120</v>
      </c>
      <c r="B59">
        <f>'Cost Components'!$D$12 * 10^6</f>
        <v>1594030000</v>
      </c>
      <c r="C59">
        <f>('Cost Components'!$D$21  + 'Cost Components'!$D$29) * 10^6</f>
        <v>1604800000</v>
      </c>
      <c r="D59">
        <f>('Cost Components'!$D$21  + 'Cost Components'!$D$29) * 10^6</f>
        <v>1604800000</v>
      </c>
      <c r="E59">
        <f>('Cost Components'!$D$21  + 'Cost Components'!$D$29) * 10^6</f>
        <v>1604800000</v>
      </c>
      <c r="F59">
        <f>('Cost Components'!$D$21  + 'Cost Components'!$D$29) * 10^6</f>
        <v>1604800000</v>
      </c>
      <c r="G59">
        <f>('Cost Components'!$D$21  + 'Cost Components'!$D$29) * 10^6</f>
        <v>1604800000</v>
      </c>
      <c r="H59">
        <f>('Cost Components'!$D$21  + 'Cost Components'!$D$29) * 10^6</f>
        <v>1604800000</v>
      </c>
      <c r="I59">
        <f>('Cost Components'!$D$21  + 'Cost Components'!$D$29) * 10^6</f>
        <v>1604800000</v>
      </c>
      <c r="J59">
        <f>('Cost Components'!$D$21  + 'Cost Components'!$D$29) * 10^6</f>
        <v>1604800000</v>
      </c>
      <c r="K59">
        <f>('Cost Components'!$D$21  + 'Cost Components'!$D$29) * 10^6</f>
        <v>1604800000</v>
      </c>
      <c r="L59">
        <f>('Cost Components'!$D$21  + 'Cost Components'!$D$29) * 10^6</f>
        <v>1604800000</v>
      </c>
      <c r="M59">
        <f>('Cost Components'!$D$21  + 'Cost Components'!$D$29) * 10^6</f>
        <v>1604800000</v>
      </c>
      <c r="N59">
        <f>('Cost Components'!$D$21  + 'Cost Components'!$D$29) * 10^6</f>
        <v>1604800000</v>
      </c>
      <c r="O59">
        <f>('Cost Components'!$D$21  + 'Cost Components'!$D$29) * 10^6</f>
        <v>1604800000</v>
      </c>
      <c r="P59">
        <f>('Cost Components'!$D$21  + 'Cost Components'!$D$29) * 10^6</f>
        <v>1604800000</v>
      </c>
      <c r="Q59">
        <f>('Cost Components'!$D$21  + 'Cost Components'!$D$29) * 10^6</f>
        <v>1604800000</v>
      </c>
      <c r="R59">
        <f>('Cost Components'!$D$21  + 'Cost Components'!$D$29) * 10^6</f>
        <v>1604800000</v>
      </c>
      <c r="S59">
        <f>('Cost Components'!$D$21  + 'Cost Components'!$D$29) * 10^6</f>
        <v>1604800000</v>
      </c>
      <c r="T59">
        <f>('Cost Components'!$D$21  + 'Cost Components'!$D$29) * 10^6</f>
        <v>1604800000</v>
      </c>
      <c r="U59">
        <f>('Cost Components'!$D$21  + 'Cost Components'!$D$29) * 10^6</f>
        <v>1604800000</v>
      </c>
      <c r="V59">
        <f>('Cost Components'!$D$21  + 'Cost Components'!$D$29) * 10^6</f>
        <v>1604800000</v>
      </c>
      <c r="W59">
        <f>('Cost Components'!$D$21  + 'Cost Components'!$D$29) * 10^6</f>
        <v>1604800000</v>
      </c>
      <c r="X59">
        <f>('Cost Components'!$D$21  + 'Cost Components'!$D$29) * 10^6</f>
        <v>1604800000</v>
      </c>
      <c r="Y59">
        <f>('Cost Components'!$D$21  + 'Cost Components'!$D$29) * 10^6</f>
        <v>1604800000</v>
      </c>
      <c r="Z59">
        <f>('Cost Components'!$D$21  + 'Cost Components'!$D$29) * 10^6</f>
        <v>1604800000</v>
      </c>
      <c r="AA59">
        <f>('Cost Components'!$D$21  + 'Cost Components'!$D$29) * 10^6</f>
        <v>1604800000</v>
      </c>
    </row>
    <row r="60" spans="1:27" x14ac:dyDescent="0.25">
      <c r="A60" t="s">
        <v>121</v>
      </c>
      <c r="B60">
        <v>0</v>
      </c>
      <c r="C60">
        <f>'Cost Components'!$D$36*10^6</f>
        <v>81000000</v>
      </c>
      <c r="D60">
        <f>'Cost Components'!$D$36*10^6</f>
        <v>81000000</v>
      </c>
      <c r="E60">
        <f>'Cost Components'!$D$36*10^6</f>
        <v>81000000</v>
      </c>
      <c r="F60">
        <f>'Cost Components'!$D$36*10^6</f>
        <v>81000000</v>
      </c>
      <c r="G60">
        <f>'Cost Components'!$D$36*10^6</f>
        <v>81000000</v>
      </c>
      <c r="H60">
        <f>'Cost Components'!$D$36*10^6</f>
        <v>81000000</v>
      </c>
      <c r="I60">
        <f>'Cost Components'!$D$36*10^6</f>
        <v>81000000</v>
      </c>
      <c r="J60">
        <f>'Cost Components'!$D$36*10^6</f>
        <v>81000000</v>
      </c>
      <c r="K60">
        <f>'Cost Components'!$D$36*10^6</f>
        <v>81000000</v>
      </c>
      <c r="L60">
        <f>'Cost Components'!$D$36*10^6</f>
        <v>81000000</v>
      </c>
      <c r="M60">
        <f>'Cost Components'!$D$36*10^6</f>
        <v>81000000</v>
      </c>
      <c r="N60">
        <f>'Cost Components'!$D$36*10^6</f>
        <v>81000000</v>
      </c>
      <c r="O60">
        <f>'Cost Components'!$D$36*10^6</f>
        <v>81000000</v>
      </c>
      <c r="P60">
        <f>'Cost Components'!$D$36*10^6</f>
        <v>81000000</v>
      </c>
      <c r="Q60">
        <f>'Cost Components'!$D$36*10^6</f>
        <v>81000000</v>
      </c>
      <c r="R60">
        <f>'Cost Components'!$D$36*10^6</f>
        <v>81000000</v>
      </c>
      <c r="S60">
        <f>'Cost Components'!$D$36*10^6</f>
        <v>81000000</v>
      </c>
      <c r="T60">
        <f>'Cost Components'!$D$36*10^6</f>
        <v>81000000</v>
      </c>
      <c r="U60">
        <f>'Cost Components'!$D$36*10^6</f>
        <v>81000000</v>
      </c>
      <c r="V60">
        <f>'Cost Components'!$D$36*10^6</f>
        <v>81000000</v>
      </c>
      <c r="W60">
        <f>'Cost Components'!$D$36*10^6</f>
        <v>81000000</v>
      </c>
      <c r="X60">
        <f>'Cost Components'!$D$36*10^6</f>
        <v>81000000</v>
      </c>
      <c r="Y60">
        <f>'Cost Components'!$D$36*10^6</f>
        <v>81000000</v>
      </c>
      <c r="Z60">
        <f>'Cost Components'!$D$36*10^6</f>
        <v>81000000</v>
      </c>
      <c r="AA60">
        <f>'Cost Components'!$D$36*10^6</f>
        <v>81000000</v>
      </c>
    </row>
    <row r="61" spans="1:27" x14ac:dyDescent="0.25">
      <c r="A61" t="s">
        <v>122</v>
      </c>
      <c r="B61">
        <f t="shared" ref="B61:AA61" si="5">B59-B60</f>
        <v>1594030000</v>
      </c>
      <c r="C61">
        <f t="shared" si="5"/>
        <v>1523800000</v>
      </c>
      <c r="D61">
        <f t="shared" si="5"/>
        <v>1523800000</v>
      </c>
      <c r="E61">
        <f t="shared" si="5"/>
        <v>1523800000</v>
      </c>
      <c r="F61">
        <f t="shared" si="5"/>
        <v>1523800000</v>
      </c>
      <c r="G61">
        <f t="shared" si="5"/>
        <v>1523800000</v>
      </c>
      <c r="H61">
        <f t="shared" si="5"/>
        <v>1523800000</v>
      </c>
      <c r="I61">
        <f t="shared" si="5"/>
        <v>1523800000</v>
      </c>
      <c r="J61">
        <f t="shared" si="5"/>
        <v>1523800000</v>
      </c>
      <c r="K61">
        <f t="shared" si="5"/>
        <v>1523800000</v>
      </c>
      <c r="L61">
        <f t="shared" si="5"/>
        <v>1523800000</v>
      </c>
      <c r="M61">
        <f t="shared" si="5"/>
        <v>1523800000</v>
      </c>
      <c r="N61">
        <f t="shared" si="5"/>
        <v>1523800000</v>
      </c>
      <c r="O61">
        <f t="shared" si="5"/>
        <v>1523800000</v>
      </c>
      <c r="P61">
        <f t="shared" si="5"/>
        <v>1523800000</v>
      </c>
      <c r="Q61">
        <f t="shared" si="5"/>
        <v>1523800000</v>
      </c>
      <c r="R61">
        <f t="shared" si="5"/>
        <v>1523800000</v>
      </c>
      <c r="S61">
        <f t="shared" si="5"/>
        <v>1523800000</v>
      </c>
      <c r="T61">
        <f t="shared" si="5"/>
        <v>1523800000</v>
      </c>
      <c r="U61">
        <f t="shared" si="5"/>
        <v>1523800000</v>
      </c>
      <c r="V61">
        <f t="shared" si="5"/>
        <v>1523800000</v>
      </c>
      <c r="W61">
        <f t="shared" si="5"/>
        <v>1523800000</v>
      </c>
      <c r="X61">
        <f t="shared" si="5"/>
        <v>1523800000</v>
      </c>
      <c r="Y61">
        <f t="shared" si="5"/>
        <v>1523800000</v>
      </c>
      <c r="Z61">
        <f t="shared" si="5"/>
        <v>1523800000</v>
      </c>
      <c r="AA61">
        <f t="shared" si="5"/>
        <v>1523800000</v>
      </c>
    </row>
    <row r="62" spans="1:27" x14ac:dyDescent="0.25">
      <c r="A62" t="s">
        <v>123</v>
      </c>
      <c r="B62">
        <f>B61/(1+'Study Parameters'!$C$4) ^'Production Cost Baseline'!B$2</f>
        <v>1594030000</v>
      </c>
      <c r="C62">
        <f>C61/(1+'Study Parameters'!$C$4) ^'Production Cost Baseline'!C$2</f>
        <v>1417488372.0930233</v>
      </c>
      <c r="D62">
        <f>D61/(1+'Study Parameters'!$C$4) ^'Production Cost Baseline'!D$2</f>
        <v>1318593834.5051379</v>
      </c>
      <c r="E62">
        <f>E61/(1+'Study Parameters'!$C$4) ^'Production Cost Baseline'!E$2</f>
        <v>1226598915.818733</v>
      </c>
      <c r="F62">
        <f>F61/(1+'Study Parameters'!$C$4) ^'Production Cost Baseline'!F$2</f>
        <v>1141022247.2732401</v>
      </c>
      <c r="G62">
        <f>G61/(1+'Study Parameters'!$C$4) ^'Production Cost Baseline'!G$2</f>
        <v>1061416043.975107</v>
      </c>
      <c r="H62">
        <f>H61/(1+'Study Parameters'!$C$4) ^'Production Cost Baseline'!H$2</f>
        <v>987363761.837309</v>
      </c>
      <c r="I62">
        <f>I61/(1+'Study Parameters'!$C$4) ^'Production Cost Baseline'!I$2</f>
        <v>918477917.98819435</v>
      </c>
      <c r="J62">
        <f>J61/(1+'Study Parameters'!$C$4) ^'Production Cost Baseline'!J$2</f>
        <v>854398063.24483204</v>
      </c>
      <c r="K62">
        <f>K61/(1+'Study Parameters'!$C$4) ^'Production Cost Baseline'!K$2</f>
        <v>794788896.04170418</v>
      </c>
      <c r="L62">
        <f>L61/(1+'Study Parameters'!$C$4) ^'Production Cost Baseline'!L$2</f>
        <v>739338507.94577146</v>
      </c>
      <c r="M62">
        <f>M61/(1+'Study Parameters'!$C$4) ^'Production Cost Baseline'!M$2</f>
        <v>687756751.57746172</v>
      </c>
      <c r="N62">
        <f>N61/(1+'Study Parameters'!$C$4) ^'Production Cost Baseline'!N$2</f>
        <v>639773722.3976388</v>
      </c>
      <c r="O62">
        <f>O61/(1+'Study Parameters'!$C$4) ^'Production Cost Baseline'!O$2</f>
        <v>595138346.41640818</v>
      </c>
      <c r="P62">
        <f>P61/(1+'Study Parameters'!$C$4) ^'Production Cost Baseline'!P$2</f>
        <v>553617066.43386817</v>
      </c>
      <c r="Q62">
        <f>Q61/(1+'Study Parameters'!$C$4) ^'Production Cost Baseline'!Q$2</f>
        <v>514992619.93848199</v>
      </c>
      <c r="R62">
        <f>R61/(1+'Study Parameters'!$C$4) ^'Production Cost Baseline'!R$2</f>
        <v>479062902.26835537</v>
      </c>
      <c r="S62">
        <f>S61/(1+'Study Parameters'!$C$4) ^'Production Cost Baseline'!S$2</f>
        <v>445639909.08684224</v>
      </c>
      <c r="T62">
        <f>T61/(1+'Study Parameters'!$C$4) ^'Production Cost Baseline'!T$2</f>
        <v>414548752.63892305</v>
      </c>
      <c r="U62">
        <f>U61/(1+'Study Parameters'!$C$4) ^'Production Cost Baseline'!U$2</f>
        <v>385626746.64085865</v>
      </c>
      <c r="V62">
        <f>V61/(1+'Study Parameters'!$C$4) ^'Production Cost Baseline'!V$2</f>
        <v>358722555.01475221</v>
      </c>
      <c r="W62">
        <f>W61/(1+'Study Parameters'!$C$4) ^'Production Cost Baseline'!W$2</f>
        <v>333695400.01372296</v>
      </c>
      <c r="X62">
        <f>X61/(1+'Study Parameters'!$C$4) ^'Production Cost Baseline'!X$2</f>
        <v>310414325.59416091</v>
      </c>
      <c r="Y62">
        <f>Y61/(1+'Study Parameters'!$C$4) ^'Production Cost Baseline'!Y$2</f>
        <v>288757512.18061483</v>
      </c>
      <c r="Z62">
        <f>Z61/(1+'Study Parameters'!$C$4) ^'Production Cost Baseline'!Z$2</f>
        <v>268611639.23778123</v>
      </c>
      <c r="AA62">
        <f>AA61/(1+'Study Parameters'!$C$4) ^'Production Cost Baseline'!AA$2</f>
        <v>249871292.31421509</v>
      </c>
    </row>
    <row r="63" spans="1:27" x14ac:dyDescent="0.25">
      <c r="A63" t="s">
        <v>124</v>
      </c>
      <c r="B63">
        <v>0</v>
      </c>
      <c r="C63">
        <f>'Study Parameters'!$C$14*'Study Parameters'!$C$8 * 10^3</f>
        <v>38400000</v>
      </c>
      <c r="D63">
        <f>'Study Parameters'!$C$14*'Study Parameters'!$C$8 * 10^3</f>
        <v>38400000</v>
      </c>
      <c r="E63">
        <f>'Study Parameters'!$C$14*'Study Parameters'!$C$8 * 10^3</f>
        <v>38400000</v>
      </c>
      <c r="F63">
        <f>'Study Parameters'!$C$14*'Study Parameters'!$C$8 * 10^3</f>
        <v>38400000</v>
      </c>
      <c r="G63">
        <f>'Study Parameters'!$C$14*'Study Parameters'!$C$8 * 10^3</f>
        <v>38400000</v>
      </c>
      <c r="H63">
        <f>'Study Parameters'!$C$14*'Study Parameters'!$C$8 * 10^3</f>
        <v>38400000</v>
      </c>
      <c r="I63">
        <f>'Study Parameters'!$C$14*'Study Parameters'!$C$8 * 10^3</f>
        <v>38400000</v>
      </c>
      <c r="J63">
        <f>'Study Parameters'!$C$14*'Study Parameters'!$C$8 * 10^3</f>
        <v>38400000</v>
      </c>
      <c r="K63">
        <f>'Study Parameters'!$C$14*'Study Parameters'!$C$8 * 10^3</f>
        <v>38400000</v>
      </c>
      <c r="L63">
        <f>'Study Parameters'!$C$14*'Study Parameters'!$C$8 * 10^3</f>
        <v>38400000</v>
      </c>
      <c r="M63">
        <f>'Study Parameters'!$C$14*'Study Parameters'!$C$8 * 10^3</f>
        <v>38400000</v>
      </c>
      <c r="N63">
        <f>'Study Parameters'!$C$14*'Study Parameters'!$C$8 * 10^3</f>
        <v>38400000</v>
      </c>
      <c r="O63">
        <f>'Study Parameters'!$C$14*'Study Parameters'!$C$8 * 10^3</f>
        <v>38400000</v>
      </c>
      <c r="P63">
        <f>'Study Parameters'!$C$14*'Study Parameters'!$C$8 * 10^3</f>
        <v>38400000</v>
      </c>
      <c r="Q63">
        <f>'Study Parameters'!$C$14*'Study Parameters'!$C$8 * 10^3</f>
        <v>38400000</v>
      </c>
      <c r="R63">
        <f>'Study Parameters'!$C$14*'Study Parameters'!$C$8 * 10^3</f>
        <v>38400000</v>
      </c>
      <c r="S63">
        <f>'Study Parameters'!$C$14*'Study Parameters'!$C$8 * 10^3</f>
        <v>38400000</v>
      </c>
      <c r="T63">
        <f>'Study Parameters'!$C$14*'Study Parameters'!$C$8 * 10^3</f>
        <v>38400000</v>
      </c>
      <c r="U63">
        <f>'Study Parameters'!$C$14*'Study Parameters'!$C$8 * 10^3</f>
        <v>38400000</v>
      </c>
      <c r="V63">
        <f>'Study Parameters'!$C$14*'Study Parameters'!$C$8 * 10^3</f>
        <v>38400000</v>
      </c>
      <c r="W63">
        <f>'Study Parameters'!$C$14*'Study Parameters'!$C$8 * 10^3</f>
        <v>38400000</v>
      </c>
      <c r="X63">
        <f>'Study Parameters'!$C$14*'Study Parameters'!$C$8 * 10^3</f>
        <v>38400000</v>
      </c>
      <c r="Y63">
        <f>'Study Parameters'!$C$14*'Study Parameters'!$C$8 * 10^3</f>
        <v>38400000</v>
      </c>
      <c r="Z63">
        <f>'Study Parameters'!$C$14*'Study Parameters'!$C$8 * 10^3</f>
        <v>38400000</v>
      </c>
      <c r="AA63">
        <f>'Study Parameters'!$C$14*'Study Parameters'!$C$8 * 10^3</f>
        <v>38400000</v>
      </c>
    </row>
    <row r="64" spans="1:27" x14ac:dyDescent="0.25">
      <c r="A64" t="s">
        <v>125</v>
      </c>
      <c r="B64">
        <v>0</v>
      </c>
      <c r="C64">
        <f>C63/(1+'Study Parameters'!$C$4) ^'Production Cost Baseline'!C$2</f>
        <v>35720930.232558139</v>
      </c>
      <c r="D64">
        <f>D63/(1+'Study Parameters'!$C$4) ^'Production Cost Baseline'!D$2</f>
        <v>33228772.30935641</v>
      </c>
      <c r="E64">
        <f>E63/(1+'Study Parameters'!$C$4) ^'Production Cost Baseline'!E$2</f>
        <v>30910485.869168755</v>
      </c>
      <c r="F64">
        <f>F63/(1+'Study Parameters'!$C$4) ^'Production Cost Baseline'!F$2</f>
        <v>28753940.343412794</v>
      </c>
      <c r="G64">
        <f>G63/(1+'Study Parameters'!$C$4) ^'Production Cost Baseline'!G$2</f>
        <v>26747851.482244462</v>
      </c>
      <c r="H64">
        <f>H63/(1+'Study Parameters'!$C$4) ^'Production Cost Baseline'!H$2</f>
        <v>24881722.309064619</v>
      </c>
      <c r="I64">
        <f>I63/(1+'Study Parameters'!$C$4) ^'Production Cost Baseline'!I$2</f>
        <v>23145788.194478713</v>
      </c>
      <c r="J64">
        <f>J63/(1+'Study Parameters'!$C$4) ^'Production Cost Baseline'!J$2</f>
        <v>21530965.762305781</v>
      </c>
      <c r="K64">
        <f>K63/(1+'Study Parameters'!$C$4) ^'Production Cost Baseline'!K$2</f>
        <v>20028805.360284448</v>
      </c>
      <c r="L64">
        <f>L63/(1+'Study Parameters'!$C$4) ^'Production Cost Baseline'!L$2</f>
        <v>18631446.846776232</v>
      </c>
      <c r="M64">
        <f>M63/(1+'Study Parameters'!$C$4) ^'Production Cost Baseline'!M$2</f>
        <v>17331578.462117422</v>
      </c>
      <c r="N64">
        <f>N63/(1+'Study Parameters'!$C$4) ^'Production Cost Baseline'!N$2</f>
        <v>16122398.569411557</v>
      </c>
      <c r="O64">
        <f>O63/(1+'Study Parameters'!$C$4) ^'Production Cost Baseline'!O$2</f>
        <v>14997580.06456889</v>
      </c>
      <c r="P64">
        <f>P63/(1+'Study Parameters'!$C$4) ^'Production Cost Baseline'!P$2</f>
        <v>13951237.269366411</v>
      </c>
      <c r="Q64">
        <f>Q63/(1+'Study Parameters'!$C$4) ^'Production Cost Baseline'!Q$2</f>
        <v>12977895.134294337</v>
      </c>
      <c r="R64">
        <f>R63/(1+'Study Parameters'!$C$4) ^'Production Cost Baseline'!R$2</f>
        <v>12072460.590041243</v>
      </c>
      <c r="S64">
        <f>S63/(1+'Study Parameters'!$C$4) ^'Production Cost Baseline'!S$2</f>
        <v>11230195.897712786</v>
      </c>
      <c r="T64">
        <f>T63/(1+'Study Parameters'!$C$4) ^'Production Cost Baseline'!T$2</f>
        <v>10446693.858337475</v>
      </c>
      <c r="U64">
        <f>U63/(1+'Study Parameters'!$C$4) ^'Production Cost Baseline'!U$2</f>
        <v>9717854.7519418374</v>
      </c>
      <c r="V64">
        <f>V63/(1+'Study Parameters'!$C$4) ^'Production Cost Baseline'!V$2</f>
        <v>9039864.8855272904</v>
      </c>
      <c r="W64">
        <f>W63/(1+'Study Parameters'!$C$4) ^'Production Cost Baseline'!W$2</f>
        <v>8409176.6376998052</v>
      </c>
      <c r="X64">
        <f>X63/(1+'Study Parameters'!$C$4) ^'Production Cost Baseline'!X$2</f>
        <v>7822489.8955347026</v>
      </c>
      <c r="Y64">
        <f>Y63/(1+'Study Parameters'!$C$4) ^'Production Cost Baseline'!Y$2</f>
        <v>7276734.7865439095</v>
      </c>
      <c r="Z64">
        <f>Z63/(1+'Study Parameters'!$C$4) ^'Production Cost Baseline'!Z$2</f>
        <v>6769055.6153896842</v>
      </c>
      <c r="AA64">
        <f>AA63/(1+'Study Parameters'!$C$4) ^'Production Cost Baseline'!AA$2</f>
        <v>6296795.9212927287</v>
      </c>
    </row>
    <row r="66" spans="1:27" x14ac:dyDescent="0.25">
      <c r="A66" t="s">
        <v>126</v>
      </c>
      <c r="B66">
        <f>SUM(B62:AA62) / SUM(C64:AA64)</f>
        <v>43.406289112743835</v>
      </c>
    </row>
    <row r="67" spans="1:27" x14ac:dyDescent="0.25">
      <c r="A67" t="s">
        <v>127</v>
      </c>
      <c r="B67">
        <f>B66 * Inputs!$C$15</f>
        <v>34.855250157533298</v>
      </c>
    </row>
    <row r="69" spans="1:27" x14ac:dyDescent="0.25">
      <c r="A69" s="1" t="s">
        <v>133</v>
      </c>
    </row>
    <row r="70" spans="1:27" x14ac:dyDescent="0.25">
      <c r="A70" t="s">
        <v>120</v>
      </c>
      <c r="B70">
        <f>'Cost Components'!$E$12 * 10^6</f>
        <v>1439919999.9999998</v>
      </c>
      <c r="C70">
        <f>('Cost Components'!$E$21  + 'Cost Components'!$E$23) * 10^6</f>
        <v>358100000</v>
      </c>
      <c r="D70">
        <f>('Cost Components'!$E$21  + 'Cost Components'!$E$23) * 10^6</f>
        <v>358100000</v>
      </c>
      <c r="E70">
        <f>('Cost Components'!$E$21  + 'Cost Components'!$E$23) * 10^6</f>
        <v>358100000</v>
      </c>
      <c r="F70">
        <f>('Cost Components'!$E$21  + 'Cost Components'!$E$23) * 10^6</f>
        <v>358100000</v>
      </c>
      <c r="G70">
        <f>('Cost Components'!$E$21  + 'Cost Components'!$E$23) * 10^6</f>
        <v>358100000</v>
      </c>
      <c r="H70">
        <f>('Cost Components'!$E$21  + 'Cost Components'!$E$23) * 10^6</f>
        <v>358100000</v>
      </c>
      <c r="I70">
        <f>('Cost Components'!$E$21  + 'Cost Components'!$E$23) * 10^6</f>
        <v>358100000</v>
      </c>
      <c r="J70">
        <f>('Cost Components'!$E$21  + 'Cost Components'!$E$23) * 10^6</f>
        <v>358100000</v>
      </c>
      <c r="K70">
        <f>('Cost Components'!$E$21  + 'Cost Components'!$E$23) * 10^6</f>
        <v>358100000</v>
      </c>
      <c r="L70">
        <f>('Cost Components'!$E$21  + 'Cost Components'!$E$23) * 10^6</f>
        <v>358100000</v>
      </c>
      <c r="M70">
        <f>('Cost Components'!$E$21  + 'Cost Components'!$E$23) * 10^6</f>
        <v>358100000</v>
      </c>
      <c r="N70">
        <f>('Cost Components'!$E$21  + 'Cost Components'!$E$23) * 10^6</f>
        <v>358100000</v>
      </c>
      <c r="O70">
        <f>('Cost Components'!$E$21  + 'Cost Components'!$E$23) * 10^6</f>
        <v>358100000</v>
      </c>
      <c r="P70">
        <f>('Cost Components'!$E$21  + 'Cost Components'!$E$23) * 10^6</f>
        <v>358100000</v>
      </c>
      <c r="Q70">
        <f>('Cost Components'!$E$21  + 'Cost Components'!$E$23) * 10^6</f>
        <v>358100000</v>
      </c>
      <c r="R70">
        <f>('Cost Components'!$E$21  + 'Cost Components'!$E$23) * 10^6</f>
        <v>358100000</v>
      </c>
      <c r="S70">
        <f>('Cost Components'!$E$21  + 'Cost Components'!$E$23) * 10^6</f>
        <v>358100000</v>
      </c>
      <c r="T70">
        <f>('Cost Components'!$E$21  + 'Cost Components'!$E$23) * 10^6</f>
        <v>358100000</v>
      </c>
      <c r="U70">
        <f>('Cost Components'!$E$21  + 'Cost Components'!$E$23) * 10^6</f>
        <v>358100000</v>
      </c>
      <c r="V70">
        <f>('Cost Components'!$E$21  + 'Cost Components'!$E$23) * 10^6</f>
        <v>358100000</v>
      </c>
      <c r="W70">
        <f>('Cost Components'!$E$21  + 'Cost Components'!$E$23) * 10^6</f>
        <v>358100000</v>
      </c>
      <c r="X70">
        <f>('Cost Components'!$E$21  + 'Cost Components'!$E$23) * 10^6</f>
        <v>358100000</v>
      </c>
      <c r="Y70">
        <f>('Cost Components'!$E$21  + 'Cost Components'!$E$23) * 10^6</f>
        <v>358100000</v>
      </c>
      <c r="Z70">
        <f>('Cost Components'!$E$21  + 'Cost Components'!$E$23) * 10^6</f>
        <v>358100000</v>
      </c>
      <c r="AA70">
        <f>('Cost Components'!$E$21  + 'Cost Components'!$E$23) * 10^6</f>
        <v>358100000</v>
      </c>
    </row>
    <row r="71" spans="1:27" x14ac:dyDescent="0.25">
      <c r="A71" t="s">
        <v>121</v>
      </c>
      <c r="B71">
        <v>0</v>
      </c>
      <c r="C71">
        <f>'Cost Components'!$E$36*10^6</f>
        <v>103200000</v>
      </c>
      <c r="D71">
        <f>'Cost Components'!$E$36*10^6</f>
        <v>103200000</v>
      </c>
      <c r="E71">
        <f>'Cost Components'!$E$36*10^6</f>
        <v>103200000</v>
      </c>
      <c r="F71">
        <f>'Cost Components'!$E$36*10^6</f>
        <v>103200000</v>
      </c>
      <c r="G71">
        <f>'Cost Components'!$E$36*10^6</f>
        <v>103200000</v>
      </c>
      <c r="H71">
        <f>'Cost Components'!$E$36*10^6</f>
        <v>103200000</v>
      </c>
      <c r="I71">
        <f>'Cost Components'!$E$36*10^6</f>
        <v>103200000</v>
      </c>
      <c r="J71">
        <f>'Cost Components'!$E$36*10^6</f>
        <v>103200000</v>
      </c>
      <c r="K71">
        <f>'Cost Components'!$E$36*10^6</f>
        <v>103200000</v>
      </c>
      <c r="L71">
        <f>'Cost Components'!$E$36*10^6</f>
        <v>103200000</v>
      </c>
      <c r="M71">
        <f>'Cost Components'!$E$36*10^6</f>
        <v>103200000</v>
      </c>
      <c r="N71">
        <f>'Cost Components'!$E$36*10^6</f>
        <v>103200000</v>
      </c>
      <c r="O71">
        <f>'Cost Components'!$E$36*10^6</f>
        <v>103200000</v>
      </c>
      <c r="P71">
        <f>'Cost Components'!$E$36*10^6</f>
        <v>103200000</v>
      </c>
      <c r="Q71">
        <f>'Cost Components'!$E$36*10^6</f>
        <v>103200000</v>
      </c>
      <c r="R71">
        <f>'Cost Components'!$E$36*10^6</f>
        <v>103200000</v>
      </c>
      <c r="S71">
        <f>'Cost Components'!$E$36*10^6</f>
        <v>103200000</v>
      </c>
      <c r="T71">
        <f>'Cost Components'!$E$36*10^6</f>
        <v>103200000</v>
      </c>
      <c r="U71">
        <f>'Cost Components'!$E$36*10^6</f>
        <v>103200000</v>
      </c>
      <c r="V71">
        <f>'Cost Components'!$E$36*10^6</f>
        <v>103200000</v>
      </c>
      <c r="W71">
        <f>'Cost Components'!$E$36*10^6</f>
        <v>103200000</v>
      </c>
      <c r="X71">
        <f>'Cost Components'!$E$36*10^6</f>
        <v>103200000</v>
      </c>
      <c r="Y71">
        <f>'Cost Components'!$E$36*10^6</f>
        <v>103200000</v>
      </c>
      <c r="Z71">
        <f>'Cost Components'!$E$36*10^6</f>
        <v>103200000</v>
      </c>
      <c r="AA71">
        <f>'Cost Components'!$E$36*10^6</f>
        <v>103200000</v>
      </c>
    </row>
    <row r="72" spans="1:27" x14ac:dyDescent="0.25">
      <c r="A72" t="s">
        <v>122</v>
      </c>
      <c r="B72">
        <f t="shared" ref="B72:AA72" si="6">B70-B71</f>
        <v>1439919999.9999998</v>
      </c>
      <c r="C72">
        <f t="shared" si="6"/>
        <v>254900000</v>
      </c>
      <c r="D72">
        <f t="shared" si="6"/>
        <v>254900000</v>
      </c>
      <c r="E72">
        <f t="shared" si="6"/>
        <v>254900000</v>
      </c>
      <c r="F72">
        <f t="shared" si="6"/>
        <v>254900000</v>
      </c>
      <c r="G72">
        <f t="shared" si="6"/>
        <v>254900000</v>
      </c>
      <c r="H72">
        <f t="shared" si="6"/>
        <v>254900000</v>
      </c>
      <c r="I72">
        <f t="shared" si="6"/>
        <v>254900000</v>
      </c>
      <c r="J72">
        <f t="shared" si="6"/>
        <v>254900000</v>
      </c>
      <c r="K72">
        <f t="shared" si="6"/>
        <v>254900000</v>
      </c>
      <c r="L72">
        <f t="shared" si="6"/>
        <v>254900000</v>
      </c>
      <c r="M72">
        <f t="shared" si="6"/>
        <v>254900000</v>
      </c>
      <c r="N72">
        <f t="shared" si="6"/>
        <v>254900000</v>
      </c>
      <c r="O72">
        <f t="shared" si="6"/>
        <v>254900000</v>
      </c>
      <c r="P72">
        <f t="shared" si="6"/>
        <v>254900000</v>
      </c>
      <c r="Q72">
        <f t="shared" si="6"/>
        <v>254900000</v>
      </c>
      <c r="R72">
        <f t="shared" si="6"/>
        <v>254900000</v>
      </c>
      <c r="S72">
        <f t="shared" si="6"/>
        <v>254900000</v>
      </c>
      <c r="T72">
        <f t="shared" si="6"/>
        <v>254900000</v>
      </c>
      <c r="U72">
        <f t="shared" si="6"/>
        <v>254900000</v>
      </c>
      <c r="V72">
        <f t="shared" si="6"/>
        <v>254900000</v>
      </c>
      <c r="W72">
        <f t="shared" si="6"/>
        <v>254900000</v>
      </c>
      <c r="X72">
        <f t="shared" si="6"/>
        <v>254900000</v>
      </c>
      <c r="Y72">
        <f t="shared" si="6"/>
        <v>254900000</v>
      </c>
      <c r="Z72">
        <f t="shared" si="6"/>
        <v>254900000</v>
      </c>
      <c r="AA72">
        <f t="shared" si="6"/>
        <v>254900000</v>
      </c>
    </row>
    <row r="73" spans="1:27" x14ac:dyDescent="0.25">
      <c r="A73" t="s">
        <v>123</v>
      </c>
      <c r="B73">
        <f>B72/(1+'Study Parameters'!$C$4) ^'Production Cost Baseline'!B$2</f>
        <v>1439919999.9999998</v>
      </c>
      <c r="C73">
        <f>C72/(1+'Study Parameters'!$C$4) ^'Production Cost Baseline'!C$2</f>
        <v>237116279.06976745</v>
      </c>
      <c r="D73">
        <f>D72/(1+'Study Parameters'!$C$4) ^'Production Cost Baseline'!D$2</f>
        <v>220573282.85559765</v>
      </c>
      <c r="E73">
        <f>E72/(1+'Study Parameters'!$C$4) ^'Production Cost Baseline'!E$2</f>
        <v>205184449.16799781</v>
      </c>
      <c r="F73">
        <f>F72/(1+'Study Parameters'!$C$4) ^'Production Cost Baseline'!F$2</f>
        <v>190869255.03999797</v>
      </c>
      <c r="G73">
        <f>G72/(1+'Study Parameters'!$C$4) ^'Production Cost Baseline'!G$2</f>
        <v>177552795.38604462</v>
      </c>
      <c r="H73">
        <f>H72/(1+'Study Parameters'!$C$4) ^'Production Cost Baseline'!H$2</f>
        <v>165165391.0567857</v>
      </c>
      <c r="I73">
        <f>I72/(1+'Study Parameters'!$C$4) ^'Production Cost Baseline'!I$2</f>
        <v>153642224.23887041</v>
      </c>
      <c r="J73">
        <f>J72/(1+'Study Parameters'!$C$4) ^'Production Cost Baseline'!J$2</f>
        <v>142922999.29197249</v>
      </c>
      <c r="K73">
        <f>K72/(1+'Study Parameters'!$C$4) ^'Production Cost Baseline'!K$2</f>
        <v>132951627.24834649</v>
      </c>
      <c r="L73">
        <f>L72/(1+'Study Parameters'!$C$4) ^'Production Cost Baseline'!L$2</f>
        <v>123675932.32404327</v>
      </c>
      <c r="M73">
        <f>M72/(1+'Study Parameters'!$C$4) ^'Production Cost Baseline'!M$2</f>
        <v>115047378.90608676</v>
      </c>
      <c r="N73">
        <f>N72/(1+'Study Parameters'!$C$4) ^'Production Cost Baseline'!N$2</f>
        <v>107020817.58705746</v>
      </c>
      <c r="O73">
        <f>O72/(1+'Study Parameters'!$C$4) ^'Production Cost Baseline'!O$2</f>
        <v>99554248.918192968</v>
      </c>
      <c r="P73">
        <f>P72/(1+'Study Parameters'!$C$4) ^'Production Cost Baseline'!P$2</f>
        <v>92608603.644830674</v>
      </c>
      <c r="Q73">
        <f>Q72/(1+'Study Parameters'!$C$4) ^'Production Cost Baseline'!Q$2</f>
        <v>86147538.274261102</v>
      </c>
      <c r="R73">
        <f>R72/(1+'Study Parameters'!$C$4) ^'Production Cost Baseline'!R$2</f>
        <v>80137244.906289399</v>
      </c>
      <c r="S73">
        <f>S72/(1+'Study Parameters'!$C$4) ^'Production Cost Baseline'!S$2</f>
        <v>74546274.331432</v>
      </c>
      <c r="T73">
        <f>T72/(1+'Study Parameters'!$C$4) ^'Production Cost Baseline'!T$2</f>
        <v>69345371.471099541</v>
      </c>
      <c r="U73">
        <f>U72/(1+'Study Parameters'!$C$4) ^'Production Cost Baseline'!U$2</f>
        <v>64507322.298697248</v>
      </c>
      <c r="V73">
        <f>V72/(1+'Study Parameters'!$C$4) ^'Production Cost Baseline'!V$2</f>
        <v>60006811.440648608</v>
      </c>
      <c r="W73">
        <f>W72/(1+'Study Parameters'!$C$4) ^'Production Cost Baseline'!W$2</f>
        <v>55820289.712231256</v>
      </c>
      <c r="X73">
        <f>X72/(1+'Study Parameters'!$C$4) ^'Production Cost Baseline'!X$2</f>
        <v>51925850.895098843</v>
      </c>
      <c r="Y73">
        <f>Y72/(1+'Study Parameters'!$C$4) ^'Production Cost Baseline'!Y$2</f>
        <v>48303117.111719854</v>
      </c>
      <c r="Z73">
        <f>Z72/(1+'Study Parameters'!$C$4) ^'Production Cost Baseline'!Z$2</f>
        <v>44933132.196948707</v>
      </c>
      <c r="AA73">
        <f>AA72/(1+'Study Parameters'!$C$4) ^'Production Cost Baseline'!AA$2</f>
        <v>41798262.508789495</v>
      </c>
    </row>
    <row r="74" spans="1:27" x14ac:dyDescent="0.25">
      <c r="A74" t="s">
        <v>124</v>
      </c>
      <c r="B74">
        <v>0</v>
      </c>
      <c r="C74">
        <f>'Study Parameters'!$C$15*'Study Parameters'!$C$8 * 10^3</f>
        <v>55200000</v>
      </c>
      <c r="D74">
        <f>'Study Parameters'!$C$15*'Study Parameters'!$C$8 * 10^3</f>
        <v>55200000</v>
      </c>
      <c r="E74">
        <f>'Study Parameters'!$C$15*'Study Parameters'!$C$8 * 10^3</f>
        <v>55200000</v>
      </c>
      <c r="F74">
        <f>'Study Parameters'!$C$15*'Study Parameters'!$C$8 * 10^3</f>
        <v>55200000</v>
      </c>
      <c r="G74">
        <f>'Study Parameters'!$C$15*'Study Parameters'!$C$8 * 10^3</f>
        <v>55200000</v>
      </c>
      <c r="H74">
        <f>'Study Parameters'!$C$15*'Study Parameters'!$C$8 * 10^3</f>
        <v>55200000</v>
      </c>
      <c r="I74">
        <f>'Study Parameters'!$C$15*'Study Parameters'!$C$8 * 10^3</f>
        <v>55200000</v>
      </c>
      <c r="J74">
        <f>'Study Parameters'!$C$15*'Study Parameters'!$C$8 * 10^3</f>
        <v>55200000</v>
      </c>
      <c r="K74">
        <f>'Study Parameters'!$C$15*'Study Parameters'!$C$8 * 10^3</f>
        <v>55200000</v>
      </c>
      <c r="L74">
        <f>'Study Parameters'!$C$15*'Study Parameters'!$C$8 * 10^3</f>
        <v>55200000</v>
      </c>
      <c r="M74">
        <f>'Study Parameters'!$C$15*'Study Parameters'!$C$8 * 10^3</f>
        <v>55200000</v>
      </c>
      <c r="N74">
        <f>'Study Parameters'!$C$15*'Study Parameters'!$C$8 * 10^3</f>
        <v>55200000</v>
      </c>
      <c r="O74">
        <f>'Study Parameters'!$C$15*'Study Parameters'!$C$8 * 10^3</f>
        <v>55200000</v>
      </c>
      <c r="P74">
        <f>'Study Parameters'!$C$15*'Study Parameters'!$C$8 * 10^3</f>
        <v>55200000</v>
      </c>
      <c r="Q74">
        <f>'Study Parameters'!$C$15*'Study Parameters'!$C$8 * 10^3</f>
        <v>55200000</v>
      </c>
      <c r="R74">
        <f>'Study Parameters'!$C$15*'Study Parameters'!$C$8 * 10^3</f>
        <v>55200000</v>
      </c>
      <c r="S74">
        <f>'Study Parameters'!$C$15*'Study Parameters'!$C$8 * 10^3</f>
        <v>55200000</v>
      </c>
      <c r="T74">
        <f>'Study Parameters'!$C$15*'Study Parameters'!$C$8 * 10^3</f>
        <v>55200000</v>
      </c>
      <c r="U74">
        <f>'Study Parameters'!$C$15*'Study Parameters'!$C$8 * 10^3</f>
        <v>55200000</v>
      </c>
      <c r="V74">
        <f>'Study Parameters'!$C$15*'Study Parameters'!$C$8 * 10^3</f>
        <v>55200000</v>
      </c>
      <c r="W74">
        <f>'Study Parameters'!$C$15*'Study Parameters'!$C$8 * 10^3</f>
        <v>55200000</v>
      </c>
      <c r="X74">
        <f>'Study Parameters'!$C$15*'Study Parameters'!$C$8 * 10^3</f>
        <v>55200000</v>
      </c>
      <c r="Y74">
        <f>'Study Parameters'!$C$15*'Study Parameters'!$C$8 * 10^3</f>
        <v>55200000</v>
      </c>
      <c r="Z74">
        <f>'Study Parameters'!$C$15*'Study Parameters'!$C$8 * 10^3</f>
        <v>55200000</v>
      </c>
      <c r="AA74">
        <f>'Study Parameters'!$C$15*'Study Parameters'!$C$8 * 10^3</f>
        <v>55200000</v>
      </c>
    </row>
    <row r="75" spans="1:27" x14ac:dyDescent="0.25">
      <c r="A75" t="s">
        <v>125</v>
      </c>
      <c r="B75">
        <v>0</v>
      </c>
      <c r="C75">
        <f>C74/(1+'Study Parameters'!$C$4) ^'Production Cost Baseline'!C$2</f>
        <v>51348837.209302329</v>
      </c>
      <c r="D75">
        <f>D74/(1+'Study Parameters'!$C$4) ^'Production Cost Baseline'!D$2</f>
        <v>47766360.194699839</v>
      </c>
      <c r="E75">
        <f>E74/(1+'Study Parameters'!$C$4) ^'Production Cost Baseline'!E$2</f>
        <v>44433823.43693009</v>
      </c>
      <c r="F75">
        <f>F74/(1+'Study Parameters'!$C$4) ^'Production Cost Baseline'!F$2</f>
        <v>41333789.24365589</v>
      </c>
      <c r="G75">
        <f>G74/(1+'Study Parameters'!$C$4) ^'Production Cost Baseline'!G$2</f>
        <v>38450036.505726412</v>
      </c>
      <c r="H75">
        <f>H74/(1+'Study Parameters'!$C$4) ^'Production Cost Baseline'!H$2</f>
        <v>35767475.819280386</v>
      </c>
      <c r="I75">
        <f>I74/(1+'Study Parameters'!$C$4) ^'Production Cost Baseline'!I$2</f>
        <v>33272070.529563151</v>
      </c>
      <c r="J75">
        <f>J74/(1+'Study Parameters'!$C$4) ^'Production Cost Baseline'!J$2</f>
        <v>30950763.28331456</v>
      </c>
      <c r="K75">
        <f>K74/(1+'Study Parameters'!$C$4) ^'Production Cost Baseline'!K$2</f>
        <v>28791407.705408894</v>
      </c>
      <c r="L75">
        <f>L74/(1+'Study Parameters'!$C$4) ^'Production Cost Baseline'!L$2</f>
        <v>26782704.842240836</v>
      </c>
      <c r="M75">
        <f>M74/(1+'Study Parameters'!$C$4) ^'Production Cost Baseline'!M$2</f>
        <v>24914144.039293796</v>
      </c>
      <c r="N75">
        <f>N74/(1+'Study Parameters'!$C$4) ^'Production Cost Baseline'!N$2</f>
        <v>23175947.943529114</v>
      </c>
      <c r="O75">
        <f>O74/(1+'Study Parameters'!$C$4) ^'Production Cost Baseline'!O$2</f>
        <v>21559021.34281778</v>
      </c>
      <c r="P75">
        <f>P74/(1+'Study Parameters'!$C$4) ^'Production Cost Baseline'!P$2</f>
        <v>20054903.574714214</v>
      </c>
      <c r="Q75">
        <f>Q74/(1+'Study Parameters'!$C$4) ^'Production Cost Baseline'!Q$2</f>
        <v>18655724.255548108</v>
      </c>
      <c r="R75">
        <f>R74/(1+'Study Parameters'!$C$4) ^'Production Cost Baseline'!R$2</f>
        <v>17354162.098184288</v>
      </c>
      <c r="S75">
        <f>S74/(1+'Study Parameters'!$C$4) ^'Production Cost Baseline'!S$2</f>
        <v>16143406.602962129</v>
      </c>
      <c r="T75">
        <f>T74/(1+'Study Parameters'!$C$4) ^'Production Cost Baseline'!T$2</f>
        <v>15017122.42136012</v>
      </c>
      <c r="U75">
        <f>U74/(1+'Study Parameters'!$C$4) ^'Production Cost Baseline'!U$2</f>
        <v>13969416.20591639</v>
      </c>
      <c r="V75">
        <f>V74/(1+'Study Parameters'!$C$4) ^'Production Cost Baseline'!V$2</f>
        <v>12994805.77294548</v>
      </c>
      <c r="W75">
        <f>W74/(1+'Study Parameters'!$C$4) ^'Production Cost Baseline'!W$2</f>
        <v>12088191.41669347</v>
      </c>
      <c r="X75">
        <f>X74/(1+'Study Parameters'!$C$4) ^'Production Cost Baseline'!X$2</f>
        <v>11244829.224831134</v>
      </c>
      <c r="Y75">
        <f>Y74/(1+'Study Parameters'!$C$4) ^'Production Cost Baseline'!Y$2</f>
        <v>10460306.25565687</v>
      </c>
      <c r="Z75">
        <f>Z74/(1+'Study Parameters'!$C$4) ^'Production Cost Baseline'!Z$2</f>
        <v>9730517.4471226707</v>
      </c>
      <c r="AA75">
        <f>AA74/(1+'Study Parameters'!$C$4) ^'Production Cost Baseline'!AA$2</f>
        <v>9051644.1368582975</v>
      </c>
    </row>
    <row r="77" spans="1:27" x14ac:dyDescent="0.25">
      <c r="A77" t="s">
        <v>126</v>
      </c>
      <c r="B77">
        <f>SUM(B73:AA73) / SUM(C75:AA75)</f>
        <v>6.9579019985773076</v>
      </c>
    </row>
    <row r="78" spans="1:27" x14ac:dyDescent="0.25">
      <c r="A78" t="s">
        <v>127</v>
      </c>
      <c r="B78">
        <f>B77 * Inputs!$C$15</f>
        <v>5.5871953048575786</v>
      </c>
    </row>
    <row r="80" spans="1:27" x14ac:dyDescent="0.25">
      <c r="A80" s="1" t="s">
        <v>134</v>
      </c>
    </row>
    <row r="81" spans="1:27" x14ac:dyDescent="0.25">
      <c r="A81" t="s">
        <v>120</v>
      </c>
      <c r="B81">
        <f>'Cost Components'!$E$12 * 10^6</f>
        <v>1439919999.9999998</v>
      </c>
      <c r="C81">
        <f>('Cost Components'!$E$21  + 'Cost Components'!$E$29) * 10^6</f>
        <v>1465600000</v>
      </c>
      <c r="D81">
        <f>('Cost Components'!$E$21  + 'Cost Components'!$E$29) * 10^6</f>
        <v>1465600000</v>
      </c>
      <c r="E81">
        <f>('Cost Components'!$E$21  + 'Cost Components'!$E$29) * 10^6</f>
        <v>1465600000</v>
      </c>
      <c r="F81">
        <f>('Cost Components'!$E$21  + 'Cost Components'!$E$29) * 10^6</f>
        <v>1465600000</v>
      </c>
      <c r="G81">
        <f>('Cost Components'!$E$21  + 'Cost Components'!$E$29) * 10^6</f>
        <v>1465600000</v>
      </c>
      <c r="H81">
        <f>('Cost Components'!$E$21  + 'Cost Components'!$E$29) * 10^6</f>
        <v>1465600000</v>
      </c>
      <c r="I81">
        <f>('Cost Components'!$E$21  + 'Cost Components'!$E$29) * 10^6</f>
        <v>1465600000</v>
      </c>
      <c r="J81">
        <f>('Cost Components'!$E$21  + 'Cost Components'!$E$29) * 10^6</f>
        <v>1465600000</v>
      </c>
      <c r="K81">
        <f>('Cost Components'!$E$21  + 'Cost Components'!$E$29) * 10^6</f>
        <v>1465600000</v>
      </c>
      <c r="L81">
        <f>('Cost Components'!$E$21  + 'Cost Components'!$E$29) * 10^6</f>
        <v>1465600000</v>
      </c>
      <c r="M81">
        <f>('Cost Components'!$E$21  + 'Cost Components'!$E$29) * 10^6</f>
        <v>1465600000</v>
      </c>
      <c r="N81">
        <f>('Cost Components'!$E$21  + 'Cost Components'!$E$29) * 10^6</f>
        <v>1465600000</v>
      </c>
      <c r="O81">
        <f>('Cost Components'!$E$21  + 'Cost Components'!$E$29) * 10^6</f>
        <v>1465600000</v>
      </c>
      <c r="P81">
        <f>('Cost Components'!$E$21  + 'Cost Components'!$E$29) * 10^6</f>
        <v>1465600000</v>
      </c>
      <c r="Q81">
        <f>('Cost Components'!$E$21  + 'Cost Components'!$E$29) * 10^6</f>
        <v>1465600000</v>
      </c>
      <c r="R81">
        <f>('Cost Components'!$E$21  + 'Cost Components'!$E$29) * 10^6</f>
        <v>1465600000</v>
      </c>
      <c r="S81">
        <f>('Cost Components'!$E$21  + 'Cost Components'!$E$29) * 10^6</f>
        <v>1465600000</v>
      </c>
      <c r="T81">
        <f>('Cost Components'!$E$21  + 'Cost Components'!$E$29) * 10^6</f>
        <v>1465600000</v>
      </c>
      <c r="U81">
        <f>('Cost Components'!$E$21  + 'Cost Components'!$E$29) * 10^6</f>
        <v>1465600000</v>
      </c>
      <c r="V81">
        <f>('Cost Components'!$E$21  + 'Cost Components'!$E$29) * 10^6</f>
        <v>1465600000</v>
      </c>
      <c r="W81">
        <f>('Cost Components'!$E$21  + 'Cost Components'!$E$29) * 10^6</f>
        <v>1465600000</v>
      </c>
      <c r="X81">
        <f>('Cost Components'!$E$21  + 'Cost Components'!$E$29) * 10^6</f>
        <v>1465600000</v>
      </c>
      <c r="Y81">
        <f>('Cost Components'!$E$21  + 'Cost Components'!$E$29) * 10^6</f>
        <v>1465600000</v>
      </c>
      <c r="Z81">
        <f>('Cost Components'!$E$21  + 'Cost Components'!$E$29) * 10^6</f>
        <v>1465600000</v>
      </c>
      <c r="AA81">
        <f>('Cost Components'!$E$21  + 'Cost Components'!$E$29) * 10^6</f>
        <v>1465600000</v>
      </c>
    </row>
    <row r="82" spans="1:27" x14ac:dyDescent="0.25">
      <c r="A82" t="s">
        <v>121</v>
      </c>
      <c r="B82">
        <v>0</v>
      </c>
      <c r="C82">
        <f>'Cost Components'!$E$36*10^6</f>
        <v>103200000</v>
      </c>
      <c r="D82">
        <f>'Cost Components'!$E$36*10^6</f>
        <v>103200000</v>
      </c>
      <c r="E82">
        <f>'Cost Components'!$E$36*10^6</f>
        <v>103200000</v>
      </c>
      <c r="F82">
        <f>'Cost Components'!$E$36*10^6</f>
        <v>103200000</v>
      </c>
      <c r="G82">
        <f>'Cost Components'!$E$36*10^6</f>
        <v>103200000</v>
      </c>
      <c r="H82">
        <f>'Cost Components'!$E$36*10^6</f>
        <v>103200000</v>
      </c>
      <c r="I82">
        <f>'Cost Components'!$E$36*10^6</f>
        <v>103200000</v>
      </c>
      <c r="J82">
        <f>'Cost Components'!$E$36*10^6</f>
        <v>103200000</v>
      </c>
      <c r="K82">
        <f>'Cost Components'!$E$36*10^6</f>
        <v>103200000</v>
      </c>
      <c r="L82">
        <f>'Cost Components'!$E$36*10^6</f>
        <v>103200000</v>
      </c>
      <c r="M82">
        <f>'Cost Components'!$E$36*10^6</f>
        <v>103200000</v>
      </c>
      <c r="N82">
        <f>'Cost Components'!$E$36*10^6</f>
        <v>103200000</v>
      </c>
      <c r="O82">
        <f>'Cost Components'!$E$36*10^6</f>
        <v>103200000</v>
      </c>
      <c r="P82">
        <f>'Cost Components'!$E$36*10^6</f>
        <v>103200000</v>
      </c>
      <c r="Q82">
        <f>'Cost Components'!$E$36*10^6</f>
        <v>103200000</v>
      </c>
      <c r="R82">
        <f>'Cost Components'!$E$36*10^6</f>
        <v>103200000</v>
      </c>
      <c r="S82">
        <f>'Cost Components'!$E$36*10^6</f>
        <v>103200000</v>
      </c>
      <c r="T82">
        <f>'Cost Components'!$E$36*10^6</f>
        <v>103200000</v>
      </c>
      <c r="U82">
        <f>'Cost Components'!$E$36*10^6</f>
        <v>103200000</v>
      </c>
      <c r="V82">
        <f>'Cost Components'!$E$36*10^6</f>
        <v>103200000</v>
      </c>
      <c r="W82">
        <f>'Cost Components'!$E$36*10^6</f>
        <v>103200000</v>
      </c>
      <c r="X82">
        <f>'Cost Components'!$E$36*10^6</f>
        <v>103200000</v>
      </c>
      <c r="Y82">
        <f>'Cost Components'!$E$36*10^6</f>
        <v>103200000</v>
      </c>
      <c r="Z82">
        <f>'Cost Components'!$E$36*10^6</f>
        <v>103200000</v>
      </c>
      <c r="AA82">
        <f>'Cost Components'!$E$36*10^6</f>
        <v>103200000</v>
      </c>
    </row>
    <row r="83" spans="1:27" x14ac:dyDescent="0.25">
      <c r="A83" t="s">
        <v>122</v>
      </c>
      <c r="B83">
        <f t="shared" ref="B83:AA83" si="7">B81-B82</f>
        <v>1439919999.9999998</v>
      </c>
      <c r="C83">
        <f t="shared" si="7"/>
        <v>1362400000</v>
      </c>
      <c r="D83">
        <f t="shared" si="7"/>
        <v>1362400000</v>
      </c>
      <c r="E83">
        <f t="shared" si="7"/>
        <v>1362400000</v>
      </c>
      <c r="F83">
        <f t="shared" si="7"/>
        <v>1362400000</v>
      </c>
      <c r="G83">
        <f t="shared" si="7"/>
        <v>1362400000</v>
      </c>
      <c r="H83">
        <f t="shared" si="7"/>
        <v>1362400000</v>
      </c>
      <c r="I83">
        <f t="shared" si="7"/>
        <v>1362400000</v>
      </c>
      <c r="J83">
        <f t="shared" si="7"/>
        <v>1362400000</v>
      </c>
      <c r="K83">
        <f t="shared" si="7"/>
        <v>1362400000</v>
      </c>
      <c r="L83">
        <f t="shared" si="7"/>
        <v>1362400000</v>
      </c>
      <c r="M83">
        <f t="shared" si="7"/>
        <v>1362400000</v>
      </c>
      <c r="N83">
        <f t="shared" si="7"/>
        <v>1362400000</v>
      </c>
      <c r="O83">
        <f t="shared" si="7"/>
        <v>1362400000</v>
      </c>
      <c r="P83">
        <f t="shared" si="7"/>
        <v>1362400000</v>
      </c>
      <c r="Q83">
        <f t="shared" si="7"/>
        <v>1362400000</v>
      </c>
      <c r="R83">
        <f t="shared" si="7"/>
        <v>1362400000</v>
      </c>
      <c r="S83">
        <f t="shared" si="7"/>
        <v>1362400000</v>
      </c>
      <c r="T83">
        <f t="shared" si="7"/>
        <v>1362400000</v>
      </c>
      <c r="U83">
        <f t="shared" si="7"/>
        <v>1362400000</v>
      </c>
      <c r="V83">
        <f t="shared" si="7"/>
        <v>1362400000</v>
      </c>
      <c r="W83">
        <f t="shared" si="7"/>
        <v>1362400000</v>
      </c>
      <c r="X83">
        <f t="shared" si="7"/>
        <v>1362400000</v>
      </c>
      <c r="Y83">
        <f t="shared" si="7"/>
        <v>1362400000</v>
      </c>
      <c r="Z83">
        <f t="shared" si="7"/>
        <v>1362400000</v>
      </c>
      <c r="AA83">
        <f t="shared" si="7"/>
        <v>1362400000</v>
      </c>
    </row>
    <row r="84" spans="1:27" x14ac:dyDescent="0.25">
      <c r="A84" t="s">
        <v>123</v>
      </c>
      <c r="B84">
        <f>B83/(1+'Study Parameters'!$C$4) ^'Production Cost Baseline'!B$2</f>
        <v>1439919999.9999998</v>
      </c>
      <c r="C84">
        <f>C83/(1+'Study Parameters'!$C$4) ^'Production Cost Baseline'!C$2</f>
        <v>1267348837.2093024</v>
      </c>
      <c r="D84">
        <f>D83/(1+'Study Parameters'!$C$4) ^'Production Cost Baseline'!D$2</f>
        <v>1178929150.8923743</v>
      </c>
      <c r="E84">
        <f>E83/(1+'Study Parameters'!$C$4) ^'Production Cost Baseline'!E$2</f>
        <v>1096678279.8998833</v>
      </c>
      <c r="F84">
        <f>F83/(1+'Study Parameters'!$C$4) ^'Production Cost Baseline'!F$2</f>
        <v>1020165841.7673331</v>
      </c>
      <c r="G84">
        <f>G83/(1+'Study Parameters'!$C$4) ^'Production Cost Baseline'!G$2</f>
        <v>948991480.71379828</v>
      </c>
      <c r="H84">
        <f>H83/(1+'Study Parameters'!$C$4) ^'Production Cost Baseline'!H$2</f>
        <v>882782772.75702178</v>
      </c>
      <c r="I84">
        <f>I83/(1+'Study Parameters'!$C$4) ^'Production Cost Baseline'!I$2</f>
        <v>821193276.98327601</v>
      </c>
      <c r="J84">
        <f>J83/(1+'Study Parameters'!$C$4) ^'Production Cost Baseline'!J$2</f>
        <v>763900722.77514052</v>
      </c>
      <c r="K84">
        <f>K83/(1+'Study Parameters'!$C$4) ^'Production Cost Baseline'!K$2</f>
        <v>710605323.51175857</v>
      </c>
      <c r="L84">
        <f>L83/(1+'Study Parameters'!$C$4) ^'Production Cost Baseline'!L$2</f>
        <v>661028207.91791511</v>
      </c>
      <c r="M84">
        <f>M83/(1+'Study Parameters'!$C$4) ^'Production Cost Baseline'!M$2</f>
        <v>614909960.85387444</v>
      </c>
      <c r="N84">
        <f>N83/(1+'Study Parameters'!$C$4) ^'Production Cost Baseline'!N$2</f>
        <v>572009265.91058087</v>
      </c>
      <c r="O84">
        <f>O83/(1+'Study Parameters'!$C$4) ^'Production Cost Baseline'!O$2</f>
        <v>532101642.70751709</v>
      </c>
      <c r="P84">
        <f>P83/(1+'Study Parameters'!$C$4) ^'Production Cost Baseline'!P$2</f>
        <v>494978272.28606242</v>
      </c>
      <c r="Q84">
        <f>Q83/(1+'Study Parameters'!$C$4) ^'Production Cost Baseline'!Q$2</f>
        <v>460444904.45215112</v>
      </c>
      <c r="R84">
        <f>R83/(1+'Study Parameters'!$C$4) ^'Production Cost Baseline'!R$2</f>
        <v>428320841.3508383</v>
      </c>
      <c r="S84">
        <f>S83/(1+'Study Parameters'!$C$4) ^'Production Cost Baseline'!S$2</f>
        <v>398437991.95426822</v>
      </c>
      <c r="T84">
        <f>T83/(1+'Study Parameters'!$C$4) ^'Production Cost Baseline'!T$2</f>
        <v>370639992.51559836</v>
      </c>
      <c r="U84">
        <f>U83/(1+'Study Parameters'!$C$4) ^'Production Cost Baseline'!U$2</f>
        <v>344781388.38660312</v>
      </c>
      <c r="V84">
        <f>V83/(1+'Study Parameters'!$C$4) ^'Production Cost Baseline'!V$2</f>
        <v>320726872.91777033</v>
      </c>
      <c r="W84">
        <f>W83/(1+'Study Parameters'!$C$4) ^'Production Cost Baseline'!W$2</f>
        <v>298350579.45839095</v>
      </c>
      <c r="X84">
        <f>X83/(1+'Study Parameters'!$C$4) ^'Production Cost Baseline'!X$2</f>
        <v>277535422.75199163</v>
      </c>
      <c r="Y84">
        <f>Y83/(1+'Study Parameters'!$C$4) ^'Production Cost Baseline'!Y$2</f>
        <v>258172486.28092244</v>
      </c>
      <c r="Z84">
        <f>Z83/(1+'Study Parameters'!$C$4) ^'Production Cost Baseline'!Z$2</f>
        <v>240160452.35434648</v>
      </c>
      <c r="AA84">
        <f>AA83/(1+'Study Parameters'!$C$4) ^'Production Cost Baseline'!AA$2</f>
        <v>223405071.9575316</v>
      </c>
    </row>
    <row r="85" spans="1:27" x14ac:dyDescent="0.25">
      <c r="A85" t="s">
        <v>124</v>
      </c>
      <c r="B85">
        <v>0</v>
      </c>
      <c r="C85">
        <f>'Study Parameters'!$C$15*'Study Parameters'!$C$8 * 10^3</f>
        <v>55200000</v>
      </c>
      <c r="D85">
        <f>'Study Parameters'!$C$15*'Study Parameters'!$C$8 * 10^3</f>
        <v>55200000</v>
      </c>
      <c r="E85">
        <f>'Study Parameters'!$C$15*'Study Parameters'!$C$8 * 10^3</f>
        <v>55200000</v>
      </c>
      <c r="F85">
        <f>'Study Parameters'!$C$15*'Study Parameters'!$C$8 * 10^3</f>
        <v>55200000</v>
      </c>
      <c r="G85">
        <f>'Study Parameters'!$C$15*'Study Parameters'!$C$8 * 10^3</f>
        <v>55200000</v>
      </c>
      <c r="H85">
        <f>'Study Parameters'!$C$15*'Study Parameters'!$C$8 * 10^3</f>
        <v>55200000</v>
      </c>
      <c r="I85">
        <f>'Study Parameters'!$C$15*'Study Parameters'!$C$8 * 10^3</f>
        <v>55200000</v>
      </c>
      <c r="J85">
        <f>'Study Parameters'!$C$15*'Study Parameters'!$C$8 * 10^3</f>
        <v>55200000</v>
      </c>
      <c r="K85">
        <f>'Study Parameters'!$C$15*'Study Parameters'!$C$8 * 10^3</f>
        <v>55200000</v>
      </c>
      <c r="L85">
        <f>'Study Parameters'!$C$15*'Study Parameters'!$C$8 * 10^3</f>
        <v>55200000</v>
      </c>
      <c r="M85">
        <f>'Study Parameters'!$C$15*'Study Parameters'!$C$8 * 10^3</f>
        <v>55200000</v>
      </c>
      <c r="N85">
        <f>'Study Parameters'!$C$15*'Study Parameters'!$C$8 * 10^3</f>
        <v>55200000</v>
      </c>
      <c r="O85">
        <f>'Study Parameters'!$C$15*'Study Parameters'!$C$8 * 10^3</f>
        <v>55200000</v>
      </c>
      <c r="P85">
        <f>'Study Parameters'!$C$15*'Study Parameters'!$C$8 * 10^3</f>
        <v>55200000</v>
      </c>
      <c r="Q85">
        <f>'Study Parameters'!$C$15*'Study Parameters'!$C$8 * 10^3</f>
        <v>55200000</v>
      </c>
      <c r="R85">
        <f>'Study Parameters'!$C$15*'Study Parameters'!$C$8 * 10^3</f>
        <v>55200000</v>
      </c>
      <c r="S85">
        <f>'Study Parameters'!$C$15*'Study Parameters'!$C$8 * 10^3</f>
        <v>55200000</v>
      </c>
      <c r="T85">
        <f>'Study Parameters'!$C$15*'Study Parameters'!$C$8 * 10^3</f>
        <v>55200000</v>
      </c>
      <c r="U85">
        <f>'Study Parameters'!$C$15*'Study Parameters'!$C$8 * 10^3</f>
        <v>55200000</v>
      </c>
      <c r="V85">
        <f>'Study Parameters'!$C$15*'Study Parameters'!$C$8 * 10^3</f>
        <v>55200000</v>
      </c>
      <c r="W85">
        <f>'Study Parameters'!$C$15*'Study Parameters'!$C$8 * 10^3</f>
        <v>55200000</v>
      </c>
      <c r="X85">
        <f>'Study Parameters'!$C$15*'Study Parameters'!$C$8 * 10^3</f>
        <v>55200000</v>
      </c>
      <c r="Y85">
        <f>'Study Parameters'!$C$15*'Study Parameters'!$C$8 * 10^3</f>
        <v>55200000</v>
      </c>
      <c r="Z85">
        <f>'Study Parameters'!$C$15*'Study Parameters'!$C$8 * 10^3</f>
        <v>55200000</v>
      </c>
      <c r="AA85">
        <f>'Study Parameters'!$C$15*'Study Parameters'!$C$8 * 10^3</f>
        <v>55200000</v>
      </c>
    </row>
    <row r="86" spans="1:27" x14ac:dyDescent="0.25">
      <c r="A86" t="s">
        <v>125</v>
      </c>
      <c r="B86">
        <v>0</v>
      </c>
      <c r="C86">
        <f>C85/(1+'Study Parameters'!$C$4) ^'Production Cost Baseline'!C$2</f>
        <v>51348837.209302329</v>
      </c>
      <c r="D86">
        <f>D85/(1+'Study Parameters'!$C$4) ^'Production Cost Baseline'!D$2</f>
        <v>47766360.194699839</v>
      </c>
      <c r="E86">
        <f>E85/(1+'Study Parameters'!$C$4) ^'Production Cost Baseline'!E$2</f>
        <v>44433823.43693009</v>
      </c>
      <c r="F86">
        <f>F85/(1+'Study Parameters'!$C$4) ^'Production Cost Baseline'!F$2</f>
        <v>41333789.24365589</v>
      </c>
      <c r="G86">
        <f>G85/(1+'Study Parameters'!$C$4) ^'Production Cost Baseline'!G$2</f>
        <v>38450036.505726412</v>
      </c>
      <c r="H86">
        <f>H85/(1+'Study Parameters'!$C$4) ^'Production Cost Baseline'!H$2</f>
        <v>35767475.819280386</v>
      </c>
      <c r="I86">
        <f>I85/(1+'Study Parameters'!$C$4) ^'Production Cost Baseline'!I$2</f>
        <v>33272070.529563151</v>
      </c>
      <c r="J86">
        <f>J85/(1+'Study Parameters'!$C$4) ^'Production Cost Baseline'!J$2</f>
        <v>30950763.28331456</v>
      </c>
      <c r="K86">
        <f>K85/(1+'Study Parameters'!$C$4) ^'Production Cost Baseline'!K$2</f>
        <v>28791407.705408894</v>
      </c>
      <c r="L86">
        <f>L85/(1+'Study Parameters'!$C$4) ^'Production Cost Baseline'!L$2</f>
        <v>26782704.842240836</v>
      </c>
      <c r="M86">
        <f>M85/(1+'Study Parameters'!$C$4) ^'Production Cost Baseline'!M$2</f>
        <v>24914144.039293796</v>
      </c>
      <c r="N86">
        <f>N85/(1+'Study Parameters'!$C$4) ^'Production Cost Baseline'!N$2</f>
        <v>23175947.943529114</v>
      </c>
      <c r="O86">
        <f>O85/(1+'Study Parameters'!$C$4) ^'Production Cost Baseline'!O$2</f>
        <v>21559021.34281778</v>
      </c>
      <c r="P86">
        <f>P85/(1+'Study Parameters'!$C$4) ^'Production Cost Baseline'!P$2</f>
        <v>20054903.574714214</v>
      </c>
      <c r="Q86">
        <f>Q85/(1+'Study Parameters'!$C$4) ^'Production Cost Baseline'!Q$2</f>
        <v>18655724.255548108</v>
      </c>
      <c r="R86">
        <f>R85/(1+'Study Parameters'!$C$4) ^'Production Cost Baseline'!R$2</f>
        <v>17354162.098184288</v>
      </c>
      <c r="S86">
        <f>S85/(1+'Study Parameters'!$C$4) ^'Production Cost Baseline'!S$2</f>
        <v>16143406.602962129</v>
      </c>
      <c r="T86">
        <f>T85/(1+'Study Parameters'!$C$4) ^'Production Cost Baseline'!T$2</f>
        <v>15017122.42136012</v>
      </c>
      <c r="U86">
        <f>U85/(1+'Study Parameters'!$C$4) ^'Production Cost Baseline'!U$2</f>
        <v>13969416.20591639</v>
      </c>
      <c r="V86">
        <f>V85/(1+'Study Parameters'!$C$4) ^'Production Cost Baseline'!V$2</f>
        <v>12994805.77294548</v>
      </c>
      <c r="W86">
        <f>W85/(1+'Study Parameters'!$C$4) ^'Production Cost Baseline'!W$2</f>
        <v>12088191.41669347</v>
      </c>
      <c r="X86">
        <f>X85/(1+'Study Parameters'!$C$4) ^'Production Cost Baseline'!X$2</f>
        <v>11244829.224831134</v>
      </c>
      <c r="Y86">
        <f>Y85/(1+'Study Parameters'!$C$4) ^'Production Cost Baseline'!Y$2</f>
        <v>10460306.25565687</v>
      </c>
      <c r="Z86">
        <f>Z85/(1+'Study Parameters'!$C$4) ^'Production Cost Baseline'!Z$2</f>
        <v>9730517.4471226707</v>
      </c>
      <c r="AA86">
        <f>AA85/(1+'Study Parameters'!$C$4) ^'Production Cost Baseline'!AA$2</f>
        <v>9051644.1368582975</v>
      </c>
    </row>
    <row r="88" spans="1:27" x14ac:dyDescent="0.25">
      <c r="A88" t="s">
        <v>126</v>
      </c>
      <c r="B88">
        <f>SUM(B84:AA84) / SUM(C86:AA86)</f>
        <v>27.021307795678752</v>
      </c>
    </row>
    <row r="89" spans="1:27" x14ac:dyDescent="0.25">
      <c r="A89" t="s">
        <v>127</v>
      </c>
      <c r="B89">
        <f>B88 * Inputs!$C$15</f>
        <v>21.698110159930039</v>
      </c>
    </row>
    <row r="91" spans="1:27" x14ac:dyDescent="0.25">
      <c r="A91" s="1" t="s">
        <v>135</v>
      </c>
    </row>
    <row r="92" spans="1:27" x14ac:dyDescent="0.25">
      <c r="A92" t="s">
        <v>120</v>
      </c>
      <c r="B92">
        <f>'Cost Components'!$F$12 * 10^6</f>
        <v>1482660000</v>
      </c>
      <c r="C92">
        <f>('Cost Components'!$F$21  + 'Cost Components'!$F$23) * 10^6</f>
        <v>440100000</v>
      </c>
      <c r="D92">
        <f>('Cost Components'!$F$21  + 'Cost Components'!$F$23) * 10^6</f>
        <v>440100000</v>
      </c>
      <c r="E92">
        <f>('Cost Components'!$F$21  + 'Cost Components'!$F$23) * 10^6</f>
        <v>440100000</v>
      </c>
      <c r="F92">
        <f>('Cost Components'!$F$21  + 'Cost Components'!$F$23) * 10^6</f>
        <v>440100000</v>
      </c>
      <c r="G92">
        <f>('Cost Components'!$F$21  + 'Cost Components'!$F$23) * 10^6</f>
        <v>440100000</v>
      </c>
      <c r="H92">
        <f>('Cost Components'!$F$21  + 'Cost Components'!$F$23) * 10^6</f>
        <v>440100000</v>
      </c>
      <c r="I92">
        <f>('Cost Components'!$F$21  + 'Cost Components'!$F$23) * 10^6</f>
        <v>440100000</v>
      </c>
      <c r="J92">
        <f>('Cost Components'!$F$21  + 'Cost Components'!$F$23) * 10^6</f>
        <v>440100000</v>
      </c>
      <c r="K92">
        <f>('Cost Components'!$F$21  + 'Cost Components'!$F$23) * 10^6</f>
        <v>440100000</v>
      </c>
      <c r="L92">
        <f>('Cost Components'!$F$21  + 'Cost Components'!$F$23) * 10^6</f>
        <v>440100000</v>
      </c>
      <c r="M92">
        <f>('Cost Components'!$F$21  + 'Cost Components'!$F$23) * 10^6</f>
        <v>440100000</v>
      </c>
      <c r="N92">
        <f>('Cost Components'!$F$21  + 'Cost Components'!$F$23) * 10^6</f>
        <v>440100000</v>
      </c>
      <c r="O92">
        <f>('Cost Components'!$F$21  + 'Cost Components'!$F$23) * 10^6</f>
        <v>440100000</v>
      </c>
      <c r="P92">
        <f>('Cost Components'!$F$21  + 'Cost Components'!$F$23) * 10^6</f>
        <v>440100000</v>
      </c>
      <c r="Q92">
        <f>('Cost Components'!$F$21  + 'Cost Components'!$F$23) * 10^6</f>
        <v>440100000</v>
      </c>
      <c r="R92">
        <f>('Cost Components'!$F$21  + 'Cost Components'!$F$23) * 10^6</f>
        <v>440100000</v>
      </c>
      <c r="S92">
        <f>('Cost Components'!$F$21  + 'Cost Components'!$F$23) * 10^6</f>
        <v>440100000</v>
      </c>
      <c r="T92">
        <f>('Cost Components'!$F$21  + 'Cost Components'!$F$23) * 10^6</f>
        <v>440100000</v>
      </c>
      <c r="U92">
        <f>('Cost Components'!$F$21  + 'Cost Components'!$F$23) * 10^6</f>
        <v>440100000</v>
      </c>
      <c r="V92">
        <f>('Cost Components'!$F$21  + 'Cost Components'!$F$23) * 10^6</f>
        <v>440100000</v>
      </c>
      <c r="W92">
        <f>('Cost Components'!$F$21  + 'Cost Components'!$F$23) * 10^6</f>
        <v>440100000</v>
      </c>
      <c r="X92">
        <f>('Cost Components'!$F$21  + 'Cost Components'!$F$23) * 10^6</f>
        <v>440100000</v>
      </c>
      <c r="Y92">
        <f>('Cost Components'!$F$21  + 'Cost Components'!$F$23) * 10^6</f>
        <v>440100000</v>
      </c>
      <c r="Z92">
        <f>('Cost Components'!$F$21  + 'Cost Components'!$F$23) * 10^6</f>
        <v>440100000</v>
      </c>
      <c r="AA92">
        <f>('Cost Components'!$F$21  + 'Cost Components'!$F$23) * 10^6</f>
        <v>440100000</v>
      </c>
    </row>
    <row r="93" spans="1:27" x14ac:dyDescent="0.25">
      <c r="A93" t="s">
        <v>121</v>
      </c>
      <c r="B93">
        <v>0</v>
      </c>
      <c r="C93">
        <f>'Cost Components'!$F$36*10^6</f>
        <v>135200000</v>
      </c>
      <c r="D93">
        <f>'Cost Components'!$F$36*10^6</f>
        <v>135200000</v>
      </c>
      <c r="E93">
        <f>'Cost Components'!$F$36*10^6</f>
        <v>135200000</v>
      </c>
      <c r="F93">
        <f>'Cost Components'!$F$36*10^6</f>
        <v>135200000</v>
      </c>
      <c r="G93">
        <f>'Cost Components'!$F$36*10^6</f>
        <v>135200000</v>
      </c>
      <c r="H93">
        <f>'Cost Components'!$F$36*10^6</f>
        <v>135200000</v>
      </c>
      <c r="I93">
        <f>'Cost Components'!$F$36*10^6</f>
        <v>135200000</v>
      </c>
      <c r="J93">
        <f>'Cost Components'!$F$36*10^6</f>
        <v>135200000</v>
      </c>
      <c r="K93">
        <f>'Cost Components'!$F$36*10^6</f>
        <v>135200000</v>
      </c>
      <c r="L93">
        <f>'Cost Components'!$F$36*10^6</f>
        <v>135200000</v>
      </c>
      <c r="M93">
        <f>'Cost Components'!$F$36*10^6</f>
        <v>135200000</v>
      </c>
      <c r="N93">
        <f>'Cost Components'!$F$36*10^6</f>
        <v>135200000</v>
      </c>
      <c r="O93">
        <f>'Cost Components'!$F$36*10^6</f>
        <v>135200000</v>
      </c>
      <c r="P93">
        <f>'Cost Components'!$F$36*10^6</f>
        <v>135200000</v>
      </c>
      <c r="Q93">
        <f>'Cost Components'!$F$36*10^6</f>
        <v>135200000</v>
      </c>
      <c r="R93">
        <f>'Cost Components'!$F$36*10^6</f>
        <v>135200000</v>
      </c>
      <c r="S93">
        <f>'Cost Components'!$F$36*10^6</f>
        <v>135200000</v>
      </c>
      <c r="T93">
        <f>'Cost Components'!$F$36*10^6</f>
        <v>135200000</v>
      </c>
      <c r="U93">
        <f>'Cost Components'!$F$36*10^6</f>
        <v>135200000</v>
      </c>
      <c r="V93">
        <f>'Cost Components'!$F$36*10^6</f>
        <v>135200000</v>
      </c>
      <c r="W93">
        <f>'Cost Components'!$F$36*10^6</f>
        <v>135200000</v>
      </c>
      <c r="X93">
        <f>'Cost Components'!$F$36*10^6</f>
        <v>135200000</v>
      </c>
      <c r="Y93">
        <f>'Cost Components'!$F$36*10^6</f>
        <v>135200000</v>
      </c>
      <c r="Z93">
        <f>'Cost Components'!$F$36*10^6</f>
        <v>135200000</v>
      </c>
      <c r="AA93">
        <f>'Cost Components'!$F$36*10^6</f>
        <v>135200000</v>
      </c>
    </row>
    <row r="94" spans="1:27" x14ac:dyDescent="0.25">
      <c r="A94" t="s">
        <v>122</v>
      </c>
      <c r="B94">
        <f t="shared" ref="B94:AA94" si="8">B92-B93</f>
        <v>1482660000</v>
      </c>
      <c r="C94">
        <f t="shared" si="8"/>
        <v>304900000</v>
      </c>
      <c r="D94">
        <f t="shared" si="8"/>
        <v>304900000</v>
      </c>
      <c r="E94">
        <f t="shared" si="8"/>
        <v>304900000</v>
      </c>
      <c r="F94">
        <f t="shared" si="8"/>
        <v>304900000</v>
      </c>
      <c r="G94">
        <f t="shared" si="8"/>
        <v>304900000</v>
      </c>
      <c r="H94">
        <f t="shared" si="8"/>
        <v>304900000</v>
      </c>
      <c r="I94">
        <f t="shared" si="8"/>
        <v>304900000</v>
      </c>
      <c r="J94">
        <f t="shared" si="8"/>
        <v>304900000</v>
      </c>
      <c r="K94">
        <f t="shared" si="8"/>
        <v>304900000</v>
      </c>
      <c r="L94">
        <f t="shared" si="8"/>
        <v>304900000</v>
      </c>
      <c r="M94">
        <f t="shared" si="8"/>
        <v>304900000</v>
      </c>
      <c r="N94">
        <f t="shared" si="8"/>
        <v>304900000</v>
      </c>
      <c r="O94">
        <f t="shared" si="8"/>
        <v>304900000</v>
      </c>
      <c r="P94">
        <f t="shared" si="8"/>
        <v>304900000</v>
      </c>
      <c r="Q94">
        <f t="shared" si="8"/>
        <v>304900000</v>
      </c>
      <c r="R94">
        <f t="shared" si="8"/>
        <v>304900000</v>
      </c>
      <c r="S94">
        <f t="shared" si="8"/>
        <v>304900000</v>
      </c>
      <c r="T94">
        <f t="shared" si="8"/>
        <v>304900000</v>
      </c>
      <c r="U94">
        <f t="shared" si="8"/>
        <v>304900000</v>
      </c>
      <c r="V94">
        <f t="shared" si="8"/>
        <v>304900000</v>
      </c>
      <c r="W94">
        <f t="shared" si="8"/>
        <v>304900000</v>
      </c>
      <c r="X94">
        <f t="shared" si="8"/>
        <v>304900000</v>
      </c>
      <c r="Y94">
        <f t="shared" si="8"/>
        <v>304900000</v>
      </c>
      <c r="Z94">
        <f t="shared" si="8"/>
        <v>304900000</v>
      </c>
      <c r="AA94">
        <f t="shared" si="8"/>
        <v>304900000</v>
      </c>
    </row>
    <row r="95" spans="1:27" x14ac:dyDescent="0.25">
      <c r="A95" t="s">
        <v>123</v>
      </c>
      <c r="B95">
        <f>B94/(1+'Study Parameters'!$C$4) ^'Production Cost Baseline'!B$2</f>
        <v>1482660000</v>
      </c>
      <c r="C95">
        <f>C94/(1+'Study Parameters'!$C$4) ^'Production Cost Baseline'!C$2</f>
        <v>283627906.97674417</v>
      </c>
      <c r="D95">
        <f>D94/(1+'Study Parameters'!$C$4) ^'Production Cost Baseline'!D$2</f>
        <v>263839913.46673879</v>
      </c>
      <c r="E95">
        <f>E94/(1+'Study Parameters'!$C$4) ^'Production Cost Baseline'!E$2</f>
        <v>245432477.64347795</v>
      </c>
      <c r="F95">
        <f>F94/(1+'Study Parameters'!$C$4) ^'Production Cost Baseline'!F$2</f>
        <v>228309281.5288167</v>
      </c>
      <c r="G95">
        <f>G94/(1+'Study Parameters'!$C$4) ^'Production Cost Baseline'!G$2</f>
        <v>212380727.00355041</v>
      </c>
      <c r="H95">
        <f>H94/(1+'Study Parameters'!$C$4) ^'Production Cost Baseline'!H$2</f>
        <v>197563466.98004693</v>
      </c>
      <c r="I95">
        <f>I94/(1+'Study Parameters'!$C$4) ^'Production Cost Baseline'!I$2</f>
        <v>183779969.28376457</v>
      </c>
      <c r="J95">
        <f>J94/(1+'Study Parameters'!$C$4) ^'Production Cost Baseline'!J$2</f>
        <v>170958110.96164146</v>
      </c>
      <c r="K95">
        <f>K94/(1+'Study Parameters'!$C$4) ^'Production Cost Baseline'!K$2</f>
        <v>159030800.8945502</v>
      </c>
      <c r="L95">
        <f>L94/(1+'Study Parameters'!$C$4) ^'Production Cost Baseline'!L$2</f>
        <v>147935628.73911649</v>
      </c>
      <c r="M95">
        <f>M94/(1+'Study Parameters'!$C$4) ^'Production Cost Baseline'!M$2</f>
        <v>137614538.36196882</v>
      </c>
      <c r="N95">
        <f>N94/(1+'Study Parameters'!$C$4) ^'Production Cost Baseline'!N$2</f>
        <v>128013524.05764541</v>
      </c>
      <c r="O95">
        <f>O94/(1+'Study Parameters'!$C$4) ^'Production Cost Baseline'!O$2</f>
        <v>119082347.96060038</v>
      </c>
      <c r="P95">
        <f>P94/(1+'Study Parameters'!$C$4) ^'Production Cost Baseline'!P$2</f>
        <v>110774277.17265153</v>
      </c>
      <c r="Q95">
        <f>Q94/(1+'Study Parameters'!$C$4) ^'Production Cost Baseline'!Q$2</f>
        <v>103045839.23037352</v>
      </c>
      <c r="R95">
        <f>R94/(1+'Study Parameters'!$C$4) ^'Production Cost Baseline'!R$2</f>
        <v>95856594.632905602</v>
      </c>
      <c r="S95">
        <f>S94/(1+'Study Parameters'!$C$4) ^'Production Cost Baseline'!S$2</f>
        <v>89168925.239912197</v>
      </c>
      <c r="T95">
        <f>T94/(1+'Study Parameters'!$C$4) ^'Production Cost Baseline'!T$2</f>
        <v>82947837.432476461</v>
      </c>
      <c r="U95">
        <f>U94/(1+'Study Parameters'!$C$4) ^'Production Cost Baseline'!U$2</f>
        <v>77160779.006954849</v>
      </c>
      <c r="V95">
        <f>V94/(1+'Study Parameters'!$C$4) ^'Production Cost Baseline'!V$2</f>
        <v>71777468.843678936</v>
      </c>
      <c r="W95">
        <f>W94/(1+'Study Parameters'!$C$4) ^'Production Cost Baseline'!W$2</f>
        <v>66769738.459236205</v>
      </c>
      <c r="X95">
        <f>X94/(1+'Study Parameters'!$C$4) ^'Production Cost Baseline'!X$2</f>
        <v>62111384.613242991</v>
      </c>
      <c r="Y95">
        <f>Y94/(1+'Study Parameters'!$C$4) ^'Production Cost Baseline'!Y$2</f>
        <v>57778032.198365569</v>
      </c>
      <c r="Z95">
        <f>Z94/(1+'Study Parameters'!$C$4) ^'Production Cost Baseline'!Z$2</f>
        <v>53747006.696154028</v>
      </c>
      <c r="AA95">
        <f>AA94/(1+'Study Parameters'!$C$4) ^'Production Cost Baseline'!AA$2</f>
        <v>49997215.531306066</v>
      </c>
    </row>
    <row r="96" spans="1:27" x14ac:dyDescent="0.25">
      <c r="A96" t="s">
        <v>124</v>
      </c>
      <c r="B96">
        <v>0</v>
      </c>
      <c r="C96">
        <f>'Study Parameters'!$C$16*'Study Parameters'!$C$8 * 10^3</f>
        <v>54400000</v>
      </c>
      <c r="D96">
        <f>'Study Parameters'!$C$16*'Study Parameters'!$C$8 * 10^3</f>
        <v>54400000</v>
      </c>
      <c r="E96">
        <f>'Study Parameters'!$C$16*'Study Parameters'!$C$8 * 10^3</f>
        <v>54400000</v>
      </c>
      <c r="F96">
        <f>'Study Parameters'!$C$16*'Study Parameters'!$C$8 * 10^3</f>
        <v>54400000</v>
      </c>
      <c r="G96">
        <f>'Study Parameters'!$C$16*'Study Parameters'!$C$8 * 10^3</f>
        <v>54400000</v>
      </c>
      <c r="H96">
        <f>'Study Parameters'!$C$16*'Study Parameters'!$C$8 * 10^3</f>
        <v>54400000</v>
      </c>
      <c r="I96">
        <f>'Study Parameters'!$C$16*'Study Parameters'!$C$8 * 10^3</f>
        <v>54400000</v>
      </c>
      <c r="J96">
        <f>'Study Parameters'!$C$16*'Study Parameters'!$C$8 * 10^3</f>
        <v>54400000</v>
      </c>
      <c r="K96">
        <f>'Study Parameters'!$C$16*'Study Parameters'!$C$8 * 10^3</f>
        <v>54400000</v>
      </c>
      <c r="L96">
        <f>'Study Parameters'!$C$16*'Study Parameters'!$C$8 * 10^3</f>
        <v>54400000</v>
      </c>
      <c r="M96">
        <f>'Study Parameters'!$C$16*'Study Parameters'!$C$8 * 10^3</f>
        <v>54400000</v>
      </c>
      <c r="N96">
        <f>'Study Parameters'!$C$16*'Study Parameters'!$C$8 * 10^3</f>
        <v>54400000</v>
      </c>
      <c r="O96">
        <f>'Study Parameters'!$C$16*'Study Parameters'!$C$8 * 10^3</f>
        <v>54400000</v>
      </c>
      <c r="P96">
        <f>'Study Parameters'!$C$16*'Study Parameters'!$C$8 * 10^3</f>
        <v>54400000</v>
      </c>
      <c r="Q96">
        <f>'Study Parameters'!$C$16*'Study Parameters'!$C$8 * 10^3</f>
        <v>54400000</v>
      </c>
      <c r="R96">
        <f>'Study Parameters'!$C$16*'Study Parameters'!$C$8 * 10^3</f>
        <v>54400000</v>
      </c>
      <c r="S96">
        <f>'Study Parameters'!$C$16*'Study Parameters'!$C$8 * 10^3</f>
        <v>54400000</v>
      </c>
      <c r="T96">
        <f>'Study Parameters'!$C$16*'Study Parameters'!$C$8 * 10^3</f>
        <v>54400000</v>
      </c>
      <c r="U96">
        <f>'Study Parameters'!$C$16*'Study Parameters'!$C$8 * 10^3</f>
        <v>54400000</v>
      </c>
      <c r="V96">
        <f>'Study Parameters'!$C$16*'Study Parameters'!$C$8 * 10^3</f>
        <v>54400000</v>
      </c>
      <c r="W96">
        <f>'Study Parameters'!$C$16*'Study Parameters'!$C$8 * 10^3</f>
        <v>54400000</v>
      </c>
      <c r="X96">
        <f>'Study Parameters'!$C$16*'Study Parameters'!$C$8 * 10^3</f>
        <v>54400000</v>
      </c>
      <c r="Y96">
        <f>'Study Parameters'!$C$16*'Study Parameters'!$C$8 * 10^3</f>
        <v>54400000</v>
      </c>
      <c r="Z96">
        <f>'Study Parameters'!$C$16*'Study Parameters'!$C$8 * 10^3</f>
        <v>54400000</v>
      </c>
      <c r="AA96">
        <f>'Study Parameters'!$C$16*'Study Parameters'!$C$8 * 10^3</f>
        <v>54400000</v>
      </c>
    </row>
    <row r="97" spans="1:27" x14ac:dyDescent="0.25">
      <c r="A97" t="s">
        <v>125</v>
      </c>
      <c r="B97">
        <v>0</v>
      </c>
      <c r="C97">
        <f>C96/(1+'Study Parameters'!$C$4) ^'Production Cost Baseline'!C$2</f>
        <v>50604651.162790701</v>
      </c>
      <c r="D97">
        <f>D96/(1+'Study Parameters'!$C$4) ^'Production Cost Baseline'!D$2</f>
        <v>47074094.104921587</v>
      </c>
      <c r="E97">
        <f>E96/(1+'Study Parameters'!$C$4) ^'Production Cost Baseline'!E$2</f>
        <v>43789854.981322408</v>
      </c>
      <c r="F97">
        <f>F96/(1+'Study Parameters'!$C$4) ^'Production Cost Baseline'!F$2</f>
        <v>40734748.819834791</v>
      </c>
      <c r="G97">
        <f>G96/(1+'Study Parameters'!$C$4) ^'Production Cost Baseline'!G$2</f>
        <v>37892789.599846318</v>
      </c>
      <c r="H97">
        <f>H96/(1+'Study Parameters'!$C$4) ^'Production Cost Baseline'!H$2</f>
        <v>35249106.604508206</v>
      </c>
      <c r="I97">
        <f>I96/(1+'Study Parameters'!$C$4) ^'Production Cost Baseline'!I$2</f>
        <v>32789866.608844843</v>
      </c>
      <c r="J97">
        <f>J96/(1+'Study Parameters'!$C$4) ^'Production Cost Baseline'!J$2</f>
        <v>30502201.496599857</v>
      </c>
      <c r="K97">
        <f>K96/(1+'Study Parameters'!$C$4) ^'Production Cost Baseline'!K$2</f>
        <v>28374140.927069634</v>
      </c>
      <c r="L97">
        <f>L96/(1+'Study Parameters'!$C$4) ^'Production Cost Baseline'!L$2</f>
        <v>26394549.699599665</v>
      </c>
      <c r="M97">
        <f>M96/(1+'Study Parameters'!$C$4) ^'Production Cost Baseline'!M$2</f>
        <v>24553069.487999685</v>
      </c>
      <c r="N97">
        <f>N96/(1+'Study Parameters'!$C$4) ^'Production Cost Baseline'!N$2</f>
        <v>22840064.639999706</v>
      </c>
      <c r="O97">
        <f>O96/(1+'Study Parameters'!$C$4) ^'Production Cost Baseline'!O$2</f>
        <v>21246571.75813926</v>
      </c>
      <c r="P97">
        <f>P96/(1+'Study Parameters'!$C$4) ^'Production Cost Baseline'!P$2</f>
        <v>19764252.798269082</v>
      </c>
      <c r="Q97">
        <f>Q96/(1+'Study Parameters'!$C$4) ^'Production Cost Baseline'!Q$2</f>
        <v>18385351.440250307</v>
      </c>
      <c r="R97">
        <f>R96/(1+'Study Parameters'!$C$4) ^'Production Cost Baseline'!R$2</f>
        <v>17102652.502558429</v>
      </c>
      <c r="S97">
        <f>S96/(1+'Study Parameters'!$C$4) ^'Production Cost Baseline'!S$2</f>
        <v>15909444.188426446</v>
      </c>
      <c r="T97">
        <f>T96/(1+'Study Parameters'!$C$4) ^'Production Cost Baseline'!T$2</f>
        <v>14799482.96597809</v>
      </c>
      <c r="U97">
        <f>U96/(1+'Study Parameters'!$C$4) ^'Production Cost Baseline'!U$2</f>
        <v>13766960.898584269</v>
      </c>
      <c r="V97">
        <f>V96/(1+'Study Parameters'!$C$4) ^'Production Cost Baseline'!V$2</f>
        <v>12806475.254496995</v>
      </c>
      <c r="W97">
        <f>W96/(1+'Study Parameters'!$C$4) ^'Production Cost Baseline'!W$2</f>
        <v>11913000.23674139</v>
      </c>
      <c r="X97">
        <f>X96/(1+'Study Parameters'!$C$4) ^'Production Cost Baseline'!X$2</f>
        <v>11081860.685340829</v>
      </c>
      <c r="Y97">
        <f>Y96/(1+'Study Parameters'!$C$4) ^'Production Cost Baseline'!Y$2</f>
        <v>10308707.614270538</v>
      </c>
      <c r="Z97">
        <f>Z96/(1+'Study Parameters'!$C$4) ^'Production Cost Baseline'!Z$2</f>
        <v>9589495.4551353846</v>
      </c>
      <c r="AA97">
        <f>AA96/(1+'Study Parameters'!$C$4) ^'Production Cost Baseline'!AA$2</f>
        <v>8920460.8884980325</v>
      </c>
    </row>
    <row r="99" spans="1:27" x14ac:dyDescent="0.25">
      <c r="A99" t="s">
        <v>126</v>
      </c>
      <c r="B99">
        <f>SUM(B95:AA95) / SUM(C97:AA97)</f>
        <v>8.0498239784515508</v>
      </c>
    </row>
    <row r="100" spans="1:27" x14ac:dyDescent="0.25">
      <c r="A100" t="s">
        <v>127</v>
      </c>
      <c r="B100">
        <f>B99 * Inputs!$C$15</f>
        <v>6.4640086546965954</v>
      </c>
    </row>
    <row r="102" spans="1:27" x14ac:dyDescent="0.25">
      <c r="A102" s="1" t="s">
        <v>136</v>
      </c>
    </row>
    <row r="103" spans="1:27" x14ac:dyDescent="0.25">
      <c r="A103" t="s">
        <v>120</v>
      </c>
      <c r="B103">
        <f>'Cost Components'!$F$12 * 10^6</f>
        <v>1482660000</v>
      </c>
      <c r="C103">
        <f>('Cost Components'!$F$21  + 'Cost Components'!$F$29) * 10^6</f>
        <v>1839900000</v>
      </c>
      <c r="D103">
        <f>('Cost Components'!$F$21  + 'Cost Components'!$F$29) * 10^6</f>
        <v>1839900000</v>
      </c>
      <c r="E103">
        <f>('Cost Components'!$F$21  + 'Cost Components'!$F$29) * 10^6</f>
        <v>1839900000</v>
      </c>
      <c r="F103">
        <f>('Cost Components'!$F$21  + 'Cost Components'!$F$29) * 10^6</f>
        <v>1839900000</v>
      </c>
      <c r="G103">
        <f>('Cost Components'!$F$21  + 'Cost Components'!$F$29) * 10^6</f>
        <v>1839900000</v>
      </c>
      <c r="H103">
        <f>('Cost Components'!$F$21  + 'Cost Components'!$F$29) * 10^6</f>
        <v>1839900000</v>
      </c>
      <c r="I103">
        <f>('Cost Components'!$F$21  + 'Cost Components'!$F$29) * 10^6</f>
        <v>1839900000</v>
      </c>
      <c r="J103">
        <f>('Cost Components'!$F$21  + 'Cost Components'!$F$29) * 10^6</f>
        <v>1839900000</v>
      </c>
      <c r="K103">
        <f>('Cost Components'!$F$21  + 'Cost Components'!$F$29) * 10^6</f>
        <v>1839900000</v>
      </c>
      <c r="L103">
        <f>('Cost Components'!$F$21  + 'Cost Components'!$F$29) * 10^6</f>
        <v>1839900000</v>
      </c>
      <c r="M103">
        <f>('Cost Components'!$F$21  + 'Cost Components'!$F$29) * 10^6</f>
        <v>1839900000</v>
      </c>
      <c r="N103">
        <f>('Cost Components'!$F$21  + 'Cost Components'!$F$29) * 10^6</f>
        <v>1839900000</v>
      </c>
      <c r="O103">
        <f>('Cost Components'!$F$21  + 'Cost Components'!$F$29) * 10^6</f>
        <v>1839900000</v>
      </c>
      <c r="P103">
        <f>('Cost Components'!$F$21  + 'Cost Components'!$F$29) * 10^6</f>
        <v>1839900000</v>
      </c>
      <c r="Q103">
        <f>('Cost Components'!$F$21  + 'Cost Components'!$F$29) * 10^6</f>
        <v>1839900000</v>
      </c>
      <c r="R103">
        <f>('Cost Components'!$F$21  + 'Cost Components'!$F$29) * 10^6</f>
        <v>1839900000</v>
      </c>
      <c r="S103">
        <f>('Cost Components'!$F$21  + 'Cost Components'!$F$29) * 10^6</f>
        <v>1839900000</v>
      </c>
      <c r="T103">
        <f>('Cost Components'!$F$21  + 'Cost Components'!$F$29) * 10^6</f>
        <v>1839900000</v>
      </c>
      <c r="U103">
        <f>('Cost Components'!$F$21  + 'Cost Components'!$F$29) * 10^6</f>
        <v>1839900000</v>
      </c>
      <c r="V103">
        <f>('Cost Components'!$F$21  + 'Cost Components'!$F$29) * 10^6</f>
        <v>1839900000</v>
      </c>
      <c r="W103">
        <f>('Cost Components'!$F$21  + 'Cost Components'!$F$29) * 10^6</f>
        <v>1839900000</v>
      </c>
      <c r="X103">
        <f>('Cost Components'!$F$21  + 'Cost Components'!$F$29) * 10^6</f>
        <v>1839900000</v>
      </c>
      <c r="Y103">
        <f>('Cost Components'!$F$21  + 'Cost Components'!$F$29) * 10^6</f>
        <v>1839900000</v>
      </c>
      <c r="Z103">
        <f>('Cost Components'!$F$21  + 'Cost Components'!$F$29) * 10^6</f>
        <v>1839900000</v>
      </c>
      <c r="AA103">
        <f>('Cost Components'!$F$21  + 'Cost Components'!$F$29) * 10^6</f>
        <v>1839900000</v>
      </c>
    </row>
    <row r="104" spans="1:27" x14ac:dyDescent="0.25">
      <c r="A104" t="s">
        <v>121</v>
      </c>
      <c r="B104">
        <v>0</v>
      </c>
      <c r="C104">
        <f>'Cost Components'!$F$36*10^6</f>
        <v>135200000</v>
      </c>
      <c r="D104">
        <f>'Cost Components'!$F$36*10^6</f>
        <v>135200000</v>
      </c>
      <c r="E104">
        <f>'Cost Components'!$F$36*10^6</f>
        <v>135200000</v>
      </c>
      <c r="F104">
        <f>'Cost Components'!$F$36*10^6</f>
        <v>135200000</v>
      </c>
      <c r="G104">
        <f>'Cost Components'!$F$36*10^6</f>
        <v>135200000</v>
      </c>
      <c r="H104">
        <f>'Cost Components'!$F$36*10^6</f>
        <v>135200000</v>
      </c>
      <c r="I104">
        <f>'Cost Components'!$F$36*10^6</f>
        <v>135200000</v>
      </c>
      <c r="J104">
        <f>'Cost Components'!$F$36*10^6</f>
        <v>135200000</v>
      </c>
      <c r="K104">
        <f>'Cost Components'!$F$36*10^6</f>
        <v>135200000</v>
      </c>
      <c r="L104">
        <f>'Cost Components'!$F$36*10^6</f>
        <v>135200000</v>
      </c>
      <c r="M104">
        <f>'Cost Components'!$F$36*10^6</f>
        <v>135200000</v>
      </c>
      <c r="N104">
        <f>'Cost Components'!$F$36*10^6</f>
        <v>135200000</v>
      </c>
      <c r="O104">
        <f>'Cost Components'!$F$36*10^6</f>
        <v>135200000</v>
      </c>
      <c r="P104">
        <f>'Cost Components'!$F$36*10^6</f>
        <v>135200000</v>
      </c>
      <c r="Q104">
        <f>'Cost Components'!$F$36*10^6</f>
        <v>135200000</v>
      </c>
      <c r="R104">
        <f>'Cost Components'!$F$36*10^6</f>
        <v>135200000</v>
      </c>
      <c r="S104">
        <f>'Cost Components'!$F$36*10^6</f>
        <v>135200000</v>
      </c>
      <c r="T104">
        <f>'Cost Components'!$F$36*10^6</f>
        <v>135200000</v>
      </c>
      <c r="U104">
        <f>'Cost Components'!$F$36*10^6</f>
        <v>135200000</v>
      </c>
      <c r="V104">
        <f>'Cost Components'!$F$36*10^6</f>
        <v>135200000</v>
      </c>
      <c r="W104">
        <f>'Cost Components'!$F$36*10^6</f>
        <v>135200000</v>
      </c>
      <c r="X104">
        <f>'Cost Components'!$F$36*10^6</f>
        <v>135200000</v>
      </c>
      <c r="Y104">
        <f>'Cost Components'!$F$36*10^6</f>
        <v>135200000</v>
      </c>
      <c r="Z104">
        <f>'Cost Components'!$F$36*10^6</f>
        <v>135200000</v>
      </c>
      <c r="AA104">
        <f>'Cost Components'!$F$36*10^6</f>
        <v>135200000</v>
      </c>
    </row>
    <row r="105" spans="1:27" x14ac:dyDescent="0.25">
      <c r="A105" t="s">
        <v>122</v>
      </c>
      <c r="B105">
        <f t="shared" ref="B105:AA105" si="9">B103-B104</f>
        <v>1482660000</v>
      </c>
      <c r="C105">
        <f t="shared" si="9"/>
        <v>1704700000</v>
      </c>
      <c r="D105">
        <f t="shared" si="9"/>
        <v>1704700000</v>
      </c>
      <c r="E105">
        <f t="shared" si="9"/>
        <v>1704700000</v>
      </c>
      <c r="F105">
        <f t="shared" si="9"/>
        <v>1704700000</v>
      </c>
      <c r="G105">
        <f t="shared" si="9"/>
        <v>1704700000</v>
      </c>
      <c r="H105">
        <f t="shared" si="9"/>
        <v>1704700000</v>
      </c>
      <c r="I105">
        <f t="shared" si="9"/>
        <v>1704700000</v>
      </c>
      <c r="J105">
        <f t="shared" si="9"/>
        <v>1704700000</v>
      </c>
      <c r="K105">
        <f t="shared" si="9"/>
        <v>1704700000</v>
      </c>
      <c r="L105">
        <f t="shared" si="9"/>
        <v>1704700000</v>
      </c>
      <c r="M105">
        <f t="shared" si="9"/>
        <v>1704700000</v>
      </c>
      <c r="N105">
        <f t="shared" si="9"/>
        <v>1704700000</v>
      </c>
      <c r="O105">
        <f t="shared" si="9"/>
        <v>1704700000</v>
      </c>
      <c r="P105">
        <f t="shared" si="9"/>
        <v>1704700000</v>
      </c>
      <c r="Q105">
        <f t="shared" si="9"/>
        <v>1704700000</v>
      </c>
      <c r="R105">
        <f t="shared" si="9"/>
        <v>1704700000</v>
      </c>
      <c r="S105">
        <f t="shared" si="9"/>
        <v>1704700000</v>
      </c>
      <c r="T105">
        <f t="shared" si="9"/>
        <v>1704700000</v>
      </c>
      <c r="U105">
        <f t="shared" si="9"/>
        <v>1704700000</v>
      </c>
      <c r="V105">
        <f t="shared" si="9"/>
        <v>1704700000</v>
      </c>
      <c r="W105">
        <f t="shared" si="9"/>
        <v>1704700000</v>
      </c>
      <c r="X105">
        <f t="shared" si="9"/>
        <v>1704700000</v>
      </c>
      <c r="Y105">
        <f t="shared" si="9"/>
        <v>1704700000</v>
      </c>
      <c r="Z105">
        <f t="shared" si="9"/>
        <v>1704700000</v>
      </c>
      <c r="AA105">
        <f t="shared" si="9"/>
        <v>1704700000</v>
      </c>
    </row>
    <row r="106" spans="1:27" x14ac:dyDescent="0.25">
      <c r="A106" t="s">
        <v>123</v>
      </c>
      <c r="B106">
        <f>B105/(1+'Study Parameters'!$C$4) ^'Production Cost Baseline'!B$2</f>
        <v>1482660000</v>
      </c>
      <c r="C106">
        <f>C105/(1+'Study Parameters'!$C$4) ^'Production Cost Baseline'!C$2</f>
        <v>1585767441.8604653</v>
      </c>
      <c r="D106">
        <f>D105/(1+'Study Parameters'!$C$4) ^'Production Cost Baseline'!D$2</f>
        <v>1475132504.0562468</v>
      </c>
      <c r="E106">
        <f>E105/(1+'Study Parameters'!$C$4) ^'Production Cost Baseline'!E$2</f>
        <v>1372216282.8430202</v>
      </c>
      <c r="F106">
        <f>F105/(1+'Study Parameters'!$C$4) ^'Production Cost Baseline'!F$2</f>
        <v>1276480263.1097863</v>
      </c>
      <c r="G106">
        <f>G105/(1+'Study Parameters'!$C$4) ^'Production Cost Baseline'!G$2</f>
        <v>1187423500.5672431</v>
      </c>
      <c r="H106">
        <f>H105/(1+'Study Parameters'!$C$4) ^'Production Cost Baseline'!H$2</f>
        <v>1104580000.527668</v>
      </c>
      <c r="I106">
        <f>I105/(1+'Study Parameters'!$C$4) ^'Production Cost Baseline'!I$2</f>
        <v>1027516279.5606214</v>
      </c>
      <c r="J106">
        <f>J105/(1+'Study Parameters'!$C$4) ^'Production Cost Baseline'!J$2</f>
        <v>955829097.26569438</v>
      </c>
      <c r="K106">
        <f>K105/(1+'Study Parameters'!$C$4) ^'Production Cost Baseline'!K$2</f>
        <v>889143346.29366922</v>
      </c>
      <c r="L106">
        <f>L105/(1+'Study Parameters'!$C$4) ^'Production Cost Baseline'!L$2</f>
        <v>827110089.57550633</v>
      </c>
      <c r="M106">
        <f>M105/(1+'Study Parameters'!$C$4) ^'Production Cost Baseline'!M$2</f>
        <v>769404734.48884308</v>
      </c>
      <c r="N106">
        <f>N105/(1+'Study Parameters'!$C$4) ^'Production Cost Baseline'!N$2</f>
        <v>715725334.40822613</v>
      </c>
      <c r="O106">
        <f>O105/(1+'Study Parameters'!$C$4) ^'Production Cost Baseline'!O$2</f>
        <v>665791008.75183821</v>
      </c>
      <c r="P106">
        <f>P105/(1+'Study Parameters'!$C$4) ^'Production Cost Baseline'!P$2</f>
        <v>619340473.25752401</v>
      </c>
      <c r="Q106">
        <f>Q105/(1+'Study Parameters'!$C$4) ^'Production Cost Baseline'!Q$2</f>
        <v>576130672.79769671</v>
      </c>
      <c r="R106">
        <f>R105/(1+'Study Parameters'!$C$4) ^'Production Cost Baseline'!R$2</f>
        <v>535935509.57925278</v>
      </c>
      <c r="S106">
        <f>S105/(1+'Study Parameters'!$C$4) ^'Production Cost Baseline'!S$2</f>
        <v>498544660.07372355</v>
      </c>
      <c r="T106">
        <f>T105/(1+'Study Parameters'!$C$4) ^'Production Cost Baseline'!T$2</f>
        <v>463762474.48718476</v>
      </c>
      <c r="U106">
        <f>U105/(1+'Study Parameters'!$C$4) ^'Production Cost Baseline'!U$2</f>
        <v>431406953.0113346</v>
      </c>
      <c r="V106">
        <f>V105/(1+'Study Parameters'!$C$4) ^'Production Cost Baseline'!V$2</f>
        <v>401308793.49891597</v>
      </c>
      <c r="W106">
        <f>W105/(1+'Study Parameters'!$C$4) ^'Production Cost Baseline'!W$2</f>
        <v>373310505.58038688</v>
      </c>
      <c r="X106">
        <f>X105/(1+'Study Parameters'!$C$4) ^'Production Cost Baseline'!X$2</f>
        <v>347265586.58640647</v>
      </c>
      <c r="Y106">
        <f>Y105/(1+'Study Parameters'!$C$4) ^'Production Cost Baseline'!Y$2</f>
        <v>323037754.96409899</v>
      </c>
      <c r="Z106">
        <f>Z105/(1+'Study Parameters'!$C$4) ^'Production Cost Baseline'!Z$2</f>
        <v>300500237.17590612</v>
      </c>
      <c r="AA106">
        <f>AA105/(1+'Study Parameters'!$C$4) ^'Production Cost Baseline'!AA$2</f>
        <v>279535104.34968007</v>
      </c>
    </row>
    <row r="107" spans="1:27" x14ac:dyDescent="0.25">
      <c r="A107" t="s">
        <v>124</v>
      </c>
      <c r="B107">
        <v>0</v>
      </c>
      <c r="C107">
        <f>'Study Parameters'!$C$16*'Study Parameters'!$C$8 * 10^3</f>
        <v>54400000</v>
      </c>
      <c r="D107">
        <f>'Study Parameters'!$C$16*'Study Parameters'!$C$8 * 10^3</f>
        <v>54400000</v>
      </c>
      <c r="E107">
        <f>'Study Parameters'!$C$16*'Study Parameters'!$C$8 * 10^3</f>
        <v>54400000</v>
      </c>
      <c r="F107">
        <f>'Study Parameters'!$C$16*'Study Parameters'!$C$8 * 10^3</f>
        <v>54400000</v>
      </c>
      <c r="G107">
        <f>'Study Parameters'!$C$16*'Study Parameters'!$C$8 * 10^3</f>
        <v>54400000</v>
      </c>
      <c r="H107">
        <f>'Study Parameters'!$C$16*'Study Parameters'!$C$8 * 10^3</f>
        <v>54400000</v>
      </c>
      <c r="I107">
        <f>'Study Parameters'!$C$16*'Study Parameters'!$C$8 * 10^3</f>
        <v>54400000</v>
      </c>
      <c r="J107">
        <f>'Study Parameters'!$C$16*'Study Parameters'!$C$8 * 10^3</f>
        <v>54400000</v>
      </c>
      <c r="K107">
        <f>'Study Parameters'!$C$16*'Study Parameters'!$C$8 * 10^3</f>
        <v>54400000</v>
      </c>
      <c r="L107">
        <f>'Study Parameters'!$C$16*'Study Parameters'!$C$8 * 10^3</f>
        <v>54400000</v>
      </c>
      <c r="M107">
        <f>'Study Parameters'!$C$16*'Study Parameters'!$C$8 * 10^3</f>
        <v>54400000</v>
      </c>
      <c r="N107">
        <f>'Study Parameters'!$C$16*'Study Parameters'!$C$8 * 10^3</f>
        <v>54400000</v>
      </c>
      <c r="O107">
        <f>'Study Parameters'!$C$16*'Study Parameters'!$C$8 * 10^3</f>
        <v>54400000</v>
      </c>
      <c r="P107">
        <f>'Study Parameters'!$C$16*'Study Parameters'!$C$8 * 10^3</f>
        <v>54400000</v>
      </c>
      <c r="Q107">
        <f>'Study Parameters'!$C$16*'Study Parameters'!$C$8 * 10^3</f>
        <v>54400000</v>
      </c>
      <c r="R107">
        <f>'Study Parameters'!$C$16*'Study Parameters'!$C$8 * 10^3</f>
        <v>54400000</v>
      </c>
      <c r="S107">
        <f>'Study Parameters'!$C$16*'Study Parameters'!$C$8 * 10^3</f>
        <v>54400000</v>
      </c>
      <c r="T107">
        <f>'Study Parameters'!$C$16*'Study Parameters'!$C$8 * 10^3</f>
        <v>54400000</v>
      </c>
      <c r="U107">
        <f>'Study Parameters'!$C$16*'Study Parameters'!$C$8 * 10^3</f>
        <v>54400000</v>
      </c>
      <c r="V107">
        <f>'Study Parameters'!$C$16*'Study Parameters'!$C$8 * 10^3</f>
        <v>54400000</v>
      </c>
      <c r="W107">
        <f>'Study Parameters'!$C$16*'Study Parameters'!$C$8 * 10^3</f>
        <v>54400000</v>
      </c>
      <c r="X107">
        <f>'Study Parameters'!$C$16*'Study Parameters'!$C$8 * 10^3</f>
        <v>54400000</v>
      </c>
      <c r="Y107">
        <f>'Study Parameters'!$C$16*'Study Parameters'!$C$8 * 10^3</f>
        <v>54400000</v>
      </c>
      <c r="Z107">
        <f>'Study Parameters'!$C$16*'Study Parameters'!$C$8 * 10^3</f>
        <v>54400000</v>
      </c>
      <c r="AA107">
        <f>'Study Parameters'!$C$16*'Study Parameters'!$C$8 * 10^3</f>
        <v>54400000</v>
      </c>
    </row>
    <row r="108" spans="1:27" x14ac:dyDescent="0.25">
      <c r="A108" t="s">
        <v>125</v>
      </c>
      <c r="B108">
        <v>0</v>
      </c>
      <c r="C108">
        <f>C107/(1+'Study Parameters'!$C$4) ^'Production Cost Baseline'!C$2</f>
        <v>50604651.162790701</v>
      </c>
      <c r="D108">
        <f>D107/(1+'Study Parameters'!$C$4) ^'Production Cost Baseline'!D$2</f>
        <v>47074094.104921587</v>
      </c>
      <c r="E108">
        <f>E107/(1+'Study Parameters'!$C$4) ^'Production Cost Baseline'!E$2</f>
        <v>43789854.981322408</v>
      </c>
      <c r="F108">
        <f>F107/(1+'Study Parameters'!$C$4) ^'Production Cost Baseline'!F$2</f>
        <v>40734748.819834791</v>
      </c>
      <c r="G108">
        <f>G107/(1+'Study Parameters'!$C$4) ^'Production Cost Baseline'!G$2</f>
        <v>37892789.599846318</v>
      </c>
      <c r="H108">
        <f>H107/(1+'Study Parameters'!$C$4) ^'Production Cost Baseline'!H$2</f>
        <v>35249106.604508206</v>
      </c>
      <c r="I108">
        <f>I107/(1+'Study Parameters'!$C$4) ^'Production Cost Baseline'!I$2</f>
        <v>32789866.608844843</v>
      </c>
      <c r="J108">
        <f>J107/(1+'Study Parameters'!$C$4) ^'Production Cost Baseline'!J$2</f>
        <v>30502201.496599857</v>
      </c>
      <c r="K108">
        <f>K107/(1+'Study Parameters'!$C$4) ^'Production Cost Baseline'!K$2</f>
        <v>28374140.927069634</v>
      </c>
      <c r="L108">
        <f>L107/(1+'Study Parameters'!$C$4) ^'Production Cost Baseline'!L$2</f>
        <v>26394549.699599665</v>
      </c>
      <c r="M108">
        <f>M107/(1+'Study Parameters'!$C$4) ^'Production Cost Baseline'!M$2</f>
        <v>24553069.487999685</v>
      </c>
      <c r="N108">
        <f>N107/(1+'Study Parameters'!$C$4) ^'Production Cost Baseline'!N$2</f>
        <v>22840064.639999706</v>
      </c>
      <c r="O108">
        <f>O107/(1+'Study Parameters'!$C$4) ^'Production Cost Baseline'!O$2</f>
        <v>21246571.75813926</v>
      </c>
      <c r="P108">
        <f>P107/(1+'Study Parameters'!$C$4) ^'Production Cost Baseline'!P$2</f>
        <v>19764252.798269082</v>
      </c>
      <c r="Q108">
        <f>Q107/(1+'Study Parameters'!$C$4) ^'Production Cost Baseline'!Q$2</f>
        <v>18385351.440250307</v>
      </c>
      <c r="R108">
        <f>R107/(1+'Study Parameters'!$C$4) ^'Production Cost Baseline'!R$2</f>
        <v>17102652.502558429</v>
      </c>
      <c r="S108">
        <f>S107/(1+'Study Parameters'!$C$4) ^'Production Cost Baseline'!S$2</f>
        <v>15909444.188426446</v>
      </c>
      <c r="T108">
        <f>T107/(1+'Study Parameters'!$C$4) ^'Production Cost Baseline'!T$2</f>
        <v>14799482.96597809</v>
      </c>
      <c r="U108">
        <f>U107/(1+'Study Parameters'!$C$4) ^'Production Cost Baseline'!U$2</f>
        <v>13766960.898584269</v>
      </c>
      <c r="V108">
        <f>V107/(1+'Study Parameters'!$C$4) ^'Production Cost Baseline'!V$2</f>
        <v>12806475.254496995</v>
      </c>
      <c r="W108">
        <f>W107/(1+'Study Parameters'!$C$4) ^'Production Cost Baseline'!W$2</f>
        <v>11913000.23674139</v>
      </c>
      <c r="X108">
        <f>X107/(1+'Study Parameters'!$C$4) ^'Production Cost Baseline'!X$2</f>
        <v>11081860.685340829</v>
      </c>
      <c r="Y108">
        <f>Y107/(1+'Study Parameters'!$C$4) ^'Production Cost Baseline'!Y$2</f>
        <v>10308707.614270538</v>
      </c>
      <c r="Z108">
        <f>Z107/(1+'Study Parameters'!$C$4) ^'Production Cost Baseline'!Z$2</f>
        <v>9589495.4551353846</v>
      </c>
      <c r="AA108">
        <f>AA107/(1+'Study Parameters'!$C$4) ^'Production Cost Baseline'!AA$2</f>
        <v>8920460.8884980325</v>
      </c>
    </row>
    <row r="110" spans="1:27" x14ac:dyDescent="0.25">
      <c r="A110" t="s">
        <v>126</v>
      </c>
      <c r="B110">
        <f>SUM(B106:AA106) / SUM(C108:AA108)</f>
        <v>33.781441625510375</v>
      </c>
    </row>
    <row r="111" spans="1:27" x14ac:dyDescent="0.25">
      <c r="A111" t="s">
        <v>127</v>
      </c>
      <c r="B111">
        <f>B110 * Inputs!$C$15</f>
        <v>27.126497625284834</v>
      </c>
    </row>
    <row r="113" spans="1:27" x14ac:dyDescent="0.25">
      <c r="A113" s="11">
        <v>2050</v>
      </c>
    </row>
    <row r="114" spans="1:27" x14ac:dyDescent="0.25">
      <c r="A114" s="1" t="s">
        <v>128</v>
      </c>
    </row>
    <row r="115" spans="1:27" x14ac:dyDescent="0.25">
      <c r="A115" t="s">
        <v>120</v>
      </c>
      <c r="B115">
        <f>'Cost Components'!$M$12 * 10^6</f>
        <v>575000000</v>
      </c>
      <c r="C115">
        <f>'Cost Components'!$M$21*10^6</f>
        <v>275113167.50580031</v>
      </c>
      <c r="D115">
        <f>'Cost Components'!$M$21*10^6</f>
        <v>275113167.50580031</v>
      </c>
      <c r="E115">
        <f>'Cost Components'!$M$21*10^6</f>
        <v>275113167.50580031</v>
      </c>
      <c r="F115">
        <f>'Cost Components'!$M$21*10^6</f>
        <v>275113167.50580031</v>
      </c>
      <c r="G115">
        <f>'Cost Components'!$M$21*10^6</f>
        <v>275113167.50580031</v>
      </c>
      <c r="H115">
        <f>'Cost Components'!$M$21*10^6</f>
        <v>275113167.50580031</v>
      </c>
      <c r="I115">
        <f>'Cost Components'!$M$21*10^6</f>
        <v>275113167.50580031</v>
      </c>
      <c r="J115">
        <f>'Cost Components'!$M$21*10^6</f>
        <v>275113167.50580031</v>
      </c>
      <c r="K115">
        <f>'Cost Components'!$M$21*10^6</f>
        <v>275113167.50580031</v>
      </c>
      <c r="L115">
        <f>'Cost Components'!$M$21*10^6</f>
        <v>275113167.50580031</v>
      </c>
      <c r="M115">
        <f>'Cost Components'!$M$21*10^6</f>
        <v>275113167.50580031</v>
      </c>
      <c r="N115">
        <f>'Cost Components'!$M$21*10^6</f>
        <v>275113167.50580031</v>
      </c>
      <c r="O115">
        <f>'Cost Components'!$M$21*10^6</f>
        <v>275113167.50580031</v>
      </c>
      <c r="P115">
        <f>'Cost Components'!$M$21*10^6</f>
        <v>275113167.50580031</v>
      </c>
      <c r="Q115">
        <f>'Cost Components'!$M$21*10^6</f>
        <v>275113167.50580031</v>
      </c>
      <c r="R115">
        <f>'Cost Components'!$M$21*10^6</f>
        <v>275113167.50580031</v>
      </c>
      <c r="S115">
        <f>'Cost Components'!$M$21*10^6</f>
        <v>275113167.50580031</v>
      </c>
      <c r="T115">
        <f>'Cost Components'!$M$21*10^6</f>
        <v>275113167.50580031</v>
      </c>
      <c r="U115">
        <f>'Cost Components'!$M$21*10^6</f>
        <v>275113167.50580031</v>
      </c>
      <c r="V115">
        <f>'Cost Components'!$M$21*10^6</f>
        <v>275113167.50580031</v>
      </c>
      <c r="W115">
        <f>'Cost Components'!$M$21*10^6</f>
        <v>275113167.50580031</v>
      </c>
      <c r="X115">
        <f>'Cost Components'!$M$21*10^6</f>
        <v>275113167.50580031</v>
      </c>
      <c r="Y115">
        <f>'Cost Components'!$M$21*10^6</f>
        <v>275113167.50580031</v>
      </c>
      <c r="Z115">
        <f>'Cost Components'!$M$21*10^6</f>
        <v>275113167.50580031</v>
      </c>
      <c r="AA115">
        <f>'Cost Components'!$M$21*10^6</f>
        <v>275113167.50580031</v>
      </c>
    </row>
    <row r="116" spans="1:27" x14ac:dyDescent="0.25">
      <c r="A116" t="s">
        <v>121</v>
      </c>
      <c r="B116">
        <v>0</v>
      </c>
      <c r="C116">
        <f>'Cost Components'!$M$36 * 10^6</f>
        <v>149900000</v>
      </c>
      <c r="D116">
        <f>'Cost Components'!$M$36 * 10^6</f>
        <v>149900000</v>
      </c>
      <c r="E116">
        <f>'Cost Components'!$M$36 * 10^6</f>
        <v>149900000</v>
      </c>
      <c r="F116">
        <f>'Cost Components'!$M$36 * 10^6</f>
        <v>149900000</v>
      </c>
      <c r="G116">
        <f>'Cost Components'!$M$36 * 10^6</f>
        <v>149900000</v>
      </c>
      <c r="H116">
        <f>'Cost Components'!$M$36 * 10^6</f>
        <v>149900000</v>
      </c>
      <c r="I116">
        <f>'Cost Components'!$M$36 * 10^6</f>
        <v>149900000</v>
      </c>
      <c r="J116">
        <f>'Cost Components'!$M$36 * 10^6</f>
        <v>149900000</v>
      </c>
      <c r="K116">
        <f>'Cost Components'!$M$36 * 10^6</f>
        <v>149900000</v>
      </c>
      <c r="L116">
        <f>'Cost Components'!$M$36 * 10^6</f>
        <v>149900000</v>
      </c>
      <c r="M116">
        <f>'Cost Components'!$M$36 * 10^6</f>
        <v>149900000</v>
      </c>
      <c r="N116">
        <f>'Cost Components'!$M$36 * 10^6</f>
        <v>149900000</v>
      </c>
      <c r="O116">
        <f>'Cost Components'!$M$36 * 10^6</f>
        <v>149900000</v>
      </c>
      <c r="P116">
        <f>'Cost Components'!$M$36 * 10^6</f>
        <v>149900000</v>
      </c>
      <c r="Q116">
        <f>'Cost Components'!$M$36 * 10^6</f>
        <v>149900000</v>
      </c>
      <c r="R116">
        <f>'Cost Components'!$M$36 * 10^6</f>
        <v>149900000</v>
      </c>
      <c r="S116">
        <f>'Cost Components'!$M$36 * 10^6</f>
        <v>149900000</v>
      </c>
      <c r="T116">
        <f>'Cost Components'!$M$36 * 10^6</f>
        <v>149900000</v>
      </c>
      <c r="U116">
        <f>'Cost Components'!$M$36 * 10^6</f>
        <v>149900000</v>
      </c>
      <c r="V116">
        <f>'Cost Components'!$M$36 * 10^6</f>
        <v>149900000</v>
      </c>
      <c r="W116">
        <f>'Cost Components'!$M$36 * 10^6</f>
        <v>149900000</v>
      </c>
      <c r="X116">
        <f>'Cost Components'!$M$36 * 10^6</f>
        <v>149900000</v>
      </c>
      <c r="Y116">
        <f>'Cost Components'!$M$36 * 10^6</f>
        <v>149900000</v>
      </c>
      <c r="Z116">
        <f>'Cost Components'!$M$36 * 10^6</f>
        <v>149900000</v>
      </c>
      <c r="AA116">
        <f>'Cost Components'!$M$36 * 10^6</f>
        <v>149900000</v>
      </c>
    </row>
    <row r="117" spans="1:27" x14ac:dyDescent="0.25">
      <c r="A117" t="s">
        <v>122</v>
      </c>
      <c r="B117">
        <f t="shared" ref="B117:AA117" si="10">B115-B116</f>
        <v>575000000</v>
      </c>
      <c r="C117">
        <f t="shared" si="10"/>
        <v>125213167.50580031</v>
      </c>
      <c r="D117">
        <f t="shared" si="10"/>
        <v>125213167.50580031</v>
      </c>
      <c r="E117">
        <f t="shared" si="10"/>
        <v>125213167.50580031</v>
      </c>
      <c r="F117">
        <f t="shared" si="10"/>
        <v>125213167.50580031</v>
      </c>
      <c r="G117">
        <f t="shared" si="10"/>
        <v>125213167.50580031</v>
      </c>
      <c r="H117">
        <f t="shared" si="10"/>
        <v>125213167.50580031</v>
      </c>
      <c r="I117">
        <f t="shared" si="10"/>
        <v>125213167.50580031</v>
      </c>
      <c r="J117">
        <f t="shared" si="10"/>
        <v>125213167.50580031</v>
      </c>
      <c r="K117">
        <f t="shared" si="10"/>
        <v>125213167.50580031</v>
      </c>
      <c r="L117">
        <f t="shared" si="10"/>
        <v>125213167.50580031</v>
      </c>
      <c r="M117">
        <f t="shared" si="10"/>
        <v>125213167.50580031</v>
      </c>
      <c r="N117">
        <f t="shared" si="10"/>
        <v>125213167.50580031</v>
      </c>
      <c r="O117">
        <f t="shared" si="10"/>
        <v>125213167.50580031</v>
      </c>
      <c r="P117">
        <f t="shared" si="10"/>
        <v>125213167.50580031</v>
      </c>
      <c r="Q117">
        <f t="shared" si="10"/>
        <v>125213167.50580031</v>
      </c>
      <c r="R117">
        <f t="shared" si="10"/>
        <v>125213167.50580031</v>
      </c>
      <c r="S117">
        <f t="shared" si="10"/>
        <v>125213167.50580031</v>
      </c>
      <c r="T117">
        <f t="shared" si="10"/>
        <v>125213167.50580031</v>
      </c>
      <c r="U117">
        <f t="shared" si="10"/>
        <v>125213167.50580031</v>
      </c>
      <c r="V117">
        <f t="shared" si="10"/>
        <v>125213167.50580031</v>
      </c>
      <c r="W117">
        <f t="shared" si="10"/>
        <v>125213167.50580031</v>
      </c>
      <c r="X117">
        <f t="shared" si="10"/>
        <v>125213167.50580031</v>
      </c>
      <c r="Y117">
        <f t="shared" si="10"/>
        <v>125213167.50580031</v>
      </c>
      <c r="Z117">
        <f t="shared" si="10"/>
        <v>125213167.50580031</v>
      </c>
      <c r="AA117">
        <f t="shared" si="10"/>
        <v>125213167.50580031</v>
      </c>
    </row>
    <row r="118" spans="1:27" x14ac:dyDescent="0.25">
      <c r="A118" t="s">
        <v>123</v>
      </c>
      <c r="B118">
        <f>B117/(1+'Study Parameters'!$C$4) ^'Production Cost Baseline'!B$2</f>
        <v>575000000</v>
      </c>
      <c r="C118">
        <f>C117/(1+'Study Parameters'!$C$4) ^'Production Cost Baseline'!C$2</f>
        <v>116477365.1216747</v>
      </c>
      <c r="D118">
        <f>D117/(1+'Study Parameters'!$C$4) ^'Production Cost Baseline'!D$2</f>
        <v>108351037.3224881</v>
      </c>
      <c r="E118">
        <f>E117/(1+'Study Parameters'!$C$4) ^'Production Cost Baseline'!E$2</f>
        <v>100791662.62557033</v>
      </c>
      <c r="F118">
        <f>F117/(1+'Study Parameters'!$C$4) ^'Production Cost Baseline'!F$2</f>
        <v>93759686.163321242</v>
      </c>
      <c r="G118">
        <f>G117/(1+'Study Parameters'!$C$4) ^'Production Cost Baseline'!G$2</f>
        <v>87218312.710066274</v>
      </c>
      <c r="H118">
        <f>H117/(1+'Study Parameters'!$C$4) ^'Production Cost Baseline'!H$2</f>
        <v>81133314.14889887</v>
      </c>
      <c r="I118">
        <f>I117/(1+'Study Parameters'!$C$4) ^'Production Cost Baseline'!I$2</f>
        <v>75472850.371068701</v>
      </c>
      <c r="J118">
        <f>J117/(1+'Study Parameters'!$C$4) ^'Production Cost Baseline'!J$2</f>
        <v>70207302.670761585</v>
      </c>
      <c r="K118">
        <f>K117/(1+'Study Parameters'!$C$4) ^'Production Cost Baseline'!K$2</f>
        <v>65309118.763499156</v>
      </c>
      <c r="L118">
        <f>L117/(1+'Study Parameters'!$C$4) ^'Production Cost Baseline'!L$2</f>
        <v>60752668.617208526</v>
      </c>
      <c r="M118">
        <f>M117/(1+'Study Parameters'!$C$4) ^'Production Cost Baseline'!M$2</f>
        <v>56514110.341589324</v>
      </c>
      <c r="N118">
        <f>N117/(1+'Study Parameters'!$C$4) ^'Production Cost Baseline'!N$2</f>
        <v>52571265.434036583</v>
      </c>
      <c r="O118">
        <f>O117/(1+'Study Parameters'!$C$4) ^'Production Cost Baseline'!O$2</f>
        <v>48903502.729336351</v>
      </c>
      <c r="P118">
        <f>P117/(1+'Study Parameters'!$C$4) ^'Production Cost Baseline'!P$2</f>
        <v>45491630.445894286</v>
      </c>
      <c r="Q118">
        <f>Q117/(1+'Study Parameters'!$C$4) ^'Production Cost Baseline'!Q$2</f>
        <v>42317795.763622589</v>
      </c>
      <c r="R118">
        <f>R117/(1+'Study Parameters'!$C$4) ^'Production Cost Baseline'!R$2</f>
        <v>39365391.408021018</v>
      </c>
      <c r="S118">
        <f>S117/(1+'Study Parameters'!$C$4) ^'Production Cost Baseline'!S$2</f>
        <v>36618968.751647457</v>
      </c>
      <c r="T118">
        <f>T117/(1+'Study Parameters'!$C$4) ^'Production Cost Baseline'!T$2</f>
        <v>34064156.978276707</v>
      </c>
      <c r="U118">
        <f>U117/(1+'Study Parameters'!$C$4) ^'Production Cost Baseline'!U$2</f>
        <v>31687587.88676903</v>
      </c>
      <c r="V118">
        <f>V117/(1+'Study Parameters'!$C$4) ^'Production Cost Baseline'!V$2</f>
        <v>29476825.941180494</v>
      </c>
      <c r="W118">
        <f>W117/(1+'Study Parameters'!$C$4) ^'Production Cost Baseline'!W$2</f>
        <v>27420303.201098133</v>
      </c>
      <c r="X118">
        <f>X117/(1+'Study Parameters'!$C$4) ^'Production Cost Baseline'!X$2</f>
        <v>25507258.791719195</v>
      </c>
      <c r="Y118">
        <f>Y117/(1+'Study Parameters'!$C$4) ^'Production Cost Baseline'!Y$2</f>
        <v>23727682.596948087</v>
      </c>
      <c r="Z118">
        <f>Z117/(1+'Study Parameters'!$C$4) ^'Production Cost Baseline'!Z$2</f>
        <v>22072262.880881943</v>
      </c>
      <c r="AA118">
        <f>AA117/(1+'Study Parameters'!$C$4) ^'Production Cost Baseline'!AA$2</f>
        <v>20532337.563611109</v>
      </c>
    </row>
    <row r="119" spans="1:27" x14ac:dyDescent="0.25">
      <c r="A119" t="s">
        <v>124</v>
      </c>
      <c r="B119">
        <v>0</v>
      </c>
      <c r="C119">
        <f>'Study Parameters'!$C$12*'Study Parameters'!$C$8 * 10^3</f>
        <v>69600000</v>
      </c>
      <c r="D119">
        <f>'Study Parameters'!$C$12*'Study Parameters'!$C$8 * 10^3</f>
        <v>69600000</v>
      </c>
      <c r="E119">
        <f>'Study Parameters'!$C$12*'Study Parameters'!$C$8 * 10^3</f>
        <v>69600000</v>
      </c>
      <c r="F119">
        <f>'Study Parameters'!$C$12*'Study Parameters'!$C$8 * 10^3</f>
        <v>69600000</v>
      </c>
      <c r="G119">
        <f>'Study Parameters'!$C$12*'Study Parameters'!$C$8 * 10^3</f>
        <v>69600000</v>
      </c>
      <c r="H119">
        <f>'Study Parameters'!$C$12*'Study Parameters'!$C$8 * 10^3</f>
        <v>69600000</v>
      </c>
      <c r="I119">
        <f>'Study Parameters'!$C$12*'Study Parameters'!$C$8 * 10^3</f>
        <v>69600000</v>
      </c>
      <c r="J119">
        <f>'Study Parameters'!$C$12*'Study Parameters'!$C$8 * 10^3</f>
        <v>69600000</v>
      </c>
      <c r="K119">
        <f>'Study Parameters'!$C$12*'Study Parameters'!$C$8 * 10^3</f>
        <v>69600000</v>
      </c>
      <c r="L119">
        <f>'Study Parameters'!$C$12*'Study Parameters'!$C$8 * 10^3</f>
        <v>69600000</v>
      </c>
      <c r="M119">
        <f>'Study Parameters'!$C$12*'Study Parameters'!$C$8 * 10^3</f>
        <v>69600000</v>
      </c>
      <c r="N119">
        <f>'Study Parameters'!$C$12*'Study Parameters'!$C$8 * 10^3</f>
        <v>69600000</v>
      </c>
      <c r="O119">
        <f>'Study Parameters'!$C$12*'Study Parameters'!$C$8 * 10^3</f>
        <v>69600000</v>
      </c>
      <c r="P119">
        <f>'Study Parameters'!$C$12*'Study Parameters'!$C$8 * 10^3</f>
        <v>69600000</v>
      </c>
      <c r="Q119">
        <f>'Study Parameters'!$C$12*'Study Parameters'!$C$8 * 10^3</f>
        <v>69600000</v>
      </c>
      <c r="R119">
        <f>'Study Parameters'!$C$12*'Study Parameters'!$C$8 * 10^3</f>
        <v>69600000</v>
      </c>
      <c r="S119">
        <f>'Study Parameters'!$C$12*'Study Parameters'!$C$8 * 10^3</f>
        <v>69600000</v>
      </c>
      <c r="T119">
        <f>'Study Parameters'!$C$12*'Study Parameters'!$C$8 * 10^3</f>
        <v>69600000</v>
      </c>
      <c r="U119">
        <f>'Study Parameters'!$C$12*'Study Parameters'!$C$8 * 10^3</f>
        <v>69600000</v>
      </c>
      <c r="V119">
        <f>'Study Parameters'!$C$12*'Study Parameters'!$C$8 * 10^3</f>
        <v>69600000</v>
      </c>
      <c r="W119">
        <f>'Study Parameters'!$C$12*'Study Parameters'!$C$8 * 10^3</f>
        <v>69600000</v>
      </c>
      <c r="X119">
        <f>'Study Parameters'!$C$12*'Study Parameters'!$C$8 * 10^3</f>
        <v>69600000</v>
      </c>
      <c r="Y119">
        <f>'Study Parameters'!$C$12*'Study Parameters'!$C$8 * 10^3</f>
        <v>69600000</v>
      </c>
      <c r="Z119">
        <f>'Study Parameters'!$C$12*'Study Parameters'!$C$8 * 10^3</f>
        <v>69600000</v>
      </c>
      <c r="AA119">
        <f>'Study Parameters'!$C$12*'Study Parameters'!$C$8 * 10^3</f>
        <v>69600000</v>
      </c>
    </row>
    <row r="120" spans="1:27" x14ac:dyDescent="0.25">
      <c r="A120" t="s">
        <v>125</v>
      </c>
      <c r="B120">
        <f>B119/(1+'Study Parameters'!$C$4) ^'Production Cost Baseline'!B$2</f>
        <v>0</v>
      </c>
      <c r="C120">
        <f>C119/(1+'Study Parameters'!$C$4) ^'Production Cost Baseline'!C$2</f>
        <v>64744186.046511628</v>
      </c>
      <c r="D120">
        <f>D119/(1+'Study Parameters'!$C$4) ^'Production Cost Baseline'!D$2</f>
        <v>60227149.810708493</v>
      </c>
      <c r="E120">
        <f>E119/(1+'Study Parameters'!$C$4) ^'Production Cost Baseline'!E$2</f>
        <v>56025255.637868367</v>
      </c>
      <c r="F120">
        <f>F119/(1+'Study Parameters'!$C$4) ^'Production Cost Baseline'!F$2</f>
        <v>52116516.872435689</v>
      </c>
      <c r="G120">
        <f>G119/(1+'Study Parameters'!$C$4) ^'Production Cost Baseline'!G$2</f>
        <v>48480480.811568081</v>
      </c>
      <c r="H120">
        <f>H119/(1+'Study Parameters'!$C$4) ^'Production Cost Baseline'!H$2</f>
        <v>45098121.685179621</v>
      </c>
      <c r="I120">
        <f>I119/(1+'Study Parameters'!$C$4) ^'Production Cost Baseline'!I$2</f>
        <v>41951741.102492668</v>
      </c>
      <c r="J120">
        <f>J119/(1+'Study Parameters'!$C$4) ^'Production Cost Baseline'!J$2</f>
        <v>39024875.444179229</v>
      </c>
      <c r="K120">
        <f>K119/(1+'Study Parameters'!$C$4) ^'Production Cost Baseline'!K$2</f>
        <v>36302209.715515561</v>
      </c>
      <c r="L120">
        <f>L119/(1+'Study Parameters'!$C$4) ^'Production Cost Baseline'!L$2</f>
        <v>33769497.409781925</v>
      </c>
      <c r="M120">
        <f>M119/(1+'Study Parameters'!$C$4) ^'Production Cost Baseline'!M$2</f>
        <v>31413485.96258783</v>
      </c>
      <c r="N120">
        <f>N119/(1+'Study Parameters'!$C$4) ^'Production Cost Baseline'!N$2</f>
        <v>29221847.407058448</v>
      </c>
      <c r="O120">
        <f>O119/(1+'Study Parameters'!$C$4) ^'Production Cost Baseline'!O$2</f>
        <v>27183113.867031112</v>
      </c>
      <c r="P120">
        <f>P119/(1+'Study Parameters'!$C$4) ^'Production Cost Baseline'!P$2</f>
        <v>25286617.550726619</v>
      </c>
      <c r="Q120">
        <f>Q119/(1+'Study Parameters'!$C$4) ^'Production Cost Baseline'!Q$2</f>
        <v>23522434.930908483</v>
      </c>
      <c r="R120">
        <f>R119/(1+'Study Parameters'!$C$4) ^'Production Cost Baseline'!R$2</f>
        <v>21881334.819449753</v>
      </c>
      <c r="S120">
        <f>S119/(1+'Study Parameters'!$C$4) ^'Production Cost Baseline'!S$2</f>
        <v>20354730.064604424</v>
      </c>
      <c r="T120">
        <f>T119/(1+'Study Parameters'!$C$4) ^'Production Cost Baseline'!T$2</f>
        <v>18934632.618236672</v>
      </c>
      <c r="U120">
        <f>U119/(1+'Study Parameters'!$C$4) ^'Production Cost Baseline'!U$2</f>
        <v>17613611.73789458</v>
      </c>
      <c r="V120">
        <f>V119/(1+'Study Parameters'!$C$4) ^'Production Cost Baseline'!V$2</f>
        <v>16384755.105018215</v>
      </c>
      <c r="W120">
        <f>W119/(1+'Study Parameters'!$C$4) ^'Production Cost Baseline'!W$2</f>
        <v>15241632.655830896</v>
      </c>
      <c r="X120">
        <f>X119/(1+'Study Parameters'!$C$4) ^'Production Cost Baseline'!X$2</f>
        <v>14178262.935656648</v>
      </c>
      <c r="Y120">
        <f>Y119/(1+'Study Parameters'!$C$4) ^'Production Cost Baseline'!Y$2</f>
        <v>13189081.800610837</v>
      </c>
      <c r="Z120">
        <f>Z119/(1+'Study Parameters'!$C$4) ^'Production Cost Baseline'!Z$2</f>
        <v>12268913.302893803</v>
      </c>
      <c r="AA120">
        <f>AA119/(1+'Study Parameters'!$C$4) ^'Production Cost Baseline'!AA$2</f>
        <v>11412942.60734307</v>
      </c>
    </row>
    <row r="122" spans="1:27" x14ac:dyDescent="0.25">
      <c r="A122" t="s">
        <v>126</v>
      </c>
      <c r="B122">
        <f>SUM(B118:AA118) / SUM(C120:AA120)</f>
        <v>2.5401839612676809</v>
      </c>
    </row>
    <row r="123" spans="1:27" x14ac:dyDescent="0.25">
      <c r="A123" t="s">
        <v>127</v>
      </c>
      <c r="B123">
        <f>B122 * Inputs!$C$15</f>
        <v>2.0397677208979479</v>
      </c>
    </row>
    <row r="125" spans="1:27" x14ac:dyDescent="0.25">
      <c r="A125" s="1" t="s">
        <v>130</v>
      </c>
    </row>
    <row r="126" spans="1:27" x14ac:dyDescent="0.25">
      <c r="A126" t="s">
        <v>120</v>
      </c>
      <c r="B126">
        <f>'Cost Components'!$N$12 * 10^6</f>
        <v>449000000</v>
      </c>
      <c r="C126">
        <f>'Cost Components'!$N$21*10^6</f>
        <v>202948901.6556448</v>
      </c>
      <c r="D126">
        <f>'Cost Components'!$N$21*10^6</f>
        <v>202948901.6556448</v>
      </c>
      <c r="E126">
        <f>'Cost Components'!$N$21*10^6</f>
        <v>202948901.6556448</v>
      </c>
      <c r="F126">
        <f>'Cost Components'!$N$21*10^6</f>
        <v>202948901.6556448</v>
      </c>
      <c r="G126">
        <f>'Cost Components'!$N$21*10^6</f>
        <v>202948901.6556448</v>
      </c>
      <c r="H126">
        <f>'Cost Components'!$N$21*10^6</f>
        <v>202948901.6556448</v>
      </c>
      <c r="I126">
        <f>'Cost Components'!$N$21*10^6</f>
        <v>202948901.6556448</v>
      </c>
      <c r="J126">
        <f>'Cost Components'!$N$21*10^6</f>
        <v>202948901.6556448</v>
      </c>
      <c r="K126">
        <f>'Cost Components'!$N$21*10^6</f>
        <v>202948901.6556448</v>
      </c>
      <c r="L126">
        <f>'Cost Components'!$N$21*10^6</f>
        <v>202948901.6556448</v>
      </c>
      <c r="M126">
        <f>'Cost Components'!$N$21*10^6</f>
        <v>202948901.6556448</v>
      </c>
      <c r="N126">
        <f>'Cost Components'!$N$21*10^6</f>
        <v>202948901.6556448</v>
      </c>
      <c r="O126">
        <f>'Cost Components'!$N$21*10^6</f>
        <v>202948901.6556448</v>
      </c>
      <c r="P126">
        <f>'Cost Components'!$N$21*10^6</f>
        <v>202948901.6556448</v>
      </c>
      <c r="Q126">
        <f>'Cost Components'!$N$21*10^6</f>
        <v>202948901.6556448</v>
      </c>
      <c r="R126">
        <f>'Cost Components'!$N$21*10^6</f>
        <v>202948901.6556448</v>
      </c>
      <c r="S126">
        <f>'Cost Components'!$N$21*10^6</f>
        <v>202948901.6556448</v>
      </c>
      <c r="T126">
        <f>'Cost Components'!$N$21*10^6</f>
        <v>202948901.6556448</v>
      </c>
      <c r="U126">
        <f>'Cost Components'!$N$21*10^6</f>
        <v>202948901.6556448</v>
      </c>
      <c r="V126">
        <f>'Cost Components'!$N$21*10^6</f>
        <v>202948901.6556448</v>
      </c>
      <c r="W126">
        <f>'Cost Components'!$N$21*10^6</f>
        <v>202948901.6556448</v>
      </c>
      <c r="X126">
        <f>'Cost Components'!$N$21*10^6</f>
        <v>202948901.6556448</v>
      </c>
      <c r="Y126">
        <f>'Cost Components'!$N$21*10^6</f>
        <v>202948901.6556448</v>
      </c>
      <c r="Z126">
        <f>'Cost Components'!$N$21*10^6</f>
        <v>202948901.6556448</v>
      </c>
      <c r="AA126">
        <f>'Cost Components'!$N$21*10^6</f>
        <v>202948901.6556448</v>
      </c>
    </row>
    <row r="127" spans="1:27" x14ac:dyDescent="0.25">
      <c r="A127" t="s">
        <v>121</v>
      </c>
      <c r="B127">
        <v>0</v>
      </c>
      <c r="C127">
        <f>'Cost Components'!$N$36 * 10^6</f>
        <v>81000000</v>
      </c>
      <c r="D127">
        <f>'Cost Components'!$N$36 * 10^6</f>
        <v>81000000</v>
      </c>
      <c r="E127">
        <f>'Cost Components'!$N$36 * 10^6</f>
        <v>81000000</v>
      </c>
      <c r="F127">
        <f>'Cost Components'!$N$36 * 10^6</f>
        <v>81000000</v>
      </c>
      <c r="G127">
        <f>'Cost Components'!$N$36 * 10^6</f>
        <v>81000000</v>
      </c>
      <c r="H127">
        <f>'Cost Components'!$N$36 * 10^6</f>
        <v>81000000</v>
      </c>
      <c r="I127">
        <f>'Cost Components'!$N$36 * 10^6</f>
        <v>81000000</v>
      </c>
      <c r="J127">
        <f>'Cost Components'!$N$36 * 10^6</f>
        <v>81000000</v>
      </c>
      <c r="K127">
        <f>'Cost Components'!$N$36 * 10^6</f>
        <v>81000000</v>
      </c>
      <c r="L127">
        <f>'Cost Components'!$N$36 * 10^6</f>
        <v>81000000</v>
      </c>
      <c r="M127">
        <f>'Cost Components'!$N$36 * 10^6</f>
        <v>81000000</v>
      </c>
      <c r="N127">
        <f>'Cost Components'!$N$36 * 10^6</f>
        <v>81000000</v>
      </c>
      <c r="O127">
        <f>'Cost Components'!$N$36 * 10^6</f>
        <v>81000000</v>
      </c>
      <c r="P127">
        <f>'Cost Components'!$N$36 * 10^6</f>
        <v>81000000</v>
      </c>
      <c r="Q127">
        <f>'Cost Components'!$N$36 * 10^6</f>
        <v>81000000</v>
      </c>
      <c r="R127">
        <f>'Cost Components'!$N$36 * 10^6</f>
        <v>81000000</v>
      </c>
      <c r="S127">
        <f>'Cost Components'!$N$36 * 10^6</f>
        <v>81000000</v>
      </c>
      <c r="T127">
        <f>'Cost Components'!$N$36 * 10^6</f>
        <v>81000000</v>
      </c>
      <c r="U127">
        <f>'Cost Components'!$N$36 * 10^6</f>
        <v>81000000</v>
      </c>
      <c r="V127">
        <f>'Cost Components'!$N$36 * 10^6</f>
        <v>81000000</v>
      </c>
      <c r="W127">
        <f>'Cost Components'!$N$36 * 10^6</f>
        <v>81000000</v>
      </c>
      <c r="X127">
        <f>'Cost Components'!$N$36 * 10^6</f>
        <v>81000000</v>
      </c>
      <c r="Y127">
        <f>'Cost Components'!$N$36 * 10^6</f>
        <v>81000000</v>
      </c>
      <c r="Z127">
        <f>'Cost Components'!$N$36 * 10^6</f>
        <v>81000000</v>
      </c>
      <c r="AA127">
        <f>'Cost Components'!$N$36 * 10^6</f>
        <v>81000000</v>
      </c>
    </row>
    <row r="128" spans="1:27" x14ac:dyDescent="0.25">
      <c r="A128" t="s">
        <v>122</v>
      </c>
      <c r="B128">
        <f t="shared" ref="B128:AA128" si="11">B126-B127</f>
        <v>449000000</v>
      </c>
      <c r="C128">
        <f t="shared" si="11"/>
        <v>121948901.6556448</v>
      </c>
      <c r="D128">
        <f t="shared" si="11"/>
        <v>121948901.6556448</v>
      </c>
      <c r="E128">
        <f t="shared" si="11"/>
        <v>121948901.6556448</v>
      </c>
      <c r="F128">
        <f t="shared" si="11"/>
        <v>121948901.6556448</v>
      </c>
      <c r="G128">
        <f t="shared" si="11"/>
        <v>121948901.6556448</v>
      </c>
      <c r="H128">
        <f t="shared" si="11"/>
        <v>121948901.6556448</v>
      </c>
      <c r="I128">
        <f t="shared" si="11"/>
        <v>121948901.6556448</v>
      </c>
      <c r="J128">
        <f t="shared" si="11"/>
        <v>121948901.6556448</v>
      </c>
      <c r="K128">
        <f t="shared" si="11"/>
        <v>121948901.6556448</v>
      </c>
      <c r="L128">
        <f t="shared" si="11"/>
        <v>121948901.6556448</v>
      </c>
      <c r="M128">
        <f t="shared" si="11"/>
        <v>121948901.6556448</v>
      </c>
      <c r="N128">
        <f t="shared" si="11"/>
        <v>121948901.6556448</v>
      </c>
      <c r="O128">
        <f t="shared" si="11"/>
        <v>121948901.6556448</v>
      </c>
      <c r="P128">
        <f t="shared" si="11"/>
        <v>121948901.6556448</v>
      </c>
      <c r="Q128">
        <f t="shared" si="11"/>
        <v>121948901.6556448</v>
      </c>
      <c r="R128">
        <f t="shared" si="11"/>
        <v>121948901.6556448</v>
      </c>
      <c r="S128">
        <f t="shared" si="11"/>
        <v>121948901.6556448</v>
      </c>
      <c r="T128">
        <f t="shared" si="11"/>
        <v>121948901.6556448</v>
      </c>
      <c r="U128">
        <f t="shared" si="11"/>
        <v>121948901.6556448</v>
      </c>
      <c r="V128">
        <f t="shared" si="11"/>
        <v>121948901.6556448</v>
      </c>
      <c r="W128">
        <f t="shared" si="11"/>
        <v>121948901.6556448</v>
      </c>
      <c r="X128">
        <f t="shared" si="11"/>
        <v>121948901.6556448</v>
      </c>
      <c r="Y128">
        <f t="shared" si="11"/>
        <v>121948901.6556448</v>
      </c>
      <c r="Z128">
        <f t="shared" si="11"/>
        <v>121948901.6556448</v>
      </c>
      <c r="AA128">
        <f t="shared" si="11"/>
        <v>121948901.6556448</v>
      </c>
    </row>
    <row r="129" spans="1:27" x14ac:dyDescent="0.25">
      <c r="A129" t="s">
        <v>123</v>
      </c>
      <c r="B129">
        <f>B128/(1+'Study Parameters'!$C$4) ^'Production Cost Baseline'!B$2</f>
        <v>449000000</v>
      </c>
      <c r="C129">
        <f>C128/(1+'Study Parameters'!$C$4) ^'Production Cost Baseline'!C$2</f>
        <v>113440838.74943703</v>
      </c>
      <c r="D129">
        <f>D128/(1+'Study Parameters'!$C$4) ^'Production Cost Baseline'!D$2</f>
        <v>105526361.62738329</v>
      </c>
      <c r="E129">
        <f>E128/(1+'Study Parameters'!$C$4) ^'Production Cost Baseline'!E$2</f>
        <v>98164057.327798411</v>
      </c>
      <c r="F129">
        <f>F128/(1+'Study Parameters'!$C$4) ^'Production Cost Baseline'!F$2</f>
        <v>91315402.165393874</v>
      </c>
      <c r="G129">
        <f>G128/(1+'Study Parameters'!$C$4) ^'Production Cost Baseline'!G$2</f>
        <v>84944560.153854758</v>
      </c>
      <c r="H129">
        <f>H128/(1+'Study Parameters'!$C$4) ^'Production Cost Baseline'!H$2</f>
        <v>79018195.491957933</v>
      </c>
      <c r="I129">
        <f>I128/(1+'Study Parameters'!$C$4) ^'Production Cost Baseline'!I$2</f>
        <v>73505298.132053882</v>
      </c>
      <c r="J129">
        <f>J128/(1+'Study Parameters'!$C$4) ^'Production Cost Baseline'!J$2</f>
        <v>68377021.518189669</v>
      </c>
      <c r="K129">
        <f>K128/(1+'Study Parameters'!$C$4) ^'Production Cost Baseline'!K$2</f>
        <v>63606531.644827589</v>
      </c>
      <c r="L129">
        <f>L128/(1+'Study Parameters'!$C$4) ^'Production Cost Baseline'!L$2</f>
        <v>59168866.646351263</v>
      </c>
      <c r="M129">
        <f>M128/(1+'Study Parameters'!$C$4) ^'Production Cost Baseline'!M$2</f>
        <v>55040806.182652324</v>
      </c>
      <c r="N129">
        <f>N128/(1+'Study Parameters'!$C$4) ^'Production Cost Baseline'!N$2</f>
        <v>51200749.937351003</v>
      </c>
      <c r="O129">
        <f>O128/(1+'Study Parameters'!$C$4) ^'Production Cost Baseline'!O$2</f>
        <v>47628604.592884652</v>
      </c>
      <c r="P129">
        <f>P128/(1+'Study Parameters'!$C$4) ^'Production Cost Baseline'!P$2</f>
        <v>44305678.691055492</v>
      </c>
      <c r="Q129">
        <f>Q128/(1+'Study Parameters'!$C$4) ^'Production Cost Baseline'!Q$2</f>
        <v>41214584.828888834</v>
      </c>
      <c r="R129">
        <f>R128/(1+'Study Parameters'!$C$4) ^'Production Cost Baseline'!R$2</f>
        <v>38339148.678036124</v>
      </c>
      <c r="S129">
        <f>S128/(1+'Study Parameters'!$C$4) ^'Production Cost Baseline'!S$2</f>
        <v>35664324.351661518</v>
      </c>
      <c r="T129">
        <f>T128/(1+'Study Parameters'!$C$4) ^'Production Cost Baseline'!T$2</f>
        <v>33176115.675964203</v>
      </c>
      <c r="U129">
        <f>U128/(1+'Study Parameters'!$C$4) ^'Production Cost Baseline'!U$2</f>
        <v>30861502.954385303</v>
      </c>
      <c r="V129">
        <f>V128/(1+'Study Parameters'!$C$4) ^'Production Cost Baseline'!V$2</f>
        <v>28708374.841288656</v>
      </c>
      <c r="W129">
        <f>W128/(1+'Study Parameters'!$C$4) ^'Production Cost Baseline'!W$2</f>
        <v>26705464.968640607</v>
      </c>
      <c r="X129">
        <f>X128/(1+'Study Parameters'!$C$4) ^'Production Cost Baseline'!X$2</f>
        <v>24842292.994084287</v>
      </c>
      <c r="Y129">
        <f>Y128/(1+'Study Parameters'!$C$4) ^'Production Cost Baseline'!Y$2</f>
        <v>23109109.761938874</v>
      </c>
      <c r="Z129">
        <f>Z128/(1+'Study Parameters'!$C$4) ^'Production Cost Baseline'!Z$2</f>
        <v>21496846.290175699</v>
      </c>
      <c r="AA129">
        <f>AA128/(1+'Study Parameters'!$C$4) ^'Production Cost Baseline'!AA$2</f>
        <v>19997066.316442508</v>
      </c>
    </row>
    <row r="130" spans="1:27" x14ac:dyDescent="0.25">
      <c r="A130" t="s">
        <v>124</v>
      </c>
      <c r="B130">
        <v>0</v>
      </c>
      <c r="C130">
        <f>'Study Parameters'!$C$13*'Study Parameters'!$C$8 * 10^3</f>
        <v>28000000</v>
      </c>
      <c r="D130">
        <f>'Study Parameters'!$C$13*'Study Parameters'!$C$8 * 10^3</f>
        <v>28000000</v>
      </c>
      <c r="E130">
        <f>'Study Parameters'!$C$13*'Study Parameters'!$C$8 * 10^3</f>
        <v>28000000</v>
      </c>
      <c r="F130">
        <f>'Study Parameters'!$C$13*'Study Parameters'!$C$8 * 10^3</f>
        <v>28000000</v>
      </c>
      <c r="G130">
        <f>'Study Parameters'!$C$13*'Study Parameters'!$C$8 * 10^3</f>
        <v>28000000</v>
      </c>
      <c r="H130">
        <f>'Study Parameters'!$C$13*'Study Parameters'!$C$8 * 10^3</f>
        <v>28000000</v>
      </c>
      <c r="I130">
        <f>'Study Parameters'!$C$13*'Study Parameters'!$C$8 * 10^3</f>
        <v>28000000</v>
      </c>
      <c r="J130">
        <f>'Study Parameters'!$C$13*'Study Parameters'!$C$8 * 10^3</f>
        <v>28000000</v>
      </c>
      <c r="K130">
        <f>'Study Parameters'!$C$13*'Study Parameters'!$C$8 * 10^3</f>
        <v>28000000</v>
      </c>
      <c r="L130">
        <f>'Study Parameters'!$C$13*'Study Parameters'!$C$8 * 10^3</f>
        <v>28000000</v>
      </c>
      <c r="M130">
        <f>'Study Parameters'!$C$13*'Study Parameters'!$C$8 * 10^3</f>
        <v>28000000</v>
      </c>
      <c r="N130">
        <f>'Study Parameters'!$C$13*'Study Parameters'!$C$8 * 10^3</f>
        <v>28000000</v>
      </c>
      <c r="O130">
        <f>'Study Parameters'!$C$13*'Study Parameters'!$C$8 * 10^3</f>
        <v>28000000</v>
      </c>
      <c r="P130">
        <f>'Study Parameters'!$C$13*'Study Parameters'!$C$8 * 10^3</f>
        <v>28000000</v>
      </c>
      <c r="Q130">
        <f>'Study Parameters'!$C$13*'Study Parameters'!$C$8 * 10^3</f>
        <v>28000000</v>
      </c>
      <c r="R130">
        <f>'Study Parameters'!$C$13*'Study Parameters'!$C$8 * 10^3</f>
        <v>28000000</v>
      </c>
      <c r="S130">
        <f>'Study Parameters'!$C$13*'Study Parameters'!$C$8 * 10^3</f>
        <v>28000000</v>
      </c>
      <c r="T130">
        <f>'Study Parameters'!$C$13*'Study Parameters'!$C$8 * 10^3</f>
        <v>28000000</v>
      </c>
      <c r="U130">
        <f>'Study Parameters'!$C$13*'Study Parameters'!$C$8 * 10^3</f>
        <v>28000000</v>
      </c>
      <c r="V130">
        <f>'Study Parameters'!$C$13*'Study Parameters'!$C$8 * 10^3</f>
        <v>28000000</v>
      </c>
      <c r="W130">
        <f>'Study Parameters'!$C$13*'Study Parameters'!$C$8 * 10^3</f>
        <v>28000000</v>
      </c>
      <c r="X130">
        <f>'Study Parameters'!$C$13*'Study Parameters'!$C$8 * 10^3</f>
        <v>28000000</v>
      </c>
      <c r="Y130">
        <f>'Study Parameters'!$C$13*'Study Parameters'!$C$8 * 10^3</f>
        <v>28000000</v>
      </c>
      <c r="Z130">
        <f>'Study Parameters'!$C$13*'Study Parameters'!$C$8 * 10^3</f>
        <v>28000000</v>
      </c>
      <c r="AA130">
        <f>'Study Parameters'!$C$13*'Study Parameters'!$C$8 * 10^3</f>
        <v>28000000</v>
      </c>
    </row>
    <row r="131" spans="1:27" x14ac:dyDescent="0.25">
      <c r="A131" t="s">
        <v>125</v>
      </c>
      <c r="B131">
        <f>B130/(1+'Study Parameters'!$C$4) ^'Production Cost Baseline'!B$2</f>
        <v>0</v>
      </c>
      <c r="C131">
        <f>C130/(1+'Study Parameters'!$C$4) ^'Production Cost Baseline'!C$2</f>
        <v>26046511.627906978</v>
      </c>
      <c r="D131">
        <f>D130/(1+'Study Parameters'!$C$4) ^'Production Cost Baseline'!D$2</f>
        <v>24229313.142239049</v>
      </c>
      <c r="E131">
        <f>E130/(1+'Study Parameters'!$C$4) ^'Production Cost Baseline'!E$2</f>
        <v>22538895.946268886</v>
      </c>
      <c r="F131">
        <f>F130/(1+'Study Parameters'!$C$4) ^'Production Cost Baseline'!F$2</f>
        <v>20966414.833738498</v>
      </c>
      <c r="G131">
        <f>G130/(1+'Study Parameters'!$C$4) ^'Production Cost Baseline'!G$2</f>
        <v>19503641.705803253</v>
      </c>
      <c r="H131">
        <f>H130/(1+'Study Parameters'!$C$4) ^'Production Cost Baseline'!H$2</f>
        <v>18142922.517026283</v>
      </c>
      <c r="I131">
        <f>I130/(1+'Study Parameters'!$C$4) ^'Production Cost Baseline'!I$2</f>
        <v>16877137.225140728</v>
      </c>
      <c r="J131">
        <f>J130/(1+'Study Parameters'!$C$4) ^'Production Cost Baseline'!J$2</f>
        <v>15699662.535014631</v>
      </c>
      <c r="K131">
        <f>K130/(1+'Study Parameters'!$C$4) ^'Production Cost Baseline'!K$2</f>
        <v>14604337.241874076</v>
      </c>
      <c r="L131">
        <f>L130/(1+'Study Parameters'!$C$4) ^'Production Cost Baseline'!L$2</f>
        <v>13585429.992441004</v>
      </c>
      <c r="M131">
        <f>M130/(1+'Study Parameters'!$C$4) ^'Production Cost Baseline'!M$2</f>
        <v>12637609.295293955</v>
      </c>
      <c r="N131">
        <f>N130/(1+'Study Parameters'!$C$4) ^'Production Cost Baseline'!N$2</f>
        <v>11755915.623529261</v>
      </c>
      <c r="O131">
        <f>O130/(1+'Study Parameters'!$C$4) ^'Production Cost Baseline'!O$2</f>
        <v>10935735.46374815</v>
      </c>
      <c r="P131">
        <f>P130/(1+'Study Parameters'!$C$4) ^'Production Cost Baseline'!P$2</f>
        <v>10172777.175579675</v>
      </c>
      <c r="Q131">
        <f>Q130/(1+'Study Parameters'!$C$4) ^'Production Cost Baseline'!Q$2</f>
        <v>9463048.5354229528</v>
      </c>
      <c r="R131">
        <f>R130/(1+'Study Parameters'!$C$4) ^'Production Cost Baseline'!R$2</f>
        <v>8802835.8469050732</v>
      </c>
      <c r="S131">
        <f>S130/(1+'Study Parameters'!$C$4) ^'Production Cost Baseline'!S$2</f>
        <v>8188684.5087489057</v>
      </c>
      <c r="T131">
        <f>T130/(1+'Study Parameters'!$C$4) ^'Production Cost Baseline'!T$2</f>
        <v>7617380.9383710753</v>
      </c>
      <c r="U131">
        <f>U130/(1+'Study Parameters'!$C$4) ^'Production Cost Baseline'!U$2</f>
        <v>7085935.7566242563</v>
      </c>
      <c r="V131">
        <f>V130/(1+'Study Parameters'!$C$4) ^'Production Cost Baseline'!V$2</f>
        <v>6591568.1456969827</v>
      </c>
      <c r="W131">
        <f>W130/(1+'Study Parameters'!$C$4) ^'Production Cost Baseline'!W$2</f>
        <v>6131691.2983227745</v>
      </c>
      <c r="X131">
        <f>X130/(1+'Study Parameters'!$C$4) ^'Production Cost Baseline'!X$2</f>
        <v>5703898.8821607204</v>
      </c>
      <c r="Y131">
        <f>Y130/(1+'Study Parameters'!$C$4) ^'Production Cost Baseline'!Y$2</f>
        <v>5305952.4485216001</v>
      </c>
      <c r="Z131">
        <f>Z130/(1+'Study Parameters'!$C$4) ^'Production Cost Baseline'!Z$2</f>
        <v>4935769.7195549775</v>
      </c>
      <c r="AA131">
        <f>AA130/(1+'Study Parameters'!$C$4) ^'Production Cost Baseline'!AA$2</f>
        <v>4591413.6926092813</v>
      </c>
    </row>
    <row r="133" spans="1:27" x14ac:dyDescent="0.25">
      <c r="A133" t="s">
        <v>126</v>
      </c>
      <c r="B133">
        <f>SUM(B129:AA129) / SUM(C131:AA131)</f>
        <v>5.7938926152230383</v>
      </c>
    </row>
    <row r="134" spans="1:27" x14ac:dyDescent="0.25">
      <c r="A134" t="s">
        <v>127</v>
      </c>
      <c r="B134">
        <f>B133 * Inputs!$C$15</f>
        <v>4.6524957700240996</v>
      </c>
    </row>
    <row r="136" spans="1:27" x14ac:dyDescent="0.25">
      <c r="A136" s="1" t="s">
        <v>132</v>
      </c>
    </row>
    <row r="137" spans="1:27" x14ac:dyDescent="0.25">
      <c r="A137" t="s">
        <v>120</v>
      </c>
      <c r="B137">
        <f>'Cost Components'!$O$12 * 10^6</f>
        <v>463000000</v>
      </c>
      <c r="C137">
        <f>'Cost Components'!$O$21*10^6</f>
        <v>260016813.71233764</v>
      </c>
      <c r="D137">
        <f>'Cost Components'!$O$21*10^6</f>
        <v>260016813.71233764</v>
      </c>
      <c r="E137">
        <f>'Cost Components'!$O$21*10^6</f>
        <v>260016813.71233764</v>
      </c>
      <c r="F137">
        <f>'Cost Components'!$O$21*10^6</f>
        <v>260016813.71233764</v>
      </c>
      <c r="G137">
        <f>'Cost Components'!$O$21*10^6</f>
        <v>260016813.71233764</v>
      </c>
      <c r="H137">
        <f>'Cost Components'!$O$21*10^6</f>
        <v>260016813.71233764</v>
      </c>
      <c r="I137">
        <f>'Cost Components'!$O$21*10^6</f>
        <v>260016813.71233764</v>
      </c>
      <c r="J137">
        <f>'Cost Components'!$O$21*10^6</f>
        <v>260016813.71233764</v>
      </c>
      <c r="K137">
        <f>'Cost Components'!$O$21*10^6</f>
        <v>260016813.71233764</v>
      </c>
      <c r="L137">
        <f>'Cost Components'!$O$21*10^6</f>
        <v>260016813.71233764</v>
      </c>
      <c r="M137">
        <f>'Cost Components'!$O$21*10^6</f>
        <v>260016813.71233764</v>
      </c>
      <c r="N137">
        <f>'Cost Components'!$O$21*10^6</f>
        <v>260016813.71233764</v>
      </c>
      <c r="O137">
        <f>'Cost Components'!$O$21*10^6</f>
        <v>260016813.71233764</v>
      </c>
      <c r="P137">
        <f>'Cost Components'!$O$21*10^6</f>
        <v>260016813.71233764</v>
      </c>
      <c r="Q137">
        <f>'Cost Components'!$O$21*10^6</f>
        <v>260016813.71233764</v>
      </c>
      <c r="R137">
        <f>'Cost Components'!$O$21*10^6</f>
        <v>260016813.71233764</v>
      </c>
      <c r="S137">
        <f>'Cost Components'!$O$21*10^6</f>
        <v>260016813.71233764</v>
      </c>
      <c r="T137">
        <f>'Cost Components'!$O$21*10^6</f>
        <v>260016813.71233764</v>
      </c>
      <c r="U137">
        <f>'Cost Components'!$O$21*10^6</f>
        <v>260016813.71233764</v>
      </c>
      <c r="V137">
        <f>'Cost Components'!$O$21*10^6</f>
        <v>260016813.71233764</v>
      </c>
      <c r="W137">
        <f>'Cost Components'!$O$21*10^6</f>
        <v>260016813.71233764</v>
      </c>
      <c r="X137">
        <f>'Cost Components'!$O$21*10^6</f>
        <v>260016813.71233764</v>
      </c>
      <c r="Y137">
        <f>'Cost Components'!$O$21*10^6</f>
        <v>260016813.71233764</v>
      </c>
      <c r="Z137">
        <f>'Cost Components'!$O$21*10^6</f>
        <v>260016813.71233764</v>
      </c>
      <c r="AA137">
        <f>'Cost Components'!$O$21*10^6</f>
        <v>260016813.71233764</v>
      </c>
    </row>
    <row r="138" spans="1:27" x14ac:dyDescent="0.25">
      <c r="A138" t="s">
        <v>121</v>
      </c>
      <c r="B138">
        <v>0</v>
      </c>
      <c r="C138">
        <f>'Cost Components'!$O$36 * 10^6</f>
        <v>103200000</v>
      </c>
      <c r="D138">
        <f>'Cost Components'!$O$36 * 10^6</f>
        <v>103200000</v>
      </c>
      <c r="E138">
        <f>'Cost Components'!$O$36 * 10^6</f>
        <v>103200000</v>
      </c>
      <c r="F138">
        <f>'Cost Components'!$O$36 * 10^6</f>
        <v>103200000</v>
      </c>
      <c r="G138">
        <f>'Cost Components'!$O$36 * 10^6</f>
        <v>103200000</v>
      </c>
      <c r="H138">
        <f>'Cost Components'!$O$36 * 10^6</f>
        <v>103200000</v>
      </c>
      <c r="I138">
        <f>'Cost Components'!$O$36 * 10^6</f>
        <v>103200000</v>
      </c>
      <c r="J138">
        <f>'Cost Components'!$O$36 * 10^6</f>
        <v>103200000</v>
      </c>
      <c r="K138">
        <f>'Cost Components'!$O$36 * 10^6</f>
        <v>103200000</v>
      </c>
      <c r="L138">
        <f>'Cost Components'!$O$36 * 10^6</f>
        <v>103200000</v>
      </c>
      <c r="M138">
        <f>'Cost Components'!$O$36 * 10^6</f>
        <v>103200000</v>
      </c>
      <c r="N138">
        <f>'Cost Components'!$O$36 * 10^6</f>
        <v>103200000</v>
      </c>
      <c r="O138">
        <f>'Cost Components'!$O$36 * 10^6</f>
        <v>103200000</v>
      </c>
      <c r="P138">
        <f>'Cost Components'!$O$36 * 10^6</f>
        <v>103200000</v>
      </c>
      <c r="Q138">
        <f>'Cost Components'!$O$36 * 10^6</f>
        <v>103200000</v>
      </c>
      <c r="R138">
        <f>'Cost Components'!$O$36 * 10^6</f>
        <v>103200000</v>
      </c>
      <c r="S138">
        <f>'Cost Components'!$O$36 * 10^6</f>
        <v>103200000</v>
      </c>
      <c r="T138">
        <f>'Cost Components'!$O$36 * 10^6</f>
        <v>103200000</v>
      </c>
      <c r="U138">
        <f>'Cost Components'!$O$36 * 10^6</f>
        <v>103200000</v>
      </c>
      <c r="V138">
        <f>'Cost Components'!$O$36 * 10^6</f>
        <v>103200000</v>
      </c>
      <c r="W138">
        <f>'Cost Components'!$O$36 * 10^6</f>
        <v>103200000</v>
      </c>
      <c r="X138">
        <f>'Cost Components'!$O$36 * 10^6</f>
        <v>103200000</v>
      </c>
      <c r="Y138">
        <f>'Cost Components'!$O$36 * 10^6</f>
        <v>103200000</v>
      </c>
      <c r="Z138">
        <f>'Cost Components'!$O$36 * 10^6</f>
        <v>103200000</v>
      </c>
      <c r="AA138">
        <f>'Cost Components'!$O$36 * 10^6</f>
        <v>103200000</v>
      </c>
    </row>
    <row r="139" spans="1:27" x14ac:dyDescent="0.25">
      <c r="A139" t="s">
        <v>122</v>
      </c>
      <c r="B139">
        <f t="shared" ref="B139:AA139" si="12">B137-B138</f>
        <v>463000000</v>
      </c>
      <c r="C139">
        <f t="shared" si="12"/>
        <v>156816813.71233764</v>
      </c>
      <c r="D139">
        <f t="shared" si="12"/>
        <v>156816813.71233764</v>
      </c>
      <c r="E139">
        <f t="shared" si="12"/>
        <v>156816813.71233764</v>
      </c>
      <c r="F139">
        <f t="shared" si="12"/>
        <v>156816813.71233764</v>
      </c>
      <c r="G139">
        <f t="shared" si="12"/>
        <v>156816813.71233764</v>
      </c>
      <c r="H139">
        <f t="shared" si="12"/>
        <v>156816813.71233764</v>
      </c>
      <c r="I139">
        <f t="shared" si="12"/>
        <v>156816813.71233764</v>
      </c>
      <c r="J139">
        <f t="shared" si="12"/>
        <v>156816813.71233764</v>
      </c>
      <c r="K139">
        <f t="shared" si="12"/>
        <v>156816813.71233764</v>
      </c>
      <c r="L139">
        <f t="shared" si="12"/>
        <v>156816813.71233764</v>
      </c>
      <c r="M139">
        <f t="shared" si="12"/>
        <v>156816813.71233764</v>
      </c>
      <c r="N139">
        <f t="shared" si="12"/>
        <v>156816813.71233764</v>
      </c>
      <c r="O139">
        <f t="shared" si="12"/>
        <v>156816813.71233764</v>
      </c>
      <c r="P139">
        <f t="shared" si="12"/>
        <v>156816813.71233764</v>
      </c>
      <c r="Q139">
        <f t="shared" si="12"/>
        <v>156816813.71233764</v>
      </c>
      <c r="R139">
        <f t="shared" si="12"/>
        <v>156816813.71233764</v>
      </c>
      <c r="S139">
        <f t="shared" si="12"/>
        <v>156816813.71233764</v>
      </c>
      <c r="T139">
        <f t="shared" si="12"/>
        <v>156816813.71233764</v>
      </c>
      <c r="U139">
        <f t="shared" si="12"/>
        <v>156816813.71233764</v>
      </c>
      <c r="V139">
        <f t="shared" si="12"/>
        <v>156816813.71233764</v>
      </c>
      <c r="W139">
        <f t="shared" si="12"/>
        <v>156816813.71233764</v>
      </c>
      <c r="X139">
        <f t="shared" si="12"/>
        <v>156816813.71233764</v>
      </c>
      <c r="Y139">
        <f t="shared" si="12"/>
        <v>156816813.71233764</v>
      </c>
      <c r="Z139">
        <f t="shared" si="12"/>
        <v>156816813.71233764</v>
      </c>
      <c r="AA139">
        <f t="shared" si="12"/>
        <v>156816813.71233764</v>
      </c>
    </row>
    <row r="140" spans="1:27" x14ac:dyDescent="0.25">
      <c r="A140" t="s">
        <v>123</v>
      </c>
      <c r="B140">
        <f>B139/(1+'Study Parameters'!$C$4) ^'Production Cost Baseline'!B$2</f>
        <v>463000000</v>
      </c>
      <c r="C140">
        <f>C139/(1+'Study Parameters'!$C$4) ^'Production Cost Baseline'!C$2</f>
        <v>145876105.77891874</v>
      </c>
      <c r="D140">
        <f>D139/(1+'Study Parameters'!$C$4) ^'Production Cost Baseline'!D$2</f>
        <v>135698703.05015698</v>
      </c>
      <c r="E140">
        <f>E139/(1+'Study Parameters'!$C$4) ^'Production Cost Baseline'!E$2</f>
        <v>126231351.67456463</v>
      </c>
      <c r="F140">
        <f>F139/(1+'Study Parameters'!$C$4) ^'Production Cost Baseline'!F$2</f>
        <v>117424513.18564151</v>
      </c>
      <c r="G140">
        <f>G139/(1+'Study Parameters'!$C$4) ^'Production Cost Baseline'!G$2</f>
        <v>109232105.28896885</v>
      </c>
      <c r="H140">
        <f>H139/(1+'Study Parameters'!$C$4) ^'Production Cost Baseline'!H$2</f>
        <v>101611260.73392452</v>
      </c>
      <c r="I140">
        <f>I139/(1+'Study Parameters'!$C$4) ^'Production Cost Baseline'!I$2</f>
        <v>94522103.008301884</v>
      </c>
      <c r="J140">
        <f>J139/(1+'Study Parameters'!$C$4) ^'Production Cost Baseline'!J$2</f>
        <v>87927537.682141289</v>
      </c>
      <c r="K140">
        <f>K139/(1+'Study Parameters'!$C$4) ^'Production Cost Baseline'!K$2</f>
        <v>81793058.308968633</v>
      </c>
      <c r="L140">
        <f>L139/(1+'Study Parameters'!$C$4) ^'Production Cost Baseline'!L$2</f>
        <v>76086565.868808046</v>
      </c>
      <c r="M140">
        <f>M139/(1+'Study Parameters'!$C$4) ^'Production Cost Baseline'!M$2</f>
        <v>70778200.80819352</v>
      </c>
      <c r="N140">
        <f>N139/(1+'Study Parameters'!$C$4) ^'Production Cost Baseline'!N$2</f>
        <v>65840186.798319563</v>
      </c>
      <c r="O140">
        <f>O139/(1+'Study Parameters'!$C$4) ^'Production Cost Baseline'!O$2</f>
        <v>61246685.393785641</v>
      </c>
      <c r="P140">
        <f>P139/(1+'Study Parameters'!$C$4) ^'Production Cost Baseline'!P$2</f>
        <v>56973660.831428505</v>
      </c>
      <c r="Q140">
        <f>Q139/(1+'Study Parameters'!$C$4) ^'Production Cost Baseline'!Q$2</f>
        <v>52998754.261793956</v>
      </c>
      <c r="R140">
        <f>R139/(1+'Study Parameters'!$C$4) ^'Production Cost Baseline'!R$2</f>
        <v>49301166.755157173</v>
      </c>
      <c r="S140">
        <f>S139/(1+'Study Parameters'!$C$4) ^'Production Cost Baseline'!S$2</f>
        <v>45861550.469913654</v>
      </c>
      <c r="T140">
        <f>T139/(1+'Study Parameters'!$C$4) ^'Production Cost Baseline'!T$2</f>
        <v>42661907.413873166</v>
      </c>
      <c r="U140">
        <f>U139/(1+'Study Parameters'!$C$4) ^'Production Cost Baseline'!U$2</f>
        <v>39685495.268719226</v>
      </c>
      <c r="V140">
        <f>V139/(1+'Study Parameters'!$C$4) ^'Production Cost Baseline'!V$2</f>
        <v>36916739.784855098</v>
      </c>
      <c r="W140">
        <f>W139/(1+'Study Parameters'!$C$4) ^'Production Cost Baseline'!W$2</f>
        <v>34341153.288237296</v>
      </c>
      <c r="X140">
        <f>X139/(1+'Study Parameters'!$C$4) ^'Production Cost Baseline'!X$2</f>
        <v>31945258.872778881</v>
      </c>
      <c r="Y140">
        <f>Y139/(1+'Study Parameters'!$C$4) ^'Production Cost Baseline'!Y$2</f>
        <v>29716519.881654773</v>
      </c>
      <c r="Z140">
        <f>Z139/(1+'Study Parameters'!$C$4) ^'Production Cost Baseline'!Z$2</f>
        <v>27643274.30851607</v>
      </c>
      <c r="AA140">
        <f>AA139/(1+'Study Parameters'!$C$4) ^'Production Cost Baseline'!AA$2</f>
        <v>25714673.775363784</v>
      </c>
    </row>
    <row r="141" spans="1:27" x14ac:dyDescent="0.25">
      <c r="A141" t="s">
        <v>124</v>
      </c>
      <c r="B141">
        <v>0</v>
      </c>
      <c r="C141">
        <f>'Study Parameters'!$C$14*'Study Parameters'!$C$8 * 10^3</f>
        <v>38400000</v>
      </c>
      <c r="D141">
        <f>'Study Parameters'!$C$14*'Study Parameters'!$C$8 * 10^3</f>
        <v>38400000</v>
      </c>
      <c r="E141">
        <f>'Study Parameters'!$C$14*'Study Parameters'!$C$8 * 10^3</f>
        <v>38400000</v>
      </c>
      <c r="F141">
        <f>'Study Parameters'!$C$14*'Study Parameters'!$C$8 * 10^3</f>
        <v>38400000</v>
      </c>
      <c r="G141">
        <f>'Study Parameters'!$C$14*'Study Parameters'!$C$8 * 10^3</f>
        <v>38400000</v>
      </c>
      <c r="H141">
        <f>'Study Parameters'!$C$14*'Study Parameters'!$C$8 * 10^3</f>
        <v>38400000</v>
      </c>
      <c r="I141">
        <f>'Study Parameters'!$C$14*'Study Parameters'!$C$8 * 10^3</f>
        <v>38400000</v>
      </c>
      <c r="J141">
        <f>'Study Parameters'!$C$14*'Study Parameters'!$C$8 * 10^3</f>
        <v>38400000</v>
      </c>
      <c r="K141">
        <f>'Study Parameters'!$C$14*'Study Parameters'!$C$8 * 10^3</f>
        <v>38400000</v>
      </c>
      <c r="L141">
        <f>'Study Parameters'!$C$14*'Study Parameters'!$C$8 * 10^3</f>
        <v>38400000</v>
      </c>
      <c r="M141">
        <f>'Study Parameters'!$C$14*'Study Parameters'!$C$8 * 10^3</f>
        <v>38400000</v>
      </c>
      <c r="N141">
        <f>'Study Parameters'!$C$14*'Study Parameters'!$C$8 * 10^3</f>
        <v>38400000</v>
      </c>
      <c r="O141">
        <f>'Study Parameters'!$C$14*'Study Parameters'!$C$8 * 10^3</f>
        <v>38400000</v>
      </c>
      <c r="P141">
        <f>'Study Parameters'!$C$14*'Study Parameters'!$C$8 * 10^3</f>
        <v>38400000</v>
      </c>
      <c r="Q141">
        <f>'Study Parameters'!$C$14*'Study Parameters'!$C$8 * 10^3</f>
        <v>38400000</v>
      </c>
      <c r="R141">
        <f>'Study Parameters'!$C$14*'Study Parameters'!$C$8 * 10^3</f>
        <v>38400000</v>
      </c>
      <c r="S141">
        <f>'Study Parameters'!$C$14*'Study Parameters'!$C$8 * 10^3</f>
        <v>38400000</v>
      </c>
      <c r="T141">
        <f>'Study Parameters'!$C$14*'Study Parameters'!$C$8 * 10^3</f>
        <v>38400000</v>
      </c>
      <c r="U141">
        <f>'Study Parameters'!$C$14*'Study Parameters'!$C$8 * 10^3</f>
        <v>38400000</v>
      </c>
      <c r="V141">
        <f>'Study Parameters'!$C$14*'Study Parameters'!$C$8 * 10^3</f>
        <v>38400000</v>
      </c>
      <c r="W141">
        <f>'Study Parameters'!$C$14*'Study Parameters'!$C$8 * 10^3</f>
        <v>38400000</v>
      </c>
      <c r="X141">
        <f>'Study Parameters'!$C$14*'Study Parameters'!$C$8 * 10^3</f>
        <v>38400000</v>
      </c>
      <c r="Y141">
        <f>'Study Parameters'!$C$14*'Study Parameters'!$C$8 * 10^3</f>
        <v>38400000</v>
      </c>
      <c r="Z141">
        <f>'Study Parameters'!$C$14*'Study Parameters'!$C$8 * 10^3</f>
        <v>38400000</v>
      </c>
      <c r="AA141">
        <f>'Study Parameters'!$C$14*'Study Parameters'!$C$8 * 10^3</f>
        <v>38400000</v>
      </c>
    </row>
    <row r="142" spans="1:27" x14ac:dyDescent="0.25">
      <c r="A142" t="s">
        <v>125</v>
      </c>
      <c r="B142">
        <f>B141/(1+'Study Parameters'!$C$4) ^'Production Cost Baseline'!B$2</f>
        <v>0</v>
      </c>
      <c r="C142">
        <f>C141/(1+'Study Parameters'!$C$4) ^'Production Cost Baseline'!C$2</f>
        <v>35720930.232558139</v>
      </c>
      <c r="D142">
        <f>D141/(1+'Study Parameters'!$C$4) ^'Production Cost Baseline'!D$2</f>
        <v>33228772.30935641</v>
      </c>
      <c r="E142">
        <f>E141/(1+'Study Parameters'!$C$4) ^'Production Cost Baseline'!E$2</f>
        <v>30910485.869168755</v>
      </c>
      <c r="F142">
        <f>F141/(1+'Study Parameters'!$C$4) ^'Production Cost Baseline'!F$2</f>
        <v>28753940.343412794</v>
      </c>
      <c r="G142">
        <f>G141/(1+'Study Parameters'!$C$4) ^'Production Cost Baseline'!G$2</f>
        <v>26747851.482244462</v>
      </c>
      <c r="H142">
        <f>H141/(1+'Study Parameters'!$C$4) ^'Production Cost Baseline'!H$2</f>
        <v>24881722.309064619</v>
      </c>
      <c r="I142">
        <f>I141/(1+'Study Parameters'!$C$4) ^'Production Cost Baseline'!I$2</f>
        <v>23145788.194478713</v>
      </c>
      <c r="J142">
        <f>J141/(1+'Study Parameters'!$C$4) ^'Production Cost Baseline'!J$2</f>
        <v>21530965.762305781</v>
      </c>
      <c r="K142">
        <f>K141/(1+'Study Parameters'!$C$4) ^'Production Cost Baseline'!K$2</f>
        <v>20028805.360284448</v>
      </c>
      <c r="L142">
        <f>L141/(1+'Study Parameters'!$C$4) ^'Production Cost Baseline'!L$2</f>
        <v>18631446.846776232</v>
      </c>
      <c r="M142">
        <f>M141/(1+'Study Parameters'!$C$4) ^'Production Cost Baseline'!M$2</f>
        <v>17331578.462117422</v>
      </c>
      <c r="N142">
        <f>N141/(1+'Study Parameters'!$C$4) ^'Production Cost Baseline'!N$2</f>
        <v>16122398.569411557</v>
      </c>
      <c r="O142">
        <f>O141/(1+'Study Parameters'!$C$4) ^'Production Cost Baseline'!O$2</f>
        <v>14997580.06456889</v>
      </c>
      <c r="P142">
        <f>P141/(1+'Study Parameters'!$C$4) ^'Production Cost Baseline'!P$2</f>
        <v>13951237.269366411</v>
      </c>
      <c r="Q142">
        <f>Q141/(1+'Study Parameters'!$C$4) ^'Production Cost Baseline'!Q$2</f>
        <v>12977895.134294337</v>
      </c>
      <c r="R142">
        <f>R141/(1+'Study Parameters'!$C$4) ^'Production Cost Baseline'!R$2</f>
        <v>12072460.590041243</v>
      </c>
      <c r="S142">
        <f>S141/(1+'Study Parameters'!$C$4) ^'Production Cost Baseline'!S$2</f>
        <v>11230195.897712786</v>
      </c>
      <c r="T142">
        <f>T141/(1+'Study Parameters'!$C$4) ^'Production Cost Baseline'!T$2</f>
        <v>10446693.858337475</v>
      </c>
      <c r="U142">
        <f>U141/(1+'Study Parameters'!$C$4) ^'Production Cost Baseline'!U$2</f>
        <v>9717854.7519418374</v>
      </c>
      <c r="V142">
        <f>V141/(1+'Study Parameters'!$C$4) ^'Production Cost Baseline'!V$2</f>
        <v>9039864.8855272904</v>
      </c>
      <c r="W142">
        <f>W141/(1+'Study Parameters'!$C$4) ^'Production Cost Baseline'!W$2</f>
        <v>8409176.6376998052</v>
      </c>
      <c r="X142">
        <f>X141/(1+'Study Parameters'!$C$4) ^'Production Cost Baseline'!X$2</f>
        <v>7822489.8955347026</v>
      </c>
      <c r="Y142">
        <f>Y141/(1+'Study Parameters'!$C$4) ^'Production Cost Baseline'!Y$2</f>
        <v>7276734.7865439095</v>
      </c>
      <c r="Z142">
        <f>Z141/(1+'Study Parameters'!$C$4) ^'Production Cost Baseline'!Z$2</f>
        <v>6769055.6153896842</v>
      </c>
      <c r="AA142">
        <f>AA141/(1+'Study Parameters'!$C$4) ^'Production Cost Baseline'!AA$2</f>
        <v>6296795.9212927287</v>
      </c>
    </row>
    <row r="144" spans="1:27" x14ac:dyDescent="0.25">
      <c r="A144" t="s">
        <v>126</v>
      </c>
      <c r="B144">
        <f>SUM(B140:AA140) / SUM(C142:AA142)</f>
        <v>5.1654389241153709</v>
      </c>
    </row>
    <row r="145" spans="1:27" x14ac:dyDescent="0.25">
      <c r="A145" t="s">
        <v>127</v>
      </c>
      <c r="B145">
        <f>B144 * Inputs!$C$15</f>
        <v>4.1478474560646434</v>
      </c>
    </row>
    <row r="147" spans="1:27" x14ac:dyDescent="0.25">
      <c r="A147" s="1" t="s">
        <v>134</v>
      </c>
    </row>
    <row r="148" spans="1:27" x14ac:dyDescent="0.25">
      <c r="A148" t="s">
        <v>120</v>
      </c>
      <c r="B148">
        <f>'Cost Components'!$P$12 * 10^6</f>
        <v>458000000</v>
      </c>
      <c r="C148">
        <f>'Cost Components'!$P$21*10^6</f>
        <v>196348294.00716552</v>
      </c>
      <c r="D148">
        <f>'Cost Components'!$P$21*10^6</f>
        <v>196348294.00716552</v>
      </c>
      <c r="E148">
        <f>'Cost Components'!$P$21*10^6</f>
        <v>196348294.00716552</v>
      </c>
      <c r="F148">
        <f>'Cost Components'!$P$21*10^6</f>
        <v>196348294.00716552</v>
      </c>
      <c r="G148">
        <f>'Cost Components'!$P$21*10^6</f>
        <v>196348294.00716552</v>
      </c>
      <c r="H148">
        <f>'Cost Components'!$P$21*10^6</f>
        <v>196348294.00716552</v>
      </c>
      <c r="I148">
        <f>'Cost Components'!$P$21*10^6</f>
        <v>196348294.00716552</v>
      </c>
      <c r="J148">
        <f>'Cost Components'!$P$21*10^6</f>
        <v>196348294.00716552</v>
      </c>
      <c r="K148">
        <f>'Cost Components'!$P$21*10^6</f>
        <v>196348294.00716552</v>
      </c>
      <c r="L148">
        <f>'Cost Components'!$P$21*10^6</f>
        <v>196348294.00716552</v>
      </c>
      <c r="M148">
        <f>'Cost Components'!$P$21*10^6</f>
        <v>196348294.00716552</v>
      </c>
      <c r="N148">
        <f>'Cost Components'!$P$21*10^6</f>
        <v>196348294.00716552</v>
      </c>
      <c r="O148">
        <f>'Cost Components'!$P$21*10^6</f>
        <v>196348294.00716552</v>
      </c>
      <c r="P148">
        <f>'Cost Components'!$P$21*10^6</f>
        <v>196348294.00716552</v>
      </c>
      <c r="Q148">
        <f>'Cost Components'!$P$21*10^6</f>
        <v>196348294.00716552</v>
      </c>
      <c r="R148">
        <f>'Cost Components'!$P$21*10^6</f>
        <v>196348294.00716552</v>
      </c>
      <c r="S148">
        <f>'Cost Components'!$P$21*10^6</f>
        <v>196348294.00716552</v>
      </c>
      <c r="T148">
        <f>'Cost Components'!$P$21*10^6</f>
        <v>196348294.00716552</v>
      </c>
      <c r="U148">
        <f>'Cost Components'!$P$21*10^6</f>
        <v>196348294.00716552</v>
      </c>
      <c r="V148">
        <f>'Cost Components'!$P$21*10^6</f>
        <v>196348294.00716552</v>
      </c>
      <c r="W148">
        <f>'Cost Components'!$P$21*10^6</f>
        <v>196348294.00716552</v>
      </c>
      <c r="X148">
        <f>'Cost Components'!$P$21*10^6</f>
        <v>196348294.00716552</v>
      </c>
      <c r="Y148">
        <f>'Cost Components'!$P$21*10^6</f>
        <v>196348294.00716552</v>
      </c>
      <c r="Z148">
        <f>'Cost Components'!$P$21*10^6</f>
        <v>196348294.00716552</v>
      </c>
      <c r="AA148">
        <f>'Cost Components'!$P$21*10^6</f>
        <v>196348294.00716552</v>
      </c>
    </row>
    <row r="149" spans="1:27" x14ac:dyDescent="0.25">
      <c r="A149" t="s">
        <v>121</v>
      </c>
      <c r="B149">
        <v>0</v>
      </c>
      <c r="C149">
        <f>'Cost Components'!$P$36 * 10^6</f>
        <v>135200000</v>
      </c>
      <c r="D149">
        <f>'Cost Components'!$P$36 * 10^6</f>
        <v>135200000</v>
      </c>
      <c r="E149">
        <f>'Cost Components'!$P$36 * 10^6</f>
        <v>135200000</v>
      </c>
      <c r="F149">
        <f>'Cost Components'!$P$36 * 10^6</f>
        <v>135200000</v>
      </c>
      <c r="G149">
        <f>'Cost Components'!$P$36 * 10^6</f>
        <v>135200000</v>
      </c>
      <c r="H149">
        <f>'Cost Components'!$P$36 * 10^6</f>
        <v>135200000</v>
      </c>
      <c r="I149">
        <f>'Cost Components'!$P$36 * 10^6</f>
        <v>135200000</v>
      </c>
      <c r="J149">
        <f>'Cost Components'!$P$36 * 10^6</f>
        <v>135200000</v>
      </c>
      <c r="K149">
        <f>'Cost Components'!$P$36 * 10^6</f>
        <v>135200000</v>
      </c>
      <c r="L149">
        <f>'Cost Components'!$P$36 * 10^6</f>
        <v>135200000</v>
      </c>
      <c r="M149">
        <f>'Cost Components'!$P$36 * 10^6</f>
        <v>135200000</v>
      </c>
      <c r="N149">
        <f>'Cost Components'!$P$36 * 10^6</f>
        <v>135200000</v>
      </c>
      <c r="O149">
        <f>'Cost Components'!$P$36 * 10^6</f>
        <v>135200000</v>
      </c>
      <c r="P149">
        <f>'Cost Components'!$P$36 * 10^6</f>
        <v>135200000</v>
      </c>
      <c r="Q149">
        <f>'Cost Components'!$P$36 * 10^6</f>
        <v>135200000</v>
      </c>
      <c r="R149">
        <f>'Cost Components'!$P$36 * 10^6</f>
        <v>135200000</v>
      </c>
      <c r="S149">
        <f>'Cost Components'!$P$36 * 10^6</f>
        <v>135200000</v>
      </c>
      <c r="T149">
        <f>'Cost Components'!$P$36 * 10^6</f>
        <v>135200000</v>
      </c>
      <c r="U149">
        <f>'Cost Components'!$P$36 * 10^6</f>
        <v>135200000</v>
      </c>
      <c r="V149">
        <f>'Cost Components'!$P$36 * 10^6</f>
        <v>135200000</v>
      </c>
      <c r="W149">
        <f>'Cost Components'!$P$36 * 10^6</f>
        <v>135200000</v>
      </c>
      <c r="X149">
        <f>'Cost Components'!$P$36 * 10^6</f>
        <v>135200000</v>
      </c>
      <c r="Y149">
        <f>'Cost Components'!$P$36 * 10^6</f>
        <v>135200000</v>
      </c>
      <c r="Z149">
        <f>'Cost Components'!$P$36 * 10^6</f>
        <v>135200000</v>
      </c>
      <c r="AA149">
        <f>'Cost Components'!$P$36 * 10^6</f>
        <v>135200000</v>
      </c>
    </row>
    <row r="150" spans="1:27" x14ac:dyDescent="0.25">
      <c r="A150" t="s">
        <v>122</v>
      </c>
      <c r="B150">
        <f t="shared" ref="B150:AA150" si="13">B148-B149</f>
        <v>458000000</v>
      </c>
      <c r="C150">
        <f t="shared" si="13"/>
        <v>61148294.007165521</v>
      </c>
      <c r="D150">
        <f t="shared" si="13"/>
        <v>61148294.007165521</v>
      </c>
      <c r="E150">
        <f t="shared" si="13"/>
        <v>61148294.007165521</v>
      </c>
      <c r="F150">
        <f t="shared" si="13"/>
        <v>61148294.007165521</v>
      </c>
      <c r="G150">
        <f t="shared" si="13"/>
        <v>61148294.007165521</v>
      </c>
      <c r="H150">
        <f t="shared" si="13"/>
        <v>61148294.007165521</v>
      </c>
      <c r="I150">
        <f t="shared" si="13"/>
        <v>61148294.007165521</v>
      </c>
      <c r="J150">
        <f t="shared" si="13"/>
        <v>61148294.007165521</v>
      </c>
      <c r="K150">
        <f t="shared" si="13"/>
        <v>61148294.007165521</v>
      </c>
      <c r="L150">
        <f t="shared" si="13"/>
        <v>61148294.007165521</v>
      </c>
      <c r="M150">
        <f t="shared" si="13"/>
        <v>61148294.007165521</v>
      </c>
      <c r="N150">
        <f t="shared" si="13"/>
        <v>61148294.007165521</v>
      </c>
      <c r="O150">
        <f t="shared" si="13"/>
        <v>61148294.007165521</v>
      </c>
      <c r="P150">
        <f t="shared" si="13"/>
        <v>61148294.007165521</v>
      </c>
      <c r="Q150">
        <f t="shared" si="13"/>
        <v>61148294.007165521</v>
      </c>
      <c r="R150">
        <f t="shared" si="13"/>
        <v>61148294.007165521</v>
      </c>
      <c r="S150">
        <f t="shared" si="13"/>
        <v>61148294.007165521</v>
      </c>
      <c r="T150">
        <f t="shared" si="13"/>
        <v>61148294.007165521</v>
      </c>
      <c r="U150">
        <f t="shared" si="13"/>
        <v>61148294.007165521</v>
      </c>
      <c r="V150">
        <f t="shared" si="13"/>
        <v>61148294.007165521</v>
      </c>
      <c r="W150">
        <f t="shared" si="13"/>
        <v>61148294.007165521</v>
      </c>
      <c r="X150">
        <f t="shared" si="13"/>
        <v>61148294.007165521</v>
      </c>
      <c r="Y150">
        <f t="shared" si="13"/>
        <v>61148294.007165521</v>
      </c>
      <c r="Z150">
        <f t="shared" si="13"/>
        <v>61148294.007165521</v>
      </c>
      <c r="AA150">
        <f t="shared" si="13"/>
        <v>61148294.007165521</v>
      </c>
    </row>
    <row r="151" spans="1:27" x14ac:dyDescent="0.25">
      <c r="A151" t="s">
        <v>123</v>
      </c>
      <c r="B151">
        <f>B150/(1+'Study Parameters'!$C$4) ^'Production Cost Baseline'!B$2</f>
        <v>458000000</v>
      </c>
      <c r="C151">
        <f>C150/(1+'Study Parameters'!$C$4) ^'Production Cost Baseline'!C$2</f>
        <v>56882133.960153975</v>
      </c>
      <c r="D151">
        <f>D150/(1+'Study Parameters'!$C$4) ^'Production Cost Baseline'!D$2</f>
        <v>52913612.986189745</v>
      </c>
      <c r="E151">
        <f>E150/(1+'Study Parameters'!$C$4) ^'Production Cost Baseline'!E$2</f>
        <v>49221965.568548605</v>
      </c>
      <c r="F151">
        <f>F150/(1+'Study Parameters'!$C$4) ^'Production Cost Baseline'!F$2</f>
        <v>45787874.947487071</v>
      </c>
      <c r="G151">
        <f>G150/(1+'Study Parameters'!$C$4) ^'Production Cost Baseline'!G$2</f>
        <v>42593372.044174023</v>
      </c>
      <c r="H151">
        <f>H150/(1+'Study Parameters'!$C$4) ^'Production Cost Baseline'!H$2</f>
        <v>39621741.436440952</v>
      </c>
      <c r="I151">
        <f>I150/(1+'Study Parameters'!$C$4) ^'Production Cost Baseline'!I$2</f>
        <v>36857433.894363679</v>
      </c>
      <c r="J151">
        <f>J150/(1+'Study Parameters'!$C$4) ^'Production Cost Baseline'!J$2</f>
        <v>34285985.018012725</v>
      </c>
      <c r="K151">
        <f>K150/(1+'Study Parameters'!$C$4) ^'Production Cost Baseline'!K$2</f>
        <v>31893939.551639743</v>
      </c>
      <c r="L151">
        <f>L150/(1+'Study Parameters'!$C$4) ^'Production Cost Baseline'!L$2</f>
        <v>29668780.978269532</v>
      </c>
      <c r="M151">
        <f>M150/(1+'Study Parameters'!$C$4) ^'Production Cost Baseline'!M$2</f>
        <v>27598866.026297238</v>
      </c>
      <c r="N151">
        <f>N150/(1+'Study Parameters'!$C$4) ^'Production Cost Baseline'!N$2</f>
        <v>25673363.745392781</v>
      </c>
      <c r="O151">
        <f>O150/(1+'Study Parameters'!$C$4) ^'Production Cost Baseline'!O$2</f>
        <v>23882198.832923517</v>
      </c>
      <c r="P151">
        <f>P150/(1+'Study Parameters'!$C$4) ^'Production Cost Baseline'!P$2</f>
        <v>22215998.914347459</v>
      </c>
      <c r="Q151">
        <f>Q150/(1+'Study Parameters'!$C$4) ^'Production Cost Baseline'!Q$2</f>
        <v>20666045.501718566</v>
      </c>
      <c r="R151">
        <f>R150/(1+'Study Parameters'!$C$4) ^'Production Cost Baseline'!R$2</f>
        <v>19224228.373691689</v>
      </c>
      <c r="S151">
        <f>S150/(1+'Study Parameters'!$C$4) ^'Production Cost Baseline'!S$2</f>
        <v>17883003.138317853</v>
      </c>
      <c r="T151">
        <f>T150/(1+'Study Parameters'!$C$4) ^'Production Cost Baseline'!T$2</f>
        <v>16635351.756574748</v>
      </c>
      <c r="U151">
        <f>U150/(1+'Study Parameters'!$C$4) ^'Production Cost Baseline'!U$2</f>
        <v>15474745.820069531</v>
      </c>
      <c r="V151">
        <f>V150/(1+'Study Parameters'!$C$4) ^'Production Cost Baseline'!V$2</f>
        <v>14395112.390762355</v>
      </c>
      <c r="W151">
        <f>W150/(1+'Study Parameters'!$C$4) ^'Production Cost Baseline'!W$2</f>
        <v>13390802.22396498</v>
      </c>
      <c r="X151">
        <f>X150/(1+'Study Parameters'!$C$4) ^'Production Cost Baseline'!X$2</f>
        <v>12456560.208339518</v>
      </c>
      <c r="Y151">
        <f>Y150/(1+'Study Parameters'!$C$4) ^'Production Cost Baseline'!Y$2</f>
        <v>11587497.868222808</v>
      </c>
      <c r="Z151">
        <f>Z150/(1+'Study Parameters'!$C$4) ^'Production Cost Baseline'!Z$2</f>
        <v>10779067.784393311</v>
      </c>
      <c r="AA151">
        <f>AA150/(1+'Study Parameters'!$C$4) ^'Production Cost Baseline'!AA$2</f>
        <v>10027039.799435636</v>
      </c>
    </row>
    <row r="152" spans="1:27" x14ac:dyDescent="0.25">
      <c r="A152" t="s">
        <v>124</v>
      </c>
      <c r="B152">
        <v>0</v>
      </c>
      <c r="C152">
        <f>'Study Parameters'!$C$15*'Study Parameters'!$C$8 * 10^3</f>
        <v>55200000</v>
      </c>
      <c r="D152">
        <f>'Study Parameters'!$C$15*'Study Parameters'!$C$8 * 10^3</f>
        <v>55200000</v>
      </c>
      <c r="E152">
        <f>'Study Parameters'!$C$15*'Study Parameters'!$C$8 * 10^3</f>
        <v>55200000</v>
      </c>
      <c r="F152">
        <f>'Study Parameters'!$C$15*'Study Parameters'!$C$8 * 10^3</f>
        <v>55200000</v>
      </c>
      <c r="G152">
        <f>'Study Parameters'!$C$15*'Study Parameters'!$C$8 * 10^3</f>
        <v>55200000</v>
      </c>
      <c r="H152">
        <f>'Study Parameters'!$C$15*'Study Parameters'!$C$8 * 10^3</f>
        <v>55200000</v>
      </c>
      <c r="I152">
        <f>'Study Parameters'!$C$15*'Study Parameters'!$C$8 * 10^3</f>
        <v>55200000</v>
      </c>
      <c r="J152">
        <f>'Study Parameters'!$C$15*'Study Parameters'!$C$8 * 10^3</f>
        <v>55200000</v>
      </c>
      <c r="K152">
        <f>'Study Parameters'!$C$15*'Study Parameters'!$C$8 * 10^3</f>
        <v>55200000</v>
      </c>
      <c r="L152">
        <f>'Study Parameters'!$C$15*'Study Parameters'!$C$8 * 10^3</f>
        <v>55200000</v>
      </c>
      <c r="M152">
        <f>'Study Parameters'!$C$15*'Study Parameters'!$C$8 * 10^3</f>
        <v>55200000</v>
      </c>
      <c r="N152">
        <f>'Study Parameters'!$C$15*'Study Parameters'!$C$8 * 10^3</f>
        <v>55200000</v>
      </c>
      <c r="O152">
        <f>'Study Parameters'!$C$15*'Study Parameters'!$C$8 * 10^3</f>
        <v>55200000</v>
      </c>
      <c r="P152">
        <f>'Study Parameters'!$C$15*'Study Parameters'!$C$8 * 10^3</f>
        <v>55200000</v>
      </c>
      <c r="Q152">
        <f>'Study Parameters'!$C$15*'Study Parameters'!$C$8 * 10^3</f>
        <v>55200000</v>
      </c>
      <c r="R152">
        <f>'Study Parameters'!$C$15*'Study Parameters'!$C$8 * 10^3</f>
        <v>55200000</v>
      </c>
      <c r="S152">
        <f>'Study Parameters'!$C$15*'Study Parameters'!$C$8 * 10^3</f>
        <v>55200000</v>
      </c>
      <c r="T152">
        <f>'Study Parameters'!$C$15*'Study Parameters'!$C$8 * 10^3</f>
        <v>55200000</v>
      </c>
      <c r="U152">
        <f>'Study Parameters'!$C$15*'Study Parameters'!$C$8 * 10^3</f>
        <v>55200000</v>
      </c>
      <c r="V152">
        <f>'Study Parameters'!$C$15*'Study Parameters'!$C$8 * 10^3</f>
        <v>55200000</v>
      </c>
      <c r="W152">
        <f>'Study Parameters'!$C$15*'Study Parameters'!$C$8 * 10^3</f>
        <v>55200000</v>
      </c>
      <c r="X152">
        <f>'Study Parameters'!$C$15*'Study Parameters'!$C$8 * 10^3</f>
        <v>55200000</v>
      </c>
      <c r="Y152">
        <f>'Study Parameters'!$C$15*'Study Parameters'!$C$8 * 10^3</f>
        <v>55200000</v>
      </c>
      <c r="Z152">
        <f>'Study Parameters'!$C$15*'Study Parameters'!$C$8 * 10^3</f>
        <v>55200000</v>
      </c>
      <c r="AA152">
        <f>'Study Parameters'!$C$15*'Study Parameters'!$C$8 * 10^3</f>
        <v>55200000</v>
      </c>
    </row>
    <row r="153" spans="1:27" x14ac:dyDescent="0.25">
      <c r="A153" t="s">
        <v>125</v>
      </c>
      <c r="B153">
        <f>B152/(1+'Study Parameters'!$C$4) ^'Production Cost Baseline'!B$2</f>
        <v>0</v>
      </c>
      <c r="C153">
        <f>C152/(1+'Study Parameters'!$C$4) ^'Production Cost Baseline'!C$2</f>
        <v>51348837.209302329</v>
      </c>
      <c r="D153">
        <f>D152/(1+'Study Parameters'!$C$4) ^'Production Cost Baseline'!D$2</f>
        <v>47766360.194699839</v>
      </c>
      <c r="E153">
        <f>E152/(1+'Study Parameters'!$C$4) ^'Production Cost Baseline'!E$2</f>
        <v>44433823.43693009</v>
      </c>
      <c r="F153">
        <f>F152/(1+'Study Parameters'!$C$4) ^'Production Cost Baseline'!F$2</f>
        <v>41333789.24365589</v>
      </c>
      <c r="G153">
        <f>G152/(1+'Study Parameters'!$C$4) ^'Production Cost Baseline'!G$2</f>
        <v>38450036.505726412</v>
      </c>
      <c r="H153">
        <f>H152/(1+'Study Parameters'!$C$4) ^'Production Cost Baseline'!H$2</f>
        <v>35767475.819280386</v>
      </c>
      <c r="I153">
        <f>I152/(1+'Study Parameters'!$C$4) ^'Production Cost Baseline'!I$2</f>
        <v>33272070.529563151</v>
      </c>
      <c r="J153">
        <f>J152/(1+'Study Parameters'!$C$4) ^'Production Cost Baseline'!J$2</f>
        <v>30950763.28331456</v>
      </c>
      <c r="K153">
        <f>K152/(1+'Study Parameters'!$C$4) ^'Production Cost Baseline'!K$2</f>
        <v>28791407.705408894</v>
      </c>
      <c r="L153">
        <f>L152/(1+'Study Parameters'!$C$4) ^'Production Cost Baseline'!L$2</f>
        <v>26782704.842240836</v>
      </c>
      <c r="M153">
        <f>M152/(1+'Study Parameters'!$C$4) ^'Production Cost Baseline'!M$2</f>
        <v>24914144.039293796</v>
      </c>
      <c r="N153">
        <f>N152/(1+'Study Parameters'!$C$4) ^'Production Cost Baseline'!N$2</f>
        <v>23175947.943529114</v>
      </c>
      <c r="O153">
        <f>O152/(1+'Study Parameters'!$C$4) ^'Production Cost Baseline'!O$2</f>
        <v>21559021.34281778</v>
      </c>
      <c r="P153">
        <f>P152/(1+'Study Parameters'!$C$4) ^'Production Cost Baseline'!P$2</f>
        <v>20054903.574714214</v>
      </c>
      <c r="Q153">
        <f>Q152/(1+'Study Parameters'!$C$4) ^'Production Cost Baseline'!Q$2</f>
        <v>18655724.255548108</v>
      </c>
      <c r="R153">
        <f>R152/(1+'Study Parameters'!$C$4) ^'Production Cost Baseline'!R$2</f>
        <v>17354162.098184288</v>
      </c>
      <c r="S153">
        <f>S152/(1+'Study Parameters'!$C$4) ^'Production Cost Baseline'!S$2</f>
        <v>16143406.602962129</v>
      </c>
      <c r="T153">
        <f>T152/(1+'Study Parameters'!$C$4) ^'Production Cost Baseline'!T$2</f>
        <v>15017122.42136012</v>
      </c>
      <c r="U153">
        <f>U152/(1+'Study Parameters'!$C$4) ^'Production Cost Baseline'!U$2</f>
        <v>13969416.20591639</v>
      </c>
      <c r="V153">
        <f>V152/(1+'Study Parameters'!$C$4) ^'Production Cost Baseline'!V$2</f>
        <v>12994805.77294548</v>
      </c>
      <c r="W153">
        <f>W152/(1+'Study Parameters'!$C$4) ^'Production Cost Baseline'!W$2</f>
        <v>12088191.41669347</v>
      </c>
      <c r="X153">
        <f>X152/(1+'Study Parameters'!$C$4) ^'Production Cost Baseline'!X$2</f>
        <v>11244829.224831134</v>
      </c>
      <c r="Y153">
        <f>Y152/(1+'Study Parameters'!$C$4) ^'Production Cost Baseline'!Y$2</f>
        <v>10460306.25565687</v>
      </c>
      <c r="Z153">
        <f>Z152/(1+'Study Parameters'!$C$4) ^'Production Cost Baseline'!Z$2</f>
        <v>9730517.4471226707</v>
      </c>
      <c r="AA153">
        <f>AA152/(1+'Study Parameters'!$C$4) ^'Production Cost Baseline'!AA$2</f>
        <v>9051644.1368582975</v>
      </c>
    </row>
    <row r="155" spans="1:27" x14ac:dyDescent="0.25">
      <c r="A155" t="s">
        <v>126</v>
      </c>
      <c r="B155">
        <f>SUM(B151:AA151) / SUM(C153:AA153)</f>
        <v>1.8520974931632403</v>
      </c>
    </row>
    <row r="156" spans="1:27" x14ac:dyDescent="0.25">
      <c r="A156" t="s">
        <v>127</v>
      </c>
      <c r="B156">
        <f>B155 * Inputs!$C$15</f>
        <v>1.4872342870100821</v>
      </c>
    </row>
    <row r="158" spans="1:27" x14ac:dyDescent="0.25">
      <c r="A158" s="1" t="s">
        <v>136</v>
      </c>
    </row>
    <row r="159" spans="1:27" x14ac:dyDescent="0.25">
      <c r="A159" t="s">
        <v>120</v>
      </c>
      <c r="B159">
        <f>'Cost Components'!$Q$12 * 10^6</f>
        <v>454000000</v>
      </c>
      <c r="C159">
        <f>'Cost Components'!$Q$21*10^6</f>
        <v>235192009.97490495</v>
      </c>
      <c r="D159">
        <f>'Cost Components'!$Q$21*10^6</f>
        <v>235192009.97490495</v>
      </c>
      <c r="E159">
        <f>'Cost Components'!$Q$21*10^6</f>
        <v>235192009.97490495</v>
      </c>
      <c r="F159">
        <f>'Cost Components'!$Q$21*10^6</f>
        <v>235192009.97490495</v>
      </c>
      <c r="G159">
        <f>'Cost Components'!$Q$21*10^6</f>
        <v>235192009.97490495</v>
      </c>
      <c r="H159">
        <f>'Cost Components'!$Q$21*10^6</f>
        <v>235192009.97490495</v>
      </c>
      <c r="I159">
        <f>'Cost Components'!$Q$21*10^6</f>
        <v>235192009.97490495</v>
      </c>
      <c r="J159">
        <f>'Cost Components'!$Q$21*10^6</f>
        <v>235192009.97490495</v>
      </c>
      <c r="K159">
        <f>'Cost Components'!$Q$21*10^6</f>
        <v>235192009.97490495</v>
      </c>
      <c r="L159">
        <f>'Cost Components'!$Q$21*10^6</f>
        <v>235192009.97490495</v>
      </c>
      <c r="M159">
        <f>'Cost Components'!$Q$21*10^6</f>
        <v>235192009.97490495</v>
      </c>
      <c r="N159">
        <f>'Cost Components'!$Q$21*10^6</f>
        <v>235192009.97490495</v>
      </c>
      <c r="O159">
        <f>'Cost Components'!$Q$21*10^6</f>
        <v>235192009.97490495</v>
      </c>
      <c r="P159">
        <f>'Cost Components'!$Q$21*10^6</f>
        <v>235192009.97490495</v>
      </c>
      <c r="Q159">
        <f>'Cost Components'!$Q$21*10^6</f>
        <v>235192009.97490495</v>
      </c>
      <c r="R159">
        <f>'Cost Components'!$Q$21*10^6</f>
        <v>235192009.97490495</v>
      </c>
      <c r="S159">
        <f>'Cost Components'!$Q$21*10^6</f>
        <v>235192009.97490495</v>
      </c>
      <c r="T159">
        <f>'Cost Components'!$Q$21*10^6</f>
        <v>235192009.97490495</v>
      </c>
      <c r="U159">
        <f>'Cost Components'!$Q$21*10^6</f>
        <v>235192009.97490495</v>
      </c>
      <c r="V159">
        <f>'Cost Components'!$Q$21*10^6</f>
        <v>235192009.97490495</v>
      </c>
      <c r="W159">
        <f>'Cost Components'!$Q$21*10^6</f>
        <v>235192009.97490495</v>
      </c>
      <c r="X159">
        <f>'Cost Components'!$Q$21*10^6</f>
        <v>235192009.97490495</v>
      </c>
      <c r="Y159">
        <f>'Cost Components'!$Q$21*10^6</f>
        <v>235192009.97490495</v>
      </c>
      <c r="Z159">
        <f>'Cost Components'!$Q$21*10^6</f>
        <v>235192009.97490495</v>
      </c>
      <c r="AA159">
        <f>'Cost Components'!$Q$21*10^6</f>
        <v>235192009.97490495</v>
      </c>
    </row>
    <row r="160" spans="1:27" x14ac:dyDescent="0.25">
      <c r="A160" t="s">
        <v>121</v>
      </c>
      <c r="B160">
        <v>0</v>
      </c>
      <c r="C160">
        <f>'Cost Components'!$Q$36 * 10^6</f>
        <v>133699999.99999999</v>
      </c>
      <c r="D160">
        <f>'Cost Components'!$Q$36 * 10^6</f>
        <v>133699999.99999999</v>
      </c>
      <c r="E160">
        <f>'Cost Components'!$Q$36 * 10^6</f>
        <v>133699999.99999999</v>
      </c>
      <c r="F160">
        <f>'Cost Components'!$Q$36 * 10^6</f>
        <v>133699999.99999999</v>
      </c>
      <c r="G160">
        <f>'Cost Components'!$Q$36 * 10^6</f>
        <v>133699999.99999999</v>
      </c>
      <c r="H160">
        <f>'Cost Components'!$Q$36 * 10^6</f>
        <v>133699999.99999999</v>
      </c>
      <c r="I160">
        <f>'Cost Components'!$Q$36 * 10^6</f>
        <v>133699999.99999999</v>
      </c>
      <c r="J160">
        <f>'Cost Components'!$Q$36 * 10^6</f>
        <v>133699999.99999999</v>
      </c>
      <c r="K160">
        <f>'Cost Components'!$Q$36 * 10^6</f>
        <v>133699999.99999999</v>
      </c>
      <c r="L160">
        <f>'Cost Components'!$Q$36 * 10^6</f>
        <v>133699999.99999999</v>
      </c>
      <c r="M160">
        <f>'Cost Components'!$Q$36 * 10^6</f>
        <v>133699999.99999999</v>
      </c>
      <c r="N160">
        <f>'Cost Components'!$Q$36 * 10^6</f>
        <v>133699999.99999999</v>
      </c>
      <c r="O160">
        <f>'Cost Components'!$Q$36 * 10^6</f>
        <v>133699999.99999999</v>
      </c>
      <c r="P160">
        <f>'Cost Components'!$Q$36 * 10^6</f>
        <v>133699999.99999999</v>
      </c>
      <c r="Q160">
        <f>'Cost Components'!$Q$36 * 10^6</f>
        <v>133699999.99999999</v>
      </c>
      <c r="R160">
        <f>'Cost Components'!$Q$36 * 10^6</f>
        <v>133699999.99999999</v>
      </c>
      <c r="S160">
        <f>'Cost Components'!$Q$36 * 10^6</f>
        <v>133699999.99999999</v>
      </c>
      <c r="T160">
        <f>'Cost Components'!$Q$36 * 10^6</f>
        <v>133699999.99999999</v>
      </c>
      <c r="U160">
        <f>'Cost Components'!$Q$36 * 10^6</f>
        <v>133699999.99999999</v>
      </c>
      <c r="V160">
        <f>'Cost Components'!$Q$36 * 10^6</f>
        <v>133699999.99999999</v>
      </c>
      <c r="W160">
        <f>'Cost Components'!$Q$36 * 10^6</f>
        <v>133699999.99999999</v>
      </c>
      <c r="X160">
        <f>'Cost Components'!$Q$36 * 10^6</f>
        <v>133699999.99999999</v>
      </c>
      <c r="Y160">
        <f>'Cost Components'!$Q$36 * 10^6</f>
        <v>133699999.99999999</v>
      </c>
      <c r="Z160">
        <f>'Cost Components'!$Q$36 * 10^6</f>
        <v>133699999.99999999</v>
      </c>
      <c r="AA160">
        <f>'Cost Components'!$Q$36 * 10^6</f>
        <v>133699999.99999999</v>
      </c>
    </row>
    <row r="161" spans="1:27" x14ac:dyDescent="0.25">
      <c r="A161" t="s">
        <v>122</v>
      </c>
      <c r="B161">
        <f t="shared" ref="B161:AA161" si="14">B159-B160</f>
        <v>454000000</v>
      </c>
      <c r="C161">
        <f t="shared" si="14"/>
        <v>101492009.97490497</v>
      </c>
      <c r="D161">
        <f t="shared" si="14"/>
        <v>101492009.97490497</v>
      </c>
      <c r="E161">
        <f t="shared" si="14"/>
        <v>101492009.97490497</v>
      </c>
      <c r="F161">
        <f t="shared" si="14"/>
        <v>101492009.97490497</v>
      </c>
      <c r="G161">
        <f t="shared" si="14"/>
        <v>101492009.97490497</v>
      </c>
      <c r="H161">
        <f t="shared" si="14"/>
        <v>101492009.97490497</v>
      </c>
      <c r="I161">
        <f t="shared" si="14"/>
        <v>101492009.97490497</v>
      </c>
      <c r="J161">
        <f t="shared" si="14"/>
        <v>101492009.97490497</v>
      </c>
      <c r="K161">
        <f t="shared" si="14"/>
        <v>101492009.97490497</v>
      </c>
      <c r="L161">
        <f t="shared" si="14"/>
        <v>101492009.97490497</v>
      </c>
      <c r="M161">
        <f t="shared" si="14"/>
        <v>101492009.97490497</v>
      </c>
      <c r="N161">
        <f t="shared" si="14"/>
        <v>101492009.97490497</v>
      </c>
      <c r="O161">
        <f t="shared" si="14"/>
        <v>101492009.97490497</v>
      </c>
      <c r="P161">
        <f t="shared" si="14"/>
        <v>101492009.97490497</v>
      </c>
      <c r="Q161">
        <f t="shared" si="14"/>
        <v>101492009.97490497</v>
      </c>
      <c r="R161">
        <f t="shared" si="14"/>
        <v>101492009.97490497</v>
      </c>
      <c r="S161">
        <f t="shared" si="14"/>
        <v>101492009.97490497</v>
      </c>
      <c r="T161">
        <f t="shared" si="14"/>
        <v>101492009.97490497</v>
      </c>
      <c r="U161">
        <f t="shared" si="14"/>
        <v>101492009.97490497</v>
      </c>
      <c r="V161">
        <f t="shared" si="14"/>
        <v>101492009.97490497</v>
      </c>
      <c r="W161">
        <f t="shared" si="14"/>
        <v>101492009.97490497</v>
      </c>
      <c r="X161">
        <f t="shared" si="14"/>
        <v>101492009.97490497</v>
      </c>
      <c r="Y161">
        <f t="shared" si="14"/>
        <v>101492009.97490497</v>
      </c>
      <c r="Z161">
        <f t="shared" si="14"/>
        <v>101492009.97490497</v>
      </c>
      <c r="AA161">
        <f t="shared" si="14"/>
        <v>101492009.97490497</v>
      </c>
    </row>
    <row r="162" spans="1:27" x14ac:dyDescent="0.25">
      <c r="A162" t="s">
        <v>123</v>
      </c>
      <c r="B162">
        <f>B161/(1+'Study Parameters'!$C$4) ^'Production Cost Baseline'!B$2</f>
        <v>454000000</v>
      </c>
      <c r="C162">
        <f>C161/(1+'Study Parameters'!$C$4) ^'Production Cost Baseline'!C$2</f>
        <v>94411172.069679052</v>
      </c>
      <c r="D162">
        <f>D161/(1+'Study Parameters'!$C$4) ^'Production Cost Baseline'!D$2</f>
        <v>87824346.111329347</v>
      </c>
      <c r="E162">
        <f>E161/(1+'Study Parameters'!$C$4) ^'Production Cost Baseline'!E$2</f>
        <v>81697066.150073811</v>
      </c>
      <c r="F162">
        <f>F161/(1+'Study Parameters'!$C$4) ^'Production Cost Baseline'!F$2</f>
        <v>75997270.837277964</v>
      </c>
      <c r="G162">
        <f>G161/(1+'Study Parameters'!$C$4) ^'Production Cost Baseline'!G$2</f>
        <v>70695135.662584156</v>
      </c>
      <c r="H162">
        <f>H161/(1+'Study Parameters'!$C$4) ^'Production Cost Baseline'!H$2</f>
        <v>65762916.89542713</v>
      </c>
      <c r="I162">
        <f>I161/(1+'Study Parameters'!$C$4) ^'Production Cost Baseline'!I$2</f>
        <v>61174806.414350815</v>
      </c>
      <c r="J162">
        <f>J161/(1+'Study Parameters'!$C$4) ^'Production Cost Baseline'!J$2</f>
        <v>56906796.664512388</v>
      </c>
      <c r="K162">
        <f>K161/(1+'Study Parameters'!$C$4) ^'Production Cost Baseline'!K$2</f>
        <v>52936555.036755711</v>
      </c>
      <c r="L162">
        <f>L161/(1+'Study Parameters'!$C$4) ^'Production Cost Baseline'!L$2</f>
        <v>49243307.010935552</v>
      </c>
      <c r="M162">
        <f>M161/(1+'Study Parameters'!$C$4) ^'Production Cost Baseline'!M$2</f>
        <v>45807727.452033065</v>
      </c>
      <c r="N162">
        <f>N161/(1+'Study Parameters'!$C$4) ^'Production Cost Baseline'!N$2</f>
        <v>42611839.490263321</v>
      </c>
      <c r="O162">
        <f>O161/(1+'Study Parameters'!$C$4) ^'Production Cost Baseline'!O$2</f>
        <v>39638920.456058897</v>
      </c>
      <c r="P162">
        <f>P161/(1+'Study Parameters'!$C$4) ^'Production Cost Baseline'!P$2</f>
        <v>36873414.377729215</v>
      </c>
      <c r="Q162">
        <f>Q161/(1+'Study Parameters'!$C$4) ^'Production Cost Baseline'!Q$2</f>
        <v>34300850.583934151</v>
      </c>
      <c r="R162">
        <f>R161/(1+'Study Parameters'!$C$4) ^'Production Cost Baseline'!R$2</f>
        <v>31907767.985055026</v>
      </c>
      <c r="S162">
        <f>S161/(1+'Study Parameters'!$C$4) ^'Production Cost Baseline'!S$2</f>
        <v>29681644.637260493</v>
      </c>
      <c r="T162">
        <f>T161/(1+'Study Parameters'!$C$4) ^'Production Cost Baseline'!T$2</f>
        <v>27610832.220707435</v>
      </c>
      <c r="U162">
        <f>U161/(1+'Study Parameters'!$C$4) ^'Production Cost Baseline'!U$2</f>
        <v>25684495.089030173</v>
      </c>
      <c r="V162">
        <f>V161/(1+'Study Parameters'!$C$4) ^'Production Cost Baseline'!V$2</f>
        <v>23892553.57119086</v>
      </c>
      <c r="W162">
        <f>W161/(1+'Study Parameters'!$C$4) ^'Production Cost Baseline'!W$2</f>
        <v>22225631.229014751</v>
      </c>
      <c r="X162">
        <f>X161/(1+'Study Parameters'!$C$4) ^'Production Cost Baseline'!X$2</f>
        <v>20675005.794432327</v>
      </c>
      <c r="Y162">
        <f>Y161/(1+'Study Parameters'!$C$4) ^'Production Cost Baseline'!Y$2</f>
        <v>19232563.529704489</v>
      </c>
      <c r="Z162">
        <f>Z161/(1+'Study Parameters'!$C$4) ^'Production Cost Baseline'!Z$2</f>
        <v>17890756.771818131</v>
      </c>
      <c r="AA162">
        <f>AA161/(1+'Study Parameters'!$C$4) ^'Production Cost Baseline'!AA$2</f>
        <v>16642564.438900586</v>
      </c>
    </row>
    <row r="163" spans="1:27" x14ac:dyDescent="0.25">
      <c r="A163" t="s">
        <v>124</v>
      </c>
      <c r="B163">
        <v>0</v>
      </c>
      <c r="C163">
        <f>'Study Parameters'!$C$16*'Study Parameters'!$C$8 * 10^3</f>
        <v>54400000</v>
      </c>
      <c r="D163">
        <f>'Study Parameters'!$C$16*'Study Parameters'!$C$8 * 10^3</f>
        <v>54400000</v>
      </c>
      <c r="E163">
        <f>'Study Parameters'!$C$16*'Study Parameters'!$C$8 * 10^3</f>
        <v>54400000</v>
      </c>
      <c r="F163">
        <f>'Study Parameters'!$C$16*'Study Parameters'!$C$8 * 10^3</f>
        <v>54400000</v>
      </c>
      <c r="G163">
        <f>'Study Parameters'!$C$16*'Study Parameters'!$C$8 * 10^3</f>
        <v>54400000</v>
      </c>
      <c r="H163">
        <f>'Study Parameters'!$C$16*'Study Parameters'!$C$8 * 10^3</f>
        <v>54400000</v>
      </c>
      <c r="I163">
        <f>'Study Parameters'!$C$16*'Study Parameters'!$C$8 * 10^3</f>
        <v>54400000</v>
      </c>
      <c r="J163">
        <f>'Study Parameters'!$C$16*'Study Parameters'!$C$8 * 10^3</f>
        <v>54400000</v>
      </c>
      <c r="K163">
        <f>'Study Parameters'!$C$16*'Study Parameters'!$C$8 * 10^3</f>
        <v>54400000</v>
      </c>
      <c r="L163">
        <f>'Study Parameters'!$C$16*'Study Parameters'!$C$8 * 10^3</f>
        <v>54400000</v>
      </c>
      <c r="M163">
        <f>'Study Parameters'!$C$16*'Study Parameters'!$C$8 * 10^3</f>
        <v>54400000</v>
      </c>
      <c r="N163">
        <f>'Study Parameters'!$C$16*'Study Parameters'!$C$8 * 10^3</f>
        <v>54400000</v>
      </c>
      <c r="O163">
        <f>'Study Parameters'!$C$16*'Study Parameters'!$C$8 * 10^3</f>
        <v>54400000</v>
      </c>
      <c r="P163">
        <f>'Study Parameters'!$C$16*'Study Parameters'!$C$8 * 10^3</f>
        <v>54400000</v>
      </c>
      <c r="Q163">
        <f>'Study Parameters'!$C$16*'Study Parameters'!$C$8 * 10^3</f>
        <v>54400000</v>
      </c>
      <c r="R163">
        <f>'Study Parameters'!$C$16*'Study Parameters'!$C$8 * 10^3</f>
        <v>54400000</v>
      </c>
      <c r="S163">
        <f>'Study Parameters'!$C$16*'Study Parameters'!$C$8 * 10^3</f>
        <v>54400000</v>
      </c>
      <c r="T163">
        <f>'Study Parameters'!$C$16*'Study Parameters'!$C$8 * 10^3</f>
        <v>54400000</v>
      </c>
      <c r="U163">
        <f>'Study Parameters'!$C$16*'Study Parameters'!$C$8 * 10^3</f>
        <v>54400000</v>
      </c>
      <c r="V163">
        <f>'Study Parameters'!$C$16*'Study Parameters'!$C$8 * 10^3</f>
        <v>54400000</v>
      </c>
      <c r="W163">
        <f>'Study Parameters'!$C$16*'Study Parameters'!$C$8 * 10^3</f>
        <v>54400000</v>
      </c>
      <c r="X163">
        <f>'Study Parameters'!$C$16*'Study Parameters'!$C$8 * 10^3</f>
        <v>54400000</v>
      </c>
      <c r="Y163">
        <f>'Study Parameters'!$C$16*'Study Parameters'!$C$8 * 10^3</f>
        <v>54400000</v>
      </c>
      <c r="Z163">
        <f>'Study Parameters'!$C$16*'Study Parameters'!$C$8 * 10^3</f>
        <v>54400000</v>
      </c>
      <c r="AA163">
        <f>'Study Parameters'!$C$16*'Study Parameters'!$C$8 * 10^3</f>
        <v>54400000</v>
      </c>
    </row>
    <row r="164" spans="1:27" x14ac:dyDescent="0.25">
      <c r="A164" t="s">
        <v>125</v>
      </c>
      <c r="B164">
        <f>B163/(1+'Study Parameters'!$C$4) ^'Production Cost Baseline'!B$2</f>
        <v>0</v>
      </c>
      <c r="C164">
        <f>C163/(1+'Study Parameters'!$C$4) ^'Production Cost Baseline'!C$2</f>
        <v>50604651.162790701</v>
      </c>
      <c r="D164">
        <f>D163/(1+'Study Parameters'!$C$4) ^'Production Cost Baseline'!D$2</f>
        <v>47074094.104921587</v>
      </c>
      <c r="E164">
        <f>E163/(1+'Study Parameters'!$C$4) ^'Production Cost Baseline'!E$2</f>
        <v>43789854.981322408</v>
      </c>
      <c r="F164">
        <f>F163/(1+'Study Parameters'!$C$4) ^'Production Cost Baseline'!F$2</f>
        <v>40734748.819834791</v>
      </c>
      <c r="G164">
        <f>G163/(1+'Study Parameters'!$C$4) ^'Production Cost Baseline'!G$2</f>
        <v>37892789.599846318</v>
      </c>
      <c r="H164">
        <f>H163/(1+'Study Parameters'!$C$4) ^'Production Cost Baseline'!H$2</f>
        <v>35249106.604508206</v>
      </c>
      <c r="I164">
        <f>I163/(1+'Study Parameters'!$C$4) ^'Production Cost Baseline'!I$2</f>
        <v>32789866.608844843</v>
      </c>
      <c r="J164">
        <f>J163/(1+'Study Parameters'!$C$4) ^'Production Cost Baseline'!J$2</f>
        <v>30502201.496599857</v>
      </c>
      <c r="K164">
        <f>K163/(1+'Study Parameters'!$C$4) ^'Production Cost Baseline'!K$2</f>
        <v>28374140.927069634</v>
      </c>
      <c r="L164">
        <f>L163/(1+'Study Parameters'!$C$4) ^'Production Cost Baseline'!L$2</f>
        <v>26394549.699599665</v>
      </c>
      <c r="M164">
        <f>M163/(1+'Study Parameters'!$C$4) ^'Production Cost Baseline'!M$2</f>
        <v>24553069.487999685</v>
      </c>
      <c r="N164">
        <f>N163/(1+'Study Parameters'!$C$4) ^'Production Cost Baseline'!N$2</f>
        <v>22840064.639999706</v>
      </c>
      <c r="O164">
        <f>O163/(1+'Study Parameters'!$C$4) ^'Production Cost Baseline'!O$2</f>
        <v>21246571.75813926</v>
      </c>
      <c r="P164">
        <f>P163/(1+'Study Parameters'!$C$4) ^'Production Cost Baseline'!P$2</f>
        <v>19764252.798269082</v>
      </c>
      <c r="Q164">
        <f>Q163/(1+'Study Parameters'!$C$4) ^'Production Cost Baseline'!Q$2</f>
        <v>18385351.440250307</v>
      </c>
      <c r="R164">
        <f>R163/(1+'Study Parameters'!$C$4) ^'Production Cost Baseline'!R$2</f>
        <v>17102652.502558429</v>
      </c>
      <c r="S164">
        <f>S163/(1+'Study Parameters'!$C$4) ^'Production Cost Baseline'!S$2</f>
        <v>15909444.188426446</v>
      </c>
      <c r="T164">
        <f>T163/(1+'Study Parameters'!$C$4) ^'Production Cost Baseline'!T$2</f>
        <v>14799482.96597809</v>
      </c>
      <c r="U164">
        <f>U163/(1+'Study Parameters'!$C$4) ^'Production Cost Baseline'!U$2</f>
        <v>13766960.898584269</v>
      </c>
      <c r="V164">
        <f>V163/(1+'Study Parameters'!$C$4) ^'Production Cost Baseline'!V$2</f>
        <v>12806475.254496995</v>
      </c>
      <c r="W164">
        <f>W163/(1+'Study Parameters'!$C$4) ^'Production Cost Baseline'!W$2</f>
        <v>11913000.23674139</v>
      </c>
      <c r="X164">
        <f>X163/(1+'Study Parameters'!$C$4) ^'Production Cost Baseline'!X$2</f>
        <v>11081860.685340829</v>
      </c>
      <c r="Y164">
        <f>Y163/(1+'Study Parameters'!$C$4) ^'Production Cost Baseline'!Y$2</f>
        <v>10308707.614270538</v>
      </c>
      <c r="Z164">
        <f>Z163/(1+'Study Parameters'!$C$4) ^'Production Cost Baseline'!Z$2</f>
        <v>9589495.4551353846</v>
      </c>
      <c r="AA164">
        <f>AA163/(1+'Study Parameters'!$C$4) ^'Production Cost Baseline'!AA$2</f>
        <v>8920460.8884980325</v>
      </c>
    </row>
    <row r="166" spans="1:27" x14ac:dyDescent="0.25">
      <c r="A166" t="s">
        <v>126</v>
      </c>
      <c r="B166">
        <f>SUM(B162:AA162) / SUM(C164:AA164)</f>
        <v>2.6143502739660383</v>
      </c>
    </row>
    <row r="167" spans="1:27" x14ac:dyDescent="0.25">
      <c r="A167" t="s">
        <v>127</v>
      </c>
      <c r="B167">
        <f>B166 * Inputs!$C$15</f>
        <v>2.0993232699947288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12"/>
  <sheetViews>
    <sheetView topLeftCell="A15" workbookViewId="0">
      <selection activeCell="C15" sqref="C15"/>
    </sheetView>
  </sheetViews>
  <sheetFormatPr defaultColWidth="11" defaultRowHeight="15.75" x14ac:dyDescent="0.25"/>
  <cols>
    <col min="1" max="1" width="27.375" bestFit="1" customWidth="1"/>
    <col min="2" max="3" width="11.125" bestFit="1" customWidth="1"/>
  </cols>
  <sheetData>
    <row r="1" spans="1:27" x14ac:dyDescent="0.25">
      <c r="A1">
        <v>2021</v>
      </c>
    </row>
    <row r="2" spans="1:27" x14ac:dyDescent="0.25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</row>
    <row r="3" spans="1:27" x14ac:dyDescent="0.25">
      <c r="A3" s="1" t="s">
        <v>128</v>
      </c>
    </row>
    <row r="4" spans="1:27" x14ac:dyDescent="0.25">
      <c r="A4" t="s">
        <v>120</v>
      </c>
      <c r="B4">
        <f>'Cost Components'!$B$12 * 10^6</f>
        <v>1870760000</v>
      </c>
      <c r="C4">
        <f>('Cost Components'!$B$21  + 'Cost Components'!$B$40) * 10^6</f>
        <v>272538856.00618696</v>
      </c>
      <c r="D4">
        <f>('Cost Components'!$B$21  + 'Cost Components'!$B$40) * 10^6</f>
        <v>272538856.00618696</v>
      </c>
      <c r="E4">
        <f>('Cost Components'!$B$21  + 'Cost Components'!$B$40) * 10^6</f>
        <v>272538856.00618696</v>
      </c>
      <c r="F4">
        <f>('Cost Components'!$B$21  + 'Cost Components'!$B$40) * 10^6</f>
        <v>272538856.00618696</v>
      </c>
      <c r="G4">
        <f>('Cost Components'!$B$21  + 'Cost Components'!$B$40) * 10^6</f>
        <v>272538856.00618696</v>
      </c>
      <c r="H4">
        <f>('Cost Components'!$B$21  + 'Cost Components'!$B$40) * 10^6</f>
        <v>272538856.00618696</v>
      </c>
      <c r="I4">
        <f>('Cost Components'!$B$21  + 'Cost Components'!$B$40) * 10^6</f>
        <v>272538856.00618696</v>
      </c>
      <c r="J4">
        <f>('Cost Components'!$B$21  + 'Cost Components'!$B$40) * 10^6</f>
        <v>272538856.00618696</v>
      </c>
      <c r="K4">
        <f>('Cost Components'!$B$21  + 'Cost Components'!$B$40) * 10^6</f>
        <v>272538856.00618696</v>
      </c>
      <c r="L4">
        <f>('Cost Components'!$B$21  + 'Cost Components'!$B$40) * 10^6</f>
        <v>272538856.00618696</v>
      </c>
      <c r="M4">
        <f>('Cost Components'!$B$21  + 'Cost Components'!$B$40) * 10^6</f>
        <v>272538856.00618696</v>
      </c>
      <c r="N4">
        <f>('Cost Components'!$B$21  + 'Cost Components'!$B$40) * 10^6</f>
        <v>272538856.00618696</v>
      </c>
      <c r="O4">
        <f>('Cost Components'!$B$21  + 'Cost Components'!$B$40) * 10^6</f>
        <v>272538856.00618696</v>
      </c>
      <c r="P4">
        <f>('Cost Components'!$B$21  + 'Cost Components'!$B$40) * 10^6</f>
        <v>272538856.00618696</v>
      </c>
      <c r="Q4">
        <f>('Cost Components'!$B$21  + 'Cost Components'!$B$40) * 10^6</f>
        <v>272538856.00618696</v>
      </c>
      <c r="R4">
        <f>('Cost Components'!$B$21  + 'Cost Components'!$B$40) * 10^6</f>
        <v>272538856.00618696</v>
      </c>
      <c r="S4">
        <f>('Cost Components'!$B$21  + 'Cost Components'!$B$40) * 10^6</f>
        <v>272538856.00618696</v>
      </c>
      <c r="T4">
        <f>('Cost Components'!$B$21  + 'Cost Components'!$B$40) * 10^6</f>
        <v>272538856.00618696</v>
      </c>
      <c r="U4">
        <f>('Cost Components'!$B$21  + 'Cost Components'!$B$40) * 10^6</f>
        <v>272538856.00618696</v>
      </c>
      <c r="V4">
        <f>('Cost Components'!$B$21  + 'Cost Components'!$B$40) * 10^6</f>
        <v>272538856.00618696</v>
      </c>
      <c r="W4">
        <f>('Cost Components'!$B$21  + 'Cost Components'!$B$40) * 10^6</f>
        <v>272538856.00618696</v>
      </c>
      <c r="X4">
        <f>('Cost Components'!$B$21  + 'Cost Components'!$B$40) * 10^6</f>
        <v>272538856.00618696</v>
      </c>
      <c r="Y4">
        <f>('Cost Components'!$B$21  + 'Cost Components'!$B$40) * 10^6</f>
        <v>272538856.00618696</v>
      </c>
      <c r="Z4">
        <f>('Cost Components'!$B$21  + 'Cost Components'!$B$40) * 10^6</f>
        <v>272538856.00618696</v>
      </c>
      <c r="AA4">
        <f>('Cost Components'!$B$21  + 'Cost Components'!$B$40) * 10^6</f>
        <v>272538856.00618696</v>
      </c>
    </row>
    <row r="5" spans="1:27" x14ac:dyDescent="0.25">
      <c r="A5" t="s">
        <v>121</v>
      </c>
      <c r="B5">
        <v>0</v>
      </c>
      <c r="C5">
        <f>'Cost Components'!$B$36*10^6</f>
        <v>56800000</v>
      </c>
      <c r="D5">
        <f>'Cost Components'!$B$36*10^6</f>
        <v>56800000</v>
      </c>
      <c r="E5">
        <f>'Cost Components'!$B$36*10^6</f>
        <v>56800000</v>
      </c>
      <c r="F5">
        <f>'Cost Components'!$B$36*10^6</f>
        <v>56800000</v>
      </c>
      <c r="G5">
        <f>'Cost Components'!$B$36*10^6</f>
        <v>56800000</v>
      </c>
      <c r="H5">
        <f>'Cost Components'!$B$36*10^6</f>
        <v>56800000</v>
      </c>
      <c r="I5">
        <f>'Cost Components'!$B$36*10^6</f>
        <v>56800000</v>
      </c>
      <c r="J5">
        <f>'Cost Components'!$B$36*10^6</f>
        <v>56800000</v>
      </c>
      <c r="K5">
        <f>'Cost Components'!$B$36*10^6</f>
        <v>56800000</v>
      </c>
      <c r="L5">
        <f>'Cost Components'!$B$36*10^6</f>
        <v>56800000</v>
      </c>
      <c r="M5">
        <f>'Cost Components'!$B$36*10^6</f>
        <v>56800000</v>
      </c>
      <c r="N5">
        <f>'Cost Components'!$B$36*10^6</f>
        <v>56800000</v>
      </c>
      <c r="O5">
        <f>'Cost Components'!$B$36*10^6</f>
        <v>56800000</v>
      </c>
      <c r="P5">
        <f>'Cost Components'!$B$36*10^6</f>
        <v>56800000</v>
      </c>
      <c r="Q5">
        <f>'Cost Components'!$B$36*10^6</f>
        <v>56800000</v>
      </c>
      <c r="R5">
        <f>'Cost Components'!$B$36*10^6</f>
        <v>56800000</v>
      </c>
      <c r="S5">
        <f>'Cost Components'!$B$36*10^6</f>
        <v>56800000</v>
      </c>
      <c r="T5">
        <f>'Cost Components'!$B$36*10^6</f>
        <v>56800000</v>
      </c>
      <c r="U5">
        <f>'Cost Components'!$B$36*10^6</f>
        <v>56800000</v>
      </c>
      <c r="V5">
        <f>'Cost Components'!$B$36*10^6</f>
        <v>56800000</v>
      </c>
      <c r="W5">
        <f>'Cost Components'!$B$36*10^6</f>
        <v>56800000</v>
      </c>
      <c r="X5">
        <f>'Cost Components'!$B$36*10^6</f>
        <v>56800000</v>
      </c>
      <c r="Y5">
        <f>'Cost Components'!$B$36*10^6</f>
        <v>56800000</v>
      </c>
      <c r="Z5">
        <f>'Cost Components'!$B$36*10^6</f>
        <v>56800000</v>
      </c>
      <c r="AA5">
        <f>'Cost Components'!$B$36*10^6</f>
        <v>56800000</v>
      </c>
    </row>
    <row r="6" spans="1:27" x14ac:dyDescent="0.25">
      <c r="A6" t="s">
        <v>122</v>
      </c>
      <c r="B6">
        <f t="shared" ref="B6:AA6" si="0">B4-B5</f>
        <v>1870760000</v>
      </c>
      <c r="C6">
        <f t="shared" si="0"/>
        <v>215738856.00618696</v>
      </c>
      <c r="D6">
        <f t="shared" si="0"/>
        <v>215738856.00618696</v>
      </c>
      <c r="E6">
        <f t="shared" si="0"/>
        <v>215738856.00618696</v>
      </c>
      <c r="F6">
        <f t="shared" si="0"/>
        <v>215738856.00618696</v>
      </c>
      <c r="G6">
        <f t="shared" si="0"/>
        <v>215738856.00618696</v>
      </c>
      <c r="H6">
        <f t="shared" si="0"/>
        <v>215738856.00618696</v>
      </c>
      <c r="I6">
        <f t="shared" si="0"/>
        <v>215738856.00618696</v>
      </c>
      <c r="J6">
        <f t="shared" si="0"/>
        <v>215738856.00618696</v>
      </c>
      <c r="K6">
        <f t="shared" si="0"/>
        <v>215738856.00618696</v>
      </c>
      <c r="L6">
        <f t="shared" si="0"/>
        <v>215738856.00618696</v>
      </c>
      <c r="M6">
        <f t="shared" si="0"/>
        <v>215738856.00618696</v>
      </c>
      <c r="N6">
        <f t="shared" si="0"/>
        <v>215738856.00618696</v>
      </c>
      <c r="O6">
        <f t="shared" si="0"/>
        <v>215738856.00618696</v>
      </c>
      <c r="P6">
        <f t="shared" si="0"/>
        <v>215738856.00618696</v>
      </c>
      <c r="Q6">
        <f t="shared" si="0"/>
        <v>215738856.00618696</v>
      </c>
      <c r="R6">
        <f t="shared" si="0"/>
        <v>215738856.00618696</v>
      </c>
      <c r="S6">
        <f t="shared" si="0"/>
        <v>215738856.00618696</v>
      </c>
      <c r="T6">
        <f t="shared" si="0"/>
        <v>215738856.00618696</v>
      </c>
      <c r="U6">
        <f t="shared" si="0"/>
        <v>215738856.00618696</v>
      </c>
      <c r="V6">
        <f t="shared" si="0"/>
        <v>215738856.00618696</v>
      </c>
      <c r="W6">
        <f t="shared" si="0"/>
        <v>215738856.00618696</v>
      </c>
      <c r="X6">
        <f t="shared" si="0"/>
        <v>215738856.00618696</v>
      </c>
      <c r="Y6">
        <f t="shared" si="0"/>
        <v>215738856.00618696</v>
      </c>
      <c r="Z6">
        <f t="shared" si="0"/>
        <v>215738856.00618696</v>
      </c>
      <c r="AA6">
        <f t="shared" si="0"/>
        <v>215738856.00618696</v>
      </c>
    </row>
    <row r="7" spans="1:27" x14ac:dyDescent="0.25">
      <c r="A7" t="s">
        <v>123</v>
      </c>
      <c r="B7">
        <f>B6/(1+'Study Parameters'!$C$4) ^'Production Cost Baseline'!B$2</f>
        <v>1870760000</v>
      </c>
      <c r="C7">
        <f>C6/(1+'Study Parameters'!$C$4) ^'Production Cost Baseline'!C$2</f>
        <v>200687307.91273206</v>
      </c>
      <c r="D7">
        <f>D6/(1+'Study Parameters'!$C$4) ^'Production Cost Baseline'!D$2</f>
        <v>186685867.82579729</v>
      </c>
      <c r="E7">
        <f>E6/(1+'Study Parameters'!$C$4) ^'Production Cost Baseline'!E$2</f>
        <v>173661272.39609051</v>
      </c>
      <c r="F7">
        <f>F6/(1+'Study Parameters'!$C$4) ^'Production Cost Baseline'!F$2</f>
        <v>161545369.67078185</v>
      </c>
      <c r="G7">
        <f>G6/(1+'Study Parameters'!$C$4) ^'Production Cost Baseline'!G$2</f>
        <v>150274762.48444822</v>
      </c>
      <c r="H7">
        <f>H6/(1+'Study Parameters'!$C$4) ^'Production Cost Baseline'!H$2</f>
        <v>139790476.72971931</v>
      </c>
      <c r="I7">
        <f>I6/(1+'Study Parameters'!$C$4) ^'Production Cost Baseline'!I$2</f>
        <v>130037652.7718319</v>
      </c>
      <c r="J7">
        <f>J6/(1+'Study Parameters'!$C$4) ^'Production Cost Baseline'!J$2</f>
        <v>120965258.39240178</v>
      </c>
      <c r="K7">
        <f>K6/(1+'Study Parameters'!$C$4) ^'Production Cost Baseline'!K$2</f>
        <v>112525821.76037374</v>
      </c>
      <c r="L7">
        <f>L6/(1+'Study Parameters'!$C$4) ^'Production Cost Baseline'!L$2</f>
        <v>104675183.03290583</v>
      </c>
      <c r="M7">
        <f>M6/(1+'Study Parameters'!$C$4) ^'Production Cost Baseline'!M$2</f>
        <v>97372263.286424011</v>
      </c>
      <c r="N7">
        <f>N6/(1+'Study Parameters'!$C$4) ^'Production Cost Baseline'!N$2</f>
        <v>90578849.568766534</v>
      </c>
      <c r="O7">
        <f>O6/(1+'Study Parameters'!$C$4) ^'Production Cost Baseline'!O$2</f>
        <v>84259394.947689787</v>
      </c>
      <c r="P7">
        <f>P6/(1+'Study Parameters'!$C$4) ^'Production Cost Baseline'!P$2</f>
        <v>78380832.509478882</v>
      </c>
      <c r="Q7">
        <f>Q6/(1+'Study Parameters'!$C$4) ^'Production Cost Baseline'!Q$2</f>
        <v>72912402.334398955</v>
      </c>
      <c r="R7">
        <f>R6/(1+'Study Parameters'!$C$4) ^'Production Cost Baseline'!R$2</f>
        <v>67825490.543626949</v>
      </c>
      <c r="S7">
        <f>S6/(1+'Study Parameters'!$C$4) ^'Production Cost Baseline'!S$2</f>
        <v>63093479.575466931</v>
      </c>
      <c r="T7">
        <f>T6/(1+'Study Parameters'!$C$4) ^'Production Cost Baseline'!T$2</f>
        <v>58691608.907411098</v>
      </c>
      <c r="U7">
        <f>U6/(1+'Study Parameters'!$C$4) ^'Production Cost Baseline'!U$2</f>
        <v>54596845.49526614</v>
      </c>
      <c r="V7">
        <f>V6/(1+'Study Parameters'!$C$4) ^'Production Cost Baseline'!V$2</f>
        <v>50787763.251410365</v>
      </c>
      <c r="W7">
        <f>W6/(1+'Study Parameters'!$C$4) ^'Production Cost Baseline'!W$2</f>
        <v>47244430.93154452</v>
      </c>
      <c r="X7">
        <f>X6/(1+'Study Parameters'!$C$4) ^'Production Cost Baseline'!X$2</f>
        <v>43948307.843297228</v>
      </c>
      <c r="Y7">
        <f>Y6/(1+'Study Parameters'!$C$4) ^'Production Cost Baseline'!Y$2</f>
        <v>40882146.830974169</v>
      </c>
      <c r="Z7">
        <f>Z6/(1+'Study Parameters'!$C$4) ^'Production Cost Baseline'!Z$2</f>
        <v>38029904.028813183</v>
      </c>
      <c r="AA7">
        <f>AA6/(1+'Study Parameters'!$C$4) ^'Production Cost Baseline'!AA$2</f>
        <v>35376654.910523891</v>
      </c>
    </row>
    <row r="8" spans="1:27" x14ac:dyDescent="0.25">
      <c r="A8" t="s">
        <v>124</v>
      </c>
      <c r="B8">
        <v>0</v>
      </c>
      <c r="C8">
        <f>'Study Parameters'!$C$12*'Study Parameters'!$C$8 * 10^3</f>
        <v>69600000</v>
      </c>
      <c r="D8">
        <f>'Study Parameters'!$C$12*'Study Parameters'!$C$8 * 10^3</f>
        <v>69600000</v>
      </c>
      <c r="E8">
        <f>'Study Parameters'!$C$12*'Study Parameters'!$C$8 * 10^3</f>
        <v>69600000</v>
      </c>
      <c r="F8">
        <f>'Study Parameters'!$C$12*'Study Parameters'!$C$8 * 10^3</f>
        <v>69600000</v>
      </c>
      <c r="G8">
        <f>'Study Parameters'!$C$12*'Study Parameters'!$C$8 * 10^3</f>
        <v>69600000</v>
      </c>
      <c r="H8">
        <f>'Study Parameters'!$C$12*'Study Parameters'!$C$8 * 10^3</f>
        <v>69600000</v>
      </c>
      <c r="I8">
        <f>'Study Parameters'!$C$12*'Study Parameters'!$C$8 * 10^3</f>
        <v>69600000</v>
      </c>
      <c r="J8">
        <f>'Study Parameters'!$C$12*'Study Parameters'!$C$8 * 10^3</f>
        <v>69600000</v>
      </c>
      <c r="K8">
        <f>'Study Parameters'!$C$12*'Study Parameters'!$C$8 * 10^3</f>
        <v>69600000</v>
      </c>
      <c r="L8">
        <f>'Study Parameters'!$C$12*'Study Parameters'!$C$8 * 10^3</f>
        <v>69600000</v>
      </c>
      <c r="M8">
        <f>'Study Parameters'!$C$12*'Study Parameters'!$C$8 * 10^3</f>
        <v>69600000</v>
      </c>
      <c r="N8">
        <f>'Study Parameters'!$C$12*'Study Parameters'!$C$8 * 10^3</f>
        <v>69600000</v>
      </c>
      <c r="O8">
        <f>'Study Parameters'!$C$12*'Study Parameters'!$C$8 * 10^3</f>
        <v>69600000</v>
      </c>
      <c r="P8">
        <f>'Study Parameters'!$C$12*'Study Parameters'!$C$8 * 10^3</f>
        <v>69600000</v>
      </c>
      <c r="Q8">
        <f>'Study Parameters'!$C$12*'Study Parameters'!$C$8 * 10^3</f>
        <v>69600000</v>
      </c>
      <c r="R8">
        <f>'Study Parameters'!$C$12*'Study Parameters'!$C$8 * 10^3</f>
        <v>69600000</v>
      </c>
      <c r="S8">
        <f>'Study Parameters'!$C$12*'Study Parameters'!$C$8 * 10^3</f>
        <v>69600000</v>
      </c>
      <c r="T8">
        <f>'Study Parameters'!$C$12*'Study Parameters'!$C$8 * 10^3</f>
        <v>69600000</v>
      </c>
      <c r="U8">
        <f>'Study Parameters'!$C$12*'Study Parameters'!$C$8 * 10^3</f>
        <v>69600000</v>
      </c>
      <c r="V8">
        <f>'Study Parameters'!$C$12*'Study Parameters'!$C$8 * 10^3</f>
        <v>69600000</v>
      </c>
      <c r="W8">
        <f>'Study Parameters'!$C$12*'Study Parameters'!$C$8 * 10^3</f>
        <v>69600000</v>
      </c>
      <c r="X8">
        <f>'Study Parameters'!$C$12*'Study Parameters'!$C$8 * 10^3</f>
        <v>69600000</v>
      </c>
      <c r="Y8">
        <f>'Study Parameters'!$C$12*'Study Parameters'!$C$8 * 10^3</f>
        <v>69600000</v>
      </c>
      <c r="Z8">
        <f>'Study Parameters'!$C$12*'Study Parameters'!$C$8 * 10^3</f>
        <v>69600000</v>
      </c>
      <c r="AA8">
        <f>'Study Parameters'!$C$12*'Study Parameters'!$C$8 * 10^3</f>
        <v>69600000</v>
      </c>
    </row>
    <row r="9" spans="1:27" x14ac:dyDescent="0.25">
      <c r="A9" t="s">
        <v>125</v>
      </c>
      <c r="B9">
        <v>0</v>
      </c>
      <c r="C9">
        <f>C8/(1+'Study Parameters'!$C$4) ^'Production Cost Baseline'!C$2</f>
        <v>64744186.046511628</v>
      </c>
      <c r="D9">
        <f>D8/(1+'Study Parameters'!$C$4) ^'Production Cost Baseline'!D$2</f>
        <v>60227149.810708493</v>
      </c>
      <c r="E9">
        <f>E8/(1+'Study Parameters'!$C$4) ^'Production Cost Baseline'!E$2</f>
        <v>56025255.637868367</v>
      </c>
      <c r="F9">
        <f>F8/(1+'Study Parameters'!$C$4) ^'Production Cost Baseline'!F$2</f>
        <v>52116516.872435689</v>
      </c>
      <c r="G9">
        <f>G8/(1+'Study Parameters'!$C$4) ^'Production Cost Baseline'!G$2</f>
        <v>48480480.811568081</v>
      </c>
      <c r="H9">
        <f>H8/(1+'Study Parameters'!$C$4) ^'Production Cost Baseline'!H$2</f>
        <v>45098121.685179621</v>
      </c>
      <c r="I9">
        <f>I8/(1+'Study Parameters'!$C$4) ^'Production Cost Baseline'!I$2</f>
        <v>41951741.102492668</v>
      </c>
      <c r="J9">
        <f>J8/(1+'Study Parameters'!$C$4) ^'Production Cost Baseline'!J$2</f>
        <v>39024875.444179229</v>
      </c>
      <c r="K9">
        <f>K8/(1+'Study Parameters'!$C$4) ^'Production Cost Baseline'!K$2</f>
        <v>36302209.715515561</v>
      </c>
      <c r="L9">
        <f>L8/(1+'Study Parameters'!$C$4) ^'Production Cost Baseline'!L$2</f>
        <v>33769497.409781925</v>
      </c>
      <c r="M9">
        <f>M8/(1+'Study Parameters'!$C$4) ^'Production Cost Baseline'!M$2</f>
        <v>31413485.96258783</v>
      </c>
      <c r="N9">
        <f>N8/(1+'Study Parameters'!$C$4) ^'Production Cost Baseline'!N$2</f>
        <v>29221847.407058448</v>
      </c>
      <c r="O9">
        <f>O8/(1+'Study Parameters'!$C$4) ^'Production Cost Baseline'!O$2</f>
        <v>27183113.867031112</v>
      </c>
      <c r="P9">
        <f>P8/(1+'Study Parameters'!$C$4) ^'Production Cost Baseline'!P$2</f>
        <v>25286617.550726619</v>
      </c>
      <c r="Q9">
        <f>Q8/(1+'Study Parameters'!$C$4) ^'Production Cost Baseline'!Q$2</f>
        <v>23522434.930908483</v>
      </c>
      <c r="R9">
        <f>R8/(1+'Study Parameters'!$C$4) ^'Production Cost Baseline'!R$2</f>
        <v>21881334.819449753</v>
      </c>
      <c r="S9">
        <f>S8/(1+'Study Parameters'!$C$4) ^'Production Cost Baseline'!S$2</f>
        <v>20354730.064604424</v>
      </c>
      <c r="T9">
        <f>T8/(1+'Study Parameters'!$C$4) ^'Production Cost Baseline'!T$2</f>
        <v>18934632.618236672</v>
      </c>
      <c r="U9">
        <f>U8/(1+'Study Parameters'!$C$4) ^'Production Cost Baseline'!U$2</f>
        <v>17613611.73789458</v>
      </c>
      <c r="V9">
        <f>V8/(1+'Study Parameters'!$C$4) ^'Production Cost Baseline'!V$2</f>
        <v>16384755.105018215</v>
      </c>
      <c r="W9">
        <f>W8/(1+'Study Parameters'!$C$4) ^'Production Cost Baseline'!W$2</f>
        <v>15241632.655830896</v>
      </c>
      <c r="X9">
        <f>X8/(1+'Study Parameters'!$C$4) ^'Production Cost Baseline'!X$2</f>
        <v>14178262.935656648</v>
      </c>
      <c r="Y9">
        <f>Y8/(1+'Study Parameters'!$C$4) ^'Production Cost Baseline'!Y$2</f>
        <v>13189081.800610837</v>
      </c>
      <c r="Z9">
        <f>Z8/(1+'Study Parameters'!$C$4) ^'Production Cost Baseline'!Z$2</f>
        <v>12268913.302893803</v>
      </c>
      <c r="AA9">
        <f>AA8/(1+'Study Parameters'!$C$4) ^'Production Cost Baseline'!AA$2</f>
        <v>11412942.60734307</v>
      </c>
    </row>
    <row r="11" spans="1:27" x14ac:dyDescent="0.25">
      <c r="A11" t="s">
        <v>126</v>
      </c>
      <c r="B11">
        <f>SUM(B7:AA7) / SUM(C9:AA9)</f>
        <v>5.5110056336365068</v>
      </c>
    </row>
    <row r="12" spans="1:27" x14ac:dyDescent="0.25">
      <c r="A12" t="s">
        <v>127</v>
      </c>
      <c r="B12">
        <f>B11 * Inputs!$C$15</f>
        <v>4.4253375238101151</v>
      </c>
    </row>
    <row r="14" spans="1:27" x14ac:dyDescent="0.25">
      <c r="A14" s="1" t="s">
        <v>130</v>
      </c>
    </row>
    <row r="15" spans="1:27" x14ac:dyDescent="0.25">
      <c r="A15" t="s">
        <v>120</v>
      </c>
      <c r="B15">
        <f>'Cost Components'!$C$12 * 10^6</f>
        <v>1525300000</v>
      </c>
      <c r="C15">
        <f>('Cost Components'!$C$21  + 'Cost Components'!$C$40) * 10^6</f>
        <v>197815639.09935448</v>
      </c>
      <c r="D15">
        <f>('Cost Components'!$C$21  + 'Cost Components'!$C$40) * 10^6</f>
        <v>197815639.09935448</v>
      </c>
      <c r="E15">
        <f>('Cost Components'!$C$21  + 'Cost Components'!$C$40) * 10^6</f>
        <v>197815639.09935448</v>
      </c>
      <c r="F15">
        <f>('Cost Components'!$C$21  + 'Cost Components'!$C$40) * 10^6</f>
        <v>197815639.09935448</v>
      </c>
      <c r="G15">
        <f>('Cost Components'!$C$21  + 'Cost Components'!$C$40) * 10^6</f>
        <v>197815639.09935448</v>
      </c>
      <c r="H15">
        <f>('Cost Components'!$C$21  + 'Cost Components'!$C$40) * 10^6</f>
        <v>197815639.09935448</v>
      </c>
      <c r="I15">
        <f>('Cost Components'!$C$21  + 'Cost Components'!$C$40) * 10^6</f>
        <v>197815639.09935448</v>
      </c>
      <c r="J15">
        <f>('Cost Components'!$C$21  + 'Cost Components'!$C$40) * 10^6</f>
        <v>197815639.09935448</v>
      </c>
      <c r="K15">
        <f>('Cost Components'!$C$21  + 'Cost Components'!$C$40) * 10^6</f>
        <v>197815639.09935448</v>
      </c>
      <c r="L15">
        <f>('Cost Components'!$C$21  + 'Cost Components'!$C$40) * 10^6</f>
        <v>197815639.09935448</v>
      </c>
      <c r="M15">
        <f>('Cost Components'!$C$21  + 'Cost Components'!$C$40) * 10^6</f>
        <v>197815639.09935448</v>
      </c>
      <c r="N15">
        <f>('Cost Components'!$C$21  + 'Cost Components'!$C$40) * 10^6</f>
        <v>197815639.09935448</v>
      </c>
      <c r="O15">
        <f>('Cost Components'!$C$21  + 'Cost Components'!$C$40) * 10^6</f>
        <v>197815639.09935448</v>
      </c>
      <c r="P15">
        <f>('Cost Components'!$C$21  + 'Cost Components'!$C$40) * 10^6</f>
        <v>197815639.09935448</v>
      </c>
      <c r="Q15">
        <f>('Cost Components'!$C$21  + 'Cost Components'!$C$40) * 10^6</f>
        <v>197815639.09935448</v>
      </c>
      <c r="R15">
        <f>('Cost Components'!$C$21  + 'Cost Components'!$C$40) * 10^6</f>
        <v>197815639.09935448</v>
      </c>
      <c r="S15">
        <f>('Cost Components'!$C$21  + 'Cost Components'!$C$40) * 10^6</f>
        <v>197815639.09935448</v>
      </c>
      <c r="T15">
        <f>('Cost Components'!$C$21  + 'Cost Components'!$C$40) * 10^6</f>
        <v>197815639.09935448</v>
      </c>
      <c r="U15">
        <f>('Cost Components'!$C$21  + 'Cost Components'!$C$40) * 10^6</f>
        <v>197815639.09935448</v>
      </c>
      <c r="V15">
        <f>('Cost Components'!$C$21  + 'Cost Components'!$C$40) * 10^6</f>
        <v>197815639.09935448</v>
      </c>
      <c r="W15">
        <f>('Cost Components'!$C$21  + 'Cost Components'!$C$40) * 10^6</f>
        <v>197815639.09935448</v>
      </c>
      <c r="X15">
        <f>('Cost Components'!$C$21  + 'Cost Components'!$C$40) * 10^6</f>
        <v>197815639.09935448</v>
      </c>
      <c r="Y15">
        <f>('Cost Components'!$C$21  + 'Cost Components'!$C$40) * 10^6</f>
        <v>197815639.09935448</v>
      </c>
      <c r="Z15">
        <f>('Cost Components'!$C$21  + 'Cost Components'!$C$40) * 10^6</f>
        <v>197815639.09935448</v>
      </c>
      <c r="AA15">
        <f>('Cost Components'!$C$21  + 'Cost Components'!$C$40) * 10^6</f>
        <v>197815639.09935448</v>
      </c>
    </row>
    <row r="16" spans="1:27" x14ac:dyDescent="0.25">
      <c r="A16" t="s">
        <v>121</v>
      </c>
      <c r="B16">
        <v>0</v>
      </c>
      <c r="C16">
        <f>'Cost Components'!$C$36*10^6</f>
        <v>149899999.99999997</v>
      </c>
      <c r="D16">
        <f>'Cost Components'!$C$36*10^6</f>
        <v>149899999.99999997</v>
      </c>
      <c r="E16">
        <f>'Cost Components'!$C$36*10^6</f>
        <v>149899999.99999997</v>
      </c>
      <c r="F16">
        <f>'Cost Components'!$C$36*10^6</f>
        <v>149899999.99999997</v>
      </c>
      <c r="G16">
        <f>'Cost Components'!$C$36*10^6</f>
        <v>149899999.99999997</v>
      </c>
      <c r="H16">
        <f>'Cost Components'!$C$36*10^6</f>
        <v>149899999.99999997</v>
      </c>
      <c r="I16">
        <f>'Cost Components'!$C$36*10^6</f>
        <v>149899999.99999997</v>
      </c>
      <c r="J16">
        <f>'Cost Components'!$C$36*10^6</f>
        <v>149899999.99999997</v>
      </c>
      <c r="K16">
        <f>'Cost Components'!$C$36*10^6</f>
        <v>149899999.99999997</v>
      </c>
      <c r="L16">
        <f>'Cost Components'!$C$36*10^6</f>
        <v>149899999.99999997</v>
      </c>
      <c r="M16">
        <f>'Cost Components'!$C$36*10^6</f>
        <v>149899999.99999997</v>
      </c>
      <c r="N16">
        <f>'Cost Components'!$C$36*10^6</f>
        <v>149899999.99999997</v>
      </c>
      <c r="O16">
        <f>'Cost Components'!$C$36*10^6</f>
        <v>149899999.99999997</v>
      </c>
      <c r="P16">
        <f>'Cost Components'!$C$36*10^6</f>
        <v>149899999.99999997</v>
      </c>
      <c r="Q16">
        <f>'Cost Components'!$C$36*10^6</f>
        <v>149899999.99999997</v>
      </c>
      <c r="R16">
        <f>'Cost Components'!$C$36*10^6</f>
        <v>149899999.99999997</v>
      </c>
      <c r="S16">
        <f>'Cost Components'!$C$36*10^6</f>
        <v>149899999.99999997</v>
      </c>
      <c r="T16">
        <f>'Cost Components'!$C$36*10^6</f>
        <v>149899999.99999997</v>
      </c>
      <c r="U16">
        <f>'Cost Components'!$C$36*10^6</f>
        <v>149899999.99999997</v>
      </c>
      <c r="V16">
        <f>'Cost Components'!$C$36*10^6</f>
        <v>149899999.99999997</v>
      </c>
      <c r="W16">
        <f>'Cost Components'!$C$36*10^6</f>
        <v>149899999.99999997</v>
      </c>
      <c r="X16">
        <f>'Cost Components'!$C$36*10^6</f>
        <v>149899999.99999997</v>
      </c>
      <c r="Y16">
        <f>'Cost Components'!$C$36*10^6</f>
        <v>149899999.99999997</v>
      </c>
      <c r="Z16">
        <f>'Cost Components'!$C$36*10^6</f>
        <v>149899999.99999997</v>
      </c>
      <c r="AA16">
        <f>'Cost Components'!$C$36*10^6</f>
        <v>149899999.99999997</v>
      </c>
    </row>
    <row r="17" spans="1:27" x14ac:dyDescent="0.25">
      <c r="A17" t="s">
        <v>122</v>
      </c>
      <c r="B17">
        <f t="shared" ref="B17:AA17" si="1">B15-B16</f>
        <v>1525300000</v>
      </c>
      <c r="C17">
        <f t="shared" si="1"/>
        <v>47915639.099354506</v>
      </c>
      <c r="D17">
        <f t="shared" si="1"/>
        <v>47915639.099354506</v>
      </c>
      <c r="E17">
        <f t="shared" si="1"/>
        <v>47915639.099354506</v>
      </c>
      <c r="F17">
        <f t="shared" si="1"/>
        <v>47915639.099354506</v>
      </c>
      <c r="G17">
        <f t="shared" si="1"/>
        <v>47915639.099354506</v>
      </c>
      <c r="H17">
        <f t="shared" si="1"/>
        <v>47915639.099354506</v>
      </c>
      <c r="I17">
        <f t="shared" si="1"/>
        <v>47915639.099354506</v>
      </c>
      <c r="J17">
        <f t="shared" si="1"/>
        <v>47915639.099354506</v>
      </c>
      <c r="K17">
        <f t="shared" si="1"/>
        <v>47915639.099354506</v>
      </c>
      <c r="L17">
        <f t="shared" si="1"/>
        <v>47915639.099354506</v>
      </c>
      <c r="M17">
        <f t="shared" si="1"/>
        <v>47915639.099354506</v>
      </c>
      <c r="N17">
        <f t="shared" si="1"/>
        <v>47915639.099354506</v>
      </c>
      <c r="O17">
        <f t="shared" si="1"/>
        <v>47915639.099354506</v>
      </c>
      <c r="P17">
        <f t="shared" si="1"/>
        <v>47915639.099354506</v>
      </c>
      <c r="Q17">
        <f t="shared" si="1"/>
        <v>47915639.099354506</v>
      </c>
      <c r="R17">
        <f t="shared" si="1"/>
        <v>47915639.099354506</v>
      </c>
      <c r="S17">
        <f t="shared" si="1"/>
        <v>47915639.099354506</v>
      </c>
      <c r="T17">
        <f t="shared" si="1"/>
        <v>47915639.099354506</v>
      </c>
      <c r="U17">
        <f t="shared" si="1"/>
        <v>47915639.099354506</v>
      </c>
      <c r="V17">
        <f t="shared" si="1"/>
        <v>47915639.099354506</v>
      </c>
      <c r="W17">
        <f t="shared" si="1"/>
        <v>47915639.099354506</v>
      </c>
      <c r="X17">
        <f t="shared" si="1"/>
        <v>47915639.099354506</v>
      </c>
      <c r="Y17">
        <f t="shared" si="1"/>
        <v>47915639.099354506</v>
      </c>
      <c r="Z17">
        <f t="shared" si="1"/>
        <v>47915639.099354506</v>
      </c>
      <c r="AA17">
        <f t="shared" si="1"/>
        <v>47915639.099354506</v>
      </c>
    </row>
    <row r="18" spans="1:27" x14ac:dyDescent="0.25">
      <c r="A18" t="s">
        <v>123</v>
      </c>
      <c r="B18">
        <f>B17/(1+'Study Parameters'!$C$4) ^'Production Cost Baseline'!B$2</f>
        <v>1525300000</v>
      </c>
      <c r="C18">
        <f>C17/(1+'Study Parameters'!$C$4) ^'Production Cost Baseline'!C$2</f>
        <v>44572687.534283265</v>
      </c>
      <c r="D18">
        <f>D17/(1+'Study Parameters'!$C$4) ^'Production Cost Baseline'!D$2</f>
        <v>41462965.148170479</v>
      </c>
      <c r="E18">
        <f>E17/(1+'Study Parameters'!$C$4) ^'Production Cost Baseline'!E$2</f>
        <v>38570200.137833007</v>
      </c>
      <c r="F18">
        <f>F17/(1+'Study Parameters'!$C$4) ^'Production Cost Baseline'!F$2</f>
        <v>35879255.942170233</v>
      </c>
      <c r="G18">
        <f>G17/(1+'Study Parameters'!$C$4) ^'Production Cost Baseline'!G$2</f>
        <v>33376052.039228126</v>
      </c>
      <c r="H18">
        <f>H17/(1+'Study Parameters'!$C$4) ^'Production Cost Baseline'!H$2</f>
        <v>31047490.269049425</v>
      </c>
      <c r="I18">
        <f>I17/(1+'Study Parameters'!$C$4) ^'Production Cost Baseline'!I$2</f>
        <v>28881386.29679016</v>
      </c>
      <c r="J18">
        <f>J17/(1+'Study Parameters'!$C$4) ^'Production Cost Baseline'!J$2</f>
        <v>26866405.857479218</v>
      </c>
      <c r="K18">
        <f>K17/(1+'Study Parameters'!$C$4) ^'Production Cost Baseline'!K$2</f>
        <v>24992005.448817879</v>
      </c>
      <c r="L18">
        <f>L17/(1+'Study Parameters'!$C$4) ^'Production Cost Baseline'!L$2</f>
        <v>23248377.161691055</v>
      </c>
      <c r="M18">
        <f>M17/(1+'Study Parameters'!$C$4) ^'Production Cost Baseline'!M$2</f>
        <v>21626397.359712604</v>
      </c>
      <c r="N18">
        <f>N17/(1+'Study Parameters'!$C$4) ^'Production Cost Baseline'!N$2</f>
        <v>20117578.939267542</v>
      </c>
      <c r="O18">
        <f>O17/(1+'Study Parameters'!$C$4) ^'Production Cost Baseline'!O$2</f>
        <v>18714026.920248874</v>
      </c>
      <c r="P18">
        <f>P17/(1+'Study Parameters'!$C$4) ^'Production Cost Baseline'!P$2</f>
        <v>17408397.135115232</v>
      </c>
      <c r="Q18">
        <f>Q17/(1+'Study Parameters'!$C$4) ^'Production Cost Baseline'!Q$2</f>
        <v>16193857.800107194</v>
      </c>
      <c r="R18">
        <f>R17/(1+'Study Parameters'!$C$4) ^'Production Cost Baseline'!R$2</f>
        <v>15064053.767541576</v>
      </c>
      <c r="S18">
        <f>S17/(1+'Study Parameters'!$C$4) ^'Production Cost Baseline'!S$2</f>
        <v>14013073.2721317</v>
      </c>
      <c r="T18">
        <f>T17/(1+'Study Parameters'!$C$4) ^'Production Cost Baseline'!T$2</f>
        <v>13035416.997331815</v>
      </c>
      <c r="U18">
        <f>U17/(1+'Study Parameters'!$C$4) ^'Production Cost Baseline'!U$2</f>
        <v>12125969.299843548</v>
      </c>
      <c r="V18">
        <f>V17/(1+'Study Parameters'!$C$4) ^'Production Cost Baseline'!V$2</f>
        <v>11279971.441714929</v>
      </c>
      <c r="W18">
        <f>W17/(1+'Study Parameters'!$C$4) ^'Production Cost Baseline'!W$2</f>
        <v>10492996.689967375</v>
      </c>
      <c r="X18">
        <f>X17/(1+'Study Parameters'!$C$4) ^'Production Cost Baseline'!X$2</f>
        <v>9760927.1534580253</v>
      </c>
      <c r="Y18">
        <f>Y17/(1+'Study Parameters'!$C$4) ^'Production Cost Baseline'!Y$2</f>
        <v>9079932.2357749064</v>
      </c>
      <c r="Z18">
        <f>Z17/(1+'Study Parameters'!$C$4) ^'Production Cost Baseline'!Z$2</f>
        <v>8446448.5914185178</v>
      </c>
      <c r="AA18">
        <f>AA17/(1+'Study Parameters'!$C$4) ^'Production Cost Baseline'!AA$2</f>
        <v>7857161.4803893184</v>
      </c>
    </row>
    <row r="19" spans="1:27" x14ac:dyDescent="0.25">
      <c r="A19" t="s">
        <v>124</v>
      </c>
      <c r="B19">
        <v>0</v>
      </c>
      <c r="C19">
        <f>'Study Parameters'!$C$13*'Study Parameters'!$C$8 * 10^3</f>
        <v>28000000</v>
      </c>
      <c r="D19">
        <f>'Study Parameters'!$C$13*'Study Parameters'!$C$8 * 10^3</f>
        <v>28000000</v>
      </c>
      <c r="E19">
        <f>'Study Parameters'!$C$13*'Study Parameters'!$C$8 * 10^3</f>
        <v>28000000</v>
      </c>
      <c r="F19">
        <f>'Study Parameters'!$C$13*'Study Parameters'!$C$8 * 10^3</f>
        <v>28000000</v>
      </c>
      <c r="G19">
        <f>'Study Parameters'!$C$13*'Study Parameters'!$C$8 * 10^3</f>
        <v>28000000</v>
      </c>
      <c r="H19">
        <f>'Study Parameters'!$C$13*'Study Parameters'!$C$8 * 10^3</f>
        <v>28000000</v>
      </c>
      <c r="I19">
        <f>'Study Parameters'!$C$13*'Study Parameters'!$C$8 * 10^3</f>
        <v>28000000</v>
      </c>
      <c r="J19">
        <f>'Study Parameters'!$C$13*'Study Parameters'!$C$8 * 10^3</f>
        <v>28000000</v>
      </c>
      <c r="K19">
        <f>'Study Parameters'!$C$13*'Study Parameters'!$C$8 * 10^3</f>
        <v>28000000</v>
      </c>
      <c r="L19">
        <f>'Study Parameters'!$C$13*'Study Parameters'!$C$8 * 10^3</f>
        <v>28000000</v>
      </c>
      <c r="M19">
        <f>'Study Parameters'!$C$13*'Study Parameters'!$C$8 * 10^3</f>
        <v>28000000</v>
      </c>
      <c r="N19">
        <f>'Study Parameters'!$C$13*'Study Parameters'!$C$8 * 10^3</f>
        <v>28000000</v>
      </c>
      <c r="O19">
        <f>'Study Parameters'!$C$13*'Study Parameters'!$C$8 * 10^3</f>
        <v>28000000</v>
      </c>
      <c r="P19">
        <f>'Study Parameters'!$C$13*'Study Parameters'!$C$8 * 10^3</f>
        <v>28000000</v>
      </c>
      <c r="Q19">
        <f>'Study Parameters'!$C$13*'Study Parameters'!$C$8 * 10^3</f>
        <v>28000000</v>
      </c>
      <c r="R19">
        <f>'Study Parameters'!$C$13*'Study Parameters'!$C$8 * 10^3</f>
        <v>28000000</v>
      </c>
      <c r="S19">
        <f>'Study Parameters'!$C$13*'Study Parameters'!$C$8 * 10^3</f>
        <v>28000000</v>
      </c>
      <c r="T19">
        <f>'Study Parameters'!$C$13*'Study Parameters'!$C$8 * 10^3</f>
        <v>28000000</v>
      </c>
      <c r="U19">
        <f>'Study Parameters'!$C$13*'Study Parameters'!$C$8 * 10^3</f>
        <v>28000000</v>
      </c>
      <c r="V19">
        <f>'Study Parameters'!$C$13*'Study Parameters'!$C$8 * 10^3</f>
        <v>28000000</v>
      </c>
      <c r="W19">
        <f>'Study Parameters'!$C$13*'Study Parameters'!$C$8 * 10^3</f>
        <v>28000000</v>
      </c>
      <c r="X19">
        <f>'Study Parameters'!$C$13*'Study Parameters'!$C$8 * 10^3</f>
        <v>28000000</v>
      </c>
      <c r="Y19">
        <f>'Study Parameters'!$C$13*'Study Parameters'!$C$8 * 10^3</f>
        <v>28000000</v>
      </c>
      <c r="Z19">
        <f>'Study Parameters'!$C$13*'Study Parameters'!$C$8 * 10^3</f>
        <v>28000000</v>
      </c>
      <c r="AA19">
        <f>'Study Parameters'!$C$13*'Study Parameters'!$C$8 * 10^3</f>
        <v>28000000</v>
      </c>
    </row>
    <row r="20" spans="1:27" x14ac:dyDescent="0.25">
      <c r="A20" t="s">
        <v>125</v>
      </c>
      <c r="B20">
        <v>0</v>
      </c>
      <c r="C20">
        <f>C19/(1+'Study Parameters'!$C$4) ^'Production Cost Baseline'!C$2</f>
        <v>26046511.627906978</v>
      </c>
      <c r="D20">
        <f>D19/(1+'Study Parameters'!$C$4) ^'Production Cost Baseline'!D$2</f>
        <v>24229313.142239049</v>
      </c>
      <c r="E20">
        <f>E19/(1+'Study Parameters'!$C$4) ^'Production Cost Baseline'!E$2</f>
        <v>22538895.946268886</v>
      </c>
      <c r="F20">
        <f>F19/(1+'Study Parameters'!$C$4) ^'Production Cost Baseline'!F$2</f>
        <v>20966414.833738498</v>
      </c>
      <c r="G20">
        <f>G19/(1+'Study Parameters'!$C$4) ^'Production Cost Baseline'!G$2</f>
        <v>19503641.705803253</v>
      </c>
      <c r="H20">
        <f>H19/(1+'Study Parameters'!$C$4) ^'Production Cost Baseline'!H$2</f>
        <v>18142922.517026283</v>
      </c>
      <c r="I20">
        <f>I19/(1+'Study Parameters'!$C$4) ^'Production Cost Baseline'!I$2</f>
        <v>16877137.225140728</v>
      </c>
      <c r="J20">
        <f>J19/(1+'Study Parameters'!$C$4) ^'Production Cost Baseline'!J$2</f>
        <v>15699662.535014631</v>
      </c>
      <c r="K20">
        <f>K19/(1+'Study Parameters'!$C$4) ^'Production Cost Baseline'!K$2</f>
        <v>14604337.241874076</v>
      </c>
      <c r="L20">
        <f>L19/(1+'Study Parameters'!$C$4) ^'Production Cost Baseline'!L$2</f>
        <v>13585429.992441004</v>
      </c>
      <c r="M20">
        <f>M19/(1+'Study Parameters'!$C$4) ^'Production Cost Baseline'!M$2</f>
        <v>12637609.295293955</v>
      </c>
      <c r="N20">
        <f>N19/(1+'Study Parameters'!$C$4) ^'Production Cost Baseline'!N$2</f>
        <v>11755915.623529261</v>
      </c>
      <c r="O20">
        <f>O19/(1+'Study Parameters'!$C$4) ^'Production Cost Baseline'!O$2</f>
        <v>10935735.46374815</v>
      </c>
      <c r="P20">
        <f>P19/(1+'Study Parameters'!$C$4) ^'Production Cost Baseline'!P$2</f>
        <v>10172777.175579675</v>
      </c>
      <c r="Q20">
        <f>Q19/(1+'Study Parameters'!$C$4) ^'Production Cost Baseline'!Q$2</f>
        <v>9463048.5354229528</v>
      </c>
      <c r="R20">
        <f>R19/(1+'Study Parameters'!$C$4) ^'Production Cost Baseline'!R$2</f>
        <v>8802835.8469050732</v>
      </c>
      <c r="S20">
        <f>S19/(1+'Study Parameters'!$C$4) ^'Production Cost Baseline'!S$2</f>
        <v>8188684.5087489057</v>
      </c>
      <c r="T20">
        <f>T19/(1+'Study Parameters'!$C$4) ^'Production Cost Baseline'!T$2</f>
        <v>7617380.9383710753</v>
      </c>
      <c r="U20">
        <f>U19/(1+'Study Parameters'!$C$4) ^'Production Cost Baseline'!U$2</f>
        <v>7085935.7566242563</v>
      </c>
      <c r="V20">
        <f>V19/(1+'Study Parameters'!$C$4) ^'Production Cost Baseline'!V$2</f>
        <v>6591568.1456969827</v>
      </c>
      <c r="W20">
        <f>W19/(1+'Study Parameters'!$C$4) ^'Production Cost Baseline'!W$2</f>
        <v>6131691.2983227745</v>
      </c>
      <c r="X20">
        <f>X19/(1+'Study Parameters'!$C$4) ^'Production Cost Baseline'!X$2</f>
        <v>5703898.8821607204</v>
      </c>
      <c r="Y20">
        <f>Y19/(1+'Study Parameters'!$C$4) ^'Production Cost Baseline'!Y$2</f>
        <v>5305952.4485216001</v>
      </c>
      <c r="Z20">
        <f>Z19/(1+'Study Parameters'!$C$4) ^'Production Cost Baseline'!Z$2</f>
        <v>4935769.7195549775</v>
      </c>
      <c r="AA20">
        <f>AA19/(1+'Study Parameters'!$C$4) ^'Production Cost Baseline'!AA$2</f>
        <v>4591413.6926092813</v>
      </c>
    </row>
    <row r="22" spans="1:27" x14ac:dyDescent="0.25">
      <c r="A22" t="s">
        <v>126</v>
      </c>
      <c r="B22">
        <f>SUM(B18:AA18) / SUM(C20:AA20)</f>
        <v>6.5982616630804083</v>
      </c>
    </row>
    <row r="23" spans="1:27" x14ac:dyDescent="0.25">
      <c r="A23" t="s">
        <v>127</v>
      </c>
      <c r="B23">
        <f>B22 * Inputs!$C$15</f>
        <v>5.2984041154535682</v>
      </c>
    </row>
    <row r="25" spans="1:27" x14ac:dyDescent="0.25">
      <c r="A25" s="1" t="s">
        <v>132</v>
      </c>
    </row>
    <row r="26" spans="1:27" x14ac:dyDescent="0.25">
      <c r="A26" t="s">
        <v>120</v>
      </c>
      <c r="B26">
        <f>'Cost Components'!$D$12 * 10^6</f>
        <v>1594030000</v>
      </c>
      <c r="C26">
        <f>('Cost Components'!$D$21  + 'Cost Components'!$D$40) * 10^6</f>
        <v>258544078.62649351</v>
      </c>
      <c r="D26">
        <f>('Cost Components'!$D$21  + 'Cost Components'!$D$40) * 10^6</f>
        <v>258544078.62649351</v>
      </c>
      <c r="E26">
        <f>('Cost Components'!$D$21  + 'Cost Components'!$D$40) * 10^6</f>
        <v>258544078.62649351</v>
      </c>
      <c r="F26">
        <f>('Cost Components'!$D$21  + 'Cost Components'!$D$40) * 10^6</f>
        <v>258544078.62649351</v>
      </c>
      <c r="G26">
        <f>('Cost Components'!$D$21  + 'Cost Components'!$D$40) * 10^6</f>
        <v>258544078.62649351</v>
      </c>
      <c r="H26">
        <f>('Cost Components'!$D$21  + 'Cost Components'!$D$40) * 10^6</f>
        <v>258544078.62649351</v>
      </c>
      <c r="I26">
        <f>('Cost Components'!$D$21  + 'Cost Components'!$D$40) * 10^6</f>
        <v>258544078.62649351</v>
      </c>
      <c r="J26">
        <f>('Cost Components'!$D$21  + 'Cost Components'!$D$40) * 10^6</f>
        <v>258544078.62649351</v>
      </c>
      <c r="K26">
        <f>('Cost Components'!$D$21  + 'Cost Components'!$D$40) * 10^6</f>
        <v>258544078.62649351</v>
      </c>
      <c r="L26">
        <f>('Cost Components'!$D$21  + 'Cost Components'!$D$40) * 10^6</f>
        <v>258544078.62649351</v>
      </c>
      <c r="M26">
        <f>('Cost Components'!$D$21  + 'Cost Components'!$D$40) * 10^6</f>
        <v>258544078.62649351</v>
      </c>
      <c r="N26">
        <f>('Cost Components'!$D$21  + 'Cost Components'!$D$40) * 10^6</f>
        <v>258544078.62649351</v>
      </c>
      <c r="O26">
        <f>('Cost Components'!$D$21  + 'Cost Components'!$D$40) * 10^6</f>
        <v>258544078.62649351</v>
      </c>
      <c r="P26">
        <f>('Cost Components'!$D$21  + 'Cost Components'!$D$40) * 10^6</f>
        <v>258544078.62649351</v>
      </c>
      <c r="Q26">
        <f>('Cost Components'!$D$21  + 'Cost Components'!$D$40) * 10^6</f>
        <v>258544078.62649351</v>
      </c>
      <c r="R26">
        <f>('Cost Components'!$D$21  + 'Cost Components'!$D$40) * 10^6</f>
        <v>258544078.62649351</v>
      </c>
      <c r="S26">
        <f>('Cost Components'!$D$21  + 'Cost Components'!$D$40) * 10^6</f>
        <v>258544078.62649351</v>
      </c>
      <c r="T26">
        <f>('Cost Components'!$D$21  + 'Cost Components'!$D$40) * 10^6</f>
        <v>258544078.62649351</v>
      </c>
      <c r="U26">
        <f>('Cost Components'!$D$21  + 'Cost Components'!$D$40) * 10^6</f>
        <v>258544078.62649351</v>
      </c>
      <c r="V26">
        <f>('Cost Components'!$D$21  + 'Cost Components'!$D$40) * 10^6</f>
        <v>258544078.62649351</v>
      </c>
      <c r="W26">
        <f>('Cost Components'!$D$21  + 'Cost Components'!$D$40) * 10^6</f>
        <v>258544078.62649351</v>
      </c>
      <c r="X26">
        <f>('Cost Components'!$D$21  + 'Cost Components'!$D$40) * 10^6</f>
        <v>258544078.62649351</v>
      </c>
      <c r="Y26">
        <f>('Cost Components'!$D$21  + 'Cost Components'!$D$40) * 10^6</f>
        <v>258544078.62649351</v>
      </c>
      <c r="Z26">
        <f>('Cost Components'!$D$21  + 'Cost Components'!$D$40) * 10^6</f>
        <v>258544078.62649351</v>
      </c>
      <c r="AA26">
        <f>('Cost Components'!$D$21  + 'Cost Components'!$D$40) * 10^6</f>
        <v>258544078.62649351</v>
      </c>
    </row>
    <row r="27" spans="1:27" x14ac:dyDescent="0.25">
      <c r="A27" t="s">
        <v>121</v>
      </c>
      <c r="B27">
        <v>0</v>
      </c>
      <c r="C27">
        <f>'Cost Components'!$D$36*10^6</f>
        <v>81000000</v>
      </c>
      <c r="D27">
        <f>'Cost Components'!$D$36*10^6</f>
        <v>81000000</v>
      </c>
      <c r="E27">
        <f>'Cost Components'!$D$36*10^6</f>
        <v>81000000</v>
      </c>
      <c r="F27">
        <f>'Cost Components'!$D$36*10^6</f>
        <v>81000000</v>
      </c>
      <c r="G27">
        <f>'Cost Components'!$D$36*10^6</f>
        <v>81000000</v>
      </c>
      <c r="H27">
        <f>'Cost Components'!$D$36*10^6</f>
        <v>81000000</v>
      </c>
      <c r="I27">
        <f>'Cost Components'!$D$36*10^6</f>
        <v>81000000</v>
      </c>
      <c r="J27">
        <f>'Cost Components'!$D$36*10^6</f>
        <v>81000000</v>
      </c>
      <c r="K27">
        <f>'Cost Components'!$D$36*10^6</f>
        <v>81000000</v>
      </c>
      <c r="L27">
        <f>'Cost Components'!$D$36*10^6</f>
        <v>81000000</v>
      </c>
      <c r="M27">
        <f>'Cost Components'!$D$36*10^6</f>
        <v>81000000</v>
      </c>
      <c r="N27">
        <f>'Cost Components'!$D$36*10^6</f>
        <v>81000000</v>
      </c>
      <c r="O27">
        <f>'Cost Components'!$D$36*10^6</f>
        <v>81000000</v>
      </c>
      <c r="P27">
        <f>'Cost Components'!$D$36*10^6</f>
        <v>81000000</v>
      </c>
      <c r="Q27">
        <f>'Cost Components'!$D$36*10^6</f>
        <v>81000000</v>
      </c>
      <c r="R27">
        <f>'Cost Components'!$D$36*10^6</f>
        <v>81000000</v>
      </c>
      <c r="S27">
        <f>'Cost Components'!$D$36*10^6</f>
        <v>81000000</v>
      </c>
      <c r="T27">
        <f>'Cost Components'!$D$36*10^6</f>
        <v>81000000</v>
      </c>
      <c r="U27">
        <f>'Cost Components'!$D$36*10^6</f>
        <v>81000000</v>
      </c>
      <c r="V27">
        <f>'Cost Components'!$D$36*10^6</f>
        <v>81000000</v>
      </c>
      <c r="W27">
        <f>'Cost Components'!$D$36*10^6</f>
        <v>81000000</v>
      </c>
      <c r="X27">
        <f>'Cost Components'!$D$36*10^6</f>
        <v>81000000</v>
      </c>
      <c r="Y27">
        <f>'Cost Components'!$D$36*10^6</f>
        <v>81000000</v>
      </c>
      <c r="Z27">
        <f>'Cost Components'!$D$36*10^6</f>
        <v>81000000</v>
      </c>
      <c r="AA27">
        <f>'Cost Components'!$D$36*10^6</f>
        <v>81000000</v>
      </c>
    </row>
    <row r="28" spans="1:27" x14ac:dyDescent="0.25">
      <c r="A28" t="s">
        <v>122</v>
      </c>
      <c r="B28">
        <f t="shared" ref="B28:AA28" si="2">B26-B27</f>
        <v>1594030000</v>
      </c>
      <c r="C28">
        <f t="shared" si="2"/>
        <v>177544078.62649351</v>
      </c>
      <c r="D28">
        <f t="shared" si="2"/>
        <v>177544078.62649351</v>
      </c>
      <c r="E28">
        <f t="shared" si="2"/>
        <v>177544078.62649351</v>
      </c>
      <c r="F28">
        <f t="shared" si="2"/>
        <v>177544078.62649351</v>
      </c>
      <c r="G28">
        <f t="shared" si="2"/>
        <v>177544078.62649351</v>
      </c>
      <c r="H28">
        <f t="shared" si="2"/>
        <v>177544078.62649351</v>
      </c>
      <c r="I28">
        <f t="shared" si="2"/>
        <v>177544078.62649351</v>
      </c>
      <c r="J28">
        <f t="shared" si="2"/>
        <v>177544078.62649351</v>
      </c>
      <c r="K28">
        <f t="shared" si="2"/>
        <v>177544078.62649351</v>
      </c>
      <c r="L28">
        <f t="shared" si="2"/>
        <v>177544078.62649351</v>
      </c>
      <c r="M28">
        <f t="shared" si="2"/>
        <v>177544078.62649351</v>
      </c>
      <c r="N28">
        <f t="shared" si="2"/>
        <v>177544078.62649351</v>
      </c>
      <c r="O28">
        <f t="shared" si="2"/>
        <v>177544078.62649351</v>
      </c>
      <c r="P28">
        <f t="shared" si="2"/>
        <v>177544078.62649351</v>
      </c>
      <c r="Q28">
        <f t="shared" si="2"/>
        <v>177544078.62649351</v>
      </c>
      <c r="R28">
        <f t="shared" si="2"/>
        <v>177544078.62649351</v>
      </c>
      <c r="S28">
        <f t="shared" si="2"/>
        <v>177544078.62649351</v>
      </c>
      <c r="T28">
        <f t="shared" si="2"/>
        <v>177544078.62649351</v>
      </c>
      <c r="U28">
        <f t="shared" si="2"/>
        <v>177544078.62649351</v>
      </c>
      <c r="V28">
        <f t="shared" si="2"/>
        <v>177544078.62649351</v>
      </c>
      <c r="W28">
        <f t="shared" si="2"/>
        <v>177544078.62649351</v>
      </c>
      <c r="X28">
        <f t="shared" si="2"/>
        <v>177544078.62649351</v>
      </c>
      <c r="Y28">
        <f t="shared" si="2"/>
        <v>177544078.62649351</v>
      </c>
      <c r="Z28">
        <f t="shared" si="2"/>
        <v>177544078.62649351</v>
      </c>
      <c r="AA28">
        <f t="shared" si="2"/>
        <v>177544078.62649351</v>
      </c>
    </row>
    <row r="29" spans="1:27" x14ac:dyDescent="0.25">
      <c r="A29" t="s">
        <v>123</v>
      </c>
      <c r="B29">
        <f>B28/(1+'Study Parameters'!$C$4) ^'Production Cost Baseline'!B$2</f>
        <v>1594030000</v>
      </c>
      <c r="C29">
        <f>C28/(1+'Study Parameters'!$C$4) ^'Production Cost Baseline'!C$2</f>
        <v>165157282.44324979</v>
      </c>
      <c r="D29">
        <f>D28/(1+'Study Parameters'!$C$4) ^'Production Cost Baseline'!D$2</f>
        <v>153634681.34255794</v>
      </c>
      <c r="E29">
        <f>E28/(1+'Study Parameters'!$C$4) ^'Production Cost Baseline'!E$2</f>
        <v>142915982.64423996</v>
      </c>
      <c r="F29">
        <f>F28/(1+'Study Parameters'!$C$4) ^'Production Cost Baseline'!F$2</f>
        <v>132945100.1341767</v>
      </c>
      <c r="G29">
        <f>G28/(1+'Study Parameters'!$C$4) ^'Production Cost Baseline'!G$2</f>
        <v>123669860.58993182</v>
      </c>
      <c r="H29">
        <f>H28/(1+'Study Parameters'!$C$4) ^'Production Cost Baseline'!H$2</f>
        <v>115041730.78133193</v>
      </c>
      <c r="I29">
        <f>I28/(1+'Study Parameters'!$C$4) ^'Production Cost Baseline'!I$2</f>
        <v>107015563.51751807</v>
      </c>
      <c r="J29">
        <f>J28/(1+'Study Parameters'!$C$4) ^'Production Cost Baseline'!J$2</f>
        <v>99549361.411644727</v>
      </c>
      <c r="K29">
        <f>K28/(1+'Study Parameters'!$C$4) ^'Production Cost Baseline'!K$2</f>
        <v>92604057.127111375</v>
      </c>
      <c r="L29">
        <f>L28/(1+'Study Parameters'!$C$4) ^'Production Cost Baseline'!L$2</f>
        <v>86143308.955452457</v>
      </c>
      <c r="M29">
        <f>M28/(1+'Study Parameters'!$C$4) ^'Production Cost Baseline'!M$2</f>
        <v>80133310.656234831</v>
      </c>
      <c r="N29">
        <f>N28/(1+'Study Parameters'!$C$4) ^'Production Cost Baseline'!N$2</f>
        <v>74542614.563939378</v>
      </c>
      <c r="O29">
        <f>O28/(1+'Study Parameters'!$C$4) ^'Production Cost Baseline'!O$2</f>
        <v>69341967.036222681</v>
      </c>
      <c r="P29">
        <f>P28/(1+'Study Parameters'!$C$4) ^'Production Cost Baseline'!P$2</f>
        <v>64504155.382532723</v>
      </c>
      <c r="Q29">
        <f>Q28/(1+'Study Parameters'!$C$4) ^'Production Cost Baseline'!Q$2</f>
        <v>60003865.472123466</v>
      </c>
      <c r="R29">
        <f>R28/(1+'Study Parameters'!$C$4) ^'Production Cost Baseline'!R$2</f>
        <v>55817549.276393928</v>
      </c>
      <c r="S29">
        <f>S28/(1+'Study Parameters'!$C$4) ^'Production Cost Baseline'!S$2</f>
        <v>51923301.652459472</v>
      </c>
      <c r="T29">
        <f>T28/(1+'Study Parameters'!$C$4) ^'Production Cost Baseline'!T$2</f>
        <v>48300745.723218113</v>
      </c>
      <c r="U29">
        <f>U28/(1+'Study Parameters'!$C$4) ^'Production Cost Baseline'!U$2</f>
        <v>44930926.254156381</v>
      </c>
      <c r="V29">
        <f>V28/(1+'Study Parameters'!$C$4) ^'Production Cost Baseline'!V$2</f>
        <v>41796210.468982682</v>
      </c>
      <c r="W29">
        <f>W28/(1+'Study Parameters'!$C$4) ^'Production Cost Baseline'!W$2</f>
        <v>38880195.785100169</v>
      </c>
      <c r="X29">
        <f>X28/(1+'Study Parameters'!$C$4) ^'Production Cost Baseline'!X$2</f>
        <v>36167623.986139692</v>
      </c>
      <c r="Y29">
        <f>Y28/(1+'Study Parameters'!$C$4) ^'Production Cost Baseline'!Y$2</f>
        <v>33644301.382455528</v>
      </c>
      <c r="Z29">
        <f>Z28/(1+'Study Parameters'!$C$4) ^'Production Cost Baseline'!Z$2</f>
        <v>31297024.541819099</v>
      </c>
      <c r="AA29">
        <f>AA28/(1+'Study Parameters'!$C$4) ^'Production Cost Baseline'!AA$2</f>
        <v>29113511.201692183</v>
      </c>
    </row>
    <row r="30" spans="1:27" x14ac:dyDescent="0.25">
      <c r="A30" t="s">
        <v>124</v>
      </c>
      <c r="B30">
        <v>0</v>
      </c>
      <c r="C30">
        <f>'Study Parameters'!$C$14*'Study Parameters'!$C$8 * 10^3</f>
        <v>38400000</v>
      </c>
      <c r="D30">
        <f>'Study Parameters'!$C$14*'Study Parameters'!$C$8 * 10^3</f>
        <v>38400000</v>
      </c>
      <c r="E30">
        <f>'Study Parameters'!$C$14*'Study Parameters'!$C$8 * 10^3</f>
        <v>38400000</v>
      </c>
      <c r="F30">
        <f>'Study Parameters'!$C$14*'Study Parameters'!$C$8 * 10^3</f>
        <v>38400000</v>
      </c>
      <c r="G30">
        <f>'Study Parameters'!$C$14*'Study Parameters'!$C$8 * 10^3</f>
        <v>38400000</v>
      </c>
      <c r="H30">
        <f>'Study Parameters'!$C$14*'Study Parameters'!$C$8 * 10^3</f>
        <v>38400000</v>
      </c>
      <c r="I30">
        <f>'Study Parameters'!$C$14*'Study Parameters'!$C$8 * 10^3</f>
        <v>38400000</v>
      </c>
      <c r="J30">
        <f>'Study Parameters'!$C$14*'Study Parameters'!$C$8 * 10^3</f>
        <v>38400000</v>
      </c>
      <c r="K30">
        <f>'Study Parameters'!$C$14*'Study Parameters'!$C$8 * 10^3</f>
        <v>38400000</v>
      </c>
      <c r="L30">
        <f>'Study Parameters'!$C$14*'Study Parameters'!$C$8 * 10^3</f>
        <v>38400000</v>
      </c>
      <c r="M30">
        <f>'Study Parameters'!$C$14*'Study Parameters'!$C$8 * 10^3</f>
        <v>38400000</v>
      </c>
      <c r="N30">
        <f>'Study Parameters'!$C$14*'Study Parameters'!$C$8 * 10^3</f>
        <v>38400000</v>
      </c>
      <c r="O30">
        <f>'Study Parameters'!$C$14*'Study Parameters'!$C$8 * 10^3</f>
        <v>38400000</v>
      </c>
      <c r="P30">
        <f>'Study Parameters'!$C$14*'Study Parameters'!$C$8 * 10^3</f>
        <v>38400000</v>
      </c>
      <c r="Q30">
        <f>'Study Parameters'!$C$14*'Study Parameters'!$C$8 * 10^3</f>
        <v>38400000</v>
      </c>
      <c r="R30">
        <f>'Study Parameters'!$C$14*'Study Parameters'!$C$8 * 10^3</f>
        <v>38400000</v>
      </c>
      <c r="S30">
        <f>'Study Parameters'!$C$14*'Study Parameters'!$C$8 * 10^3</f>
        <v>38400000</v>
      </c>
      <c r="T30">
        <f>'Study Parameters'!$C$14*'Study Parameters'!$C$8 * 10^3</f>
        <v>38400000</v>
      </c>
      <c r="U30">
        <f>'Study Parameters'!$C$14*'Study Parameters'!$C$8 * 10^3</f>
        <v>38400000</v>
      </c>
      <c r="V30">
        <f>'Study Parameters'!$C$14*'Study Parameters'!$C$8 * 10^3</f>
        <v>38400000</v>
      </c>
      <c r="W30">
        <f>'Study Parameters'!$C$14*'Study Parameters'!$C$8 * 10^3</f>
        <v>38400000</v>
      </c>
      <c r="X30">
        <f>'Study Parameters'!$C$14*'Study Parameters'!$C$8 * 10^3</f>
        <v>38400000</v>
      </c>
      <c r="Y30">
        <f>'Study Parameters'!$C$14*'Study Parameters'!$C$8 * 10^3</f>
        <v>38400000</v>
      </c>
      <c r="Z30">
        <f>'Study Parameters'!$C$14*'Study Parameters'!$C$8 * 10^3</f>
        <v>38400000</v>
      </c>
      <c r="AA30">
        <f>'Study Parameters'!$C$14*'Study Parameters'!$C$8 * 10^3</f>
        <v>38400000</v>
      </c>
    </row>
    <row r="31" spans="1:27" x14ac:dyDescent="0.25">
      <c r="A31" t="s">
        <v>125</v>
      </c>
      <c r="B31">
        <v>0</v>
      </c>
      <c r="C31">
        <f>C30/(1+'Study Parameters'!$C$4) ^'Production Cost Baseline'!C$2</f>
        <v>35720930.232558139</v>
      </c>
      <c r="D31">
        <f>D30/(1+'Study Parameters'!$C$4) ^'Production Cost Baseline'!D$2</f>
        <v>33228772.30935641</v>
      </c>
      <c r="E31">
        <f>E30/(1+'Study Parameters'!$C$4) ^'Production Cost Baseline'!E$2</f>
        <v>30910485.869168755</v>
      </c>
      <c r="F31">
        <f>F30/(1+'Study Parameters'!$C$4) ^'Production Cost Baseline'!F$2</f>
        <v>28753940.343412794</v>
      </c>
      <c r="G31">
        <f>G30/(1+'Study Parameters'!$C$4) ^'Production Cost Baseline'!G$2</f>
        <v>26747851.482244462</v>
      </c>
      <c r="H31">
        <f>H30/(1+'Study Parameters'!$C$4) ^'Production Cost Baseline'!H$2</f>
        <v>24881722.309064619</v>
      </c>
      <c r="I31">
        <f>I30/(1+'Study Parameters'!$C$4) ^'Production Cost Baseline'!I$2</f>
        <v>23145788.194478713</v>
      </c>
      <c r="J31">
        <f>J30/(1+'Study Parameters'!$C$4) ^'Production Cost Baseline'!J$2</f>
        <v>21530965.762305781</v>
      </c>
      <c r="K31">
        <f>K30/(1+'Study Parameters'!$C$4) ^'Production Cost Baseline'!K$2</f>
        <v>20028805.360284448</v>
      </c>
      <c r="L31">
        <f>L30/(1+'Study Parameters'!$C$4) ^'Production Cost Baseline'!L$2</f>
        <v>18631446.846776232</v>
      </c>
      <c r="M31">
        <f>M30/(1+'Study Parameters'!$C$4) ^'Production Cost Baseline'!M$2</f>
        <v>17331578.462117422</v>
      </c>
      <c r="N31">
        <f>N30/(1+'Study Parameters'!$C$4) ^'Production Cost Baseline'!N$2</f>
        <v>16122398.569411557</v>
      </c>
      <c r="O31">
        <f>O30/(1+'Study Parameters'!$C$4) ^'Production Cost Baseline'!O$2</f>
        <v>14997580.06456889</v>
      </c>
      <c r="P31">
        <f>P30/(1+'Study Parameters'!$C$4) ^'Production Cost Baseline'!P$2</f>
        <v>13951237.269366411</v>
      </c>
      <c r="Q31">
        <f>Q30/(1+'Study Parameters'!$C$4) ^'Production Cost Baseline'!Q$2</f>
        <v>12977895.134294337</v>
      </c>
      <c r="R31">
        <f>R30/(1+'Study Parameters'!$C$4) ^'Production Cost Baseline'!R$2</f>
        <v>12072460.590041243</v>
      </c>
      <c r="S31">
        <f>S30/(1+'Study Parameters'!$C$4) ^'Production Cost Baseline'!S$2</f>
        <v>11230195.897712786</v>
      </c>
      <c r="T31">
        <f>T30/(1+'Study Parameters'!$C$4) ^'Production Cost Baseline'!T$2</f>
        <v>10446693.858337475</v>
      </c>
      <c r="U31">
        <f>U30/(1+'Study Parameters'!$C$4) ^'Production Cost Baseline'!U$2</f>
        <v>9717854.7519418374</v>
      </c>
      <c r="V31">
        <f>V30/(1+'Study Parameters'!$C$4) ^'Production Cost Baseline'!V$2</f>
        <v>9039864.8855272904</v>
      </c>
      <c r="W31">
        <f>W30/(1+'Study Parameters'!$C$4) ^'Production Cost Baseline'!W$2</f>
        <v>8409176.6376998052</v>
      </c>
      <c r="X31">
        <f>X30/(1+'Study Parameters'!$C$4) ^'Production Cost Baseline'!X$2</f>
        <v>7822489.8955347026</v>
      </c>
      <c r="Y31">
        <f>Y30/(1+'Study Parameters'!$C$4) ^'Production Cost Baseline'!Y$2</f>
        <v>7276734.7865439095</v>
      </c>
      <c r="Z31">
        <f>Z30/(1+'Study Parameters'!$C$4) ^'Production Cost Baseline'!Z$2</f>
        <v>6769055.6153896842</v>
      </c>
      <c r="AA31">
        <f>AA30/(1+'Study Parameters'!$C$4) ^'Production Cost Baseline'!AA$2</f>
        <v>6296795.9212927287</v>
      </c>
    </row>
    <row r="33" spans="1:27" x14ac:dyDescent="0.25">
      <c r="A33" t="s">
        <v>126</v>
      </c>
      <c r="B33">
        <f>SUM(B29:AA29) / SUM(C31:AA31)</f>
        <v>8.3475411603087686</v>
      </c>
    </row>
    <row r="34" spans="1:27" x14ac:dyDescent="0.25">
      <c r="A34" t="s">
        <v>127</v>
      </c>
      <c r="B34">
        <f>B33 * Inputs!$C$15</f>
        <v>6.7030755517279417</v>
      </c>
    </row>
    <row r="36" spans="1:27" x14ac:dyDescent="0.25">
      <c r="A36" s="1" t="s">
        <v>134</v>
      </c>
    </row>
    <row r="37" spans="1:27" x14ac:dyDescent="0.25">
      <c r="A37" t="s">
        <v>120</v>
      </c>
      <c r="B37">
        <f>'Cost Components'!$E$12 * 10^6</f>
        <v>1439919999.9999998</v>
      </c>
      <c r="C37">
        <f>('Cost Components'!$E$21  + 'Cost Components'!$E$40) * 10^6</f>
        <v>201542180.27430987</v>
      </c>
      <c r="D37">
        <f>('Cost Components'!$E$21  + 'Cost Components'!$E$40) * 10^6</f>
        <v>201542180.27430987</v>
      </c>
      <c r="E37">
        <f>('Cost Components'!$E$21  + 'Cost Components'!$E$40) * 10^6</f>
        <v>201542180.27430987</v>
      </c>
      <c r="F37">
        <f>('Cost Components'!$E$21  + 'Cost Components'!$E$40) * 10^6</f>
        <v>201542180.27430987</v>
      </c>
      <c r="G37">
        <f>('Cost Components'!$E$21  + 'Cost Components'!$E$40) * 10^6</f>
        <v>201542180.27430987</v>
      </c>
      <c r="H37">
        <f>('Cost Components'!$E$21  + 'Cost Components'!$E$40) * 10^6</f>
        <v>201542180.27430987</v>
      </c>
      <c r="I37">
        <f>('Cost Components'!$E$21  + 'Cost Components'!$E$40) * 10^6</f>
        <v>201542180.27430987</v>
      </c>
      <c r="J37">
        <f>('Cost Components'!$E$21  + 'Cost Components'!$E$40) * 10^6</f>
        <v>201542180.27430987</v>
      </c>
      <c r="K37">
        <f>('Cost Components'!$E$21  + 'Cost Components'!$E$40) * 10^6</f>
        <v>201542180.27430987</v>
      </c>
      <c r="L37">
        <f>('Cost Components'!$E$21  + 'Cost Components'!$E$40) * 10^6</f>
        <v>201542180.27430987</v>
      </c>
      <c r="M37">
        <f>('Cost Components'!$E$21  + 'Cost Components'!$E$40) * 10^6</f>
        <v>201542180.27430987</v>
      </c>
      <c r="N37">
        <f>('Cost Components'!$E$21  + 'Cost Components'!$E$40) * 10^6</f>
        <v>201542180.27430987</v>
      </c>
      <c r="O37">
        <f>('Cost Components'!$E$21  + 'Cost Components'!$E$40) * 10^6</f>
        <v>201542180.27430987</v>
      </c>
      <c r="P37">
        <f>('Cost Components'!$E$21  + 'Cost Components'!$E$40) * 10^6</f>
        <v>201542180.27430987</v>
      </c>
      <c r="Q37">
        <f>('Cost Components'!$E$21  + 'Cost Components'!$E$40) * 10^6</f>
        <v>201542180.27430987</v>
      </c>
      <c r="R37">
        <f>('Cost Components'!$E$21  + 'Cost Components'!$E$40) * 10^6</f>
        <v>201542180.27430987</v>
      </c>
      <c r="S37">
        <f>('Cost Components'!$E$21  + 'Cost Components'!$E$40) * 10^6</f>
        <v>201542180.27430987</v>
      </c>
      <c r="T37">
        <f>('Cost Components'!$E$21  + 'Cost Components'!$E$40) * 10^6</f>
        <v>201542180.27430987</v>
      </c>
      <c r="U37">
        <f>('Cost Components'!$E$21  + 'Cost Components'!$E$40) * 10^6</f>
        <v>201542180.27430987</v>
      </c>
      <c r="V37">
        <f>('Cost Components'!$E$21  + 'Cost Components'!$E$40) * 10^6</f>
        <v>201542180.27430987</v>
      </c>
      <c r="W37">
        <f>('Cost Components'!$E$21  + 'Cost Components'!$E$40) * 10^6</f>
        <v>201542180.27430987</v>
      </c>
      <c r="X37">
        <f>('Cost Components'!$E$21  + 'Cost Components'!$E$40) * 10^6</f>
        <v>201542180.27430987</v>
      </c>
      <c r="Y37">
        <f>('Cost Components'!$E$21  + 'Cost Components'!$E$40) * 10^6</f>
        <v>201542180.27430987</v>
      </c>
      <c r="Z37">
        <f>('Cost Components'!$E$21  + 'Cost Components'!$E$40) * 10^6</f>
        <v>201542180.27430987</v>
      </c>
      <c r="AA37">
        <f>('Cost Components'!$E$21  + 'Cost Components'!$E$40) * 10^6</f>
        <v>201542180.27430987</v>
      </c>
    </row>
    <row r="38" spans="1:27" x14ac:dyDescent="0.25">
      <c r="A38" t="s">
        <v>121</v>
      </c>
      <c r="B38">
        <v>0</v>
      </c>
      <c r="C38">
        <f>'Cost Components'!$E$36*10^6</f>
        <v>103200000</v>
      </c>
      <c r="D38">
        <f>'Cost Components'!$E$36*10^6</f>
        <v>103200000</v>
      </c>
      <c r="E38">
        <f>'Cost Components'!$E$36*10^6</f>
        <v>103200000</v>
      </c>
      <c r="F38">
        <f>'Cost Components'!$E$36*10^6</f>
        <v>103200000</v>
      </c>
      <c r="G38">
        <f>'Cost Components'!$E$36*10^6</f>
        <v>103200000</v>
      </c>
      <c r="H38">
        <f>'Cost Components'!$E$36*10^6</f>
        <v>103200000</v>
      </c>
      <c r="I38">
        <f>'Cost Components'!$E$36*10^6</f>
        <v>103200000</v>
      </c>
      <c r="J38">
        <f>'Cost Components'!$E$36*10^6</f>
        <v>103200000</v>
      </c>
      <c r="K38">
        <f>'Cost Components'!$E$36*10^6</f>
        <v>103200000</v>
      </c>
      <c r="L38">
        <f>'Cost Components'!$E$36*10^6</f>
        <v>103200000</v>
      </c>
      <c r="M38">
        <f>'Cost Components'!$E$36*10^6</f>
        <v>103200000</v>
      </c>
      <c r="N38">
        <f>'Cost Components'!$E$36*10^6</f>
        <v>103200000</v>
      </c>
      <c r="O38">
        <f>'Cost Components'!$E$36*10^6</f>
        <v>103200000</v>
      </c>
      <c r="P38">
        <f>'Cost Components'!$E$36*10^6</f>
        <v>103200000</v>
      </c>
      <c r="Q38">
        <f>'Cost Components'!$E$36*10^6</f>
        <v>103200000</v>
      </c>
      <c r="R38">
        <f>'Cost Components'!$E$36*10^6</f>
        <v>103200000</v>
      </c>
      <c r="S38">
        <f>'Cost Components'!$E$36*10^6</f>
        <v>103200000</v>
      </c>
      <c r="T38">
        <f>'Cost Components'!$E$36*10^6</f>
        <v>103200000</v>
      </c>
      <c r="U38">
        <f>'Cost Components'!$E$36*10^6</f>
        <v>103200000</v>
      </c>
      <c r="V38">
        <f>'Cost Components'!$E$36*10^6</f>
        <v>103200000</v>
      </c>
      <c r="W38">
        <f>'Cost Components'!$E$36*10^6</f>
        <v>103200000</v>
      </c>
      <c r="X38">
        <f>'Cost Components'!$E$36*10^6</f>
        <v>103200000</v>
      </c>
      <c r="Y38">
        <f>'Cost Components'!$E$36*10^6</f>
        <v>103200000</v>
      </c>
      <c r="Z38">
        <f>'Cost Components'!$E$36*10^6</f>
        <v>103200000</v>
      </c>
      <c r="AA38">
        <f>'Cost Components'!$E$36*10^6</f>
        <v>103200000</v>
      </c>
    </row>
    <row r="39" spans="1:27" x14ac:dyDescent="0.25">
      <c r="A39" t="s">
        <v>122</v>
      </c>
      <c r="B39">
        <f t="shared" ref="B39:AA39" si="3">B37-B38</f>
        <v>1439919999.9999998</v>
      </c>
      <c r="C39">
        <f t="shared" si="3"/>
        <v>98342180.274309874</v>
      </c>
      <c r="D39">
        <f t="shared" si="3"/>
        <v>98342180.274309874</v>
      </c>
      <c r="E39">
        <f t="shared" si="3"/>
        <v>98342180.274309874</v>
      </c>
      <c r="F39">
        <f t="shared" si="3"/>
        <v>98342180.274309874</v>
      </c>
      <c r="G39">
        <f t="shared" si="3"/>
        <v>98342180.274309874</v>
      </c>
      <c r="H39">
        <f t="shared" si="3"/>
        <v>98342180.274309874</v>
      </c>
      <c r="I39">
        <f t="shared" si="3"/>
        <v>98342180.274309874</v>
      </c>
      <c r="J39">
        <f t="shared" si="3"/>
        <v>98342180.274309874</v>
      </c>
      <c r="K39">
        <f t="shared" si="3"/>
        <v>98342180.274309874</v>
      </c>
      <c r="L39">
        <f t="shared" si="3"/>
        <v>98342180.274309874</v>
      </c>
      <c r="M39">
        <f t="shared" si="3"/>
        <v>98342180.274309874</v>
      </c>
      <c r="N39">
        <f t="shared" si="3"/>
        <v>98342180.274309874</v>
      </c>
      <c r="O39">
        <f t="shared" si="3"/>
        <v>98342180.274309874</v>
      </c>
      <c r="P39">
        <f t="shared" si="3"/>
        <v>98342180.274309874</v>
      </c>
      <c r="Q39">
        <f t="shared" si="3"/>
        <v>98342180.274309874</v>
      </c>
      <c r="R39">
        <f t="shared" si="3"/>
        <v>98342180.274309874</v>
      </c>
      <c r="S39">
        <f t="shared" si="3"/>
        <v>98342180.274309874</v>
      </c>
      <c r="T39">
        <f t="shared" si="3"/>
        <v>98342180.274309874</v>
      </c>
      <c r="U39">
        <f t="shared" si="3"/>
        <v>98342180.274309874</v>
      </c>
      <c r="V39">
        <f t="shared" si="3"/>
        <v>98342180.274309874</v>
      </c>
      <c r="W39">
        <f t="shared" si="3"/>
        <v>98342180.274309874</v>
      </c>
      <c r="X39">
        <f t="shared" si="3"/>
        <v>98342180.274309874</v>
      </c>
      <c r="Y39">
        <f t="shared" si="3"/>
        <v>98342180.274309874</v>
      </c>
      <c r="Z39">
        <f t="shared" si="3"/>
        <v>98342180.274309874</v>
      </c>
      <c r="AA39">
        <f t="shared" si="3"/>
        <v>98342180.274309874</v>
      </c>
    </row>
    <row r="40" spans="1:27" x14ac:dyDescent="0.25">
      <c r="A40" t="s">
        <v>123</v>
      </c>
      <c r="B40">
        <f>B39/(1+'Study Parameters'!$C$4) ^'Production Cost Baseline'!B$2</f>
        <v>1439919999.9999998</v>
      </c>
      <c r="C40">
        <f>C39/(1+'Study Parameters'!$C$4) ^'Production Cost Baseline'!C$2</f>
        <v>91481097.929590583</v>
      </c>
      <c r="D40">
        <f>D39/(1+'Study Parameters'!$C$4) ^'Production Cost Baseline'!D$2</f>
        <v>85098695.748456359</v>
      </c>
      <c r="E40">
        <f>E39/(1+'Study Parameters'!$C$4) ^'Production Cost Baseline'!E$2</f>
        <v>79161577.440424517</v>
      </c>
      <c r="F40">
        <f>F39/(1+'Study Parameters'!$C$4) ^'Production Cost Baseline'!F$2</f>
        <v>73638676.688767001</v>
      </c>
      <c r="G40">
        <f>G39/(1+'Study Parameters'!$C$4) ^'Production Cost Baseline'!G$2</f>
        <v>68501094.594201863</v>
      </c>
      <c r="H40">
        <f>H39/(1+'Study Parameters'!$C$4) ^'Production Cost Baseline'!H$2</f>
        <v>63721948.459722668</v>
      </c>
      <c r="I40">
        <f>I39/(1+'Study Parameters'!$C$4) ^'Production Cost Baseline'!I$2</f>
        <v>59276231.125323407</v>
      </c>
      <c r="J40">
        <f>J39/(1+'Study Parameters'!$C$4) ^'Production Cost Baseline'!J$2</f>
        <v>55140680.116579913</v>
      </c>
      <c r="K40">
        <f>K39/(1+'Study Parameters'!$C$4) ^'Production Cost Baseline'!K$2</f>
        <v>51293655.922399923</v>
      </c>
      <c r="L40">
        <f>L39/(1+'Study Parameters'!$C$4) ^'Production Cost Baseline'!L$2</f>
        <v>47715028.765023194</v>
      </c>
      <c r="M40">
        <f>M39/(1+'Study Parameters'!$C$4) ^'Production Cost Baseline'!M$2</f>
        <v>44386073.26978901</v>
      </c>
      <c r="N40">
        <f>N39/(1+'Study Parameters'!$C$4) ^'Production Cost Baseline'!N$2</f>
        <v>41289370.483524665</v>
      </c>
      <c r="O40">
        <f>O39/(1+'Study Parameters'!$C$4) ^'Production Cost Baseline'!O$2</f>
        <v>38408716.728860147</v>
      </c>
      <c r="P40">
        <f>P39/(1+'Study Parameters'!$C$4) ^'Production Cost Baseline'!P$2</f>
        <v>35729038.817544326</v>
      </c>
      <c r="Q40">
        <f>Q39/(1+'Study Parameters'!$C$4) ^'Production Cost Baseline'!Q$2</f>
        <v>33236315.179111004</v>
      </c>
      <c r="R40">
        <f>R39/(1+'Study Parameters'!$C$4) ^'Production Cost Baseline'!R$2</f>
        <v>30917502.492196284</v>
      </c>
      <c r="S40">
        <f>S39/(1+'Study Parameters'!$C$4) ^'Production Cost Baseline'!S$2</f>
        <v>28760467.434601195</v>
      </c>
      <c r="T40">
        <f>T39/(1+'Study Parameters'!$C$4) ^'Production Cost Baseline'!T$2</f>
        <v>26753923.194977857</v>
      </c>
      <c r="U40">
        <f>U39/(1+'Study Parameters'!$C$4) ^'Production Cost Baseline'!U$2</f>
        <v>24887370.41393289</v>
      </c>
      <c r="V40">
        <f>V39/(1+'Study Parameters'!$C$4) ^'Production Cost Baseline'!V$2</f>
        <v>23151042.245518968</v>
      </c>
      <c r="W40">
        <f>W39/(1+'Study Parameters'!$C$4) ^'Production Cost Baseline'!W$2</f>
        <v>21535853.25164555</v>
      </c>
      <c r="X40">
        <f>X39/(1+'Study Parameters'!$C$4) ^'Production Cost Baseline'!X$2</f>
        <v>20033351.861995865</v>
      </c>
      <c r="Y40">
        <f>Y39/(1+'Study Parameters'!$C$4) ^'Production Cost Baseline'!Y$2</f>
        <v>18635676.150693826</v>
      </c>
      <c r="Z40">
        <f>Z39/(1+'Study Parameters'!$C$4) ^'Production Cost Baseline'!Z$2</f>
        <v>17335512.698319841</v>
      </c>
      <c r="AA40">
        <f>AA39/(1+'Study Parameters'!$C$4) ^'Production Cost Baseline'!AA$2</f>
        <v>16126058.324018454</v>
      </c>
    </row>
    <row r="41" spans="1:27" x14ac:dyDescent="0.25">
      <c r="A41" t="s">
        <v>124</v>
      </c>
      <c r="B41">
        <v>0</v>
      </c>
      <c r="C41">
        <f>'Study Parameters'!$C$15*'Study Parameters'!$C$8 * 10^3</f>
        <v>55200000</v>
      </c>
      <c r="D41">
        <f>'Study Parameters'!$C$15*'Study Parameters'!$C$8 * 10^3</f>
        <v>55200000</v>
      </c>
      <c r="E41">
        <f>'Study Parameters'!$C$15*'Study Parameters'!$C$8 * 10^3</f>
        <v>55200000</v>
      </c>
      <c r="F41">
        <f>'Study Parameters'!$C$15*'Study Parameters'!$C$8 * 10^3</f>
        <v>55200000</v>
      </c>
      <c r="G41">
        <f>'Study Parameters'!$C$15*'Study Parameters'!$C$8 * 10^3</f>
        <v>55200000</v>
      </c>
      <c r="H41">
        <f>'Study Parameters'!$C$15*'Study Parameters'!$C$8 * 10^3</f>
        <v>55200000</v>
      </c>
      <c r="I41">
        <f>'Study Parameters'!$C$15*'Study Parameters'!$C$8 * 10^3</f>
        <v>55200000</v>
      </c>
      <c r="J41">
        <f>'Study Parameters'!$C$15*'Study Parameters'!$C$8 * 10^3</f>
        <v>55200000</v>
      </c>
      <c r="K41">
        <f>'Study Parameters'!$C$15*'Study Parameters'!$C$8 * 10^3</f>
        <v>55200000</v>
      </c>
      <c r="L41">
        <f>'Study Parameters'!$C$15*'Study Parameters'!$C$8 * 10^3</f>
        <v>55200000</v>
      </c>
      <c r="M41">
        <f>'Study Parameters'!$C$15*'Study Parameters'!$C$8 * 10^3</f>
        <v>55200000</v>
      </c>
      <c r="N41">
        <f>'Study Parameters'!$C$15*'Study Parameters'!$C$8 * 10^3</f>
        <v>55200000</v>
      </c>
      <c r="O41">
        <f>'Study Parameters'!$C$15*'Study Parameters'!$C$8 * 10^3</f>
        <v>55200000</v>
      </c>
      <c r="P41">
        <f>'Study Parameters'!$C$15*'Study Parameters'!$C$8 * 10^3</f>
        <v>55200000</v>
      </c>
      <c r="Q41">
        <f>'Study Parameters'!$C$15*'Study Parameters'!$C$8 * 10^3</f>
        <v>55200000</v>
      </c>
      <c r="R41">
        <f>'Study Parameters'!$C$15*'Study Parameters'!$C$8 * 10^3</f>
        <v>55200000</v>
      </c>
      <c r="S41">
        <f>'Study Parameters'!$C$15*'Study Parameters'!$C$8 * 10^3</f>
        <v>55200000</v>
      </c>
      <c r="T41">
        <f>'Study Parameters'!$C$15*'Study Parameters'!$C$8 * 10^3</f>
        <v>55200000</v>
      </c>
      <c r="U41">
        <f>'Study Parameters'!$C$15*'Study Parameters'!$C$8 * 10^3</f>
        <v>55200000</v>
      </c>
      <c r="V41">
        <f>'Study Parameters'!$C$15*'Study Parameters'!$C$8 * 10^3</f>
        <v>55200000</v>
      </c>
      <c r="W41">
        <f>'Study Parameters'!$C$15*'Study Parameters'!$C$8 * 10^3</f>
        <v>55200000</v>
      </c>
      <c r="X41">
        <f>'Study Parameters'!$C$15*'Study Parameters'!$C$8 * 10^3</f>
        <v>55200000</v>
      </c>
      <c r="Y41">
        <f>'Study Parameters'!$C$15*'Study Parameters'!$C$8 * 10^3</f>
        <v>55200000</v>
      </c>
      <c r="Z41">
        <f>'Study Parameters'!$C$15*'Study Parameters'!$C$8 * 10^3</f>
        <v>55200000</v>
      </c>
      <c r="AA41">
        <f>'Study Parameters'!$C$15*'Study Parameters'!$C$8 * 10^3</f>
        <v>55200000</v>
      </c>
    </row>
    <row r="42" spans="1:27" x14ac:dyDescent="0.25">
      <c r="A42" t="s">
        <v>125</v>
      </c>
      <c r="B42">
        <v>0</v>
      </c>
      <c r="C42">
        <f>C41/(1+'Study Parameters'!$C$4) ^'Production Cost Baseline'!C$2</f>
        <v>51348837.209302329</v>
      </c>
      <c r="D42">
        <f>D41/(1+'Study Parameters'!$C$4) ^'Production Cost Baseline'!D$2</f>
        <v>47766360.194699839</v>
      </c>
      <c r="E42">
        <f>E41/(1+'Study Parameters'!$C$4) ^'Production Cost Baseline'!E$2</f>
        <v>44433823.43693009</v>
      </c>
      <c r="F42">
        <f>F41/(1+'Study Parameters'!$C$4) ^'Production Cost Baseline'!F$2</f>
        <v>41333789.24365589</v>
      </c>
      <c r="G42">
        <f>G41/(1+'Study Parameters'!$C$4) ^'Production Cost Baseline'!G$2</f>
        <v>38450036.505726412</v>
      </c>
      <c r="H42">
        <f>H41/(1+'Study Parameters'!$C$4) ^'Production Cost Baseline'!H$2</f>
        <v>35767475.819280386</v>
      </c>
      <c r="I42">
        <f>I41/(1+'Study Parameters'!$C$4) ^'Production Cost Baseline'!I$2</f>
        <v>33272070.529563151</v>
      </c>
      <c r="J42">
        <f>J41/(1+'Study Parameters'!$C$4) ^'Production Cost Baseline'!J$2</f>
        <v>30950763.28331456</v>
      </c>
      <c r="K42">
        <f>K41/(1+'Study Parameters'!$C$4) ^'Production Cost Baseline'!K$2</f>
        <v>28791407.705408894</v>
      </c>
      <c r="L42">
        <f>L41/(1+'Study Parameters'!$C$4) ^'Production Cost Baseline'!L$2</f>
        <v>26782704.842240836</v>
      </c>
      <c r="M42">
        <f>M41/(1+'Study Parameters'!$C$4) ^'Production Cost Baseline'!M$2</f>
        <v>24914144.039293796</v>
      </c>
      <c r="N42">
        <f>N41/(1+'Study Parameters'!$C$4) ^'Production Cost Baseline'!N$2</f>
        <v>23175947.943529114</v>
      </c>
      <c r="O42">
        <f>O41/(1+'Study Parameters'!$C$4) ^'Production Cost Baseline'!O$2</f>
        <v>21559021.34281778</v>
      </c>
      <c r="P42">
        <f>P41/(1+'Study Parameters'!$C$4) ^'Production Cost Baseline'!P$2</f>
        <v>20054903.574714214</v>
      </c>
      <c r="Q42">
        <f>Q41/(1+'Study Parameters'!$C$4) ^'Production Cost Baseline'!Q$2</f>
        <v>18655724.255548108</v>
      </c>
      <c r="R42">
        <f>R41/(1+'Study Parameters'!$C$4) ^'Production Cost Baseline'!R$2</f>
        <v>17354162.098184288</v>
      </c>
      <c r="S42">
        <f>S41/(1+'Study Parameters'!$C$4) ^'Production Cost Baseline'!S$2</f>
        <v>16143406.602962129</v>
      </c>
      <c r="T42">
        <f>T41/(1+'Study Parameters'!$C$4) ^'Production Cost Baseline'!T$2</f>
        <v>15017122.42136012</v>
      </c>
      <c r="U42">
        <f>U41/(1+'Study Parameters'!$C$4) ^'Production Cost Baseline'!U$2</f>
        <v>13969416.20591639</v>
      </c>
      <c r="V42">
        <f>V41/(1+'Study Parameters'!$C$4) ^'Production Cost Baseline'!V$2</f>
        <v>12994805.77294548</v>
      </c>
      <c r="W42">
        <f>W41/(1+'Study Parameters'!$C$4) ^'Production Cost Baseline'!W$2</f>
        <v>12088191.41669347</v>
      </c>
      <c r="X42">
        <f>X41/(1+'Study Parameters'!$C$4) ^'Production Cost Baseline'!X$2</f>
        <v>11244829.224831134</v>
      </c>
      <c r="Y42">
        <f>Y41/(1+'Study Parameters'!$C$4) ^'Production Cost Baseline'!Y$2</f>
        <v>10460306.25565687</v>
      </c>
      <c r="Z42">
        <f>Z41/(1+'Study Parameters'!$C$4) ^'Production Cost Baseline'!Z$2</f>
        <v>9730517.4471226707</v>
      </c>
      <c r="AA42">
        <f>AA41/(1+'Study Parameters'!$C$4) ^'Production Cost Baseline'!AA$2</f>
        <v>9051644.1368582975</v>
      </c>
    </row>
    <row r="44" spans="1:27" x14ac:dyDescent="0.25">
      <c r="A44" t="s">
        <v>126</v>
      </c>
      <c r="B44">
        <f>SUM(B40:AA40) / SUM(C42:AA42)</f>
        <v>4.1217096122423422</v>
      </c>
    </row>
    <row r="45" spans="1:27" x14ac:dyDescent="0.25">
      <c r="A45" t="s">
        <v>127</v>
      </c>
      <c r="B45">
        <f>B44 * Inputs!$C$15</f>
        <v>3.309732818630601</v>
      </c>
    </row>
    <row r="47" spans="1:27" x14ac:dyDescent="0.25">
      <c r="A47" s="1" t="s">
        <v>136</v>
      </c>
    </row>
    <row r="48" spans="1:27" x14ac:dyDescent="0.25">
      <c r="A48" t="s">
        <v>120</v>
      </c>
      <c r="B48">
        <f>'Cost Components'!$F$12 * 10^6</f>
        <v>1482660000</v>
      </c>
      <c r="C48">
        <f>('Cost Components'!$F$21  + 'Cost Components'!$F$40) * 10^6</f>
        <v>242242143.97323194</v>
      </c>
      <c r="D48">
        <f>('Cost Components'!$F$21  + 'Cost Components'!$F$40) * 10^6</f>
        <v>242242143.97323194</v>
      </c>
      <c r="E48">
        <f>('Cost Components'!$F$21  + 'Cost Components'!$F$40) * 10^6</f>
        <v>242242143.97323194</v>
      </c>
      <c r="F48">
        <f>('Cost Components'!$F$21  + 'Cost Components'!$F$40) * 10^6</f>
        <v>242242143.97323194</v>
      </c>
      <c r="G48">
        <f>('Cost Components'!$F$21  + 'Cost Components'!$F$40) * 10^6</f>
        <v>242242143.97323194</v>
      </c>
      <c r="H48">
        <f>('Cost Components'!$F$21  + 'Cost Components'!$F$40) * 10^6</f>
        <v>242242143.97323194</v>
      </c>
      <c r="I48">
        <f>('Cost Components'!$F$21  + 'Cost Components'!$F$40) * 10^6</f>
        <v>242242143.97323194</v>
      </c>
      <c r="J48">
        <f>('Cost Components'!$F$21  + 'Cost Components'!$F$40) * 10^6</f>
        <v>242242143.97323194</v>
      </c>
      <c r="K48">
        <f>('Cost Components'!$F$21  + 'Cost Components'!$F$40) * 10^6</f>
        <v>242242143.97323194</v>
      </c>
      <c r="L48">
        <f>('Cost Components'!$F$21  + 'Cost Components'!$F$40) * 10^6</f>
        <v>242242143.97323194</v>
      </c>
      <c r="M48">
        <f>('Cost Components'!$F$21  + 'Cost Components'!$F$40) * 10^6</f>
        <v>242242143.97323194</v>
      </c>
      <c r="N48">
        <f>('Cost Components'!$F$21  + 'Cost Components'!$F$40) * 10^6</f>
        <v>242242143.97323194</v>
      </c>
      <c r="O48">
        <f>('Cost Components'!$F$21  + 'Cost Components'!$F$40) * 10^6</f>
        <v>242242143.97323194</v>
      </c>
      <c r="P48">
        <f>('Cost Components'!$F$21  + 'Cost Components'!$F$40) * 10^6</f>
        <v>242242143.97323194</v>
      </c>
      <c r="Q48">
        <f>('Cost Components'!$F$21  + 'Cost Components'!$F$40) * 10^6</f>
        <v>242242143.97323194</v>
      </c>
      <c r="R48">
        <f>('Cost Components'!$F$21  + 'Cost Components'!$F$40) * 10^6</f>
        <v>242242143.97323194</v>
      </c>
      <c r="S48">
        <f>('Cost Components'!$F$21  + 'Cost Components'!$F$40) * 10^6</f>
        <v>242242143.97323194</v>
      </c>
      <c r="T48">
        <f>('Cost Components'!$F$21  + 'Cost Components'!$F$40) * 10^6</f>
        <v>242242143.97323194</v>
      </c>
      <c r="U48">
        <f>('Cost Components'!$F$21  + 'Cost Components'!$F$40) * 10^6</f>
        <v>242242143.97323194</v>
      </c>
      <c r="V48">
        <f>('Cost Components'!$F$21  + 'Cost Components'!$F$40) * 10^6</f>
        <v>242242143.97323194</v>
      </c>
      <c r="W48">
        <f>('Cost Components'!$F$21  + 'Cost Components'!$F$40) * 10^6</f>
        <v>242242143.97323194</v>
      </c>
      <c r="X48">
        <f>('Cost Components'!$F$21  + 'Cost Components'!$F$40) * 10^6</f>
        <v>242242143.97323194</v>
      </c>
      <c r="Y48">
        <f>('Cost Components'!$F$21  + 'Cost Components'!$F$40) * 10^6</f>
        <v>242242143.97323194</v>
      </c>
      <c r="Z48">
        <f>('Cost Components'!$F$21  + 'Cost Components'!$F$40) * 10^6</f>
        <v>242242143.97323194</v>
      </c>
      <c r="AA48">
        <f>('Cost Components'!$F$21  + 'Cost Components'!$F$40) * 10^6</f>
        <v>242242143.97323194</v>
      </c>
    </row>
    <row r="49" spans="1:27" x14ac:dyDescent="0.25">
      <c r="A49" t="s">
        <v>121</v>
      </c>
      <c r="B49">
        <v>0</v>
      </c>
      <c r="C49">
        <f>'Cost Components'!$F$36*10^6</f>
        <v>135200000</v>
      </c>
      <c r="D49">
        <f>'Cost Components'!$F$36*10^6</f>
        <v>135200000</v>
      </c>
      <c r="E49">
        <f>'Cost Components'!$F$36*10^6</f>
        <v>135200000</v>
      </c>
      <c r="F49">
        <f>'Cost Components'!$F$36*10^6</f>
        <v>135200000</v>
      </c>
      <c r="G49">
        <f>'Cost Components'!$F$36*10^6</f>
        <v>135200000</v>
      </c>
      <c r="H49">
        <f>'Cost Components'!$F$36*10^6</f>
        <v>135200000</v>
      </c>
      <c r="I49">
        <f>'Cost Components'!$F$36*10^6</f>
        <v>135200000</v>
      </c>
      <c r="J49">
        <f>'Cost Components'!$F$36*10^6</f>
        <v>135200000</v>
      </c>
      <c r="K49">
        <f>'Cost Components'!$F$36*10^6</f>
        <v>135200000</v>
      </c>
      <c r="L49">
        <f>'Cost Components'!$F$36*10^6</f>
        <v>135200000</v>
      </c>
      <c r="M49">
        <f>'Cost Components'!$F$36*10^6</f>
        <v>135200000</v>
      </c>
      <c r="N49">
        <f>'Cost Components'!$F$36*10^6</f>
        <v>135200000</v>
      </c>
      <c r="O49">
        <f>'Cost Components'!$F$36*10^6</f>
        <v>135200000</v>
      </c>
      <c r="P49">
        <f>'Cost Components'!$F$36*10^6</f>
        <v>135200000</v>
      </c>
      <c r="Q49">
        <f>'Cost Components'!$F$36*10^6</f>
        <v>135200000</v>
      </c>
      <c r="R49">
        <f>'Cost Components'!$F$36*10^6</f>
        <v>135200000</v>
      </c>
      <c r="S49">
        <f>'Cost Components'!$F$36*10^6</f>
        <v>135200000</v>
      </c>
      <c r="T49">
        <f>'Cost Components'!$F$36*10^6</f>
        <v>135200000</v>
      </c>
      <c r="U49">
        <f>'Cost Components'!$F$36*10^6</f>
        <v>135200000</v>
      </c>
      <c r="V49">
        <f>'Cost Components'!$F$36*10^6</f>
        <v>135200000</v>
      </c>
      <c r="W49">
        <f>'Cost Components'!$F$36*10^6</f>
        <v>135200000</v>
      </c>
      <c r="X49">
        <f>'Cost Components'!$F$36*10^6</f>
        <v>135200000</v>
      </c>
      <c r="Y49">
        <f>'Cost Components'!$F$36*10^6</f>
        <v>135200000</v>
      </c>
      <c r="Z49">
        <f>'Cost Components'!$F$36*10^6</f>
        <v>135200000</v>
      </c>
      <c r="AA49">
        <f>'Cost Components'!$F$36*10^6</f>
        <v>135200000</v>
      </c>
    </row>
    <row r="50" spans="1:27" x14ac:dyDescent="0.25">
      <c r="A50" t="s">
        <v>122</v>
      </c>
      <c r="B50">
        <f t="shared" ref="B50:AA50" si="4">B48-B49</f>
        <v>1482660000</v>
      </c>
      <c r="C50">
        <f t="shared" si="4"/>
        <v>107042143.97323194</v>
      </c>
      <c r="D50">
        <f t="shared" si="4"/>
        <v>107042143.97323194</v>
      </c>
      <c r="E50">
        <f t="shared" si="4"/>
        <v>107042143.97323194</v>
      </c>
      <c r="F50">
        <f t="shared" si="4"/>
        <v>107042143.97323194</v>
      </c>
      <c r="G50">
        <f t="shared" si="4"/>
        <v>107042143.97323194</v>
      </c>
      <c r="H50">
        <f t="shared" si="4"/>
        <v>107042143.97323194</v>
      </c>
      <c r="I50">
        <f t="shared" si="4"/>
        <v>107042143.97323194</v>
      </c>
      <c r="J50">
        <f t="shared" si="4"/>
        <v>107042143.97323194</v>
      </c>
      <c r="K50">
        <f t="shared" si="4"/>
        <v>107042143.97323194</v>
      </c>
      <c r="L50">
        <f t="shared" si="4"/>
        <v>107042143.97323194</v>
      </c>
      <c r="M50">
        <f t="shared" si="4"/>
        <v>107042143.97323194</v>
      </c>
      <c r="N50">
        <f t="shared" si="4"/>
        <v>107042143.97323194</v>
      </c>
      <c r="O50">
        <f t="shared" si="4"/>
        <v>107042143.97323194</v>
      </c>
      <c r="P50">
        <f t="shared" si="4"/>
        <v>107042143.97323194</v>
      </c>
      <c r="Q50">
        <f t="shared" si="4"/>
        <v>107042143.97323194</v>
      </c>
      <c r="R50">
        <f t="shared" si="4"/>
        <v>107042143.97323194</v>
      </c>
      <c r="S50">
        <f t="shared" si="4"/>
        <v>107042143.97323194</v>
      </c>
      <c r="T50">
        <f t="shared" si="4"/>
        <v>107042143.97323194</v>
      </c>
      <c r="U50">
        <f t="shared" si="4"/>
        <v>107042143.97323194</v>
      </c>
      <c r="V50">
        <f t="shared" si="4"/>
        <v>107042143.97323194</v>
      </c>
      <c r="W50">
        <f t="shared" si="4"/>
        <v>107042143.97323194</v>
      </c>
      <c r="X50">
        <f t="shared" si="4"/>
        <v>107042143.97323194</v>
      </c>
      <c r="Y50">
        <f t="shared" si="4"/>
        <v>107042143.97323194</v>
      </c>
      <c r="Z50">
        <f t="shared" si="4"/>
        <v>107042143.97323194</v>
      </c>
      <c r="AA50">
        <f t="shared" si="4"/>
        <v>107042143.97323194</v>
      </c>
    </row>
    <row r="51" spans="1:27" x14ac:dyDescent="0.25">
      <c r="A51" t="s">
        <v>123</v>
      </c>
      <c r="B51">
        <f>B50/(1+'Study Parameters'!$C$4) ^'Production Cost Baseline'!B$2</f>
        <v>1482660000</v>
      </c>
      <c r="C51">
        <f>C50/(1+'Study Parameters'!$C$4) ^'Production Cost Baseline'!C$2</f>
        <v>99574087.416959956</v>
      </c>
      <c r="D51">
        <f>D50/(1+'Study Parameters'!$C$4) ^'Production Cost Baseline'!D$2</f>
        <v>92627058.062288329</v>
      </c>
      <c r="E51">
        <f>E50/(1+'Study Parameters'!$C$4) ^'Production Cost Baseline'!E$2</f>
        <v>86164705.174221709</v>
      </c>
      <c r="F51">
        <f>F50/(1+'Study Parameters'!$C$4) ^'Production Cost Baseline'!F$2</f>
        <v>80153214.115555078</v>
      </c>
      <c r="G51">
        <f>G50/(1+'Study Parameters'!$C$4) ^'Production Cost Baseline'!G$2</f>
        <v>74561129.409818664</v>
      </c>
      <c r="H51">
        <f>H50/(1+'Study Parameters'!$C$4) ^'Production Cost Baseline'!H$2</f>
        <v>69359190.148668543</v>
      </c>
      <c r="I51">
        <f>I50/(1+'Study Parameters'!$C$4) ^'Production Cost Baseline'!I$2</f>
        <v>64520176.882482357</v>
      </c>
      <c r="J51">
        <f>J50/(1+'Study Parameters'!$C$4) ^'Production Cost Baseline'!J$2</f>
        <v>60018769.193006851</v>
      </c>
      <c r="K51">
        <f>K50/(1+'Study Parameters'!$C$4) ^'Production Cost Baseline'!K$2</f>
        <v>55831413.20279707</v>
      </c>
      <c r="L51">
        <f>L50/(1+'Study Parameters'!$C$4) ^'Production Cost Baseline'!L$2</f>
        <v>51936198.328183331</v>
      </c>
      <c r="M51">
        <f>M50/(1+'Study Parameters'!$C$4) ^'Production Cost Baseline'!M$2</f>
        <v>48312742.630868204</v>
      </c>
      <c r="N51">
        <f>N50/(1+'Study Parameters'!$C$4) ^'Production Cost Baseline'!N$2</f>
        <v>44942086.168249495</v>
      </c>
      <c r="O51">
        <f>O50/(1+'Study Parameters'!$C$4) ^'Production Cost Baseline'!O$2</f>
        <v>41806591.784418136</v>
      </c>
      <c r="P51">
        <f>P50/(1+'Study Parameters'!$C$4) ^'Production Cost Baseline'!P$2</f>
        <v>38889852.822714545</v>
      </c>
      <c r="Q51">
        <f>Q50/(1+'Study Parameters'!$C$4) ^'Production Cost Baseline'!Q$2</f>
        <v>36176607.276943766</v>
      </c>
      <c r="R51">
        <f>R50/(1+'Study Parameters'!$C$4) ^'Production Cost Baseline'!R$2</f>
        <v>33652657.932040714</v>
      </c>
      <c r="S51">
        <f>S50/(1+'Study Parameters'!$C$4) ^'Production Cost Baseline'!S$2</f>
        <v>31304798.076316945</v>
      </c>
      <c r="T51">
        <f>T50/(1+'Study Parameters'!$C$4) ^'Production Cost Baseline'!T$2</f>
        <v>29120742.396573905</v>
      </c>
      <c r="U51">
        <f>U50/(1+'Study Parameters'!$C$4) ^'Production Cost Baseline'!U$2</f>
        <v>27089062.694487352</v>
      </c>
      <c r="V51">
        <f>V50/(1+'Study Parameters'!$C$4) ^'Production Cost Baseline'!V$2</f>
        <v>25199128.087895211</v>
      </c>
      <c r="W51">
        <f>W50/(1+'Study Parameters'!$C$4) ^'Production Cost Baseline'!W$2</f>
        <v>23441049.384088568</v>
      </c>
      <c r="X51">
        <f>X50/(1+'Study Parameters'!$C$4) ^'Production Cost Baseline'!X$2</f>
        <v>21805627.334035877</v>
      </c>
      <c r="Y51">
        <f>Y50/(1+'Study Parameters'!$C$4) ^'Production Cost Baseline'!Y$2</f>
        <v>20284304.496777561</v>
      </c>
      <c r="Z51">
        <f>Z50/(1+'Study Parameters'!$C$4) ^'Production Cost Baseline'!Z$2</f>
        <v>18869120.462118663</v>
      </c>
      <c r="AA51">
        <f>AA50/(1+'Study Parameters'!$C$4) ^'Production Cost Baseline'!AA$2</f>
        <v>17552670.197319686</v>
      </c>
    </row>
    <row r="52" spans="1:27" x14ac:dyDescent="0.25">
      <c r="A52" t="s">
        <v>124</v>
      </c>
      <c r="B52">
        <v>0</v>
      </c>
      <c r="C52">
        <f>'Study Parameters'!$C$16*'Study Parameters'!$C$8 * 10^3</f>
        <v>54400000</v>
      </c>
      <c r="D52">
        <f>'Study Parameters'!$C$16*'Study Parameters'!$C$8 * 10^3</f>
        <v>54400000</v>
      </c>
      <c r="E52">
        <f>'Study Parameters'!$C$16*'Study Parameters'!$C$8 * 10^3</f>
        <v>54400000</v>
      </c>
      <c r="F52">
        <f>'Study Parameters'!$C$16*'Study Parameters'!$C$8 * 10^3</f>
        <v>54400000</v>
      </c>
      <c r="G52">
        <f>'Study Parameters'!$C$16*'Study Parameters'!$C$8 * 10^3</f>
        <v>54400000</v>
      </c>
      <c r="H52">
        <f>'Study Parameters'!$C$16*'Study Parameters'!$C$8 * 10^3</f>
        <v>54400000</v>
      </c>
      <c r="I52">
        <f>'Study Parameters'!$C$16*'Study Parameters'!$C$8 * 10^3</f>
        <v>54400000</v>
      </c>
      <c r="J52">
        <f>'Study Parameters'!$C$16*'Study Parameters'!$C$8 * 10^3</f>
        <v>54400000</v>
      </c>
      <c r="K52">
        <f>'Study Parameters'!$C$16*'Study Parameters'!$C$8 * 10^3</f>
        <v>54400000</v>
      </c>
      <c r="L52">
        <f>'Study Parameters'!$C$16*'Study Parameters'!$C$8 * 10^3</f>
        <v>54400000</v>
      </c>
      <c r="M52">
        <f>'Study Parameters'!$C$16*'Study Parameters'!$C$8 * 10^3</f>
        <v>54400000</v>
      </c>
      <c r="N52">
        <f>'Study Parameters'!$C$16*'Study Parameters'!$C$8 * 10^3</f>
        <v>54400000</v>
      </c>
      <c r="O52">
        <f>'Study Parameters'!$C$16*'Study Parameters'!$C$8 * 10^3</f>
        <v>54400000</v>
      </c>
      <c r="P52">
        <f>'Study Parameters'!$C$16*'Study Parameters'!$C$8 * 10^3</f>
        <v>54400000</v>
      </c>
      <c r="Q52">
        <f>'Study Parameters'!$C$16*'Study Parameters'!$C$8 * 10^3</f>
        <v>54400000</v>
      </c>
      <c r="R52">
        <f>'Study Parameters'!$C$16*'Study Parameters'!$C$8 * 10^3</f>
        <v>54400000</v>
      </c>
      <c r="S52">
        <f>'Study Parameters'!$C$16*'Study Parameters'!$C$8 * 10^3</f>
        <v>54400000</v>
      </c>
      <c r="T52">
        <f>'Study Parameters'!$C$16*'Study Parameters'!$C$8 * 10^3</f>
        <v>54400000</v>
      </c>
      <c r="U52">
        <f>'Study Parameters'!$C$16*'Study Parameters'!$C$8 * 10^3</f>
        <v>54400000</v>
      </c>
      <c r="V52">
        <f>'Study Parameters'!$C$16*'Study Parameters'!$C$8 * 10^3</f>
        <v>54400000</v>
      </c>
      <c r="W52">
        <f>'Study Parameters'!$C$16*'Study Parameters'!$C$8 * 10^3</f>
        <v>54400000</v>
      </c>
      <c r="X52">
        <f>'Study Parameters'!$C$16*'Study Parameters'!$C$8 * 10^3</f>
        <v>54400000</v>
      </c>
      <c r="Y52">
        <f>'Study Parameters'!$C$16*'Study Parameters'!$C$8 * 10^3</f>
        <v>54400000</v>
      </c>
      <c r="Z52">
        <f>'Study Parameters'!$C$16*'Study Parameters'!$C$8 * 10^3</f>
        <v>54400000</v>
      </c>
      <c r="AA52">
        <f>'Study Parameters'!$C$16*'Study Parameters'!$C$8 * 10^3</f>
        <v>54400000</v>
      </c>
    </row>
    <row r="53" spans="1:27" x14ac:dyDescent="0.25">
      <c r="A53" t="s">
        <v>125</v>
      </c>
      <c r="B53">
        <v>0</v>
      </c>
      <c r="C53">
        <f>C52/(1+'Study Parameters'!$C$4) ^'Production Cost Baseline'!C$2</f>
        <v>50604651.162790701</v>
      </c>
      <c r="D53">
        <f>D52/(1+'Study Parameters'!$C$4) ^'Production Cost Baseline'!D$2</f>
        <v>47074094.104921587</v>
      </c>
      <c r="E53">
        <f>E52/(1+'Study Parameters'!$C$4) ^'Production Cost Baseline'!E$2</f>
        <v>43789854.981322408</v>
      </c>
      <c r="F53">
        <f>F52/(1+'Study Parameters'!$C$4) ^'Production Cost Baseline'!F$2</f>
        <v>40734748.819834791</v>
      </c>
      <c r="G53">
        <f>G52/(1+'Study Parameters'!$C$4) ^'Production Cost Baseline'!G$2</f>
        <v>37892789.599846318</v>
      </c>
      <c r="H53">
        <f>H52/(1+'Study Parameters'!$C$4) ^'Production Cost Baseline'!H$2</f>
        <v>35249106.604508206</v>
      </c>
      <c r="I53">
        <f>I52/(1+'Study Parameters'!$C$4) ^'Production Cost Baseline'!I$2</f>
        <v>32789866.608844843</v>
      </c>
      <c r="J53">
        <f>J52/(1+'Study Parameters'!$C$4) ^'Production Cost Baseline'!J$2</f>
        <v>30502201.496599857</v>
      </c>
      <c r="K53">
        <f>K52/(1+'Study Parameters'!$C$4) ^'Production Cost Baseline'!K$2</f>
        <v>28374140.927069634</v>
      </c>
      <c r="L53">
        <f>L52/(1+'Study Parameters'!$C$4) ^'Production Cost Baseline'!L$2</f>
        <v>26394549.699599665</v>
      </c>
      <c r="M53">
        <f>M52/(1+'Study Parameters'!$C$4) ^'Production Cost Baseline'!M$2</f>
        <v>24553069.487999685</v>
      </c>
      <c r="N53">
        <f>N52/(1+'Study Parameters'!$C$4) ^'Production Cost Baseline'!N$2</f>
        <v>22840064.639999706</v>
      </c>
      <c r="O53">
        <f>O52/(1+'Study Parameters'!$C$4) ^'Production Cost Baseline'!O$2</f>
        <v>21246571.75813926</v>
      </c>
      <c r="P53">
        <f>P52/(1+'Study Parameters'!$C$4) ^'Production Cost Baseline'!P$2</f>
        <v>19764252.798269082</v>
      </c>
      <c r="Q53">
        <f>Q52/(1+'Study Parameters'!$C$4) ^'Production Cost Baseline'!Q$2</f>
        <v>18385351.440250307</v>
      </c>
      <c r="R53">
        <f>R52/(1+'Study Parameters'!$C$4) ^'Production Cost Baseline'!R$2</f>
        <v>17102652.502558429</v>
      </c>
      <c r="S53">
        <f>S52/(1+'Study Parameters'!$C$4) ^'Production Cost Baseline'!S$2</f>
        <v>15909444.188426446</v>
      </c>
      <c r="T53">
        <f>T52/(1+'Study Parameters'!$C$4) ^'Production Cost Baseline'!T$2</f>
        <v>14799482.96597809</v>
      </c>
      <c r="U53">
        <f>U52/(1+'Study Parameters'!$C$4) ^'Production Cost Baseline'!U$2</f>
        <v>13766960.898584269</v>
      </c>
      <c r="V53">
        <f>V52/(1+'Study Parameters'!$C$4) ^'Production Cost Baseline'!V$2</f>
        <v>12806475.254496995</v>
      </c>
      <c r="W53">
        <f>W52/(1+'Study Parameters'!$C$4) ^'Production Cost Baseline'!W$2</f>
        <v>11913000.23674139</v>
      </c>
      <c r="X53">
        <f>X52/(1+'Study Parameters'!$C$4) ^'Production Cost Baseline'!X$2</f>
        <v>11081860.685340829</v>
      </c>
      <c r="Y53">
        <f>Y52/(1+'Study Parameters'!$C$4) ^'Production Cost Baseline'!Y$2</f>
        <v>10308707.614270538</v>
      </c>
      <c r="Z53">
        <f>Z52/(1+'Study Parameters'!$C$4) ^'Production Cost Baseline'!Z$2</f>
        <v>9589495.4551353846</v>
      </c>
      <c r="AA53">
        <f>AA52/(1+'Study Parameters'!$C$4) ^'Production Cost Baseline'!AA$2</f>
        <v>8920460.8884980325</v>
      </c>
    </row>
    <row r="55" spans="1:27" x14ac:dyDescent="0.25">
      <c r="A55" t="s">
        <v>126</v>
      </c>
      <c r="B55">
        <f>SUM(B51:AA51) / SUM(C53:AA53)</f>
        <v>4.4127310367830228</v>
      </c>
    </row>
    <row r="56" spans="1:27" x14ac:dyDescent="0.25">
      <c r="A56" t="s">
        <v>127</v>
      </c>
      <c r="B56">
        <f>B55 * Inputs!$C$15</f>
        <v>3.5434230225367673</v>
      </c>
    </row>
    <row r="58" spans="1:27" x14ac:dyDescent="0.25">
      <c r="A58" s="11">
        <v>2050</v>
      </c>
    </row>
    <row r="59" spans="1:27" x14ac:dyDescent="0.25">
      <c r="A59" s="1" t="s">
        <v>128</v>
      </c>
    </row>
    <row r="60" spans="1:27" x14ac:dyDescent="0.25">
      <c r="A60" t="s">
        <v>120</v>
      </c>
      <c r="B60">
        <f>'Cost Components'!$M$12 * 10^6</f>
        <v>575000000</v>
      </c>
      <c r="C60">
        <f>'Cost Components'!$M$41*10^6</f>
        <v>158253747.37606341</v>
      </c>
      <c r="D60">
        <f>'Cost Components'!$M$41*10^6</f>
        <v>158253747.37606341</v>
      </c>
      <c r="E60">
        <f>'Cost Components'!$M$41*10^6</f>
        <v>158253747.37606341</v>
      </c>
      <c r="F60">
        <f>'Cost Components'!$M$41*10^6</f>
        <v>158253747.37606341</v>
      </c>
      <c r="G60">
        <f>'Cost Components'!$M$41*10^6</f>
        <v>158253747.37606341</v>
      </c>
      <c r="H60">
        <f>'Cost Components'!$M$41*10^6</f>
        <v>158253747.37606341</v>
      </c>
      <c r="I60">
        <f>'Cost Components'!$M$41*10^6</f>
        <v>158253747.37606341</v>
      </c>
      <c r="J60">
        <f>'Cost Components'!$M$41*10^6</f>
        <v>158253747.37606341</v>
      </c>
      <c r="K60">
        <f>'Cost Components'!$M$41*10^6</f>
        <v>158253747.37606341</v>
      </c>
      <c r="L60">
        <f>'Cost Components'!$M$41*10^6</f>
        <v>158253747.37606341</v>
      </c>
      <c r="M60">
        <f>'Cost Components'!$M$41*10^6</f>
        <v>158253747.37606341</v>
      </c>
      <c r="N60">
        <f>'Cost Components'!$M$41*10^6</f>
        <v>158253747.37606341</v>
      </c>
      <c r="O60">
        <f>'Cost Components'!$M$41*10^6</f>
        <v>158253747.37606341</v>
      </c>
      <c r="P60">
        <f>'Cost Components'!$M$41*10^6</f>
        <v>158253747.37606341</v>
      </c>
      <c r="Q60">
        <f>'Cost Components'!$M$41*10^6</f>
        <v>158253747.37606341</v>
      </c>
      <c r="R60">
        <f>'Cost Components'!$M$41*10^6</f>
        <v>158253747.37606341</v>
      </c>
      <c r="S60">
        <f>'Cost Components'!$M$41*10^6</f>
        <v>158253747.37606341</v>
      </c>
      <c r="T60">
        <f>'Cost Components'!$M$41*10^6</f>
        <v>158253747.37606341</v>
      </c>
      <c r="U60">
        <f>'Cost Components'!$M$41*10^6</f>
        <v>158253747.37606341</v>
      </c>
      <c r="V60">
        <f>'Cost Components'!$M$41*10^6</f>
        <v>158253747.37606341</v>
      </c>
      <c r="W60">
        <f>'Cost Components'!$M$41*10^6</f>
        <v>158253747.37606341</v>
      </c>
      <c r="X60">
        <f>'Cost Components'!$M$41*10^6</f>
        <v>158253747.37606341</v>
      </c>
      <c r="Y60">
        <f>'Cost Components'!$M$41*10^6</f>
        <v>158253747.37606341</v>
      </c>
      <c r="Z60">
        <f>'Cost Components'!$M$41*10^6</f>
        <v>158253747.37606341</v>
      </c>
      <c r="AA60">
        <f>'Cost Components'!$M$41*10^6</f>
        <v>158253747.37606341</v>
      </c>
    </row>
    <row r="61" spans="1:27" x14ac:dyDescent="0.25">
      <c r="A61" t="s">
        <v>121</v>
      </c>
      <c r="B61">
        <v>0</v>
      </c>
      <c r="C61">
        <f>'Cost Components'!$M$36 * 10^6</f>
        <v>149900000</v>
      </c>
      <c r="D61">
        <f>'Cost Components'!$M$36 * 10^6</f>
        <v>149900000</v>
      </c>
      <c r="E61">
        <f>'Cost Components'!$M$36 * 10^6</f>
        <v>149900000</v>
      </c>
      <c r="F61">
        <f>'Cost Components'!$M$36 * 10^6</f>
        <v>149900000</v>
      </c>
      <c r="G61">
        <f>'Cost Components'!$M$36 * 10^6</f>
        <v>149900000</v>
      </c>
      <c r="H61">
        <f>'Cost Components'!$M$36 * 10^6</f>
        <v>149900000</v>
      </c>
      <c r="I61">
        <f>'Cost Components'!$M$36 * 10^6</f>
        <v>149900000</v>
      </c>
      <c r="J61">
        <f>'Cost Components'!$M$36 * 10^6</f>
        <v>149900000</v>
      </c>
      <c r="K61">
        <f>'Cost Components'!$M$36 * 10^6</f>
        <v>149900000</v>
      </c>
      <c r="L61">
        <f>'Cost Components'!$M$36 * 10^6</f>
        <v>149900000</v>
      </c>
      <c r="M61">
        <f>'Cost Components'!$M$36 * 10^6</f>
        <v>149900000</v>
      </c>
      <c r="N61">
        <f>'Cost Components'!$M$36 * 10^6</f>
        <v>149900000</v>
      </c>
      <c r="O61">
        <f>'Cost Components'!$M$36 * 10^6</f>
        <v>149900000</v>
      </c>
      <c r="P61">
        <f>'Cost Components'!$M$36 * 10^6</f>
        <v>149900000</v>
      </c>
      <c r="Q61">
        <f>'Cost Components'!$M$36 * 10^6</f>
        <v>149900000</v>
      </c>
      <c r="R61">
        <f>'Cost Components'!$M$36 * 10^6</f>
        <v>149900000</v>
      </c>
      <c r="S61">
        <f>'Cost Components'!$M$36 * 10^6</f>
        <v>149900000</v>
      </c>
      <c r="T61">
        <f>'Cost Components'!$M$36 * 10^6</f>
        <v>149900000</v>
      </c>
      <c r="U61">
        <f>'Cost Components'!$M$36 * 10^6</f>
        <v>149900000</v>
      </c>
      <c r="V61">
        <f>'Cost Components'!$M$36 * 10^6</f>
        <v>149900000</v>
      </c>
      <c r="W61">
        <f>'Cost Components'!$M$36 * 10^6</f>
        <v>149900000</v>
      </c>
      <c r="X61">
        <f>'Cost Components'!$M$36 * 10^6</f>
        <v>149900000</v>
      </c>
      <c r="Y61">
        <f>'Cost Components'!$M$36 * 10^6</f>
        <v>149900000</v>
      </c>
      <c r="Z61">
        <f>'Cost Components'!$M$36 * 10^6</f>
        <v>149900000</v>
      </c>
      <c r="AA61">
        <f>'Cost Components'!$M$36 * 10^6</f>
        <v>149900000</v>
      </c>
    </row>
    <row r="62" spans="1:27" x14ac:dyDescent="0.25">
      <c r="A62" t="s">
        <v>122</v>
      </c>
      <c r="B62">
        <f t="shared" ref="B62:AA62" si="5">B60-B61</f>
        <v>575000000</v>
      </c>
      <c r="C62">
        <f t="shared" si="5"/>
        <v>8353747.3760634065</v>
      </c>
      <c r="D62">
        <f t="shared" si="5"/>
        <v>8353747.3760634065</v>
      </c>
      <c r="E62">
        <f t="shared" si="5"/>
        <v>8353747.3760634065</v>
      </c>
      <c r="F62">
        <f t="shared" si="5"/>
        <v>8353747.3760634065</v>
      </c>
      <c r="G62">
        <f t="shared" si="5"/>
        <v>8353747.3760634065</v>
      </c>
      <c r="H62">
        <f t="shared" si="5"/>
        <v>8353747.3760634065</v>
      </c>
      <c r="I62">
        <f t="shared" si="5"/>
        <v>8353747.3760634065</v>
      </c>
      <c r="J62">
        <f t="shared" si="5"/>
        <v>8353747.3760634065</v>
      </c>
      <c r="K62">
        <f t="shared" si="5"/>
        <v>8353747.3760634065</v>
      </c>
      <c r="L62">
        <f t="shared" si="5"/>
        <v>8353747.3760634065</v>
      </c>
      <c r="M62">
        <f t="shared" si="5"/>
        <v>8353747.3760634065</v>
      </c>
      <c r="N62">
        <f t="shared" si="5"/>
        <v>8353747.3760634065</v>
      </c>
      <c r="O62">
        <f t="shared" si="5"/>
        <v>8353747.3760634065</v>
      </c>
      <c r="P62">
        <f t="shared" si="5"/>
        <v>8353747.3760634065</v>
      </c>
      <c r="Q62">
        <f t="shared" si="5"/>
        <v>8353747.3760634065</v>
      </c>
      <c r="R62">
        <f t="shared" si="5"/>
        <v>8353747.3760634065</v>
      </c>
      <c r="S62">
        <f t="shared" si="5"/>
        <v>8353747.3760634065</v>
      </c>
      <c r="T62">
        <f t="shared" si="5"/>
        <v>8353747.3760634065</v>
      </c>
      <c r="U62">
        <f t="shared" si="5"/>
        <v>8353747.3760634065</v>
      </c>
      <c r="V62">
        <f t="shared" si="5"/>
        <v>8353747.3760634065</v>
      </c>
      <c r="W62">
        <f t="shared" si="5"/>
        <v>8353747.3760634065</v>
      </c>
      <c r="X62">
        <f t="shared" si="5"/>
        <v>8353747.3760634065</v>
      </c>
      <c r="Y62">
        <f t="shared" si="5"/>
        <v>8353747.3760634065</v>
      </c>
      <c r="Z62">
        <f t="shared" si="5"/>
        <v>8353747.3760634065</v>
      </c>
      <c r="AA62">
        <f t="shared" si="5"/>
        <v>8353747.3760634065</v>
      </c>
    </row>
    <row r="63" spans="1:27" x14ac:dyDescent="0.25">
      <c r="A63" t="s">
        <v>123</v>
      </c>
      <c r="B63">
        <f>B62/(1+'Study Parameters'!$C$4) ^'Production Cost Baseline'!B$2</f>
        <v>575000000</v>
      </c>
      <c r="C63">
        <f>C62/(1+'Study Parameters'!$C$4) ^'Production Cost Baseline'!C$2</f>
        <v>7770927.7916868897</v>
      </c>
      <c r="D63">
        <f>D62/(1+'Study Parameters'!$C$4) ^'Production Cost Baseline'!D$2</f>
        <v>7228770.0387785025</v>
      </c>
      <c r="E63">
        <f>E62/(1+'Study Parameters'!$C$4) ^'Production Cost Baseline'!E$2</f>
        <v>6724437.245375352</v>
      </c>
      <c r="F63">
        <f>F62/(1+'Study Parameters'!$C$4) ^'Production Cost Baseline'!F$2</f>
        <v>6255290.4608142804</v>
      </c>
      <c r="G63">
        <f>G62/(1+'Study Parameters'!$C$4) ^'Production Cost Baseline'!G$2</f>
        <v>5818874.8472690983</v>
      </c>
      <c r="H63">
        <f>H62/(1+'Study Parameters'!$C$4) ^'Production Cost Baseline'!H$2</f>
        <v>5412906.8346689288</v>
      </c>
      <c r="I63">
        <f>I62/(1+'Study Parameters'!$C$4) ^'Production Cost Baseline'!I$2</f>
        <v>5035262.1717850501</v>
      </c>
      <c r="J63">
        <f>J62/(1+'Study Parameters'!$C$4) ^'Production Cost Baseline'!J$2</f>
        <v>4683964.8109628372</v>
      </c>
      <c r="K63">
        <f>K62/(1+'Study Parameters'!$C$4) ^'Production Cost Baseline'!K$2</f>
        <v>4357176.5683375234</v>
      </c>
      <c r="L63">
        <f>L62/(1+'Study Parameters'!$C$4) ^'Production Cost Baseline'!L$2</f>
        <v>4053187.5054302551</v>
      </c>
      <c r="M63">
        <f>M62/(1+'Study Parameters'!$C$4) ^'Production Cost Baseline'!M$2</f>
        <v>3770406.9817955852</v>
      </c>
      <c r="N63">
        <f>N62/(1+'Study Parameters'!$C$4) ^'Production Cost Baseline'!N$2</f>
        <v>3507355.3319028704</v>
      </c>
      <c r="O63">
        <f>O62/(1+'Study Parameters'!$C$4) ^'Production Cost Baseline'!O$2</f>
        <v>3262656.1227003443</v>
      </c>
      <c r="P63">
        <f>P62/(1+'Study Parameters'!$C$4) ^'Production Cost Baseline'!P$2</f>
        <v>3035028.9513491578</v>
      </c>
      <c r="Q63">
        <f>Q62/(1+'Study Parameters'!$C$4) ^'Production Cost Baseline'!Q$2</f>
        <v>2823282.7454410768</v>
      </c>
      <c r="R63">
        <f>R62/(1+'Study Parameters'!$C$4) ^'Production Cost Baseline'!R$2</f>
        <v>2626309.5306428624</v>
      </c>
      <c r="S63">
        <f>S62/(1+'Study Parameters'!$C$4) ^'Production Cost Baseline'!S$2</f>
        <v>2443078.6331561515</v>
      </c>
      <c r="T63">
        <f>T62/(1+'Study Parameters'!$C$4) ^'Production Cost Baseline'!T$2</f>
        <v>2272631.2866568849</v>
      </c>
      <c r="U63">
        <f>U62/(1+'Study Parameters'!$C$4) ^'Production Cost Baseline'!U$2</f>
        <v>2114075.6154947765</v>
      </c>
      <c r="V63">
        <f>V62/(1+'Study Parameters'!$C$4) ^'Production Cost Baseline'!V$2</f>
        <v>1966581.9679021181</v>
      </c>
      <c r="W63">
        <f>W62/(1+'Study Parameters'!$C$4) ^'Production Cost Baseline'!W$2</f>
        <v>1829378.5747926678</v>
      </c>
      <c r="X63">
        <f>X62/(1+'Study Parameters'!$C$4) ^'Production Cost Baseline'!X$2</f>
        <v>1701747.5114350398</v>
      </c>
      <c r="Y63">
        <f>Y62/(1+'Study Parameters'!$C$4) ^'Production Cost Baseline'!Y$2</f>
        <v>1583020.9408698045</v>
      </c>
      <c r="Z63">
        <f>Z62/(1+'Study Parameters'!$C$4) ^'Production Cost Baseline'!Z$2</f>
        <v>1472577.6194137719</v>
      </c>
      <c r="AA63">
        <f>AA62/(1+'Study Parameters'!$C$4) ^'Production Cost Baseline'!AA$2</f>
        <v>1369839.6459662993</v>
      </c>
    </row>
    <row r="64" spans="1:27" x14ac:dyDescent="0.25">
      <c r="A64" t="s">
        <v>124</v>
      </c>
      <c r="B64">
        <v>0</v>
      </c>
      <c r="C64">
        <f>'Study Parameters'!$C$12*'Study Parameters'!$C$8 * 10^3</f>
        <v>69600000</v>
      </c>
      <c r="D64">
        <f>'Study Parameters'!$C$12*'Study Parameters'!$C$8 * 10^3</f>
        <v>69600000</v>
      </c>
      <c r="E64">
        <f>'Study Parameters'!$C$12*'Study Parameters'!$C$8 * 10^3</f>
        <v>69600000</v>
      </c>
      <c r="F64">
        <f>'Study Parameters'!$C$12*'Study Parameters'!$C$8 * 10^3</f>
        <v>69600000</v>
      </c>
      <c r="G64">
        <f>'Study Parameters'!$C$12*'Study Parameters'!$C$8 * 10^3</f>
        <v>69600000</v>
      </c>
      <c r="H64">
        <f>'Study Parameters'!$C$12*'Study Parameters'!$C$8 * 10^3</f>
        <v>69600000</v>
      </c>
      <c r="I64">
        <f>'Study Parameters'!$C$12*'Study Parameters'!$C$8 * 10^3</f>
        <v>69600000</v>
      </c>
      <c r="J64">
        <f>'Study Parameters'!$C$12*'Study Parameters'!$C$8 * 10^3</f>
        <v>69600000</v>
      </c>
      <c r="K64">
        <f>'Study Parameters'!$C$12*'Study Parameters'!$C$8 * 10^3</f>
        <v>69600000</v>
      </c>
      <c r="L64">
        <f>'Study Parameters'!$C$12*'Study Parameters'!$C$8 * 10^3</f>
        <v>69600000</v>
      </c>
      <c r="M64">
        <f>'Study Parameters'!$C$12*'Study Parameters'!$C$8 * 10^3</f>
        <v>69600000</v>
      </c>
      <c r="N64">
        <f>'Study Parameters'!$C$12*'Study Parameters'!$C$8 * 10^3</f>
        <v>69600000</v>
      </c>
      <c r="O64">
        <f>'Study Parameters'!$C$12*'Study Parameters'!$C$8 * 10^3</f>
        <v>69600000</v>
      </c>
      <c r="P64">
        <f>'Study Parameters'!$C$12*'Study Parameters'!$C$8 * 10^3</f>
        <v>69600000</v>
      </c>
      <c r="Q64">
        <f>'Study Parameters'!$C$12*'Study Parameters'!$C$8 * 10^3</f>
        <v>69600000</v>
      </c>
      <c r="R64">
        <f>'Study Parameters'!$C$12*'Study Parameters'!$C$8 * 10^3</f>
        <v>69600000</v>
      </c>
      <c r="S64">
        <f>'Study Parameters'!$C$12*'Study Parameters'!$C$8 * 10^3</f>
        <v>69600000</v>
      </c>
      <c r="T64">
        <f>'Study Parameters'!$C$12*'Study Parameters'!$C$8 * 10^3</f>
        <v>69600000</v>
      </c>
      <c r="U64">
        <f>'Study Parameters'!$C$12*'Study Parameters'!$C$8 * 10^3</f>
        <v>69600000</v>
      </c>
      <c r="V64">
        <f>'Study Parameters'!$C$12*'Study Parameters'!$C$8 * 10^3</f>
        <v>69600000</v>
      </c>
      <c r="W64">
        <f>'Study Parameters'!$C$12*'Study Parameters'!$C$8 * 10^3</f>
        <v>69600000</v>
      </c>
      <c r="X64">
        <f>'Study Parameters'!$C$12*'Study Parameters'!$C$8 * 10^3</f>
        <v>69600000</v>
      </c>
      <c r="Y64">
        <f>'Study Parameters'!$C$12*'Study Parameters'!$C$8 * 10^3</f>
        <v>69600000</v>
      </c>
      <c r="Z64">
        <f>'Study Parameters'!$C$12*'Study Parameters'!$C$8 * 10^3</f>
        <v>69600000</v>
      </c>
      <c r="AA64">
        <f>'Study Parameters'!$C$12*'Study Parameters'!$C$8 * 10^3</f>
        <v>69600000</v>
      </c>
    </row>
    <row r="65" spans="1:27" x14ac:dyDescent="0.25">
      <c r="A65" t="s">
        <v>125</v>
      </c>
      <c r="B65">
        <f>B64/(1+'Study Parameters'!$C$4) ^'Production Cost Baseline'!B$2</f>
        <v>0</v>
      </c>
      <c r="C65">
        <f>C64/(1+'Study Parameters'!$C$4) ^'Production Cost Baseline'!C$2</f>
        <v>64744186.046511628</v>
      </c>
      <c r="D65">
        <f>D64/(1+'Study Parameters'!$C$4) ^'Production Cost Baseline'!D$2</f>
        <v>60227149.810708493</v>
      </c>
      <c r="E65">
        <f>E64/(1+'Study Parameters'!$C$4) ^'Production Cost Baseline'!E$2</f>
        <v>56025255.637868367</v>
      </c>
      <c r="F65">
        <f>F64/(1+'Study Parameters'!$C$4) ^'Production Cost Baseline'!F$2</f>
        <v>52116516.872435689</v>
      </c>
      <c r="G65">
        <f>G64/(1+'Study Parameters'!$C$4) ^'Production Cost Baseline'!G$2</f>
        <v>48480480.811568081</v>
      </c>
      <c r="H65">
        <f>H64/(1+'Study Parameters'!$C$4) ^'Production Cost Baseline'!H$2</f>
        <v>45098121.685179621</v>
      </c>
      <c r="I65">
        <f>I64/(1+'Study Parameters'!$C$4) ^'Production Cost Baseline'!I$2</f>
        <v>41951741.102492668</v>
      </c>
      <c r="J65">
        <f>J64/(1+'Study Parameters'!$C$4) ^'Production Cost Baseline'!J$2</f>
        <v>39024875.444179229</v>
      </c>
      <c r="K65">
        <f>K64/(1+'Study Parameters'!$C$4) ^'Production Cost Baseline'!K$2</f>
        <v>36302209.715515561</v>
      </c>
      <c r="L65">
        <f>L64/(1+'Study Parameters'!$C$4) ^'Production Cost Baseline'!L$2</f>
        <v>33769497.409781925</v>
      </c>
      <c r="M65">
        <f>M64/(1+'Study Parameters'!$C$4) ^'Production Cost Baseline'!M$2</f>
        <v>31413485.96258783</v>
      </c>
      <c r="N65">
        <f>N64/(1+'Study Parameters'!$C$4) ^'Production Cost Baseline'!N$2</f>
        <v>29221847.407058448</v>
      </c>
      <c r="O65">
        <f>O64/(1+'Study Parameters'!$C$4) ^'Production Cost Baseline'!O$2</f>
        <v>27183113.867031112</v>
      </c>
      <c r="P65">
        <f>P64/(1+'Study Parameters'!$C$4) ^'Production Cost Baseline'!P$2</f>
        <v>25286617.550726619</v>
      </c>
      <c r="Q65">
        <f>Q64/(1+'Study Parameters'!$C$4) ^'Production Cost Baseline'!Q$2</f>
        <v>23522434.930908483</v>
      </c>
      <c r="R65">
        <f>R64/(1+'Study Parameters'!$C$4) ^'Production Cost Baseline'!R$2</f>
        <v>21881334.819449753</v>
      </c>
      <c r="S65">
        <f>S64/(1+'Study Parameters'!$C$4) ^'Production Cost Baseline'!S$2</f>
        <v>20354730.064604424</v>
      </c>
      <c r="T65">
        <f>T64/(1+'Study Parameters'!$C$4) ^'Production Cost Baseline'!T$2</f>
        <v>18934632.618236672</v>
      </c>
      <c r="U65">
        <f>U64/(1+'Study Parameters'!$C$4) ^'Production Cost Baseline'!U$2</f>
        <v>17613611.73789458</v>
      </c>
      <c r="V65">
        <f>V64/(1+'Study Parameters'!$C$4) ^'Production Cost Baseline'!V$2</f>
        <v>16384755.105018215</v>
      </c>
      <c r="W65">
        <f>W64/(1+'Study Parameters'!$C$4) ^'Production Cost Baseline'!W$2</f>
        <v>15241632.655830896</v>
      </c>
      <c r="X65">
        <f>X64/(1+'Study Parameters'!$C$4) ^'Production Cost Baseline'!X$2</f>
        <v>14178262.935656648</v>
      </c>
      <c r="Y65">
        <f>Y64/(1+'Study Parameters'!$C$4) ^'Production Cost Baseline'!Y$2</f>
        <v>13189081.800610837</v>
      </c>
      <c r="Z65">
        <f>Z64/(1+'Study Parameters'!$C$4) ^'Production Cost Baseline'!Z$2</f>
        <v>12268913.302893803</v>
      </c>
      <c r="AA65">
        <f>AA64/(1+'Study Parameters'!$C$4) ^'Production Cost Baseline'!AA$2</f>
        <v>11412942.60734307</v>
      </c>
    </row>
    <row r="67" spans="1:27" x14ac:dyDescent="0.25">
      <c r="A67" t="s">
        <v>126</v>
      </c>
      <c r="B67">
        <f>SUM(B63:AA63) / SUM(C65:AA65)</f>
        <v>0.86116930423123084</v>
      </c>
    </row>
    <row r="68" spans="1:27" x14ac:dyDescent="0.25">
      <c r="A68" t="s">
        <v>127</v>
      </c>
      <c r="B68">
        <f>B67 * Inputs!$C$15</f>
        <v>0.69151895129767837</v>
      </c>
    </row>
    <row r="70" spans="1:27" x14ac:dyDescent="0.25">
      <c r="A70" s="1" t="s">
        <v>130</v>
      </c>
    </row>
    <row r="71" spans="1:27" x14ac:dyDescent="0.25">
      <c r="A71" t="s">
        <v>120</v>
      </c>
      <c r="B71">
        <f>'Cost Components'!$N$12 * 10^6</f>
        <v>449000000</v>
      </c>
      <c r="C71">
        <f>'Cost Components'!$N$41*10^6</f>
        <v>122091631.97020155</v>
      </c>
      <c r="D71">
        <f>'Cost Components'!$N$41*10^6</f>
        <v>122091631.97020155</v>
      </c>
      <c r="E71">
        <f>'Cost Components'!$N$41*10^6</f>
        <v>122091631.97020155</v>
      </c>
      <c r="F71">
        <f>'Cost Components'!$N$41*10^6</f>
        <v>122091631.97020155</v>
      </c>
      <c r="G71">
        <f>'Cost Components'!$N$41*10^6</f>
        <v>122091631.97020155</v>
      </c>
      <c r="H71">
        <f>'Cost Components'!$N$41*10^6</f>
        <v>122091631.97020155</v>
      </c>
      <c r="I71">
        <f>'Cost Components'!$N$41*10^6</f>
        <v>122091631.97020155</v>
      </c>
      <c r="J71">
        <f>'Cost Components'!$N$41*10^6</f>
        <v>122091631.97020155</v>
      </c>
      <c r="K71">
        <f>'Cost Components'!$N$41*10^6</f>
        <v>122091631.97020155</v>
      </c>
      <c r="L71">
        <f>'Cost Components'!$N$41*10^6</f>
        <v>122091631.97020155</v>
      </c>
      <c r="M71">
        <f>'Cost Components'!$N$41*10^6</f>
        <v>122091631.97020155</v>
      </c>
      <c r="N71">
        <f>'Cost Components'!$N$41*10^6</f>
        <v>122091631.97020155</v>
      </c>
      <c r="O71">
        <f>'Cost Components'!$N$41*10^6</f>
        <v>122091631.97020155</v>
      </c>
      <c r="P71">
        <f>'Cost Components'!$N$41*10^6</f>
        <v>122091631.97020155</v>
      </c>
      <c r="Q71">
        <f>'Cost Components'!$N$41*10^6</f>
        <v>122091631.97020155</v>
      </c>
      <c r="R71">
        <f>'Cost Components'!$N$41*10^6</f>
        <v>122091631.97020155</v>
      </c>
      <c r="S71">
        <f>'Cost Components'!$N$41*10^6</f>
        <v>122091631.97020155</v>
      </c>
      <c r="T71">
        <f>'Cost Components'!$N$41*10^6</f>
        <v>122091631.97020155</v>
      </c>
      <c r="U71">
        <f>'Cost Components'!$N$41*10^6</f>
        <v>122091631.97020155</v>
      </c>
      <c r="V71">
        <f>'Cost Components'!$N$41*10^6</f>
        <v>122091631.97020155</v>
      </c>
      <c r="W71">
        <f>'Cost Components'!$N$41*10^6</f>
        <v>122091631.97020155</v>
      </c>
      <c r="X71">
        <f>'Cost Components'!$N$41*10^6</f>
        <v>122091631.97020155</v>
      </c>
      <c r="Y71">
        <f>'Cost Components'!$N$41*10^6</f>
        <v>122091631.97020155</v>
      </c>
      <c r="Z71">
        <f>'Cost Components'!$N$41*10^6</f>
        <v>122091631.97020155</v>
      </c>
      <c r="AA71">
        <f>'Cost Components'!$N$41*10^6</f>
        <v>122091631.97020155</v>
      </c>
    </row>
    <row r="72" spans="1:27" x14ac:dyDescent="0.25">
      <c r="A72" t="s">
        <v>121</v>
      </c>
      <c r="B72">
        <v>0</v>
      </c>
      <c r="C72">
        <f>'Cost Components'!$N$36 * 10^6</f>
        <v>81000000</v>
      </c>
      <c r="D72">
        <f>'Cost Components'!$N$36 * 10^6</f>
        <v>81000000</v>
      </c>
      <c r="E72">
        <f>'Cost Components'!$N$36 * 10^6</f>
        <v>81000000</v>
      </c>
      <c r="F72">
        <f>'Cost Components'!$N$36 * 10^6</f>
        <v>81000000</v>
      </c>
      <c r="G72">
        <f>'Cost Components'!$N$36 * 10^6</f>
        <v>81000000</v>
      </c>
      <c r="H72">
        <f>'Cost Components'!$N$36 * 10^6</f>
        <v>81000000</v>
      </c>
      <c r="I72">
        <f>'Cost Components'!$N$36 * 10^6</f>
        <v>81000000</v>
      </c>
      <c r="J72">
        <f>'Cost Components'!$N$36 * 10^6</f>
        <v>81000000</v>
      </c>
      <c r="K72">
        <f>'Cost Components'!$N$36 * 10^6</f>
        <v>81000000</v>
      </c>
      <c r="L72">
        <f>'Cost Components'!$N$36 * 10^6</f>
        <v>81000000</v>
      </c>
      <c r="M72">
        <f>'Cost Components'!$N$36 * 10^6</f>
        <v>81000000</v>
      </c>
      <c r="N72">
        <f>'Cost Components'!$N$36 * 10^6</f>
        <v>81000000</v>
      </c>
      <c r="O72">
        <f>'Cost Components'!$N$36 * 10^6</f>
        <v>81000000</v>
      </c>
      <c r="P72">
        <f>'Cost Components'!$N$36 * 10^6</f>
        <v>81000000</v>
      </c>
      <c r="Q72">
        <f>'Cost Components'!$N$36 * 10^6</f>
        <v>81000000</v>
      </c>
      <c r="R72">
        <f>'Cost Components'!$N$36 * 10^6</f>
        <v>81000000</v>
      </c>
      <c r="S72">
        <f>'Cost Components'!$N$36 * 10^6</f>
        <v>81000000</v>
      </c>
      <c r="T72">
        <f>'Cost Components'!$N$36 * 10^6</f>
        <v>81000000</v>
      </c>
      <c r="U72">
        <f>'Cost Components'!$N$36 * 10^6</f>
        <v>81000000</v>
      </c>
      <c r="V72">
        <f>'Cost Components'!$N$36 * 10^6</f>
        <v>81000000</v>
      </c>
      <c r="W72">
        <f>'Cost Components'!$N$36 * 10^6</f>
        <v>81000000</v>
      </c>
      <c r="X72">
        <f>'Cost Components'!$N$36 * 10^6</f>
        <v>81000000</v>
      </c>
      <c r="Y72">
        <f>'Cost Components'!$N$36 * 10^6</f>
        <v>81000000</v>
      </c>
      <c r="Z72">
        <f>'Cost Components'!$N$36 * 10^6</f>
        <v>81000000</v>
      </c>
      <c r="AA72">
        <f>'Cost Components'!$N$36 * 10^6</f>
        <v>81000000</v>
      </c>
    </row>
    <row r="73" spans="1:27" x14ac:dyDescent="0.25">
      <c r="A73" t="s">
        <v>122</v>
      </c>
      <c r="B73">
        <f t="shared" ref="B73:AA73" si="6">B71-B72</f>
        <v>449000000</v>
      </c>
      <c r="C73">
        <f t="shared" si="6"/>
        <v>41091631.970201552</v>
      </c>
      <c r="D73">
        <f t="shared" si="6"/>
        <v>41091631.970201552</v>
      </c>
      <c r="E73">
        <f t="shared" si="6"/>
        <v>41091631.970201552</v>
      </c>
      <c r="F73">
        <f t="shared" si="6"/>
        <v>41091631.970201552</v>
      </c>
      <c r="G73">
        <f t="shared" si="6"/>
        <v>41091631.970201552</v>
      </c>
      <c r="H73">
        <f t="shared" si="6"/>
        <v>41091631.970201552</v>
      </c>
      <c r="I73">
        <f t="shared" si="6"/>
        <v>41091631.970201552</v>
      </c>
      <c r="J73">
        <f t="shared" si="6"/>
        <v>41091631.970201552</v>
      </c>
      <c r="K73">
        <f t="shared" si="6"/>
        <v>41091631.970201552</v>
      </c>
      <c r="L73">
        <f t="shared" si="6"/>
        <v>41091631.970201552</v>
      </c>
      <c r="M73">
        <f t="shared" si="6"/>
        <v>41091631.970201552</v>
      </c>
      <c r="N73">
        <f t="shared" si="6"/>
        <v>41091631.970201552</v>
      </c>
      <c r="O73">
        <f t="shared" si="6"/>
        <v>41091631.970201552</v>
      </c>
      <c r="P73">
        <f t="shared" si="6"/>
        <v>41091631.970201552</v>
      </c>
      <c r="Q73">
        <f t="shared" si="6"/>
        <v>41091631.970201552</v>
      </c>
      <c r="R73">
        <f t="shared" si="6"/>
        <v>41091631.970201552</v>
      </c>
      <c r="S73">
        <f t="shared" si="6"/>
        <v>41091631.970201552</v>
      </c>
      <c r="T73">
        <f t="shared" si="6"/>
        <v>41091631.970201552</v>
      </c>
      <c r="U73">
        <f t="shared" si="6"/>
        <v>41091631.970201552</v>
      </c>
      <c r="V73">
        <f t="shared" si="6"/>
        <v>41091631.970201552</v>
      </c>
      <c r="W73">
        <f t="shared" si="6"/>
        <v>41091631.970201552</v>
      </c>
      <c r="X73">
        <f t="shared" si="6"/>
        <v>41091631.970201552</v>
      </c>
      <c r="Y73">
        <f t="shared" si="6"/>
        <v>41091631.970201552</v>
      </c>
      <c r="Z73">
        <f t="shared" si="6"/>
        <v>41091631.970201552</v>
      </c>
      <c r="AA73">
        <f t="shared" si="6"/>
        <v>41091631.970201552</v>
      </c>
    </row>
    <row r="74" spans="1:27" x14ac:dyDescent="0.25">
      <c r="A74" t="s">
        <v>123</v>
      </c>
      <c r="B74">
        <f>B73/(1+'Study Parameters'!$C$4) ^'Production Cost Baseline'!B$2</f>
        <v>449000000</v>
      </c>
      <c r="C74">
        <f>C73/(1+'Study Parameters'!$C$4) ^'Production Cost Baseline'!C$2</f>
        <v>38224773.925768889</v>
      </c>
      <c r="D74">
        <f>D73/(1+'Study Parameters'!$C$4) ^'Production Cost Baseline'!D$2</f>
        <v>35557929.233273387</v>
      </c>
      <c r="E74">
        <f>E73/(1+'Study Parameters'!$C$4) ^'Production Cost Baseline'!E$2</f>
        <v>33077143.472812451</v>
      </c>
      <c r="F74">
        <f>F73/(1+'Study Parameters'!$C$4) ^'Production Cost Baseline'!F$2</f>
        <v>30769435.788662747</v>
      </c>
      <c r="G74">
        <f>G73/(1+'Study Parameters'!$C$4) ^'Production Cost Baseline'!G$2</f>
        <v>28622730.9661979</v>
      </c>
      <c r="H74">
        <f>H73/(1+'Study Parameters'!$C$4) ^'Production Cost Baseline'!H$2</f>
        <v>26625796.247625958</v>
      </c>
      <c r="I74">
        <f>I73/(1+'Study Parameters'!$C$4) ^'Production Cost Baseline'!I$2</f>
        <v>24768182.555931125</v>
      </c>
      <c r="J74">
        <f>J73/(1+'Study Parameters'!$C$4) ^'Production Cost Baseline'!J$2</f>
        <v>23040169.819470815</v>
      </c>
      <c r="K74">
        <f>K73/(1+'Study Parameters'!$C$4) ^'Production Cost Baseline'!K$2</f>
        <v>21432716.111135639</v>
      </c>
      <c r="L74">
        <f>L73/(1+'Study Parameters'!$C$4) ^'Production Cost Baseline'!L$2</f>
        <v>19937410.335940134</v>
      </c>
      <c r="M74">
        <f>M73/(1+'Study Parameters'!$C$4) ^'Production Cost Baseline'!M$2</f>
        <v>18546428.219479192</v>
      </c>
      <c r="N74">
        <f>N73/(1+'Study Parameters'!$C$4) ^'Production Cost Baseline'!N$2</f>
        <v>17252491.366957389</v>
      </c>
      <c r="O74">
        <f>O73/(1+'Study Parameters'!$C$4) ^'Production Cost Baseline'!O$2</f>
        <v>16048829.178565012</v>
      </c>
      <c r="P74">
        <f>P73/(1+'Study Parameters'!$C$4) ^'Production Cost Baseline'!P$2</f>
        <v>14929143.421920942</v>
      </c>
      <c r="Q74">
        <f>Q73/(1+'Study Parameters'!$C$4) ^'Production Cost Baseline'!Q$2</f>
        <v>13887575.276205529</v>
      </c>
      <c r="R74">
        <f>R73/(1+'Study Parameters'!$C$4) ^'Production Cost Baseline'!R$2</f>
        <v>12918674.675540026</v>
      </c>
      <c r="S74">
        <f>S73/(1+'Study Parameters'!$C$4) ^'Production Cost Baseline'!S$2</f>
        <v>12017371.791200027</v>
      </c>
      <c r="T74">
        <f>T73/(1+'Study Parameters'!$C$4) ^'Production Cost Baseline'!T$2</f>
        <v>11178950.503441885</v>
      </c>
      <c r="U74">
        <f>U73/(1+'Study Parameters'!$C$4) ^'Production Cost Baseline'!U$2</f>
        <v>10399023.724131986</v>
      </c>
      <c r="V74">
        <f>V73/(1+'Study Parameters'!$C$4) ^'Production Cost Baseline'!V$2</f>
        <v>9673510.4410530105</v>
      </c>
      <c r="W74">
        <f>W73/(1+'Study Parameters'!$C$4) ^'Production Cost Baseline'!W$2</f>
        <v>8998614.3637702409</v>
      </c>
      <c r="X74">
        <f>X73/(1+'Study Parameters'!$C$4) ^'Production Cost Baseline'!X$2</f>
        <v>8370804.0593211558</v>
      </c>
      <c r="Y74">
        <f>Y73/(1+'Study Parameters'!$C$4) ^'Production Cost Baseline'!Y$2</f>
        <v>7786794.4737871215</v>
      </c>
      <c r="Z74">
        <f>Z73/(1+'Study Parameters'!$C$4) ^'Production Cost Baseline'!Z$2</f>
        <v>7243529.7430577883</v>
      </c>
      <c r="AA74">
        <f>AA73/(1+'Study Parameters'!$C$4) ^'Production Cost Baseline'!AA$2</f>
        <v>6738167.202844454</v>
      </c>
    </row>
    <row r="75" spans="1:27" x14ac:dyDescent="0.25">
      <c r="A75" t="s">
        <v>124</v>
      </c>
      <c r="B75">
        <v>0</v>
      </c>
      <c r="C75">
        <f>'Study Parameters'!$C$13*'Study Parameters'!$C$8 * 10^3</f>
        <v>28000000</v>
      </c>
      <c r="D75">
        <f>'Study Parameters'!$C$13*'Study Parameters'!$C$8 * 10^3</f>
        <v>28000000</v>
      </c>
      <c r="E75">
        <f>'Study Parameters'!$C$13*'Study Parameters'!$C$8 * 10^3</f>
        <v>28000000</v>
      </c>
      <c r="F75">
        <f>'Study Parameters'!$C$13*'Study Parameters'!$C$8 * 10^3</f>
        <v>28000000</v>
      </c>
      <c r="G75">
        <f>'Study Parameters'!$C$13*'Study Parameters'!$C$8 * 10^3</f>
        <v>28000000</v>
      </c>
      <c r="H75">
        <f>'Study Parameters'!$C$13*'Study Parameters'!$C$8 * 10^3</f>
        <v>28000000</v>
      </c>
      <c r="I75">
        <f>'Study Parameters'!$C$13*'Study Parameters'!$C$8 * 10^3</f>
        <v>28000000</v>
      </c>
      <c r="J75">
        <f>'Study Parameters'!$C$13*'Study Parameters'!$C$8 * 10^3</f>
        <v>28000000</v>
      </c>
      <c r="K75">
        <f>'Study Parameters'!$C$13*'Study Parameters'!$C$8 * 10^3</f>
        <v>28000000</v>
      </c>
      <c r="L75">
        <f>'Study Parameters'!$C$13*'Study Parameters'!$C$8 * 10^3</f>
        <v>28000000</v>
      </c>
      <c r="M75">
        <f>'Study Parameters'!$C$13*'Study Parameters'!$C$8 * 10^3</f>
        <v>28000000</v>
      </c>
      <c r="N75">
        <f>'Study Parameters'!$C$13*'Study Parameters'!$C$8 * 10^3</f>
        <v>28000000</v>
      </c>
      <c r="O75">
        <f>'Study Parameters'!$C$13*'Study Parameters'!$C$8 * 10^3</f>
        <v>28000000</v>
      </c>
      <c r="P75">
        <f>'Study Parameters'!$C$13*'Study Parameters'!$C$8 * 10^3</f>
        <v>28000000</v>
      </c>
      <c r="Q75">
        <f>'Study Parameters'!$C$13*'Study Parameters'!$C$8 * 10^3</f>
        <v>28000000</v>
      </c>
      <c r="R75">
        <f>'Study Parameters'!$C$13*'Study Parameters'!$C$8 * 10^3</f>
        <v>28000000</v>
      </c>
      <c r="S75">
        <f>'Study Parameters'!$C$13*'Study Parameters'!$C$8 * 10^3</f>
        <v>28000000</v>
      </c>
      <c r="T75">
        <f>'Study Parameters'!$C$13*'Study Parameters'!$C$8 * 10^3</f>
        <v>28000000</v>
      </c>
      <c r="U75">
        <f>'Study Parameters'!$C$13*'Study Parameters'!$C$8 * 10^3</f>
        <v>28000000</v>
      </c>
      <c r="V75">
        <f>'Study Parameters'!$C$13*'Study Parameters'!$C$8 * 10^3</f>
        <v>28000000</v>
      </c>
      <c r="W75">
        <f>'Study Parameters'!$C$13*'Study Parameters'!$C$8 * 10^3</f>
        <v>28000000</v>
      </c>
      <c r="X75">
        <f>'Study Parameters'!$C$13*'Study Parameters'!$C$8 * 10^3</f>
        <v>28000000</v>
      </c>
      <c r="Y75">
        <f>'Study Parameters'!$C$13*'Study Parameters'!$C$8 * 10^3</f>
        <v>28000000</v>
      </c>
      <c r="Z75">
        <f>'Study Parameters'!$C$13*'Study Parameters'!$C$8 * 10^3</f>
        <v>28000000</v>
      </c>
      <c r="AA75">
        <f>'Study Parameters'!$C$13*'Study Parameters'!$C$8 * 10^3</f>
        <v>28000000</v>
      </c>
    </row>
    <row r="76" spans="1:27" x14ac:dyDescent="0.25">
      <c r="A76" t="s">
        <v>125</v>
      </c>
      <c r="B76">
        <f>B75/(1+'Study Parameters'!$C$4) ^'Production Cost Baseline'!B$2</f>
        <v>0</v>
      </c>
      <c r="C76">
        <f>C75/(1+'Study Parameters'!$C$4) ^'Production Cost Baseline'!C$2</f>
        <v>26046511.627906978</v>
      </c>
      <c r="D76">
        <f>D75/(1+'Study Parameters'!$C$4) ^'Production Cost Baseline'!D$2</f>
        <v>24229313.142239049</v>
      </c>
      <c r="E76">
        <f>E75/(1+'Study Parameters'!$C$4) ^'Production Cost Baseline'!E$2</f>
        <v>22538895.946268886</v>
      </c>
      <c r="F76">
        <f>F75/(1+'Study Parameters'!$C$4) ^'Production Cost Baseline'!F$2</f>
        <v>20966414.833738498</v>
      </c>
      <c r="G76">
        <f>G75/(1+'Study Parameters'!$C$4) ^'Production Cost Baseline'!G$2</f>
        <v>19503641.705803253</v>
      </c>
      <c r="H76">
        <f>H75/(1+'Study Parameters'!$C$4) ^'Production Cost Baseline'!H$2</f>
        <v>18142922.517026283</v>
      </c>
      <c r="I76">
        <f>I75/(1+'Study Parameters'!$C$4) ^'Production Cost Baseline'!I$2</f>
        <v>16877137.225140728</v>
      </c>
      <c r="J76">
        <f>J75/(1+'Study Parameters'!$C$4) ^'Production Cost Baseline'!J$2</f>
        <v>15699662.535014631</v>
      </c>
      <c r="K76">
        <f>K75/(1+'Study Parameters'!$C$4) ^'Production Cost Baseline'!K$2</f>
        <v>14604337.241874076</v>
      </c>
      <c r="L76">
        <f>L75/(1+'Study Parameters'!$C$4) ^'Production Cost Baseline'!L$2</f>
        <v>13585429.992441004</v>
      </c>
      <c r="M76">
        <f>M75/(1+'Study Parameters'!$C$4) ^'Production Cost Baseline'!M$2</f>
        <v>12637609.295293955</v>
      </c>
      <c r="N76">
        <f>N75/(1+'Study Parameters'!$C$4) ^'Production Cost Baseline'!N$2</f>
        <v>11755915.623529261</v>
      </c>
      <c r="O76">
        <f>O75/(1+'Study Parameters'!$C$4) ^'Production Cost Baseline'!O$2</f>
        <v>10935735.46374815</v>
      </c>
      <c r="P76">
        <f>P75/(1+'Study Parameters'!$C$4) ^'Production Cost Baseline'!P$2</f>
        <v>10172777.175579675</v>
      </c>
      <c r="Q76">
        <f>Q75/(1+'Study Parameters'!$C$4) ^'Production Cost Baseline'!Q$2</f>
        <v>9463048.5354229528</v>
      </c>
      <c r="R76">
        <f>R75/(1+'Study Parameters'!$C$4) ^'Production Cost Baseline'!R$2</f>
        <v>8802835.8469050732</v>
      </c>
      <c r="S76">
        <f>S75/(1+'Study Parameters'!$C$4) ^'Production Cost Baseline'!S$2</f>
        <v>8188684.5087489057</v>
      </c>
      <c r="T76">
        <f>T75/(1+'Study Parameters'!$C$4) ^'Production Cost Baseline'!T$2</f>
        <v>7617380.9383710753</v>
      </c>
      <c r="U76">
        <f>U75/(1+'Study Parameters'!$C$4) ^'Production Cost Baseline'!U$2</f>
        <v>7085935.7566242563</v>
      </c>
      <c r="V76">
        <f>V75/(1+'Study Parameters'!$C$4) ^'Production Cost Baseline'!V$2</f>
        <v>6591568.1456969827</v>
      </c>
      <c r="W76">
        <f>W75/(1+'Study Parameters'!$C$4) ^'Production Cost Baseline'!W$2</f>
        <v>6131691.2983227745</v>
      </c>
      <c r="X76">
        <f>X75/(1+'Study Parameters'!$C$4) ^'Production Cost Baseline'!X$2</f>
        <v>5703898.8821607204</v>
      </c>
      <c r="Y76">
        <f>Y75/(1+'Study Parameters'!$C$4) ^'Production Cost Baseline'!Y$2</f>
        <v>5305952.4485216001</v>
      </c>
      <c r="Z76">
        <f>Z75/(1+'Study Parameters'!$C$4) ^'Production Cost Baseline'!Z$2</f>
        <v>4935769.7195549775</v>
      </c>
      <c r="AA76">
        <f>AA75/(1+'Study Parameters'!$C$4) ^'Production Cost Baseline'!AA$2</f>
        <v>4591413.6926092813</v>
      </c>
    </row>
    <row r="78" spans="1:27" x14ac:dyDescent="0.25">
      <c r="A78" t="s">
        <v>126</v>
      </c>
      <c r="B78">
        <f>SUM(B74:AA74) / SUM(C76:AA76)</f>
        <v>2.9061329836000671</v>
      </c>
    </row>
    <row r="79" spans="1:27" x14ac:dyDescent="0.25">
      <c r="A79" t="s">
        <v>127</v>
      </c>
      <c r="B79">
        <f>B78 * Inputs!$C$15</f>
        <v>2.3336247858308541</v>
      </c>
    </row>
    <row r="81" spans="1:27" x14ac:dyDescent="0.25">
      <c r="A81" s="1" t="s">
        <v>132</v>
      </c>
    </row>
    <row r="82" spans="1:27" x14ac:dyDescent="0.25">
      <c r="A82" t="s">
        <v>120</v>
      </c>
      <c r="B82">
        <f>'Cost Components'!$O$12 * 10^6</f>
        <v>463000000</v>
      </c>
      <c r="C82">
        <f>'Cost Components'!$O$41*10^6</f>
        <v>134808082.51392856</v>
      </c>
      <c r="D82">
        <f>'Cost Components'!$O$41*10^6</f>
        <v>134808082.51392856</v>
      </c>
      <c r="E82">
        <f>'Cost Components'!$O$41*10^6</f>
        <v>134808082.51392856</v>
      </c>
      <c r="F82">
        <f>'Cost Components'!$O$41*10^6</f>
        <v>134808082.51392856</v>
      </c>
      <c r="G82">
        <f>'Cost Components'!$O$41*10^6</f>
        <v>134808082.51392856</v>
      </c>
      <c r="H82">
        <f>'Cost Components'!$O$41*10^6</f>
        <v>134808082.51392856</v>
      </c>
      <c r="I82">
        <f>'Cost Components'!$O$41*10^6</f>
        <v>134808082.51392856</v>
      </c>
      <c r="J82">
        <f>'Cost Components'!$O$41*10^6</f>
        <v>134808082.51392856</v>
      </c>
      <c r="K82">
        <f>'Cost Components'!$O$41*10^6</f>
        <v>134808082.51392856</v>
      </c>
      <c r="L82">
        <f>'Cost Components'!$O$41*10^6</f>
        <v>134808082.51392856</v>
      </c>
      <c r="M82">
        <f>'Cost Components'!$O$41*10^6</f>
        <v>134808082.51392856</v>
      </c>
      <c r="N82">
        <f>'Cost Components'!$O$41*10^6</f>
        <v>134808082.51392856</v>
      </c>
      <c r="O82">
        <f>'Cost Components'!$O$41*10^6</f>
        <v>134808082.51392856</v>
      </c>
      <c r="P82">
        <f>'Cost Components'!$O$41*10^6</f>
        <v>134808082.51392856</v>
      </c>
      <c r="Q82">
        <f>'Cost Components'!$O$41*10^6</f>
        <v>134808082.51392856</v>
      </c>
      <c r="R82">
        <f>'Cost Components'!$O$41*10^6</f>
        <v>134808082.51392856</v>
      </c>
      <c r="S82">
        <f>'Cost Components'!$O$41*10^6</f>
        <v>134808082.51392856</v>
      </c>
      <c r="T82">
        <f>'Cost Components'!$O$41*10^6</f>
        <v>134808082.51392856</v>
      </c>
      <c r="U82">
        <f>'Cost Components'!$O$41*10^6</f>
        <v>134808082.51392856</v>
      </c>
      <c r="V82">
        <f>'Cost Components'!$O$41*10^6</f>
        <v>134808082.51392856</v>
      </c>
      <c r="W82">
        <f>'Cost Components'!$O$41*10^6</f>
        <v>134808082.51392856</v>
      </c>
      <c r="X82">
        <f>'Cost Components'!$O$41*10^6</f>
        <v>134808082.51392856</v>
      </c>
      <c r="Y82">
        <f>'Cost Components'!$O$41*10^6</f>
        <v>134808082.51392856</v>
      </c>
      <c r="Z82">
        <f>'Cost Components'!$O$41*10^6</f>
        <v>134808082.51392856</v>
      </c>
      <c r="AA82">
        <f>'Cost Components'!$O$41*10^6</f>
        <v>134808082.51392856</v>
      </c>
    </row>
    <row r="83" spans="1:27" x14ac:dyDescent="0.25">
      <c r="A83" t="s">
        <v>121</v>
      </c>
      <c r="B83">
        <v>0</v>
      </c>
      <c r="C83">
        <f>'Cost Components'!$O$36 * 10^6</f>
        <v>103200000</v>
      </c>
      <c r="D83">
        <f>'Cost Components'!$O$36 * 10^6</f>
        <v>103200000</v>
      </c>
      <c r="E83">
        <f>'Cost Components'!$O$36 * 10^6</f>
        <v>103200000</v>
      </c>
      <c r="F83">
        <f>'Cost Components'!$O$36 * 10^6</f>
        <v>103200000</v>
      </c>
      <c r="G83">
        <f>'Cost Components'!$O$36 * 10^6</f>
        <v>103200000</v>
      </c>
      <c r="H83">
        <f>'Cost Components'!$O$36 * 10^6</f>
        <v>103200000</v>
      </c>
      <c r="I83">
        <f>'Cost Components'!$O$36 * 10^6</f>
        <v>103200000</v>
      </c>
      <c r="J83">
        <f>'Cost Components'!$O$36 * 10^6</f>
        <v>103200000</v>
      </c>
      <c r="K83">
        <f>'Cost Components'!$O$36 * 10^6</f>
        <v>103200000</v>
      </c>
      <c r="L83">
        <f>'Cost Components'!$O$36 * 10^6</f>
        <v>103200000</v>
      </c>
      <c r="M83">
        <f>'Cost Components'!$O$36 * 10^6</f>
        <v>103200000</v>
      </c>
      <c r="N83">
        <f>'Cost Components'!$O$36 * 10^6</f>
        <v>103200000</v>
      </c>
      <c r="O83">
        <f>'Cost Components'!$O$36 * 10^6</f>
        <v>103200000</v>
      </c>
      <c r="P83">
        <f>'Cost Components'!$O$36 * 10^6</f>
        <v>103200000</v>
      </c>
      <c r="Q83">
        <f>'Cost Components'!$O$36 * 10^6</f>
        <v>103200000</v>
      </c>
      <c r="R83">
        <f>'Cost Components'!$O$36 * 10^6</f>
        <v>103200000</v>
      </c>
      <c r="S83">
        <f>'Cost Components'!$O$36 * 10^6</f>
        <v>103200000</v>
      </c>
      <c r="T83">
        <f>'Cost Components'!$O$36 * 10^6</f>
        <v>103200000</v>
      </c>
      <c r="U83">
        <f>'Cost Components'!$O$36 * 10^6</f>
        <v>103200000</v>
      </c>
      <c r="V83">
        <f>'Cost Components'!$O$36 * 10^6</f>
        <v>103200000</v>
      </c>
      <c r="W83">
        <f>'Cost Components'!$O$36 * 10^6</f>
        <v>103200000</v>
      </c>
      <c r="X83">
        <f>'Cost Components'!$O$36 * 10^6</f>
        <v>103200000</v>
      </c>
      <c r="Y83">
        <f>'Cost Components'!$O$36 * 10^6</f>
        <v>103200000</v>
      </c>
      <c r="Z83">
        <f>'Cost Components'!$O$36 * 10^6</f>
        <v>103200000</v>
      </c>
      <c r="AA83">
        <f>'Cost Components'!$O$36 * 10^6</f>
        <v>103200000</v>
      </c>
    </row>
    <row r="84" spans="1:27" x14ac:dyDescent="0.25">
      <c r="A84" t="s">
        <v>122</v>
      </c>
      <c r="B84">
        <f t="shared" ref="B84:AA84" si="7">B82-B83</f>
        <v>463000000</v>
      </c>
      <c r="C84">
        <f t="shared" si="7"/>
        <v>31608082.513928562</v>
      </c>
      <c r="D84">
        <f t="shared" si="7"/>
        <v>31608082.513928562</v>
      </c>
      <c r="E84">
        <f t="shared" si="7"/>
        <v>31608082.513928562</v>
      </c>
      <c r="F84">
        <f t="shared" si="7"/>
        <v>31608082.513928562</v>
      </c>
      <c r="G84">
        <f t="shared" si="7"/>
        <v>31608082.513928562</v>
      </c>
      <c r="H84">
        <f t="shared" si="7"/>
        <v>31608082.513928562</v>
      </c>
      <c r="I84">
        <f t="shared" si="7"/>
        <v>31608082.513928562</v>
      </c>
      <c r="J84">
        <f t="shared" si="7"/>
        <v>31608082.513928562</v>
      </c>
      <c r="K84">
        <f t="shared" si="7"/>
        <v>31608082.513928562</v>
      </c>
      <c r="L84">
        <f t="shared" si="7"/>
        <v>31608082.513928562</v>
      </c>
      <c r="M84">
        <f t="shared" si="7"/>
        <v>31608082.513928562</v>
      </c>
      <c r="N84">
        <f t="shared" si="7"/>
        <v>31608082.513928562</v>
      </c>
      <c r="O84">
        <f t="shared" si="7"/>
        <v>31608082.513928562</v>
      </c>
      <c r="P84">
        <f t="shared" si="7"/>
        <v>31608082.513928562</v>
      </c>
      <c r="Q84">
        <f t="shared" si="7"/>
        <v>31608082.513928562</v>
      </c>
      <c r="R84">
        <f t="shared" si="7"/>
        <v>31608082.513928562</v>
      </c>
      <c r="S84">
        <f t="shared" si="7"/>
        <v>31608082.513928562</v>
      </c>
      <c r="T84">
        <f t="shared" si="7"/>
        <v>31608082.513928562</v>
      </c>
      <c r="U84">
        <f t="shared" si="7"/>
        <v>31608082.513928562</v>
      </c>
      <c r="V84">
        <f t="shared" si="7"/>
        <v>31608082.513928562</v>
      </c>
      <c r="W84">
        <f t="shared" si="7"/>
        <v>31608082.513928562</v>
      </c>
      <c r="X84">
        <f t="shared" si="7"/>
        <v>31608082.513928562</v>
      </c>
      <c r="Y84">
        <f t="shared" si="7"/>
        <v>31608082.513928562</v>
      </c>
      <c r="Z84">
        <f t="shared" si="7"/>
        <v>31608082.513928562</v>
      </c>
      <c r="AA84">
        <f t="shared" si="7"/>
        <v>31608082.513928562</v>
      </c>
    </row>
    <row r="85" spans="1:27" x14ac:dyDescent="0.25">
      <c r="A85" t="s">
        <v>123</v>
      </c>
      <c r="B85">
        <f>B84/(1+'Study Parameters'!$C$4) ^'Production Cost Baseline'!B$2</f>
        <v>463000000</v>
      </c>
      <c r="C85">
        <f>C84/(1+'Study Parameters'!$C$4) ^'Production Cost Baseline'!C$2</f>
        <v>29402867.454817269</v>
      </c>
      <c r="D85">
        <f>D84/(1+'Study Parameters'!$C$4) ^'Production Cost Baseline'!D$2</f>
        <v>27351504.609132346</v>
      </c>
      <c r="E85">
        <f>E84/(1+'Study Parameters'!$C$4) ^'Production Cost Baseline'!E$2</f>
        <v>25443260.10151846</v>
      </c>
      <c r="F85">
        <f>F84/(1+'Study Parameters'!$C$4) ^'Production Cost Baseline'!F$2</f>
        <v>23668148.93164508</v>
      </c>
      <c r="G85">
        <f>G84/(1+'Study Parameters'!$C$4) ^'Production Cost Baseline'!G$2</f>
        <v>22016882.727111701</v>
      </c>
      <c r="H85">
        <f>H84/(1+'Study Parameters'!$C$4) ^'Production Cost Baseline'!H$2</f>
        <v>20480821.141499259</v>
      </c>
      <c r="I85">
        <f>I84/(1+'Study Parameters'!$C$4) ^'Production Cost Baseline'!I$2</f>
        <v>19051926.643255122</v>
      </c>
      <c r="J85">
        <f>J84/(1+'Study Parameters'!$C$4) ^'Production Cost Baseline'!J$2</f>
        <v>17722722.458841976</v>
      </c>
      <c r="K85">
        <f>K84/(1+'Study Parameters'!$C$4) ^'Production Cost Baseline'!K$2</f>
        <v>16486253.45008556</v>
      </c>
      <c r="L85">
        <f>L84/(1+'Study Parameters'!$C$4) ^'Production Cost Baseline'!L$2</f>
        <v>15336049.721009826</v>
      </c>
      <c r="M85">
        <f>M84/(1+'Study Parameters'!$C$4) ^'Production Cost Baseline'!M$2</f>
        <v>14266092.76373007</v>
      </c>
      <c r="N85">
        <f>N84/(1+'Study Parameters'!$C$4) ^'Production Cost Baseline'!N$2</f>
        <v>13270783.96626053</v>
      </c>
      <c r="O85">
        <f>O84/(1+'Study Parameters'!$C$4) ^'Production Cost Baseline'!O$2</f>
        <v>12344915.317451654</v>
      </c>
      <c r="P85">
        <f>P84/(1+'Study Parameters'!$C$4) ^'Production Cost Baseline'!P$2</f>
        <v>11483642.155768981</v>
      </c>
      <c r="Q85">
        <f>Q84/(1+'Study Parameters'!$C$4) ^'Production Cost Baseline'!Q$2</f>
        <v>10682457.819319984</v>
      </c>
      <c r="R85">
        <f>R84/(1+'Study Parameters'!$C$4) ^'Production Cost Baseline'!R$2</f>
        <v>9937170.0644837059</v>
      </c>
      <c r="S85">
        <f>S84/(1+'Study Parameters'!$C$4) ^'Production Cost Baseline'!S$2</f>
        <v>9243879.1297522858</v>
      </c>
      <c r="T85">
        <f>T84/(1+'Study Parameters'!$C$4) ^'Production Cost Baseline'!T$2</f>
        <v>8598957.3300021272</v>
      </c>
      <c r="U85">
        <f>U84/(1+'Study Parameters'!$C$4) ^'Production Cost Baseline'!U$2</f>
        <v>7999030.0744205825</v>
      </c>
      <c r="V85">
        <f>V84/(1+'Study Parameters'!$C$4) ^'Production Cost Baseline'!V$2</f>
        <v>7440958.208763333</v>
      </c>
      <c r="W85">
        <f>W84/(1+'Study Parameters'!$C$4) ^'Production Cost Baseline'!W$2</f>
        <v>6921821.5895472858</v>
      </c>
      <c r="X85">
        <f>X84/(1+'Study Parameters'!$C$4) ^'Production Cost Baseline'!X$2</f>
        <v>6438903.8042300334</v>
      </c>
      <c r="Y85">
        <f>Y84/(1+'Study Parameters'!$C$4) ^'Production Cost Baseline'!Y$2</f>
        <v>5989677.9574232874</v>
      </c>
      <c r="Z85">
        <f>Z84/(1+'Study Parameters'!$C$4) ^'Production Cost Baseline'!Z$2</f>
        <v>5571793.4487658488</v>
      </c>
      <c r="AA85">
        <f>AA84/(1+'Study Parameters'!$C$4) ^'Production Cost Baseline'!AA$2</f>
        <v>5183063.6732705571</v>
      </c>
    </row>
    <row r="86" spans="1:27" x14ac:dyDescent="0.25">
      <c r="A86" t="s">
        <v>124</v>
      </c>
      <c r="B86">
        <v>0</v>
      </c>
      <c r="C86">
        <f>'Study Parameters'!$C$14*'Study Parameters'!$C$8 * 10^3</f>
        <v>38400000</v>
      </c>
      <c r="D86">
        <f>'Study Parameters'!$C$14*'Study Parameters'!$C$8 * 10^3</f>
        <v>38400000</v>
      </c>
      <c r="E86">
        <f>'Study Parameters'!$C$14*'Study Parameters'!$C$8 * 10^3</f>
        <v>38400000</v>
      </c>
      <c r="F86">
        <f>'Study Parameters'!$C$14*'Study Parameters'!$C$8 * 10^3</f>
        <v>38400000</v>
      </c>
      <c r="G86">
        <f>'Study Parameters'!$C$14*'Study Parameters'!$C$8 * 10^3</f>
        <v>38400000</v>
      </c>
      <c r="H86">
        <f>'Study Parameters'!$C$14*'Study Parameters'!$C$8 * 10^3</f>
        <v>38400000</v>
      </c>
      <c r="I86">
        <f>'Study Parameters'!$C$14*'Study Parameters'!$C$8 * 10^3</f>
        <v>38400000</v>
      </c>
      <c r="J86">
        <f>'Study Parameters'!$C$14*'Study Parameters'!$C$8 * 10^3</f>
        <v>38400000</v>
      </c>
      <c r="K86">
        <f>'Study Parameters'!$C$14*'Study Parameters'!$C$8 * 10^3</f>
        <v>38400000</v>
      </c>
      <c r="L86">
        <f>'Study Parameters'!$C$14*'Study Parameters'!$C$8 * 10^3</f>
        <v>38400000</v>
      </c>
      <c r="M86">
        <f>'Study Parameters'!$C$14*'Study Parameters'!$C$8 * 10^3</f>
        <v>38400000</v>
      </c>
      <c r="N86">
        <f>'Study Parameters'!$C$14*'Study Parameters'!$C$8 * 10^3</f>
        <v>38400000</v>
      </c>
      <c r="O86">
        <f>'Study Parameters'!$C$14*'Study Parameters'!$C$8 * 10^3</f>
        <v>38400000</v>
      </c>
      <c r="P86">
        <f>'Study Parameters'!$C$14*'Study Parameters'!$C$8 * 10^3</f>
        <v>38400000</v>
      </c>
      <c r="Q86">
        <f>'Study Parameters'!$C$14*'Study Parameters'!$C$8 * 10^3</f>
        <v>38400000</v>
      </c>
      <c r="R86">
        <f>'Study Parameters'!$C$14*'Study Parameters'!$C$8 * 10^3</f>
        <v>38400000</v>
      </c>
      <c r="S86">
        <f>'Study Parameters'!$C$14*'Study Parameters'!$C$8 * 10^3</f>
        <v>38400000</v>
      </c>
      <c r="T86">
        <f>'Study Parameters'!$C$14*'Study Parameters'!$C$8 * 10^3</f>
        <v>38400000</v>
      </c>
      <c r="U86">
        <f>'Study Parameters'!$C$14*'Study Parameters'!$C$8 * 10^3</f>
        <v>38400000</v>
      </c>
      <c r="V86">
        <f>'Study Parameters'!$C$14*'Study Parameters'!$C$8 * 10^3</f>
        <v>38400000</v>
      </c>
      <c r="W86">
        <f>'Study Parameters'!$C$14*'Study Parameters'!$C$8 * 10^3</f>
        <v>38400000</v>
      </c>
      <c r="X86">
        <f>'Study Parameters'!$C$14*'Study Parameters'!$C$8 * 10^3</f>
        <v>38400000</v>
      </c>
      <c r="Y86">
        <f>'Study Parameters'!$C$14*'Study Parameters'!$C$8 * 10^3</f>
        <v>38400000</v>
      </c>
      <c r="Z86">
        <f>'Study Parameters'!$C$14*'Study Parameters'!$C$8 * 10^3</f>
        <v>38400000</v>
      </c>
      <c r="AA86">
        <f>'Study Parameters'!$C$14*'Study Parameters'!$C$8 * 10^3</f>
        <v>38400000</v>
      </c>
    </row>
    <row r="87" spans="1:27" x14ac:dyDescent="0.25">
      <c r="A87" t="s">
        <v>125</v>
      </c>
      <c r="B87">
        <f>B86/(1+'Study Parameters'!$C$4) ^'Production Cost Baseline'!B$2</f>
        <v>0</v>
      </c>
      <c r="C87">
        <f>C86/(1+'Study Parameters'!$C$4) ^'Production Cost Baseline'!C$2</f>
        <v>35720930.232558139</v>
      </c>
      <c r="D87">
        <f>D86/(1+'Study Parameters'!$C$4) ^'Production Cost Baseline'!D$2</f>
        <v>33228772.30935641</v>
      </c>
      <c r="E87">
        <f>E86/(1+'Study Parameters'!$C$4) ^'Production Cost Baseline'!E$2</f>
        <v>30910485.869168755</v>
      </c>
      <c r="F87">
        <f>F86/(1+'Study Parameters'!$C$4) ^'Production Cost Baseline'!F$2</f>
        <v>28753940.343412794</v>
      </c>
      <c r="G87">
        <f>G86/(1+'Study Parameters'!$C$4) ^'Production Cost Baseline'!G$2</f>
        <v>26747851.482244462</v>
      </c>
      <c r="H87">
        <f>H86/(1+'Study Parameters'!$C$4) ^'Production Cost Baseline'!H$2</f>
        <v>24881722.309064619</v>
      </c>
      <c r="I87">
        <f>I86/(1+'Study Parameters'!$C$4) ^'Production Cost Baseline'!I$2</f>
        <v>23145788.194478713</v>
      </c>
      <c r="J87">
        <f>J86/(1+'Study Parameters'!$C$4) ^'Production Cost Baseline'!J$2</f>
        <v>21530965.762305781</v>
      </c>
      <c r="K87">
        <f>K86/(1+'Study Parameters'!$C$4) ^'Production Cost Baseline'!K$2</f>
        <v>20028805.360284448</v>
      </c>
      <c r="L87">
        <f>L86/(1+'Study Parameters'!$C$4) ^'Production Cost Baseline'!L$2</f>
        <v>18631446.846776232</v>
      </c>
      <c r="M87">
        <f>M86/(1+'Study Parameters'!$C$4) ^'Production Cost Baseline'!M$2</f>
        <v>17331578.462117422</v>
      </c>
      <c r="N87">
        <f>N86/(1+'Study Parameters'!$C$4) ^'Production Cost Baseline'!N$2</f>
        <v>16122398.569411557</v>
      </c>
      <c r="O87">
        <f>O86/(1+'Study Parameters'!$C$4) ^'Production Cost Baseline'!O$2</f>
        <v>14997580.06456889</v>
      </c>
      <c r="P87">
        <f>P86/(1+'Study Parameters'!$C$4) ^'Production Cost Baseline'!P$2</f>
        <v>13951237.269366411</v>
      </c>
      <c r="Q87">
        <f>Q86/(1+'Study Parameters'!$C$4) ^'Production Cost Baseline'!Q$2</f>
        <v>12977895.134294337</v>
      </c>
      <c r="R87">
        <f>R86/(1+'Study Parameters'!$C$4) ^'Production Cost Baseline'!R$2</f>
        <v>12072460.590041243</v>
      </c>
      <c r="S87">
        <f>S86/(1+'Study Parameters'!$C$4) ^'Production Cost Baseline'!S$2</f>
        <v>11230195.897712786</v>
      </c>
      <c r="T87">
        <f>T86/(1+'Study Parameters'!$C$4) ^'Production Cost Baseline'!T$2</f>
        <v>10446693.858337475</v>
      </c>
      <c r="U87">
        <f>U86/(1+'Study Parameters'!$C$4) ^'Production Cost Baseline'!U$2</f>
        <v>9717854.7519418374</v>
      </c>
      <c r="V87">
        <f>V86/(1+'Study Parameters'!$C$4) ^'Production Cost Baseline'!V$2</f>
        <v>9039864.8855272904</v>
      </c>
      <c r="W87">
        <f>W86/(1+'Study Parameters'!$C$4) ^'Production Cost Baseline'!W$2</f>
        <v>8409176.6376998052</v>
      </c>
      <c r="X87">
        <f>X86/(1+'Study Parameters'!$C$4) ^'Production Cost Baseline'!X$2</f>
        <v>7822489.8955347026</v>
      </c>
      <c r="Y87">
        <f>Y86/(1+'Study Parameters'!$C$4) ^'Production Cost Baseline'!Y$2</f>
        <v>7276734.7865439095</v>
      </c>
      <c r="Z87">
        <f>Z86/(1+'Study Parameters'!$C$4) ^'Production Cost Baseline'!Z$2</f>
        <v>6769055.6153896842</v>
      </c>
      <c r="AA87">
        <f>AA86/(1+'Study Parameters'!$C$4) ^'Production Cost Baseline'!AA$2</f>
        <v>6296795.9212927287</v>
      </c>
    </row>
    <row r="89" spans="1:27" x14ac:dyDescent="0.25">
      <c r="A89" t="s">
        <v>126</v>
      </c>
      <c r="B89">
        <f>SUM(B85:AA85) / SUM(C87:AA87)</f>
        <v>1.9047948824901333</v>
      </c>
    </row>
    <row r="90" spans="1:27" x14ac:dyDescent="0.25">
      <c r="A90" t="s">
        <v>127</v>
      </c>
      <c r="B90">
        <f>B89 * Inputs!$C$15</f>
        <v>1.529550290639577</v>
      </c>
    </row>
    <row r="92" spans="1:27" x14ac:dyDescent="0.25">
      <c r="A92" s="1" t="s">
        <v>134</v>
      </c>
    </row>
    <row r="93" spans="1:27" x14ac:dyDescent="0.25">
      <c r="A93" t="s">
        <v>120</v>
      </c>
      <c r="B93">
        <f>'Cost Components'!$P$12 * 10^6</f>
        <v>458000000</v>
      </c>
      <c r="C93">
        <f>'Cost Components'!$P$41*10^6</f>
        <v>110183187.23464699</v>
      </c>
      <c r="D93">
        <f>'Cost Components'!$P$41*10^6</f>
        <v>110183187.23464699</v>
      </c>
      <c r="E93">
        <f>'Cost Components'!$P$41*10^6</f>
        <v>110183187.23464699</v>
      </c>
      <c r="F93">
        <f>'Cost Components'!$P$41*10^6</f>
        <v>110183187.23464699</v>
      </c>
      <c r="G93">
        <f>'Cost Components'!$P$41*10^6</f>
        <v>110183187.23464699</v>
      </c>
      <c r="H93">
        <f>'Cost Components'!$P$41*10^6</f>
        <v>110183187.23464699</v>
      </c>
      <c r="I93">
        <f>'Cost Components'!$P$41*10^6</f>
        <v>110183187.23464699</v>
      </c>
      <c r="J93">
        <f>'Cost Components'!$P$41*10^6</f>
        <v>110183187.23464699</v>
      </c>
      <c r="K93">
        <f>'Cost Components'!$P$41*10^6</f>
        <v>110183187.23464699</v>
      </c>
      <c r="L93">
        <f>'Cost Components'!$P$41*10^6</f>
        <v>110183187.23464699</v>
      </c>
      <c r="M93">
        <f>'Cost Components'!$P$41*10^6</f>
        <v>110183187.23464699</v>
      </c>
      <c r="N93">
        <f>'Cost Components'!$P$41*10^6</f>
        <v>110183187.23464699</v>
      </c>
      <c r="O93">
        <f>'Cost Components'!$P$41*10^6</f>
        <v>110183187.23464699</v>
      </c>
      <c r="P93">
        <f>'Cost Components'!$P$41*10^6</f>
        <v>110183187.23464699</v>
      </c>
      <c r="Q93">
        <f>'Cost Components'!$P$41*10^6</f>
        <v>110183187.23464699</v>
      </c>
      <c r="R93">
        <f>'Cost Components'!$P$41*10^6</f>
        <v>110183187.23464699</v>
      </c>
      <c r="S93">
        <f>'Cost Components'!$P$41*10^6</f>
        <v>110183187.23464699</v>
      </c>
      <c r="T93">
        <f>'Cost Components'!$P$41*10^6</f>
        <v>110183187.23464699</v>
      </c>
      <c r="U93">
        <f>'Cost Components'!$P$41*10^6</f>
        <v>110183187.23464699</v>
      </c>
      <c r="V93">
        <f>'Cost Components'!$P$41*10^6</f>
        <v>110183187.23464699</v>
      </c>
      <c r="W93">
        <f>'Cost Components'!$P$41*10^6</f>
        <v>110183187.23464699</v>
      </c>
      <c r="X93">
        <f>'Cost Components'!$P$41*10^6</f>
        <v>110183187.23464699</v>
      </c>
      <c r="Y93">
        <f>'Cost Components'!$P$41*10^6</f>
        <v>110183187.23464699</v>
      </c>
      <c r="Z93">
        <f>'Cost Components'!$P$41*10^6</f>
        <v>110183187.23464699</v>
      </c>
      <c r="AA93">
        <f>'Cost Components'!$P$41*10^6</f>
        <v>110183187.23464699</v>
      </c>
    </row>
    <row r="94" spans="1:27" x14ac:dyDescent="0.25">
      <c r="A94" t="s">
        <v>121</v>
      </c>
      <c r="B94">
        <v>0</v>
      </c>
      <c r="C94">
        <f>'Cost Components'!$P$36 * 10^6</f>
        <v>135200000</v>
      </c>
      <c r="D94">
        <f>'Cost Components'!$P$36 * 10^6</f>
        <v>135200000</v>
      </c>
      <c r="E94">
        <f>'Cost Components'!$P$36 * 10^6</f>
        <v>135200000</v>
      </c>
      <c r="F94">
        <f>'Cost Components'!$P$36 * 10^6</f>
        <v>135200000</v>
      </c>
      <c r="G94">
        <f>'Cost Components'!$P$36 * 10^6</f>
        <v>135200000</v>
      </c>
      <c r="H94">
        <f>'Cost Components'!$P$36 * 10^6</f>
        <v>135200000</v>
      </c>
      <c r="I94">
        <f>'Cost Components'!$P$36 * 10^6</f>
        <v>135200000</v>
      </c>
      <c r="J94">
        <f>'Cost Components'!$P$36 * 10^6</f>
        <v>135200000</v>
      </c>
      <c r="K94">
        <f>'Cost Components'!$P$36 * 10^6</f>
        <v>135200000</v>
      </c>
      <c r="L94">
        <f>'Cost Components'!$P$36 * 10^6</f>
        <v>135200000</v>
      </c>
      <c r="M94">
        <f>'Cost Components'!$P$36 * 10^6</f>
        <v>135200000</v>
      </c>
      <c r="N94">
        <f>'Cost Components'!$P$36 * 10^6</f>
        <v>135200000</v>
      </c>
      <c r="O94">
        <f>'Cost Components'!$P$36 * 10^6</f>
        <v>135200000</v>
      </c>
      <c r="P94">
        <f>'Cost Components'!$P$36 * 10^6</f>
        <v>135200000</v>
      </c>
      <c r="Q94">
        <f>'Cost Components'!$P$36 * 10^6</f>
        <v>135200000</v>
      </c>
      <c r="R94">
        <f>'Cost Components'!$P$36 * 10^6</f>
        <v>135200000</v>
      </c>
      <c r="S94">
        <f>'Cost Components'!$P$36 * 10^6</f>
        <v>135200000</v>
      </c>
      <c r="T94">
        <f>'Cost Components'!$P$36 * 10^6</f>
        <v>135200000</v>
      </c>
      <c r="U94">
        <f>'Cost Components'!$P$36 * 10^6</f>
        <v>135200000</v>
      </c>
      <c r="V94">
        <f>'Cost Components'!$P$36 * 10^6</f>
        <v>135200000</v>
      </c>
      <c r="W94">
        <f>'Cost Components'!$P$36 * 10^6</f>
        <v>135200000</v>
      </c>
      <c r="X94">
        <f>'Cost Components'!$P$36 * 10^6</f>
        <v>135200000</v>
      </c>
      <c r="Y94">
        <f>'Cost Components'!$P$36 * 10^6</f>
        <v>135200000</v>
      </c>
      <c r="Z94">
        <f>'Cost Components'!$P$36 * 10^6</f>
        <v>135200000</v>
      </c>
      <c r="AA94">
        <f>'Cost Components'!$P$36 * 10^6</f>
        <v>135200000</v>
      </c>
    </row>
    <row r="95" spans="1:27" x14ac:dyDescent="0.25">
      <c r="A95" t="s">
        <v>122</v>
      </c>
      <c r="B95">
        <f t="shared" ref="B95:AA95" si="8">B93-B94</f>
        <v>458000000</v>
      </c>
      <c r="C95">
        <f t="shared" si="8"/>
        <v>-25016812.765353009</v>
      </c>
      <c r="D95">
        <f t="shared" si="8"/>
        <v>-25016812.765353009</v>
      </c>
      <c r="E95">
        <f t="shared" si="8"/>
        <v>-25016812.765353009</v>
      </c>
      <c r="F95">
        <f t="shared" si="8"/>
        <v>-25016812.765353009</v>
      </c>
      <c r="G95">
        <f t="shared" si="8"/>
        <v>-25016812.765353009</v>
      </c>
      <c r="H95">
        <f t="shared" si="8"/>
        <v>-25016812.765353009</v>
      </c>
      <c r="I95">
        <f t="shared" si="8"/>
        <v>-25016812.765353009</v>
      </c>
      <c r="J95">
        <f t="shared" si="8"/>
        <v>-25016812.765353009</v>
      </c>
      <c r="K95">
        <f t="shared" si="8"/>
        <v>-25016812.765353009</v>
      </c>
      <c r="L95">
        <f t="shared" si="8"/>
        <v>-25016812.765353009</v>
      </c>
      <c r="M95">
        <f t="shared" si="8"/>
        <v>-25016812.765353009</v>
      </c>
      <c r="N95">
        <f t="shared" si="8"/>
        <v>-25016812.765353009</v>
      </c>
      <c r="O95">
        <f t="shared" si="8"/>
        <v>-25016812.765353009</v>
      </c>
      <c r="P95">
        <f t="shared" si="8"/>
        <v>-25016812.765353009</v>
      </c>
      <c r="Q95">
        <f t="shared" si="8"/>
        <v>-25016812.765353009</v>
      </c>
      <c r="R95">
        <f t="shared" si="8"/>
        <v>-25016812.765353009</v>
      </c>
      <c r="S95">
        <f t="shared" si="8"/>
        <v>-25016812.765353009</v>
      </c>
      <c r="T95">
        <f t="shared" si="8"/>
        <v>-25016812.765353009</v>
      </c>
      <c r="U95">
        <f t="shared" si="8"/>
        <v>-25016812.765353009</v>
      </c>
      <c r="V95">
        <f t="shared" si="8"/>
        <v>-25016812.765353009</v>
      </c>
      <c r="W95">
        <f t="shared" si="8"/>
        <v>-25016812.765353009</v>
      </c>
      <c r="X95">
        <f t="shared" si="8"/>
        <v>-25016812.765353009</v>
      </c>
      <c r="Y95">
        <f t="shared" si="8"/>
        <v>-25016812.765353009</v>
      </c>
      <c r="Z95">
        <f t="shared" si="8"/>
        <v>-25016812.765353009</v>
      </c>
      <c r="AA95">
        <f t="shared" si="8"/>
        <v>-25016812.765353009</v>
      </c>
    </row>
    <row r="96" spans="1:27" x14ac:dyDescent="0.25">
      <c r="A96" t="s">
        <v>123</v>
      </c>
      <c r="B96">
        <f>B95/(1+'Study Parameters'!$C$4) ^'Production Cost Baseline'!B$2</f>
        <v>458000000</v>
      </c>
      <c r="C96">
        <f>C95/(1+'Study Parameters'!$C$4) ^'Production Cost Baseline'!C$2</f>
        <v>-23271453.735212103</v>
      </c>
      <c r="D96">
        <f>D95/(1+'Study Parameters'!$C$4) ^'Production Cost Baseline'!D$2</f>
        <v>-21647863.93973219</v>
      </c>
      <c r="E96">
        <f>E95/(1+'Study Parameters'!$C$4) ^'Production Cost Baseline'!E$2</f>
        <v>-20137547.850913666</v>
      </c>
      <c r="F96">
        <f>F95/(1+'Study Parameters'!$C$4) ^'Production Cost Baseline'!F$2</f>
        <v>-18732602.65201271</v>
      </c>
      <c r="G96">
        <f>G95/(1+'Study Parameters'!$C$4) ^'Production Cost Baseline'!G$2</f>
        <v>-17425676.885593221</v>
      </c>
      <c r="H96">
        <f>H95/(1+'Study Parameters'!$C$4) ^'Production Cost Baseline'!H$2</f>
        <v>-16209931.986598346</v>
      </c>
      <c r="I96">
        <f>I95/(1+'Study Parameters'!$C$4) ^'Production Cost Baseline'!I$2</f>
        <v>-15079006.499161251</v>
      </c>
      <c r="J96">
        <f>J95/(1+'Study Parameters'!$C$4) ^'Production Cost Baseline'!J$2</f>
        <v>-14026982.789917443</v>
      </c>
      <c r="K96">
        <f>K95/(1+'Study Parameters'!$C$4) ^'Production Cost Baseline'!K$2</f>
        <v>-13048356.083644133</v>
      </c>
      <c r="L96">
        <f>L95/(1+'Study Parameters'!$C$4) ^'Production Cost Baseline'!L$2</f>
        <v>-12138005.659203848</v>
      </c>
      <c r="M96">
        <f>M95/(1+'Study Parameters'!$C$4) ^'Production Cost Baseline'!M$2</f>
        <v>-11291168.055073345</v>
      </c>
      <c r="N96">
        <f>N95/(1+'Study Parameters'!$C$4) ^'Production Cost Baseline'!N$2</f>
        <v>-10503412.144254275</v>
      </c>
      <c r="O96">
        <f>O95/(1+'Study Parameters'!$C$4) ^'Production Cost Baseline'!O$2</f>
        <v>-9770615.948143512</v>
      </c>
      <c r="P96">
        <f>P95/(1+'Study Parameters'!$C$4) ^'Production Cost Baseline'!P$2</f>
        <v>-9088945.0680404752</v>
      </c>
      <c r="Q96">
        <f>Q95/(1+'Study Parameters'!$C$4) ^'Production Cost Baseline'!Q$2</f>
        <v>-8454832.621433001</v>
      </c>
      <c r="R96">
        <f>R95/(1+'Study Parameters'!$C$4) ^'Production Cost Baseline'!R$2</f>
        <v>-7864960.578077211</v>
      </c>
      <c r="S96">
        <f>S95/(1+'Study Parameters'!$C$4) ^'Production Cost Baseline'!S$2</f>
        <v>-7316242.398211359</v>
      </c>
      <c r="T96">
        <f>T95/(1+'Study Parameters'!$C$4) ^'Production Cost Baseline'!T$2</f>
        <v>-6805806.8820570791</v>
      </c>
      <c r="U96">
        <f>U95/(1+'Study Parameters'!$C$4) ^'Production Cost Baseline'!U$2</f>
        <v>-6330983.1460996084</v>
      </c>
      <c r="V96">
        <f>V95/(1+'Study Parameters'!$C$4) ^'Production Cost Baseline'!V$2</f>
        <v>-5889286.6475345194</v>
      </c>
      <c r="W96">
        <f>W95/(1+'Study Parameters'!$C$4) ^'Production Cost Baseline'!W$2</f>
        <v>-5478406.1837530406</v>
      </c>
      <c r="X96">
        <f>X95/(1+'Study Parameters'!$C$4) ^'Production Cost Baseline'!X$2</f>
        <v>-5096191.7988400385</v>
      </c>
      <c r="Y96">
        <f>Y95/(1+'Study Parameters'!$C$4) ^'Production Cost Baseline'!Y$2</f>
        <v>-4740643.5338046867</v>
      </c>
      <c r="Z96">
        <f>Z95/(1+'Study Parameters'!$C$4) ^'Production Cost Baseline'!Z$2</f>
        <v>-4409900.9616787788</v>
      </c>
      <c r="AA96">
        <f>AA95/(1+'Study Parameters'!$C$4) ^'Production Cost Baseline'!AA$2</f>
        <v>-4102233.4527244451</v>
      </c>
    </row>
    <row r="97" spans="1:27" x14ac:dyDescent="0.25">
      <c r="A97" t="s">
        <v>124</v>
      </c>
      <c r="B97">
        <v>0</v>
      </c>
      <c r="C97">
        <f>'Study Parameters'!$C$15*'Study Parameters'!$C$8 * 10^3</f>
        <v>55200000</v>
      </c>
      <c r="D97">
        <f>'Study Parameters'!$C$15*'Study Parameters'!$C$8 * 10^3</f>
        <v>55200000</v>
      </c>
      <c r="E97">
        <f>'Study Parameters'!$C$15*'Study Parameters'!$C$8 * 10^3</f>
        <v>55200000</v>
      </c>
      <c r="F97">
        <f>'Study Parameters'!$C$15*'Study Parameters'!$C$8 * 10^3</f>
        <v>55200000</v>
      </c>
      <c r="G97">
        <f>'Study Parameters'!$C$15*'Study Parameters'!$C$8 * 10^3</f>
        <v>55200000</v>
      </c>
      <c r="H97">
        <f>'Study Parameters'!$C$15*'Study Parameters'!$C$8 * 10^3</f>
        <v>55200000</v>
      </c>
      <c r="I97">
        <f>'Study Parameters'!$C$15*'Study Parameters'!$C$8 * 10^3</f>
        <v>55200000</v>
      </c>
      <c r="J97">
        <f>'Study Parameters'!$C$15*'Study Parameters'!$C$8 * 10^3</f>
        <v>55200000</v>
      </c>
      <c r="K97">
        <f>'Study Parameters'!$C$15*'Study Parameters'!$C$8 * 10^3</f>
        <v>55200000</v>
      </c>
      <c r="L97">
        <f>'Study Parameters'!$C$15*'Study Parameters'!$C$8 * 10^3</f>
        <v>55200000</v>
      </c>
      <c r="M97">
        <f>'Study Parameters'!$C$15*'Study Parameters'!$C$8 * 10^3</f>
        <v>55200000</v>
      </c>
      <c r="N97">
        <f>'Study Parameters'!$C$15*'Study Parameters'!$C$8 * 10^3</f>
        <v>55200000</v>
      </c>
      <c r="O97">
        <f>'Study Parameters'!$C$15*'Study Parameters'!$C$8 * 10^3</f>
        <v>55200000</v>
      </c>
      <c r="P97">
        <f>'Study Parameters'!$C$15*'Study Parameters'!$C$8 * 10^3</f>
        <v>55200000</v>
      </c>
      <c r="Q97">
        <f>'Study Parameters'!$C$15*'Study Parameters'!$C$8 * 10^3</f>
        <v>55200000</v>
      </c>
      <c r="R97">
        <f>'Study Parameters'!$C$15*'Study Parameters'!$C$8 * 10^3</f>
        <v>55200000</v>
      </c>
      <c r="S97">
        <f>'Study Parameters'!$C$15*'Study Parameters'!$C$8 * 10^3</f>
        <v>55200000</v>
      </c>
      <c r="T97">
        <f>'Study Parameters'!$C$15*'Study Parameters'!$C$8 * 10^3</f>
        <v>55200000</v>
      </c>
      <c r="U97">
        <f>'Study Parameters'!$C$15*'Study Parameters'!$C$8 * 10^3</f>
        <v>55200000</v>
      </c>
      <c r="V97">
        <f>'Study Parameters'!$C$15*'Study Parameters'!$C$8 * 10^3</f>
        <v>55200000</v>
      </c>
      <c r="W97">
        <f>'Study Parameters'!$C$15*'Study Parameters'!$C$8 * 10^3</f>
        <v>55200000</v>
      </c>
      <c r="X97">
        <f>'Study Parameters'!$C$15*'Study Parameters'!$C$8 * 10^3</f>
        <v>55200000</v>
      </c>
      <c r="Y97">
        <f>'Study Parameters'!$C$15*'Study Parameters'!$C$8 * 10^3</f>
        <v>55200000</v>
      </c>
      <c r="Z97">
        <f>'Study Parameters'!$C$15*'Study Parameters'!$C$8 * 10^3</f>
        <v>55200000</v>
      </c>
      <c r="AA97">
        <f>'Study Parameters'!$C$15*'Study Parameters'!$C$8 * 10^3</f>
        <v>55200000</v>
      </c>
    </row>
    <row r="98" spans="1:27" x14ac:dyDescent="0.25">
      <c r="A98" t="s">
        <v>125</v>
      </c>
      <c r="B98">
        <f>B97/(1+'Study Parameters'!$C$4) ^'Production Cost Baseline'!B$2</f>
        <v>0</v>
      </c>
      <c r="C98">
        <f>C97/(1+'Study Parameters'!$C$4) ^'Production Cost Baseline'!C$2</f>
        <v>51348837.209302329</v>
      </c>
      <c r="D98">
        <f>D97/(1+'Study Parameters'!$C$4) ^'Production Cost Baseline'!D$2</f>
        <v>47766360.194699839</v>
      </c>
      <c r="E98">
        <f>E97/(1+'Study Parameters'!$C$4) ^'Production Cost Baseline'!E$2</f>
        <v>44433823.43693009</v>
      </c>
      <c r="F98">
        <f>F97/(1+'Study Parameters'!$C$4) ^'Production Cost Baseline'!F$2</f>
        <v>41333789.24365589</v>
      </c>
      <c r="G98">
        <f>G97/(1+'Study Parameters'!$C$4) ^'Production Cost Baseline'!G$2</f>
        <v>38450036.505726412</v>
      </c>
      <c r="H98">
        <f>H97/(1+'Study Parameters'!$C$4) ^'Production Cost Baseline'!H$2</f>
        <v>35767475.819280386</v>
      </c>
      <c r="I98">
        <f>I97/(1+'Study Parameters'!$C$4) ^'Production Cost Baseline'!I$2</f>
        <v>33272070.529563151</v>
      </c>
      <c r="J98">
        <f>J97/(1+'Study Parameters'!$C$4) ^'Production Cost Baseline'!J$2</f>
        <v>30950763.28331456</v>
      </c>
      <c r="K98">
        <f>K97/(1+'Study Parameters'!$C$4) ^'Production Cost Baseline'!K$2</f>
        <v>28791407.705408894</v>
      </c>
      <c r="L98">
        <f>L97/(1+'Study Parameters'!$C$4) ^'Production Cost Baseline'!L$2</f>
        <v>26782704.842240836</v>
      </c>
      <c r="M98">
        <f>M97/(1+'Study Parameters'!$C$4) ^'Production Cost Baseline'!M$2</f>
        <v>24914144.039293796</v>
      </c>
      <c r="N98">
        <f>N97/(1+'Study Parameters'!$C$4) ^'Production Cost Baseline'!N$2</f>
        <v>23175947.943529114</v>
      </c>
      <c r="O98">
        <f>O97/(1+'Study Parameters'!$C$4) ^'Production Cost Baseline'!O$2</f>
        <v>21559021.34281778</v>
      </c>
      <c r="P98">
        <f>P97/(1+'Study Parameters'!$C$4) ^'Production Cost Baseline'!P$2</f>
        <v>20054903.574714214</v>
      </c>
      <c r="Q98">
        <f>Q97/(1+'Study Parameters'!$C$4) ^'Production Cost Baseline'!Q$2</f>
        <v>18655724.255548108</v>
      </c>
      <c r="R98">
        <f>R97/(1+'Study Parameters'!$C$4) ^'Production Cost Baseline'!R$2</f>
        <v>17354162.098184288</v>
      </c>
      <c r="S98">
        <f>S97/(1+'Study Parameters'!$C$4) ^'Production Cost Baseline'!S$2</f>
        <v>16143406.602962129</v>
      </c>
      <c r="T98">
        <f>T97/(1+'Study Parameters'!$C$4) ^'Production Cost Baseline'!T$2</f>
        <v>15017122.42136012</v>
      </c>
      <c r="U98">
        <f>U97/(1+'Study Parameters'!$C$4) ^'Production Cost Baseline'!U$2</f>
        <v>13969416.20591639</v>
      </c>
      <c r="V98">
        <f>V97/(1+'Study Parameters'!$C$4) ^'Production Cost Baseline'!V$2</f>
        <v>12994805.77294548</v>
      </c>
      <c r="W98">
        <f>W97/(1+'Study Parameters'!$C$4) ^'Production Cost Baseline'!W$2</f>
        <v>12088191.41669347</v>
      </c>
      <c r="X98">
        <f>X97/(1+'Study Parameters'!$C$4) ^'Production Cost Baseline'!X$2</f>
        <v>11244829.224831134</v>
      </c>
      <c r="Y98">
        <f>Y97/(1+'Study Parameters'!$C$4) ^'Production Cost Baseline'!Y$2</f>
        <v>10460306.25565687</v>
      </c>
      <c r="Z98">
        <f>Z97/(1+'Study Parameters'!$C$4) ^'Production Cost Baseline'!Z$2</f>
        <v>9730517.4471226707</v>
      </c>
      <c r="AA98">
        <f>AA97/(1+'Study Parameters'!$C$4) ^'Production Cost Baseline'!AA$2</f>
        <v>9051644.1368582975</v>
      </c>
    </row>
    <row r="100" spans="1:27" x14ac:dyDescent="0.25">
      <c r="A100" t="s">
        <v>126</v>
      </c>
      <c r="B100">
        <f>SUM(B96:AA96) / SUM(C98:AA98)</f>
        <v>0.29113541395094822</v>
      </c>
    </row>
    <row r="101" spans="1:27" x14ac:dyDescent="0.25">
      <c r="A101" t="s">
        <v>127</v>
      </c>
      <c r="B101">
        <f>B100 * Inputs!$C$15</f>
        <v>0.23378173740261143</v>
      </c>
    </row>
    <row r="103" spans="1:27" x14ac:dyDescent="0.25">
      <c r="A103" s="1" t="s">
        <v>136</v>
      </c>
    </row>
    <row r="104" spans="1:27" x14ac:dyDescent="0.25">
      <c r="A104" t="s">
        <v>120</v>
      </c>
      <c r="B104">
        <f>'Cost Components'!$Q$12 * 10^6</f>
        <v>454000000</v>
      </c>
      <c r="C104">
        <f>'Cost Components'!$Q$41*10^6</f>
        <v>126287868.49539924</v>
      </c>
      <c r="D104">
        <f>'Cost Components'!$Q$41*10^6</f>
        <v>126287868.49539924</v>
      </c>
      <c r="E104">
        <f>'Cost Components'!$Q$41*10^6</f>
        <v>126287868.49539924</v>
      </c>
      <c r="F104">
        <f>'Cost Components'!$Q$41*10^6</f>
        <v>126287868.49539924</v>
      </c>
      <c r="G104">
        <f>'Cost Components'!$Q$41*10^6</f>
        <v>126287868.49539924</v>
      </c>
      <c r="H104">
        <f>'Cost Components'!$Q$41*10^6</f>
        <v>126287868.49539924</v>
      </c>
      <c r="I104">
        <f>'Cost Components'!$Q$41*10^6</f>
        <v>126287868.49539924</v>
      </c>
      <c r="J104">
        <f>'Cost Components'!$Q$41*10^6</f>
        <v>126287868.49539924</v>
      </c>
      <c r="K104">
        <f>'Cost Components'!$Q$41*10^6</f>
        <v>126287868.49539924</v>
      </c>
      <c r="L104">
        <f>'Cost Components'!$Q$41*10^6</f>
        <v>126287868.49539924</v>
      </c>
      <c r="M104">
        <f>'Cost Components'!$Q$41*10^6</f>
        <v>126287868.49539924</v>
      </c>
      <c r="N104">
        <f>'Cost Components'!$Q$41*10^6</f>
        <v>126287868.49539924</v>
      </c>
      <c r="O104">
        <f>'Cost Components'!$Q$41*10^6</f>
        <v>126287868.49539924</v>
      </c>
      <c r="P104">
        <f>'Cost Components'!$Q$41*10^6</f>
        <v>126287868.49539924</v>
      </c>
      <c r="Q104">
        <f>'Cost Components'!$Q$41*10^6</f>
        <v>126287868.49539924</v>
      </c>
      <c r="R104">
        <f>'Cost Components'!$Q$41*10^6</f>
        <v>126287868.49539924</v>
      </c>
      <c r="S104">
        <f>'Cost Components'!$Q$41*10^6</f>
        <v>126287868.49539924</v>
      </c>
      <c r="T104">
        <f>'Cost Components'!$Q$41*10^6</f>
        <v>126287868.49539924</v>
      </c>
      <c r="U104">
        <f>'Cost Components'!$Q$41*10^6</f>
        <v>126287868.49539924</v>
      </c>
      <c r="V104">
        <f>'Cost Components'!$Q$41*10^6</f>
        <v>126287868.49539924</v>
      </c>
      <c r="W104">
        <f>'Cost Components'!$Q$41*10^6</f>
        <v>126287868.49539924</v>
      </c>
      <c r="X104">
        <f>'Cost Components'!$Q$41*10^6</f>
        <v>126287868.49539924</v>
      </c>
      <c r="Y104">
        <f>'Cost Components'!$Q$41*10^6</f>
        <v>126287868.49539924</v>
      </c>
      <c r="Z104">
        <f>'Cost Components'!$Q$41*10^6</f>
        <v>126287868.49539924</v>
      </c>
      <c r="AA104">
        <f>'Cost Components'!$Q$41*10^6</f>
        <v>126287868.49539924</v>
      </c>
    </row>
    <row r="105" spans="1:27" x14ac:dyDescent="0.25">
      <c r="A105" t="s">
        <v>121</v>
      </c>
      <c r="B105">
        <v>0</v>
      </c>
      <c r="C105">
        <f>'Cost Components'!$Q$36 * 10^6</f>
        <v>133699999.99999999</v>
      </c>
      <c r="D105">
        <f>'Cost Components'!$Q$36 * 10^6</f>
        <v>133699999.99999999</v>
      </c>
      <c r="E105">
        <f>'Cost Components'!$Q$36 * 10^6</f>
        <v>133699999.99999999</v>
      </c>
      <c r="F105">
        <f>'Cost Components'!$Q$36 * 10^6</f>
        <v>133699999.99999999</v>
      </c>
      <c r="G105">
        <f>'Cost Components'!$Q$36 * 10^6</f>
        <v>133699999.99999999</v>
      </c>
      <c r="H105">
        <f>'Cost Components'!$Q$36 * 10^6</f>
        <v>133699999.99999999</v>
      </c>
      <c r="I105">
        <f>'Cost Components'!$Q$36 * 10^6</f>
        <v>133699999.99999999</v>
      </c>
      <c r="J105">
        <f>'Cost Components'!$Q$36 * 10^6</f>
        <v>133699999.99999999</v>
      </c>
      <c r="K105">
        <f>'Cost Components'!$Q$36 * 10^6</f>
        <v>133699999.99999999</v>
      </c>
      <c r="L105">
        <f>'Cost Components'!$Q$36 * 10^6</f>
        <v>133699999.99999999</v>
      </c>
      <c r="M105">
        <f>'Cost Components'!$Q$36 * 10^6</f>
        <v>133699999.99999999</v>
      </c>
      <c r="N105">
        <f>'Cost Components'!$Q$36 * 10^6</f>
        <v>133699999.99999999</v>
      </c>
      <c r="O105">
        <f>'Cost Components'!$Q$36 * 10^6</f>
        <v>133699999.99999999</v>
      </c>
      <c r="P105">
        <f>'Cost Components'!$Q$36 * 10^6</f>
        <v>133699999.99999999</v>
      </c>
      <c r="Q105">
        <f>'Cost Components'!$Q$36 * 10^6</f>
        <v>133699999.99999999</v>
      </c>
      <c r="R105">
        <f>'Cost Components'!$Q$36 * 10^6</f>
        <v>133699999.99999999</v>
      </c>
      <c r="S105">
        <f>'Cost Components'!$Q$36 * 10^6</f>
        <v>133699999.99999999</v>
      </c>
      <c r="T105">
        <f>'Cost Components'!$Q$36 * 10^6</f>
        <v>133699999.99999999</v>
      </c>
      <c r="U105">
        <f>'Cost Components'!$Q$36 * 10^6</f>
        <v>133699999.99999999</v>
      </c>
      <c r="V105">
        <f>'Cost Components'!$Q$36 * 10^6</f>
        <v>133699999.99999999</v>
      </c>
      <c r="W105">
        <f>'Cost Components'!$Q$36 * 10^6</f>
        <v>133699999.99999999</v>
      </c>
      <c r="X105">
        <f>'Cost Components'!$Q$36 * 10^6</f>
        <v>133699999.99999999</v>
      </c>
      <c r="Y105">
        <f>'Cost Components'!$Q$36 * 10^6</f>
        <v>133699999.99999999</v>
      </c>
      <c r="Z105">
        <f>'Cost Components'!$Q$36 * 10^6</f>
        <v>133699999.99999999</v>
      </c>
      <c r="AA105">
        <f>'Cost Components'!$Q$36 * 10^6</f>
        <v>133699999.99999999</v>
      </c>
    </row>
    <row r="106" spans="1:27" x14ac:dyDescent="0.25">
      <c r="A106" t="s">
        <v>122</v>
      </c>
      <c r="B106">
        <f t="shared" ref="B106:AA106" si="9">B104-B105</f>
        <v>454000000</v>
      </c>
      <c r="C106">
        <f t="shared" si="9"/>
        <v>-7412131.5046007484</v>
      </c>
      <c r="D106">
        <f t="shared" si="9"/>
        <v>-7412131.5046007484</v>
      </c>
      <c r="E106">
        <f t="shared" si="9"/>
        <v>-7412131.5046007484</v>
      </c>
      <c r="F106">
        <f t="shared" si="9"/>
        <v>-7412131.5046007484</v>
      </c>
      <c r="G106">
        <f t="shared" si="9"/>
        <v>-7412131.5046007484</v>
      </c>
      <c r="H106">
        <f t="shared" si="9"/>
        <v>-7412131.5046007484</v>
      </c>
      <c r="I106">
        <f t="shared" si="9"/>
        <v>-7412131.5046007484</v>
      </c>
      <c r="J106">
        <f t="shared" si="9"/>
        <v>-7412131.5046007484</v>
      </c>
      <c r="K106">
        <f t="shared" si="9"/>
        <v>-7412131.5046007484</v>
      </c>
      <c r="L106">
        <f t="shared" si="9"/>
        <v>-7412131.5046007484</v>
      </c>
      <c r="M106">
        <f t="shared" si="9"/>
        <v>-7412131.5046007484</v>
      </c>
      <c r="N106">
        <f t="shared" si="9"/>
        <v>-7412131.5046007484</v>
      </c>
      <c r="O106">
        <f t="shared" si="9"/>
        <v>-7412131.5046007484</v>
      </c>
      <c r="P106">
        <f t="shared" si="9"/>
        <v>-7412131.5046007484</v>
      </c>
      <c r="Q106">
        <f t="shared" si="9"/>
        <v>-7412131.5046007484</v>
      </c>
      <c r="R106">
        <f t="shared" si="9"/>
        <v>-7412131.5046007484</v>
      </c>
      <c r="S106">
        <f t="shared" si="9"/>
        <v>-7412131.5046007484</v>
      </c>
      <c r="T106">
        <f t="shared" si="9"/>
        <v>-7412131.5046007484</v>
      </c>
      <c r="U106">
        <f t="shared" si="9"/>
        <v>-7412131.5046007484</v>
      </c>
      <c r="V106">
        <f t="shared" si="9"/>
        <v>-7412131.5046007484</v>
      </c>
      <c r="W106">
        <f t="shared" si="9"/>
        <v>-7412131.5046007484</v>
      </c>
      <c r="X106">
        <f t="shared" si="9"/>
        <v>-7412131.5046007484</v>
      </c>
      <c r="Y106">
        <f t="shared" si="9"/>
        <v>-7412131.5046007484</v>
      </c>
      <c r="Z106">
        <f t="shared" si="9"/>
        <v>-7412131.5046007484</v>
      </c>
      <c r="AA106">
        <f t="shared" si="9"/>
        <v>-7412131.5046007484</v>
      </c>
    </row>
    <row r="107" spans="1:27" x14ac:dyDescent="0.25">
      <c r="A107" t="s">
        <v>123</v>
      </c>
      <c r="B107">
        <f>B106/(1+'Study Parameters'!$C$4) ^'Production Cost Baseline'!B$2</f>
        <v>454000000</v>
      </c>
      <c r="C107">
        <f>C106/(1+'Study Parameters'!$C$4) ^'Production Cost Baseline'!C$2</f>
        <v>-6895006.050791394</v>
      </c>
      <c r="D107">
        <f>D106/(1+'Study Parameters'!$C$4) ^'Production Cost Baseline'!D$2</f>
        <v>-6413959.117015251</v>
      </c>
      <c r="E107">
        <f>E106/(1+'Study Parameters'!$C$4) ^'Production Cost Baseline'!E$2</f>
        <v>-5966473.5972234895</v>
      </c>
      <c r="F107">
        <f>F106/(1+'Study Parameters'!$C$4) ^'Production Cost Baseline'!F$2</f>
        <v>-5550207.9974171994</v>
      </c>
      <c r="G107">
        <f>G106/(1+'Study Parameters'!$C$4) ^'Production Cost Baseline'!G$2</f>
        <v>-5162984.1836439064</v>
      </c>
      <c r="H107">
        <f>H106/(1+'Study Parameters'!$C$4) ^'Production Cost Baseline'!H$2</f>
        <v>-4802775.9847850297</v>
      </c>
      <c r="I107">
        <f>I106/(1+'Study Parameters'!$C$4) ^'Production Cost Baseline'!I$2</f>
        <v>-4467698.5904977014</v>
      </c>
      <c r="J107">
        <f>J106/(1+'Study Parameters'!$C$4) ^'Production Cost Baseline'!J$2</f>
        <v>-4155998.6888350714</v>
      </c>
      <c r="K107">
        <f>K106/(1+'Study Parameters'!$C$4) ^'Production Cost Baseline'!K$2</f>
        <v>-3866045.2919396013</v>
      </c>
      <c r="L107">
        <f>L106/(1+'Study Parameters'!$C$4) ^'Production Cost Baseline'!L$2</f>
        <v>-3596321.2018042812</v>
      </c>
      <c r="M107">
        <f>M106/(1+'Study Parameters'!$C$4) ^'Production Cost Baseline'!M$2</f>
        <v>-3345415.0714458423</v>
      </c>
      <c r="N107">
        <f>N106/(1+'Study Parameters'!$C$4) ^'Production Cost Baseline'!N$2</f>
        <v>-3112014.0199496211</v>
      </c>
      <c r="O107">
        <f>O106/(1+'Study Parameters'!$C$4) ^'Production Cost Baseline'!O$2</f>
        <v>-2894896.7627438335</v>
      </c>
      <c r="P107">
        <f>P106/(1+'Study Parameters'!$C$4) ^'Production Cost Baseline'!P$2</f>
        <v>-2692927.2211570544</v>
      </c>
      <c r="Q107">
        <f>Q106/(1+'Study Parameters'!$C$4) ^'Production Cost Baseline'!Q$2</f>
        <v>-2505048.5778205157</v>
      </c>
      <c r="R107">
        <f>R106/(1+'Study Parameters'!$C$4) ^'Production Cost Baseline'!R$2</f>
        <v>-2330277.7468097825</v>
      </c>
      <c r="S107">
        <f>S106/(1+'Study Parameters'!$C$4) ^'Production Cost Baseline'!S$2</f>
        <v>-2167700.2295904951</v>
      </c>
      <c r="T107">
        <f>T106/(1+'Study Parameters'!$C$4) ^'Production Cost Baseline'!T$2</f>
        <v>-2016465.3298516236</v>
      </c>
      <c r="U107">
        <f>U106/(1+'Study Parameters'!$C$4) ^'Production Cost Baseline'!U$2</f>
        <v>-1875781.7021875568</v>
      </c>
      <c r="V107">
        <f>V106/(1+'Study Parameters'!$C$4) ^'Production Cost Baseline'!V$2</f>
        <v>-1744913.2113372623</v>
      </c>
      <c r="W107">
        <f>W106/(1+'Study Parameters'!$C$4) ^'Production Cost Baseline'!W$2</f>
        <v>-1623175.0803137321</v>
      </c>
      <c r="X107">
        <f>X106/(1+'Study Parameters'!$C$4) ^'Production Cost Baseline'!X$2</f>
        <v>-1509930.3072685881</v>
      </c>
      <c r="Y107">
        <f>Y106/(1+'Study Parameters'!$C$4) ^'Production Cost Baseline'!Y$2</f>
        <v>-1404586.3323428726</v>
      </c>
      <c r="Z107">
        <f>Z106/(1+'Study Parameters'!$C$4) ^'Production Cost Baseline'!Z$2</f>
        <v>-1306591.9370631375</v>
      </c>
      <c r="AA107">
        <f>AA106/(1+'Study Parameters'!$C$4) ^'Production Cost Baseline'!AA$2</f>
        <v>-1215434.3600587326</v>
      </c>
    </row>
    <row r="108" spans="1:27" x14ac:dyDescent="0.25">
      <c r="A108" t="s">
        <v>124</v>
      </c>
      <c r="B108">
        <v>0</v>
      </c>
      <c r="C108">
        <f>'Study Parameters'!$C$16*'Study Parameters'!$C$8 * 10^3</f>
        <v>54400000</v>
      </c>
      <c r="D108">
        <f>'Study Parameters'!$C$16*'Study Parameters'!$C$8 * 10^3</f>
        <v>54400000</v>
      </c>
      <c r="E108">
        <f>'Study Parameters'!$C$16*'Study Parameters'!$C$8 * 10^3</f>
        <v>54400000</v>
      </c>
      <c r="F108">
        <f>'Study Parameters'!$C$16*'Study Parameters'!$C$8 * 10^3</f>
        <v>54400000</v>
      </c>
      <c r="G108">
        <f>'Study Parameters'!$C$16*'Study Parameters'!$C$8 * 10^3</f>
        <v>54400000</v>
      </c>
      <c r="H108">
        <f>'Study Parameters'!$C$16*'Study Parameters'!$C$8 * 10^3</f>
        <v>54400000</v>
      </c>
      <c r="I108">
        <f>'Study Parameters'!$C$16*'Study Parameters'!$C$8 * 10^3</f>
        <v>54400000</v>
      </c>
      <c r="J108">
        <f>'Study Parameters'!$C$16*'Study Parameters'!$C$8 * 10^3</f>
        <v>54400000</v>
      </c>
      <c r="K108">
        <f>'Study Parameters'!$C$16*'Study Parameters'!$C$8 * 10^3</f>
        <v>54400000</v>
      </c>
      <c r="L108">
        <f>'Study Parameters'!$C$16*'Study Parameters'!$C$8 * 10^3</f>
        <v>54400000</v>
      </c>
      <c r="M108">
        <f>'Study Parameters'!$C$16*'Study Parameters'!$C$8 * 10^3</f>
        <v>54400000</v>
      </c>
      <c r="N108">
        <f>'Study Parameters'!$C$16*'Study Parameters'!$C$8 * 10^3</f>
        <v>54400000</v>
      </c>
      <c r="O108">
        <f>'Study Parameters'!$C$16*'Study Parameters'!$C$8 * 10^3</f>
        <v>54400000</v>
      </c>
      <c r="P108">
        <f>'Study Parameters'!$C$16*'Study Parameters'!$C$8 * 10^3</f>
        <v>54400000</v>
      </c>
      <c r="Q108">
        <f>'Study Parameters'!$C$16*'Study Parameters'!$C$8 * 10^3</f>
        <v>54400000</v>
      </c>
      <c r="R108">
        <f>'Study Parameters'!$C$16*'Study Parameters'!$C$8 * 10^3</f>
        <v>54400000</v>
      </c>
      <c r="S108">
        <f>'Study Parameters'!$C$16*'Study Parameters'!$C$8 * 10^3</f>
        <v>54400000</v>
      </c>
      <c r="T108">
        <f>'Study Parameters'!$C$16*'Study Parameters'!$C$8 * 10^3</f>
        <v>54400000</v>
      </c>
      <c r="U108">
        <f>'Study Parameters'!$C$16*'Study Parameters'!$C$8 * 10^3</f>
        <v>54400000</v>
      </c>
      <c r="V108">
        <f>'Study Parameters'!$C$16*'Study Parameters'!$C$8 * 10^3</f>
        <v>54400000</v>
      </c>
      <c r="W108">
        <f>'Study Parameters'!$C$16*'Study Parameters'!$C$8 * 10^3</f>
        <v>54400000</v>
      </c>
      <c r="X108">
        <f>'Study Parameters'!$C$16*'Study Parameters'!$C$8 * 10^3</f>
        <v>54400000</v>
      </c>
      <c r="Y108">
        <f>'Study Parameters'!$C$16*'Study Parameters'!$C$8 * 10^3</f>
        <v>54400000</v>
      </c>
      <c r="Z108">
        <f>'Study Parameters'!$C$16*'Study Parameters'!$C$8 * 10^3</f>
        <v>54400000</v>
      </c>
      <c r="AA108">
        <f>'Study Parameters'!$C$16*'Study Parameters'!$C$8 * 10^3</f>
        <v>54400000</v>
      </c>
    </row>
    <row r="109" spans="1:27" x14ac:dyDescent="0.25">
      <c r="A109" t="s">
        <v>125</v>
      </c>
      <c r="B109">
        <f>B108/(1+'Study Parameters'!$C$4) ^'Production Cost Baseline'!B$2</f>
        <v>0</v>
      </c>
      <c r="C109">
        <f>C108/(1+'Study Parameters'!$C$4) ^'Production Cost Baseline'!C$2</f>
        <v>50604651.162790701</v>
      </c>
      <c r="D109">
        <f>D108/(1+'Study Parameters'!$C$4) ^'Production Cost Baseline'!D$2</f>
        <v>47074094.104921587</v>
      </c>
      <c r="E109">
        <f>E108/(1+'Study Parameters'!$C$4) ^'Production Cost Baseline'!E$2</f>
        <v>43789854.981322408</v>
      </c>
      <c r="F109">
        <f>F108/(1+'Study Parameters'!$C$4) ^'Production Cost Baseline'!F$2</f>
        <v>40734748.819834791</v>
      </c>
      <c r="G109">
        <f>G108/(1+'Study Parameters'!$C$4) ^'Production Cost Baseline'!G$2</f>
        <v>37892789.599846318</v>
      </c>
      <c r="H109">
        <f>H108/(1+'Study Parameters'!$C$4) ^'Production Cost Baseline'!H$2</f>
        <v>35249106.604508206</v>
      </c>
      <c r="I109">
        <f>I108/(1+'Study Parameters'!$C$4) ^'Production Cost Baseline'!I$2</f>
        <v>32789866.608844843</v>
      </c>
      <c r="J109">
        <f>J108/(1+'Study Parameters'!$C$4) ^'Production Cost Baseline'!J$2</f>
        <v>30502201.496599857</v>
      </c>
      <c r="K109">
        <f>K108/(1+'Study Parameters'!$C$4) ^'Production Cost Baseline'!K$2</f>
        <v>28374140.927069634</v>
      </c>
      <c r="L109">
        <f>L108/(1+'Study Parameters'!$C$4) ^'Production Cost Baseline'!L$2</f>
        <v>26394549.699599665</v>
      </c>
      <c r="M109">
        <f>M108/(1+'Study Parameters'!$C$4) ^'Production Cost Baseline'!M$2</f>
        <v>24553069.487999685</v>
      </c>
      <c r="N109">
        <f>N108/(1+'Study Parameters'!$C$4) ^'Production Cost Baseline'!N$2</f>
        <v>22840064.639999706</v>
      </c>
      <c r="O109">
        <f>O108/(1+'Study Parameters'!$C$4) ^'Production Cost Baseline'!O$2</f>
        <v>21246571.75813926</v>
      </c>
      <c r="P109">
        <f>P108/(1+'Study Parameters'!$C$4) ^'Production Cost Baseline'!P$2</f>
        <v>19764252.798269082</v>
      </c>
      <c r="Q109">
        <f>Q108/(1+'Study Parameters'!$C$4) ^'Production Cost Baseline'!Q$2</f>
        <v>18385351.440250307</v>
      </c>
      <c r="R109">
        <f>R108/(1+'Study Parameters'!$C$4) ^'Production Cost Baseline'!R$2</f>
        <v>17102652.502558429</v>
      </c>
      <c r="S109">
        <f>S108/(1+'Study Parameters'!$C$4) ^'Production Cost Baseline'!S$2</f>
        <v>15909444.188426446</v>
      </c>
      <c r="T109">
        <f>T108/(1+'Study Parameters'!$C$4) ^'Production Cost Baseline'!T$2</f>
        <v>14799482.96597809</v>
      </c>
      <c r="U109">
        <f>U108/(1+'Study Parameters'!$C$4) ^'Production Cost Baseline'!U$2</f>
        <v>13766960.898584269</v>
      </c>
      <c r="V109">
        <f>V108/(1+'Study Parameters'!$C$4) ^'Production Cost Baseline'!V$2</f>
        <v>12806475.254496995</v>
      </c>
      <c r="W109">
        <f>W108/(1+'Study Parameters'!$C$4) ^'Production Cost Baseline'!W$2</f>
        <v>11913000.23674139</v>
      </c>
      <c r="X109">
        <f>X108/(1+'Study Parameters'!$C$4) ^'Production Cost Baseline'!X$2</f>
        <v>11081860.685340829</v>
      </c>
      <c r="Y109">
        <f>Y108/(1+'Study Parameters'!$C$4) ^'Production Cost Baseline'!Y$2</f>
        <v>10308707.614270538</v>
      </c>
      <c r="Z109">
        <f>Z108/(1+'Study Parameters'!$C$4) ^'Production Cost Baseline'!Z$2</f>
        <v>9589495.4551353846</v>
      </c>
      <c r="AA109">
        <f>AA108/(1+'Study Parameters'!$C$4) ^'Production Cost Baseline'!AA$2</f>
        <v>8920460.8884980325</v>
      </c>
    </row>
    <row r="111" spans="1:27" x14ac:dyDescent="0.25">
      <c r="A111" t="s">
        <v>126</v>
      </c>
      <c r="B111">
        <f>SUM(B107:AA107) / SUM(C109:AA109)</f>
        <v>0.61243590853394891</v>
      </c>
    </row>
    <row r="112" spans="1:27" x14ac:dyDescent="0.25">
      <c r="A112" t="s">
        <v>127</v>
      </c>
      <c r="B112">
        <f>B111 * Inputs!$C$15</f>
        <v>0.49178603455276099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12"/>
  <sheetViews>
    <sheetView workbookViewId="0">
      <selection activeCell="D13" sqref="D13"/>
    </sheetView>
  </sheetViews>
  <sheetFormatPr defaultColWidth="11" defaultRowHeight="15.75" x14ac:dyDescent="0.25"/>
  <cols>
    <col min="1" max="1" width="27.375" bestFit="1" customWidth="1"/>
    <col min="2" max="2" width="11.125" bestFit="1" customWidth="1"/>
    <col min="3" max="3" width="15.5" bestFit="1" customWidth="1"/>
  </cols>
  <sheetData>
    <row r="1" spans="1:27" x14ac:dyDescent="0.25">
      <c r="A1">
        <v>2021</v>
      </c>
    </row>
    <row r="2" spans="1:27" x14ac:dyDescent="0.25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</row>
    <row r="3" spans="1:27" x14ac:dyDescent="0.25">
      <c r="A3" s="1" t="s">
        <v>128</v>
      </c>
    </row>
    <row r="4" spans="1:27" x14ac:dyDescent="0.25">
      <c r="A4" t="s">
        <v>120</v>
      </c>
      <c r="B4">
        <f>'Cost Components'!$B$42 * 10^6</f>
        <v>1136760000</v>
      </c>
      <c r="C4">
        <f>('Cost Components'!$B$43  + 'Cost Components'!$B$40 + 'Cost Components'!$B$41) * 10^6</f>
        <v>556074856.00618696</v>
      </c>
      <c r="D4">
        <f>('Cost Components'!$B$43  + 'Cost Components'!$B$40 + 'Cost Components'!$B$41) * 10^6</f>
        <v>556074856.00618696</v>
      </c>
      <c r="E4">
        <f>('Cost Components'!$B$43  + 'Cost Components'!$B$40 + 'Cost Components'!$B$41) * 10^6</f>
        <v>556074856.00618696</v>
      </c>
      <c r="F4">
        <f>('Cost Components'!$B$43  + 'Cost Components'!$B$40 + 'Cost Components'!$B$41) * 10^6</f>
        <v>556074856.00618696</v>
      </c>
      <c r="G4">
        <f>('Cost Components'!$B$43  + 'Cost Components'!$B$40 + 'Cost Components'!$B$41) * 10^6</f>
        <v>556074856.00618696</v>
      </c>
      <c r="H4">
        <f>('Cost Components'!$B$43  + 'Cost Components'!$B$40 + 'Cost Components'!$B$41) * 10^6</f>
        <v>556074856.00618696</v>
      </c>
      <c r="I4">
        <f>('Cost Components'!$B$43  + 'Cost Components'!$B$40 + 'Cost Components'!$B$41) * 10^6</f>
        <v>556074856.00618696</v>
      </c>
      <c r="J4">
        <f>('Cost Components'!$B$43  + 'Cost Components'!$B$40 + 'Cost Components'!$B$41) * 10^6</f>
        <v>556074856.00618696</v>
      </c>
      <c r="K4">
        <f>('Cost Components'!$B$43  + 'Cost Components'!$B$40 + 'Cost Components'!$B$41) * 10^6</f>
        <v>556074856.00618696</v>
      </c>
      <c r="L4">
        <f>('Cost Components'!$B$43  + 'Cost Components'!$B$40 + 'Cost Components'!$B$41) * 10^6</f>
        <v>556074856.00618696</v>
      </c>
      <c r="M4">
        <f>('Cost Components'!$B$43  + 'Cost Components'!$B$40 + 'Cost Components'!$B$41) * 10^6</f>
        <v>556074856.00618696</v>
      </c>
      <c r="N4">
        <f>('Cost Components'!$B$43  + 'Cost Components'!$B$40 + 'Cost Components'!$B$41) * 10^6</f>
        <v>556074856.00618696</v>
      </c>
      <c r="O4">
        <f>('Cost Components'!$B$43  + 'Cost Components'!$B$40 + 'Cost Components'!$B$41) * 10^6</f>
        <v>556074856.00618696</v>
      </c>
      <c r="P4">
        <f>('Cost Components'!$B$43  + 'Cost Components'!$B$40 + 'Cost Components'!$B$41) * 10^6</f>
        <v>556074856.00618696</v>
      </c>
      <c r="Q4">
        <f>('Cost Components'!$B$43  + 'Cost Components'!$B$40 + 'Cost Components'!$B$41) * 10^6</f>
        <v>556074856.00618696</v>
      </c>
      <c r="R4">
        <f>('Cost Components'!$B$43  + 'Cost Components'!$B$40 + 'Cost Components'!$B$41) * 10^6</f>
        <v>556074856.00618696</v>
      </c>
      <c r="S4">
        <f>('Cost Components'!$B$43  + 'Cost Components'!$B$40 + 'Cost Components'!$B$41) * 10^6</f>
        <v>556074856.00618696</v>
      </c>
      <c r="T4">
        <f>('Cost Components'!$B$43  + 'Cost Components'!$B$40 + 'Cost Components'!$B$41) * 10^6</f>
        <v>556074856.00618696</v>
      </c>
      <c r="U4">
        <f>('Cost Components'!$B$43  + 'Cost Components'!$B$40 + 'Cost Components'!$B$41) * 10^6</f>
        <v>556074856.00618696</v>
      </c>
      <c r="V4">
        <f>('Cost Components'!$B$43  + 'Cost Components'!$B$40 + 'Cost Components'!$B$41) * 10^6</f>
        <v>556074856.00618696</v>
      </c>
      <c r="W4">
        <f>('Cost Components'!$B$43  + 'Cost Components'!$B$40 + 'Cost Components'!$B$41) * 10^6</f>
        <v>556074856.00618696</v>
      </c>
      <c r="X4">
        <f>('Cost Components'!$B$43  + 'Cost Components'!$B$40 + 'Cost Components'!$B$41) * 10^6</f>
        <v>556074856.00618696</v>
      </c>
      <c r="Y4">
        <f>('Cost Components'!$B$43  + 'Cost Components'!$B$40 + 'Cost Components'!$B$41) * 10^6</f>
        <v>556074856.00618696</v>
      </c>
      <c r="Z4">
        <f>('Cost Components'!$B$43  + 'Cost Components'!$B$40 + 'Cost Components'!$B$41) * 10^6</f>
        <v>556074856.00618696</v>
      </c>
      <c r="AA4">
        <f>('Cost Components'!$B$43  + 'Cost Components'!$B$40 + 'Cost Components'!$B$41) * 10^6</f>
        <v>556074856.00618696</v>
      </c>
    </row>
    <row r="5" spans="1:27" x14ac:dyDescent="0.25">
      <c r="A5" t="s">
        <v>121</v>
      </c>
      <c r="B5">
        <v>0</v>
      </c>
      <c r="C5">
        <f>'Cost Components'!$B$36*10^6</f>
        <v>56800000</v>
      </c>
      <c r="D5">
        <f>'Cost Components'!$B$36*10^6</f>
        <v>56800000</v>
      </c>
      <c r="E5">
        <f>'Cost Components'!$B$36*10^6</f>
        <v>56800000</v>
      </c>
      <c r="F5">
        <f>'Cost Components'!$B$36*10^6</f>
        <v>56800000</v>
      </c>
      <c r="G5">
        <f>'Cost Components'!$B$36*10^6</f>
        <v>56800000</v>
      </c>
      <c r="H5">
        <f>'Cost Components'!$B$36*10^6</f>
        <v>56800000</v>
      </c>
      <c r="I5">
        <f>'Cost Components'!$B$36*10^6</f>
        <v>56800000</v>
      </c>
      <c r="J5">
        <f>'Cost Components'!$B$36*10^6</f>
        <v>56800000</v>
      </c>
      <c r="K5">
        <f>'Cost Components'!$B$36*10^6</f>
        <v>56800000</v>
      </c>
      <c r="L5">
        <f>'Cost Components'!$B$36*10^6</f>
        <v>56800000</v>
      </c>
      <c r="M5">
        <f>'Cost Components'!$B$36*10^6</f>
        <v>56800000</v>
      </c>
      <c r="N5">
        <f>'Cost Components'!$B$36*10^6</f>
        <v>56800000</v>
      </c>
      <c r="O5">
        <f>'Cost Components'!$B$36*10^6</f>
        <v>56800000</v>
      </c>
      <c r="P5">
        <f>'Cost Components'!$B$36*10^6</f>
        <v>56800000</v>
      </c>
      <c r="Q5">
        <f>'Cost Components'!$B$36*10^6</f>
        <v>56800000</v>
      </c>
      <c r="R5">
        <f>'Cost Components'!$B$36*10^6</f>
        <v>56800000</v>
      </c>
      <c r="S5">
        <f>'Cost Components'!$B$36*10^6</f>
        <v>56800000</v>
      </c>
      <c r="T5">
        <f>'Cost Components'!$B$36*10^6</f>
        <v>56800000</v>
      </c>
      <c r="U5">
        <f>'Cost Components'!$B$36*10^6</f>
        <v>56800000</v>
      </c>
      <c r="V5">
        <f>'Cost Components'!$B$36*10^6</f>
        <v>56800000</v>
      </c>
      <c r="W5">
        <f>'Cost Components'!$B$36*10^6</f>
        <v>56800000</v>
      </c>
      <c r="X5">
        <f>'Cost Components'!$B$36*10^6</f>
        <v>56800000</v>
      </c>
      <c r="Y5">
        <f>'Cost Components'!$B$36*10^6</f>
        <v>56800000</v>
      </c>
      <c r="Z5">
        <f>'Cost Components'!$B$36*10^6</f>
        <v>56800000</v>
      </c>
      <c r="AA5">
        <f>'Cost Components'!$B$36*10^6</f>
        <v>56800000</v>
      </c>
    </row>
    <row r="6" spans="1:27" x14ac:dyDescent="0.25">
      <c r="A6" t="s">
        <v>122</v>
      </c>
      <c r="B6">
        <f t="shared" ref="B6:AA6" si="0">B4-B5</f>
        <v>1136760000</v>
      </c>
      <c r="C6">
        <f t="shared" si="0"/>
        <v>499274856.00618696</v>
      </c>
      <c r="D6">
        <f t="shared" si="0"/>
        <v>499274856.00618696</v>
      </c>
      <c r="E6">
        <f t="shared" si="0"/>
        <v>499274856.00618696</v>
      </c>
      <c r="F6">
        <f t="shared" si="0"/>
        <v>499274856.00618696</v>
      </c>
      <c r="G6">
        <f t="shared" si="0"/>
        <v>499274856.00618696</v>
      </c>
      <c r="H6">
        <f t="shared" si="0"/>
        <v>499274856.00618696</v>
      </c>
      <c r="I6">
        <f t="shared" si="0"/>
        <v>499274856.00618696</v>
      </c>
      <c r="J6">
        <f t="shared" si="0"/>
        <v>499274856.00618696</v>
      </c>
      <c r="K6">
        <f t="shared" si="0"/>
        <v>499274856.00618696</v>
      </c>
      <c r="L6">
        <f t="shared" si="0"/>
        <v>499274856.00618696</v>
      </c>
      <c r="M6">
        <f t="shared" si="0"/>
        <v>499274856.00618696</v>
      </c>
      <c r="N6">
        <f t="shared" si="0"/>
        <v>499274856.00618696</v>
      </c>
      <c r="O6">
        <f t="shared" si="0"/>
        <v>499274856.00618696</v>
      </c>
      <c r="P6">
        <f t="shared" si="0"/>
        <v>499274856.00618696</v>
      </c>
      <c r="Q6">
        <f t="shared" si="0"/>
        <v>499274856.00618696</v>
      </c>
      <c r="R6">
        <f t="shared" si="0"/>
        <v>499274856.00618696</v>
      </c>
      <c r="S6">
        <f t="shared" si="0"/>
        <v>499274856.00618696</v>
      </c>
      <c r="T6">
        <f t="shared" si="0"/>
        <v>499274856.00618696</v>
      </c>
      <c r="U6">
        <f t="shared" si="0"/>
        <v>499274856.00618696</v>
      </c>
      <c r="V6">
        <f t="shared" si="0"/>
        <v>499274856.00618696</v>
      </c>
      <c r="W6">
        <f t="shared" si="0"/>
        <v>499274856.00618696</v>
      </c>
      <c r="X6">
        <f t="shared" si="0"/>
        <v>499274856.00618696</v>
      </c>
      <c r="Y6">
        <f t="shared" si="0"/>
        <v>499274856.00618696</v>
      </c>
      <c r="Z6">
        <f t="shared" si="0"/>
        <v>499274856.00618696</v>
      </c>
      <c r="AA6">
        <f t="shared" si="0"/>
        <v>499274856.00618696</v>
      </c>
    </row>
    <row r="7" spans="1:27" x14ac:dyDescent="0.25">
      <c r="A7" t="s">
        <v>123</v>
      </c>
      <c r="B7">
        <f>B6/(1+'Study Parameters'!$C$4) ^'Production Cost Baseline'!B$2</f>
        <v>1136760000</v>
      </c>
      <c r="C7">
        <f>C6/(1+'Study Parameters'!$C$4) ^'Production Cost Baseline'!C$2</f>
        <v>464441726.51738322</v>
      </c>
      <c r="D7">
        <f>D6/(1+'Study Parameters'!$C$4) ^'Production Cost Baseline'!D$2</f>
        <v>432038815.3650077</v>
      </c>
      <c r="E7">
        <f>E6/(1+'Study Parameters'!$C$4) ^'Production Cost Baseline'!E$2</f>
        <v>401896572.43256527</v>
      </c>
      <c r="F7">
        <f>F6/(1+'Study Parameters'!$C$4) ^'Production Cost Baseline'!F$2</f>
        <v>373857276.68145609</v>
      </c>
      <c r="G7">
        <f>G6/(1+'Study Parameters'!$C$4) ^'Production Cost Baseline'!G$2</f>
        <v>347774210.86647075</v>
      </c>
      <c r="H7">
        <f>H6/(1+'Study Parameters'!$C$4) ^'Production Cost Baseline'!H$2</f>
        <v>323510893.82927519</v>
      </c>
      <c r="I7">
        <f>I6/(1+'Study Parameters'!$C$4) ^'Production Cost Baseline'!I$2</f>
        <v>300940366.35281408</v>
      </c>
      <c r="J7">
        <f>J6/(1+'Study Parameters'!$C$4) ^'Production Cost Baseline'!J$2</f>
        <v>279944526.83982706</v>
      </c>
      <c r="K7">
        <f>K6/(1+'Study Parameters'!$C$4) ^'Production Cost Baseline'!K$2</f>
        <v>260413513.33937404</v>
      </c>
      <c r="L7">
        <f>L6/(1+'Study Parameters'!$C$4) ^'Production Cost Baseline'!L$2</f>
        <v>242245128.68778986</v>
      </c>
      <c r="M7">
        <f>M6/(1+'Study Parameters'!$C$4) ^'Production Cost Baseline'!M$2</f>
        <v>225344305.75608355</v>
      </c>
      <c r="N7">
        <f>N6/(1+'Study Parameters'!$C$4) ^'Production Cost Baseline'!N$2</f>
        <v>209622610.00565913</v>
      </c>
      <c r="O7">
        <f>O6/(1+'Study Parameters'!$C$4) ^'Production Cost Baseline'!O$2</f>
        <v>194997776.74945033</v>
      </c>
      <c r="P7">
        <f>P6/(1+'Study Parameters'!$C$4) ^'Production Cost Baseline'!P$2</f>
        <v>181393280.69716311</v>
      </c>
      <c r="Q7">
        <f>Q6/(1+'Study Parameters'!$C$4) ^'Production Cost Baseline'!Q$2</f>
        <v>168737935.53224477</v>
      </c>
      <c r="R7">
        <f>R6/(1+'Study Parameters'!$C$4) ^'Production Cost Baseline'!R$2</f>
        <v>156965521.42534396</v>
      </c>
      <c r="S7">
        <f>S6/(1+'Study Parameters'!$C$4) ^'Production Cost Baseline'!S$2</f>
        <v>146014438.5352037</v>
      </c>
      <c r="T7">
        <f>T6/(1+'Study Parameters'!$C$4) ^'Production Cost Baseline'!T$2</f>
        <v>135827384.68391043</v>
      </c>
      <c r="U7">
        <f>U6/(1+'Study Parameters'!$C$4) ^'Production Cost Baseline'!U$2</f>
        <v>126351055.51991668</v>
      </c>
      <c r="V7">
        <f>V6/(1+'Study Parameters'!$C$4) ^'Production Cost Baseline'!V$2</f>
        <v>117535865.59992249</v>
      </c>
      <c r="W7">
        <f>W6/(1+'Study Parameters'!$C$4) ^'Production Cost Baseline'!W$2</f>
        <v>109335688.93016045</v>
      </c>
      <c r="X7">
        <f>X6/(1+'Study Parameters'!$C$4) ^'Production Cost Baseline'!X$2</f>
        <v>101707617.60945159</v>
      </c>
      <c r="Y7">
        <f>Y6/(1+'Study Parameters'!$C$4) ^'Production Cost Baseline'!Y$2</f>
        <v>94611737.311117753</v>
      </c>
      <c r="Z7">
        <f>Z6/(1+'Study Parameters'!$C$4) ^'Production Cost Baseline'!Z$2</f>
        <v>88010918.428946763</v>
      </c>
      <c r="AA7">
        <f>AA6/(1+'Study Parameters'!$C$4) ^'Production Cost Baseline'!AA$2</f>
        <v>81870621.794369072</v>
      </c>
    </row>
    <row r="8" spans="1:27" x14ac:dyDescent="0.25">
      <c r="A8" t="s">
        <v>124</v>
      </c>
      <c r="B8">
        <v>0</v>
      </c>
      <c r="C8">
        <f>'Study Parameters'!$C$12*'Study Parameters'!$C$8 * 10^3</f>
        <v>69600000</v>
      </c>
      <c r="D8">
        <f>'Study Parameters'!$C$12*'Study Parameters'!$C$8 * 10^3</f>
        <v>69600000</v>
      </c>
      <c r="E8">
        <f>'Study Parameters'!$C$12*'Study Parameters'!$C$8 * 10^3</f>
        <v>69600000</v>
      </c>
      <c r="F8">
        <f>'Study Parameters'!$C$12*'Study Parameters'!$C$8 * 10^3</f>
        <v>69600000</v>
      </c>
      <c r="G8">
        <f>'Study Parameters'!$C$12*'Study Parameters'!$C$8 * 10^3</f>
        <v>69600000</v>
      </c>
      <c r="H8">
        <f>'Study Parameters'!$C$12*'Study Parameters'!$C$8 * 10^3</f>
        <v>69600000</v>
      </c>
      <c r="I8">
        <f>'Study Parameters'!$C$12*'Study Parameters'!$C$8 * 10^3</f>
        <v>69600000</v>
      </c>
      <c r="J8">
        <f>'Study Parameters'!$C$12*'Study Parameters'!$C$8 * 10^3</f>
        <v>69600000</v>
      </c>
      <c r="K8">
        <f>'Study Parameters'!$C$12*'Study Parameters'!$C$8 * 10^3</f>
        <v>69600000</v>
      </c>
      <c r="L8">
        <f>'Study Parameters'!$C$12*'Study Parameters'!$C$8 * 10^3</f>
        <v>69600000</v>
      </c>
      <c r="M8">
        <f>'Study Parameters'!$C$12*'Study Parameters'!$C$8 * 10^3</f>
        <v>69600000</v>
      </c>
      <c r="N8">
        <f>'Study Parameters'!$C$12*'Study Parameters'!$C$8 * 10^3</f>
        <v>69600000</v>
      </c>
      <c r="O8">
        <f>'Study Parameters'!$C$12*'Study Parameters'!$C$8 * 10^3</f>
        <v>69600000</v>
      </c>
      <c r="P8">
        <f>'Study Parameters'!$C$12*'Study Parameters'!$C$8 * 10^3</f>
        <v>69600000</v>
      </c>
      <c r="Q8">
        <f>'Study Parameters'!$C$12*'Study Parameters'!$C$8 * 10^3</f>
        <v>69600000</v>
      </c>
      <c r="R8">
        <f>'Study Parameters'!$C$12*'Study Parameters'!$C$8 * 10^3</f>
        <v>69600000</v>
      </c>
      <c r="S8">
        <f>'Study Parameters'!$C$12*'Study Parameters'!$C$8 * 10^3</f>
        <v>69600000</v>
      </c>
      <c r="T8">
        <f>'Study Parameters'!$C$12*'Study Parameters'!$C$8 * 10^3</f>
        <v>69600000</v>
      </c>
      <c r="U8">
        <f>'Study Parameters'!$C$12*'Study Parameters'!$C$8 * 10^3</f>
        <v>69600000</v>
      </c>
      <c r="V8">
        <f>'Study Parameters'!$C$12*'Study Parameters'!$C$8 * 10^3</f>
        <v>69600000</v>
      </c>
      <c r="W8">
        <f>'Study Parameters'!$C$12*'Study Parameters'!$C$8 * 10^3</f>
        <v>69600000</v>
      </c>
      <c r="X8">
        <f>'Study Parameters'!$C$12*'Study Parameters'!$C$8 * 10^3</f>
        <v>69600000</v>
      </c>
      <c r="Y8">
        <f>'Study Parameters'!$C$12*'Study Parameters'!$C$8 * 10^3</f>
        <v>69600000</v>
      </c>
      <c r="Z8">
        <f>'Study Parameters'!$C$12*'Study Parameters'!$C$8 * 10^3</f>
        <v>69600000</v>
      </c>
      <c r="AA8">
        <f>'Study Parameters'!$C$12*'Study Parameters'!$C$8 * 10^3</f>
        <v>69600000</v>
      </c>
    </row>
    <row r="9" spans="1:27" x14ac:dyDescent="0.25">
      <c r="A9" t="s">
        <v>125</v>
      </c>
      <c r="B9">
        <v>0</v>
      </c>
      <c r="C9">
        <f>C8/(1+'Study Parameters'!$C$4) ^'Production Cost Baseline'!C$2</f>
        <v>64744186.046511628</v>
      </c>
      <c r="D9">
        <f>D8/(1+'Study Parameters'!$C$4) ^'Production Cost Baseline'!D$2</f>
        <v>60227149.810708493</v>
      </c>
      <c r="E9">
        <f>E8/(1+'Study Parameters'!$C$4) ^'Production Cost Baseline'!E$2</f>
        <v>56025255.637868367</v>
      </c>
      <c r="F9">
        <f>F8/(1+'Study Parameters'!$C$4) ^'Production Cost Baseline'!F$2</f>
        <v>52116516.872435689</v>
      </c>
      <c r="G9">
        <f>G8/(1+'Study Parameters'!$C$4) ^'Production Cost Baseline'!G$2</f>
        <v>48480480.811568081</v>
      </c>
      <c r="H9">
        <f>H8/(1+'Study Parameters'!$C$4) ^'Production Cost Baseline'!H$2</f>
        <v>45098121.685179621</v>
      </c>
      <c r="I9">
        <f>I8/(1+'Study Parameters'!$C$4) ^'Production Cost Baseline'!I$2</f>
        <v>41951741.102492668</v>
      </c>
      <c r="J9">
        <f>J8/(1+'Study Parameters'!$C$4) ^'Production Cost Baseline'!J$2</f>
        <v>39024875.444179229</v>
      </c>
      <c r="K9">
        <f>K8/(1+'Study Parameters'!$C$4) ^'Production Cost Baseline'!K$2</f>
        <v>36302209.715515561</v>
      </c>
      <c r="L9">
        <f>L8/(1+'Study Parameters'!$C$4) ^'Production Cost Baseline'!L$2</f>
        <v>33769497.409781925</v>
      </c>
      <c r="M9">
        <f>M8/(1+'Study Parameters'!$C$4) ^'Production Cost Baseline'!M$2</f>
        <v>31413485.96258783</v>
      </c>
      <c r="N9">
        <f>N8/(1+'Study Parameters'!$C$4) ^'Production Cost Baseline'!N$2</f>
        <v>29221847.407058448</v>
      </c>
      <c r="O9">
        <f>O8/(1+'Study Parameters'!$C$4) ^'Production Cost Baseline'!O$2</f>
        <v>27183113.867031112</v>
      </c>
      <c r="P9">
        <f>P8/(1+'Study Parameters'!$C$4) ^'Production Cost Baseline'!P$2</f>
        <v>25286617.550726619</v>
      </c>
      <c r="Q9">
        <f>Q8/(1+'Study Parameters'!$C$4) ^'Production Cost Baseline'!Q$2</f>
        <v>23522434.930908483</v>
      </c>
      <c r="R9">
        <f>R8/(1+'Study Parameters'!$C$4) ^'Production Cost Baseline'!R$2</f>
        <v>21881334.819449753</v>
      </c>
      <c r="S9">
        <f>S8/(1+'Study Parameters'!$C$4) ^'Production Cost Baseline'!S$2</f>
        <v>20354730.064604424</v>
      </c>
      <c r="T9">
        <f>T8/(1+'Study Parameters'!$C$4) ^'Production Cost Baseline'!T$2</f>
        <v>18934632.618236672</v>
      </c>
      <c r="U9">
        <f>U8/(1+'Study Parameters'!$C$4) ^'Production Cost Baseline'!U$2</f>
        <v>17613611.73789458</v>
      </c>
      <c r="V9">
        <f>V8/(1+'Study Parameters'!$C$4) ^'Production Cost Baseline'!V$2</f>
        <v>16384755.105018215</v>
      </c>
      <c r="W9">
        <f>W8/(1+'Study Parameters'!$C$4) ^'Production Cost Baseline'!W$2</f>
        <v>15241632.655830896</v>
      </c>
      <c r="X9">
        <f>X8/(1+'Study Parameters'!$C$4) ^'Production Cost Baseline'!X$2</f>
        <v>14178262.935656648</v>
      </c>
      <c r="Y9">
        <f>Y8/(1+'Study Parameters'!$C$4) ^'Production Cost Baseline'!Y$2</f>
        <v>13189081.800610837</v>
      </c>
      <c r="Z9">
        <f>Z8/(1+'Study Parameters'!$C$4) ^'Production Cost Baseline'!Z$2</f>
        <v>12268913.302893803</v>
      </c>
      <c r="AA9">
        <f>AA8/(1+'Study Parameters'!$C$4) ^'Production Cost Baseline'!AA$2</f>
        <v>11412942.60734307</v>
      </c>
    </row>
    <row r="11" spans="1:27" x14ac:dyDescent="0.25">
      <c r="A11" t="s">
        <v>126</v>
      </c>
      <c r="B11">
        <f>SUM(B7:AA7) / SUM(C9:AA9)</f>
        <v>8.6387120561840351</v>
      </c>
    </row>
    <row r="12" spans="1:27" x14ac:dyDescent="0.25">
      <c r="A12" t="s">
        <v>127</v>
      </c>
      <c r="B12">
        <f>B11 * Inputs!$C$15</f>
        <v>6.9368857811157802</v>
      </c>
    </row>
    <row r="14" spans="1:27" x14ac:dyDescent="0.25">
      <c r="A14" s="1" t="s">
        <v>130</v>
      </c>
    </row>
    <row r="15" spans="1:27" x14ac:dyDescent="0.25">
      <c r="A15" t="s">
        <v>120</v>
      </c>
      <c r="B15">
        <f>'Cost Components'!$C$42 * 10^6</f>
        <v>827300000</v>
      </c>
      <c r="C15">
        <f>('Cost Components'!$C$43  + 'Cost Components'!$C$40 + 'Cost Components'!$C$41) * 10^6</f>
        <v>483251639.09935451</v>
      </c>
      <c r="D15">
        <f>('Cost Components'!$C$43  + 'Cost Components'!$C$40 + 'Cost Components'!$C$41) * 10^6</f>
        <v>483251639.09935451</v>
      </c>
      <c r="E15">
        <f>('Cost Components'!$C$43  + 'Cost Components'!$C$40 + 'Cost Components'!$C$41) * 10^6</f>
        <v>483251639.09935451</v>
      </c>
      <c r="F15">
        <f>('Cost Components'!$C$43  + 'Cost Components'!$C$40 + 'Cost Components'!$C$41) * 10^6</f>
        <v>483251639.09935451</v>
      </c>
      <c r="G15">
        <f>('Cost Components'!$C$43  + 'Cost Components'!$C$40 + 'Cost Components'!$C$41) * 10^6</f>
        <v>483251639.09935451</v>
      </c>
      <c r="H15">
        <f>('Cost Components'!$C$43  + 'Cost Components'!$C$40 + 'Cost Components'!$C$41) * 10^6</f>
        <v>483251639.09935451</v>
      </c>
      <c r="I15">
        <f>('Cost Components'!$C$43  + 'Cost Components'!$C$40 + 'Cost Components'!$C$41) * 10^6</f>
        <v>483251639.09935451</v>
      </c>
      <c r="J15">
        <f>('Cost Components'!$C$43  + 'Cost Components'!$C$40 + 'Cost Components'!$C$41) * 10^6</f>
        <v>483251639.09935451</v>
      </c>
      <c r="K15">
        <f>('Cost Components'!$C$43  + 'Cost Components'!$C$40 + 'Cost Components'!$C$41) * 10^6</f>
        <v>483251639.09935451</v>
      </c>
      <c r="L15">
        <f>('Cost Components'!$C$43  + 'Cost Components'!$C$40 + 'Cost Components'!$C$41) * 10^6</f>
        <v>483251639.09935451</v>
      </c>
      <c r="M15">
        <f>('Cost Components'!$C$43  + 'Cost Components'!$C$40 + 'Cost Components'!$C$41) * 10^6</f>
        <v>483251639.09935451</v>
      </c>
      <c r="N15">
        <f>('Cost Components'!$C$43  + 'Cost Components'!$C$40 + 'Cost Components'!$C$41) * 10^6</f>
        <v>483251639.09935451</v>
      </c>
      <c r="O15">
        <f>('Cost Components'!$C$43  + 'Cost Components'!$C$40 + 'Cost Components'!$C$41) * 10^6</f>
        <v>483251639.09935451</v>
      </c>
      <c r="P15">
        <f>('Cost Components'!$C$43  + 'Cost Components'!$C$40 + 'Cost Components'!$C$41) * 10^6</f>
        <v>483251639.09935451</v>
      </c>
      <c r="Q15">
        <f>('Cost Components'!$C$43  + 'Cost Components'!$C$40 + 'Cost Components'!$C$41) * 10^6</f>
        <v>483251639.09935451</v>
      </c>
      <c r="R15">
        <f>('Cost Components'!$C$43  + 'Cost Components'!$C$40 + 'Cost Components'!$C$41) * 10^6</f>
        <v>483251639.09935451</v>
      </c>
      <c r="S15">
        <f>('Cost Components'!$C$43  + 'Cost Components'!$C$40 + 'Cost Components'!$C$41) * 10^6</f>
        <v>483251639.09935451</v>
      </c>
      <c r="T15">
        <f>('Cost Components'!$C$43  + 'Cost Components'!$C$40 + 'Cost Components'!$C$41) * 10^6</f>
        <v>483251639.09935451</v>
      </c>
      <c r="U15">
        <f>('Cost Components'!$C$43  + 'Cost Components'!$C$40 + 'Cost Components'!$C$41) * 10^6</f>
        <v>483251639.09935451</v>
      </c>
      <c r="V15">
        <f>('Cost Components'!$C$43  + 'Cost Components'!$C$40 + 'Cost Components'!$C$41) * 10^6</f>
        <v>483251639.09935451</v>
      </c>
      <c r="W15">
        <f>('Cost Components'!$C$43  + 'Cost Components'!$C$40 + 'Cost Components'!$C$41) * 10^6</f>
        <v>483251639.09935451</v>
      </c>
      <c r="X15">
        <f>('Cost Components'!$C$43  + 'Cost Components'!$C$40 + 'Cost Components'!$C$41) * 10^6</f>
        <v>483251639.09935451</v>
      </c>
      <c r="Y15">
        <f>('Cost Components'!$C$43  + 'Cost Components'!$C$40 + 'Cost Components'!$C$41) * 10^6</f>
        <v>483251639.09935451</v>
      </c>
      <c r="Z15">
        <f>('Cost Components'!$C$43  + 'Cost Components'!$C$40 + 'Cost Components'!$C$41) * 10^6</f>
        <v>483251639.09935451</v>
      </c>
      <c r="AA15">
        <f>('Cost Components'!$C$43  + 'Cost Components'!$C$40 + 'Cost Components'!$C$41) * 10^6</f>
        <v>483251639.09935451</v>
      </c>
    </row>
    <row r="16" spans="1:27" x14ac:dyDescent="0.25">
      <c r="A16" t="s">
        <v>121</v>
      </c>
      <c r="B16">
        <v>0</v>
      </c>
      <c r="C16">
        <f>'Cost Components'!$C$36*10^6</f>
        <v>149899999.99999997</v>
      </c>
      <c r="D16">
        <f>'Cost Components'!$C$36*10^6</f>
        <v>149899999.99999997</v>
      </c>
      <c r="E16">
        <f>'Cost Components'!$C$36*10^6</f>
        <v>149899999.99999997</v>
      </c>
      <c r="F16">
        <f>'Cost Components'!$C$36*10^6</f>
        <v>149899999.99999997</v>
      </c>
      <c r="G16">
        <f>'Cost Components'!$C$36*10^6</f>
        <v>149899999.99999997</v>
      </c>
      <c r="H16">
        <f>'Cost Components'!$C$36*10^6</f>
        <v>149899999.99999997</v>
      </c>
      <c r="I16">
        <f>'Cost Components'!$C$36*10^6</f>
        <v>149899999.99999997</v>
      </c>
      <c r="J16">
        <f>'Cost Components'!$C$36*10^6</f>
        <v>149899999.99999997</v>
      </c>
      <c r="K16">
        <f>'Cost Components'!$C$36*10^6</f>
        <v>149899999.99999997</v>
      </c>
      <c r="L16">
        <f>'Cost Components'!$C$36*10^6</f>
        <v>149899999.99999997</v>
      </c>
      <c r="M16">
        <f>'Cost Components'!$C$36*10^6</f>
        <v>149899999.99999997</v>
      </c>
      <c r="N16">
        <f>'Cost Components'!$C$36*10^6</f>
        <v>149899999.99999997</v>
      </c>
      <c r="O16">
        <f>'Cost Components'!$C$36*10^6</f>
        <v>149899999.99999997</v>
      </c>
      <c r="P16">
        <f>'Cost Components'!$C$36*10^6</f>
        <v>149899999.99999997</v>
      </c>
      <c r="Q16">
        <f>'Cost Components'!$C$36*10^6</f>
        <v>149899999.99999997</v>
      </c>
      <c r="R16">
        <f>'Cost Components'!$C$36*10^6</f>
        <v>149899999.99999997</v>
      </c>
      <c r="S16">
        <f>'Cost Components'!$C$36*10^6</f>
        <v>149899999.99999997</v>
      </c>
      <c r="T16">
        <f>'Cost Components'!$C$36*10^6</f>
        <v>149899999.99999997</v>
      </c>
      <c r="U16">
        <f>'Cost Components'!$C$36*10^6</f>
        <v>149899999.99999997</v>
      </c>
      <c r="V16">
        <f>'Cost Components'!$C$36*10^6</f>
        <v>149899999.99999997</v>
      </c>
      <c r="W16">
        <f>'Cost Components'!$C$36*10^6</f>
        <v>149899999.99999997</v>
      </c>
      <c r="X16">
        <f>'Cost Components'!$C$36*10^6</f>
        <v>149899999.99999997</v>
      </c>
      <c r="Y16">
        <f>'Cost Components'!$C$36*10^6</f>
        <v>149899999.99999997</v>
      </c>
      <c r="Z16">
        <f>'Cost Components'!$C$36*10^6</f>
        <v>149899999.99999997</v>
      </c>
      <c r="AA16">
        <f>'Cost Components'!$C$36*10^6</f>
        <v>149899999.99999997</v>
      </c>
    </row>
    <row r="17" spans="1:27" x14ac:dyDescent="0.25">
      <c r="A17" t="s">
        <v>122</v>
      </c>
      <c r="B17">
        <f t="shared" ref="B17:AA17" si="1">B15-B16</f>
        <v>827300000</v>
      </c>
      <c r="C17">
        <f t="shared" si="1"/>
        <v>333351639.09935451</v>
      </c>
      <c r="D17">
        <f t="shared" si="1"/>
        <v>333351639.09935451</v>
      </c>
      <c r="E17">
        <f t="shared" si="1"/>
        <v>333351639.09935451</v>
      </c>
      <c r="F17">
        <f t="shared" si="1"/>
        <v>333351639.09935451</v>
      </c>
      <c r="G17">
        <f t="shared" si="1"/>
        <v>333351639.09935451</v>
      </c>
      <c r="H17">
        <f t="shared" si="1"/>
        <v>333351639.09935451</v>
      </c>
      <c r="I17">
        <f t="shared" si="1"/>
        <v>333351639.09935451</v>
      </c>
      <c r="J17">
        <f t="shared" si="1"/>
        <v>333351639.09935451</v>
      </c>
      <c r="K17">
        <f t="shared" si="1"/>
        <v>333351639.09935451</v>
      </c>
      <c r="L17">
        <f t="shared" si="1"/>
        <v>333351639.09935451</v>
      </c>
      <c r="M17">
        <f t="shared" si="1"/>
        <v>333351639.09935451</v>
      </c>
      <c r="N17">
        <f t="shared" si="1"/>
        <v>333351639.09935451</v>
      </c>
      <c r="O17">
        <f t="shared" si="1"/>
        <v>333351639.09935451</v>
      </c>
      <c r="P17">
        <f t="shared" si="1"/>
        <v>333351639.09935451</v>
      </c>
      <c r="Q17">
        <f t="shared" si="1"/>
        <v>333351639.09935451</v>
      </c>
      <c r="R17">
        <f t="shared" si="1"/>
        <v>333351639.09935451</v>
      </c>
      <c r="S17">
        <f t="shared" si="1"/>
        <v>333351639.09935451</v>
      </c>
      <c r="T17">
        <f t="shared" si="1"/>
        <v>333351639.09935451</v>
      </c>
      <c r="U17">
        <f t="shared" si="1"/>
        <v>333351639.09935451</v>
      </c>
      <c r="V17">
        <f t="shared" si="1"/>
        <v>333351639.09935451</v>
      </c>
      <c r="W17">
        <f t="shared" si="1"/>
        <v>333351639.09935451</v>
      </c>
      <c r="X17">
        <f t="shared" si="1"/>
        <v>333351639.09935451</v>
      </c>
      <c r="Y17">
        <f t="shared" si="1"/>
        <v>333351639.09935451</v>
      </c>
      <c r="Z17">
        <f t="shared" si="1"/>
        <v>333351639.09935451</v>
      </c>
      <c r="AA17">
        <f t="shared" si="1"/>
        <v>333351639.09935451</v>
      </c>
    </row>
    <row r="18" spans="1:27" x14ac:dyDescent="0.25">
      <c r="A18" t="s">
        <v>123</v>
      </c>
      <c r="B18">
        <f>B17/(1+'Study Parameters'!$C$4) ^'Production Cost Baseline'!B$2</f>
        <v>827300000</v>
      </c>
      <c r="C18">
        <f>C17/(1+'Study Parameters'!$C$4) ^'Production Cost Baseline'!C$2</f>
        <v>310094547.99939954</v>
      </c>
      <c r="D18">
        <f>D17/(1+'Study Parameters'!$C$4) ^'Production Cost Baseline'!D$2</f>
        <v>288460044.65060425</v>
      </c>
      <c r="E18">
        <f>E17/(1+'Study Parameters'!$C$4) ^'Production Cost Baseline'!E$2</f>
        <v>268334925.25637606</v>
      </c>
      <c r="F18">
        <f>F17/(1+'Study Parameters'!$C$4) ^'Production Cost Baseline'!F$2</f>
        <v>249613883.95941958</v>
      </c>
      <c r="G18">
        <f>G17/(1+'Study Parameters'!$C$4) ^'Production Cost Baseline'!G$2</f>
        <v>232198961.82271588</v>
      </c>
      <c r="H18">
        <f>H17/(1+'Study Parameters'!$C$4) ^'Production Cost Baseline'!H$2</f>
        <v>215999034.25368923</v>
      </c>
      <c r="I18">
        <f>I17/(1+'Study Parameters'!$C$4) ^'Production Cost Baseline'!I$2</f>
        <v>200929334.18947834</v>
      </c>
      <c r="J18">
        <f>J17/(1+'Study Parameters'!$C$4) ^'Production Cost Baseline'!J$2</f>
        <v>186911008.54835194</v>
      </c>
      <c r="K18">
        <f>K17/(1+'Study Parameters'!$C$4) ^'Production Cost Baseline'!K$2</f>
        <v>173870705.62637392</v>
      </c>
      <c r="L18">
        <f>L17/(1+'Study Parameters'!$C$4) ^'Production Cost Baseline'!L$2</f>
        <v>161740191.28034785</v>
      </c>
      <c r="M18">
        <f>M17/(1+'Study Parameters'!$C$4) ^'Production Cost Baseline'!M$2</f>
        <v>150455991.88869566</v>
      </c>
      <c r="N18">
        <f>N17/(1+'Study Parameters'!$C$4) ^'Production Cost Baseline'!N$2</f>
        <v>139959062.22204247</v>
      </c>
      <c r="O18">
        <f>O17/(1+'Study Parameters'!$C$4) ^'Production Cost Baseline'!O$2</f>
        <v>130194476.4856209</v>
      </c>
      <c r="P18">
        <f>P17/(1+'Study Parameters'!$C$4) ^'Production Cost Baseline'!P$2</f>
        <v>121111140.91685666</v>
      </c>
      <c r="Q18">
        <f>Q17/(1+'Study Parameters'!$C$4) ^'Production Cost Baseline'!Q$2</f>
        <v>112661526.43428527</v>
      </c>
      <c r="R18">
        <f>R17/(1+'Study Parameters'!$C$4) ^'Production Cost Baseline'!R$2</f>
        <v>104801419.93887003</v>
      </c>
      <c r="S18">
        <f>S17/(1+'Study Parameters'!$C$4) ^'Production Cost Baseline'!S$2</f>
        <v>97489692.966390729</v>
      </c>
      <c r="T18">
        <f>T17/(1+'Study Parameters'!$C$4) ^'Production Cost Baseline'!T$2</f>
        <v>90688086.480363473</v>
      </c>
      <c r="U18">
        <f>U17/(1+'Study Parameters'!$C$4) ^'Production Cost Baseline'!U$2</f>
        <v>84361010.67940788</v>
      </c>
      <c r="V18">
        <f>V17/(1+'Study Parameters'!$C$4) ^'Production Cost Baseline'!V$2</f>
        <v>78475358.771542221</v>
      </c>
      <c r="W18">
        <f>W17/(1+'Study Parameters'!$C$4) ^'Production Cost Baseline'!W$2</f>
        <v>73000333.740969494</v>
      </c>
      <c r="X18">
        <f>X17/(1+'Study Parameters'!$C$4) ^'Production Cost Baseline'!X$2</f>
        <v>67907287.200901866</v>
      </c>
      <c r="Y18">
        <f>Y17/(1+'Study Parameters'!$C$4) ^'Production Cost Baseline'!Y$2</f>
        <v>63169569.489211038</v>
      </c>
      <c r="Z18">
        <f>Z17/(1+'Study Parameters'!$C$4) ^'Production Cost Baseline'!Z$2</f>
        <v>58762390.222521901</v>
      </c>
      <c r="AA18">
        <f>AA17/(1+'Study Parameters'!$C$4) ^'Production Cost Baseline'!AA$2</f>
        <v>54662688.579090133</v>
      </c>
    </row>
    <row r="19" spans="1:27" x14ac:dyDescent="0.25">
      <c r="A19" t="s">
        <v>124</v>
      </c>
      <c r="B19">
        <v>0</v>
      </c>
      <c r="C19">
        <f>'Study Parameters'!$C$13*'Study Parameters'!$C$8 * 10^3</f>
        <v>28000000</v>
      </c>
      <c r="D19">
        <f>'Study Parameters'!$C$13*'Study Parameters'!$C$8 * 10^3</f>
        <v>28000000</v>
      </c>
      <c r="E19">
        <f>'Study Parameters'!$C$13*'Study Parameters'!$C$8 * 10^3</f>
        <v>28000000</v>
      </c>
      <c r="F19">
        <f>'Study Parameters'!$C$13*'Study Parameters'!$C$8 * 10^3</f>
        <v>28000000</v>
      </c>
      <c r="G19">
        <f>'Study Parameters'!$C$13*'Study Parameters'!$C$8 * 10^3</f>
        <v>28000000</v>
      </c>
      <c r="H19">
        <f>'Study Parameters'!$C$13*'Study Parameters'!$C$8 * 10^3</f>
        <v>28000000</v>
      </c>
      <c r="I19">
        <f>'Study Parameters'!$C$13*'Study Parameters'!$C$8 * 10^3</f>
        <v>28000000</v>
      </c>
      <c r="J19">
        <f>'Study Parameters'!$C$13*'Study Parameters'!$C$8 * 10^3</f>
        <v>28000000</v>
      </c>
      <c r="K19">
        <f>'Study Parameters'!$C$13*'Study Parameters'!$C$8 * 10^3</f>
        <v>28000000</v>
      </c>
      <c r="L19">
        <f>'Study Parameters'!$C$13*'Study Parameters'!$C$8 * 10^3</f>
        <v>28000000</v>
      </c>
      <c r="M19">
        <f>'Study Parameters'!$C$13*'Study Parameters'!$C$8 * 10^3</f>
        <v>28000000</v>
      </c>
      <c r="N19">
        <f>'Study Parameters'!$C$13*'Study Parameters'!$C$8 * 10^3</f>
        <v>28000000</v>
      </c>
      <c r="O19">
        <f>'Study Parameters'!$C$13*'Study Parameters'!$C$8 * 10^3</f>
        <v>28000000</v>
      </c>
      <c r="P19">
        <f>'Study Parameters'!$C$13*'Study Parameters'!$C$8 * 10^3</f>
        <v>28000000</v>
      </c>
      <c r="Q19">
        <f>'Study Parameters'!$C$13*'Study Parameters'!$C$8 * 10^3</f>
        <v>28000000</v>
      </c>
      <c r="R19">
        <f>'Study Parameters'!$C$13*'Study Parameters'!$C$8 * 10^3</f>
        <v>28000000</v>
      </c>
      <c r="S19">
        <f>'Study Parameters'!$C$13*'Study Parameters'!$C$8 * 10^3</f>
        <v>28000000</v>
      </c>
      <c r="T19">
        <f>'Study Parameters'!$C$13*'Study Parameters'!$C$8 * 10^3</f>
        <v>28000000</v>
      </c>
      <c r="U19">
        <f>'Study Parameters'!$C$13*'Study Parameters'!$C$8 * 10^3</f>
        <v>28000000</v>
      </c>
      <c r="V19">
        <f>'Study Parameters'!$C$13*'Study Parameters'!$C$8 * 10^3</f>
        <v>28000000</v>
      </c>
      <c r="W19">
        <f>'Study Parameters'!$C$13*'Study Parameters'!$C$8 * 10^3</f>
        <v>28000000</v>
      </c>
      <c r="X19">
        <f>'Study Parameters'!$C$13*'Study Parameters'!$C$8 * 10^3</f>
        <v>28000000</v>
      </c>
      <c r="Y19">
        <f>'Study Parameters'!$C$13*'Study Parameters'!$C$8 * 10^3</f>
        <v>28000000</v>
      </c>
      <c r="Z19">
        <f>'Study Parameters'!$C$13*'Study Parameters'!$C$8 * 10^3</f>
        <v>28000000</v>
      </c>
      <c r="AA19">
        <f>'Study Parameters'!$C$13*'Study Parameters'!$C$8 * 10^3</f>
        <v>28000000</v>
      </c>
    </row>
    <row r="20" spans="1:27" x14ac:dyDescent="0.25">
      <c r="A20" t="s">
        <v>125</v>
      </c>
      <c r="B20">
        <v>0</v>
      </c>
      <c r="C20">
        <f>C19/(1+'Study Parameters'!$C$4) ^'Production Cost Baseline'!C$2</f>
        <v>26046511.627906978</v>
      </c>
      <c r="D20">
        <f>D19/(1+'Study Parameters'!$C$4) ^'Production Cost Baseline'!D$2</f>
        <v>24229313.142239049</v>
      </c>
      <c r="E20">
        <f>E19/(1+'Study Parameters'!$C$4) ^'Production Cost Baseline'!E$2</f>
        <v>22538895.946268886</v>
      </c>
      <c r="F20">
        <f>F19/(1+'Study Parameters'!$C$4) ^'Production Cost Baseline'!F$2</f>
        <v>20966414.833738498</v>
      </c>
      <c r="G20">
        <f>G19/(1+'Study Parameters'!$C$4) ^'Production Cost Baseline'!G$2</f>
        <v>19503641.705803253</v>
      </c>
      <c r="H20">
        <f>H19/(1+'Study Parameters'!$C$4) ^'Production Cost Baseline'!H$2</f>
        <v>18142922.517026283</v>
      </c>
      <c r="I20">
        <f>I19/(1+'Study Parameters'!$C$4) ^'Production Cost Baseline'!I$2</f>
        <v>16877137.225140728</v>
      </c>
      <c r="J20">
        <f>J19/(1+'Study Parameters'!$C$4) ^'Production Cost Baseline'!J$2</f>
        <v>15699662.535014631</v>
      </c>
      <c r="K20">
        <f>K19/(1+'Study Parameters'!$C$4) ^'Production Cost Baseline'!K$2</f>
        <v>14604337.241874076</v>
      </c>
      <c r="L20">
        <f>L19/(1+'Study Parameters'!$C$4) ^'Production Cost Baseline'!L$2</f>
        <v>13585429.992441004</v>
      </c>
      <c r="M20">
        <f>M19/(1+'Study Parameters'!$C$4) ^'Production Cost Baseline'!M$2</f>
        <v>12637609.295293955</v>
      </c>
      <c r="N20">
        <f>N19/(1+'Study Parameters'!$C$4) ^'Production Cost Baseline'!N$2</f>
        <v>11755915.623529261</v>
      </c>
      <c r="O20">
        <f>O19/(1+'Study Parameters'!$C$4) ^'Production Cost Baseline'!O$2</f>
        <v>10935735.46374815</v>
      </c>
      <c r="P20">
        <f>P19/(1+'Study Parameters'!$C$4) ^'Production Cost Baseline'!P$2</f>
        <v>10172777.175579675</v>
      </c>
      <c r="Q20">
        <f>Q19/(1+'Study Parameters'!$C$4) ^'Production Cost Baseline'!Q$2</f>
        <v>9463048.5354229528</v>
      </c>
      <c r="R20">
        <f>R19/(1+'Study Parameters'!$C$4) ^'Production Cost Baseline'!R$2</f>
        <v>8802835.8469050732</v>
      </c>
      <c r="S20">
        <f>S19/(1+'Study Parameters'!$C$4) ^'Production Cost Baseline'!S$2</f>
        <v>8188684.5087489057</v>
      </c>
      <c r="T20">
        <f>T19/(1+'Study Parameters'!$C$4) ^'Production Cost Baseline'!T$2</f>
        <v>7617380.9383710753</v>
      </c>
      <c r="U20">
        <f>U19/(1+'Study Parameters'!$C$4) ^'Production Cost Baseline'!U$2</f>
        <v>7085935.7566242563</v>
      </c>
      <c r="V20">
        <f>V19/(1+'Study Parameters'!$C$4) ^'Production Cost Baseline'!V$2</f>
        <v>6591568.1456969827</v>
      </c>
      <c r="W20">
        <f>W19/(1+'Study Parameters'!$C$4) ^'Production Cost Baseline'!W$2</f>
        <v>6131691.2983227745</v>
      </c>
      <c r="X20">
        <f>X19/(1+'Study Parameters'!$C$4) ^'Production Cost Baseline'!X$2</f>
        <v>5703898.8821607204</v>
      </c>
      <c r="Y20">
        <f>Y19/(1+'Study Parameters'!$C$4) ^'Production Cost Baseline'!Y$2</f>
        <v>5305952.4485216001</v>
      </c>
      <c r="Z20">
        <f>Z19/(1+'Study Parameters'!$C$4) ^'Production Cost Baseline'!Z$2</f>
        <v>4935769.7195549775</v>
      </c>
      <c r="AA20">
        <f>AA19/(1+'Study Parameters'!$C$4) ^'Production Cost Baseline'!AA$2</f>
        <v>4591413.6926092813</v>
      </c>
    </row>
    <row r="22" spans="1:27" x14ac:dyDescent="0.25">
      <c r="A22" t="s">
        <v>126</v>
      </c>
      <c r="B22">
        <f>SUM(B18:AA18) / SUM(C20:AA20)</f>
        <v>14.556045634104979</v>
      </c>
    </row>
    <row r="23" spans="1:27" x14ac:dyDescent="0.25">
      <c r="A23" t="s">
        <v>127</v>
      </c>
      <c r="B23">
        <f>B22 * Inputs!$C$15</f>
        <v>11.688504644186299</v>
      </c>
    </row>
    <row r="25" spans="1:27" x14ac:dyDescent="0.25">
      <c r="A25" s="1" t="s">
        <v>132</v>
      </c>
    </row>
    <row r="26" spans="1:27" x14ac:dyDescent="0.25">
      <c r="A26" t="s">
        <v>120</v>
      </c>
      <c r="B26">
        <f>'Cost Components'!$D$42 * 10^6</f>
        <v>887030000</v>
      </c>
      <c r="C26">
        <f>('Cost Components'!$D$43  + 'Cost Components'!$D$40 + 'Cost Components'!$D$41) * 10^6</f>
        <v>544180078.62649345</v>
      </c>
      <c r="D26">
        <f>('Cost Components'!$D$43  + 'Cost Components'!$D$40 + 'Cost Components'!$D$41) * 10^6</f>
        <v>544180078.62649345</v>
      </c>
      <c r="E26">
        <f>('Cost Components'!$D$43  + 'Cost Components'!$D$40 + 'Cost Components'!$D$41) * 10^6</f>
        <v>544180078.62649345</v>
      </c>
      <c r="F26">
        <f>('Cost Components'!$D$43  + 'Cost Components'!$D$40 + 'Cost Components'!$D$41) * 10^6</f>
        <v>544180078.62649345</v>
      </c>
      <c r="G26">
        <f>('Cost Components'!$D$43  + 'Cost Components'!$D$40 + 'Cost Components'!$D$41) * 10^6</f>
        <v>544180078.62649345</v>
      </c>
      <c r="H26">
        <f>('Cost Components'!$D$43  + 'Cost Components'!$D$40 + 'Cost Components'!$D$41) * 10^6</f>
        <v>544180078.62649345</v>
      </c>
      <c r="I26">
        <f>('Cost Components'!$D$43  + 'Cost Components'!$D$40 + 'Cost Components'!$D$41) * 10^6</f>
        <v>544180078.62649345</v>
      </c>
      <c r="J26">
        <f>('Cost Components'!$D$43  + 'Cost Components'!$D$40 + 'Cost Components'!$D$41) * 10^6</f>
        <v>544180078.62649345</v>
      </c>
      <c r="K26">
        <f>('Cost Components'!$D$43  + 'Cost Components'!$D$40 + 'Cost Components'!$D$41) * 10^6</f>
        <v>544180078.62649345</v>
      </c>
      <c r="L26">
        <f>('Cost Components'!$D$43  + 'Cost Components'!$D$40 + 'Cost Components'!$D$41) * 10^6</f>
        <v>544180078.62649345</v>
      </c>
      <c r="M26">
        <f>('Cost Components'!$D$43  + 'Cost Components'!$D$40 + 'Cost Components'!$D$41) * 10^6</f>
        <v>544180078.62649345</v>
      </c>
      <c r="N26">
        <f>('Cost Components'!$D$43  + 'Cost Components'!$D$40 + 'Cost Components'!$D$41) * 10^6</f>
        <v>544180078.62649345</v>
      </c>
      <c r="O26">
        <f>('Cost Components'!$D$43  + 'Cost Components'!$D$40 + 'Cost Components'!$D$41) * 10^6</f>
        <v>544180078.62649345</v>
      </c>
      <c r="P26">
        <f>('Cost Components'!$D$43  + 'Cost Components'!$D$40 + 'Cost Components'!$D$41) * 10^6</f>
        <v>544180078.62649345</v>
      </c>
      <c r="Q26">
        <f>('Cost Components'!$D$43  + 'Cost Components'!$D$40 + 'Cost Components'!$D$41) * 10^6</f>
        <v>544180078.62649345</v>
      </c>
      <c r="R26">
        <f>('Cost Components'!$D$43  + 'Cost Components'!$D$40 + 'Cost Components'!$D$41) * 10^6</f>
        <v>544180078.62649345</v>
      </c>
      <c r="S26">
        <f>('Cost Components'!$D$43  + 'Cost Components'!$D$40 + 'Cost Components'!$D$41) * 10^6</f>
        <v>544180078.62649345</v>
      </c>
      <c r="T26">
        <f>('Cost Components'!$D$43  + 'Cost Components'!$D$40 + 'Cost Components'!$D$41) * 10^6</f>
        <v>544180078.62649345</v>
      </c>
      <c r="U26">
        <f>('Cost Components'!$D$43  + 'Cost Components'!$D$40 + 'Cost Components'!$D$41) * 10^6</f>
        <v>544180078.62649345</v>
      </c>
      <c r="V26">
        <f>('Cost Components'!$D$43  + 'Cost Components'!$D$40 + 'Cost Components'!$D$41) * 10^6</f>
        <v>544180078.62649345</v>
      </c>
      <c r="W26">
        <f>('Cost Components'!$D$43  + 'Cost Components'!$D$40 + 'Cost Components'!$D$41) * 10^6</f>
        <v>544180078.62649345</v>
      </c>
      <c r="X26">
        <f>('Cost Components'!$D$43  + 'Cost Components'!$D$40 + 'Cost Components'!$D$41) * 10^6</f>
        <v>544180078.62649345</v>
      </c>
      <c r="Y26">
        <f>('Cost Components'!$D$43  + 'Cost Components'!$D$40 + 'Cost Components'!$D$41) * 10^6</f>
        <v>544180078.62649345</v>
      </c>
      <c r="Z26">
        <f>('Cost Components'!$D$43  + 'Cost Components'!$D$40 + 'Cost Components'!$D$41) * 10^6</f>
        <v>544180078.62649345</v>
      </c>
      <c r="AA26">
        <f>('Cost Components'!$D$43  + 'Cost Components'!$D$40 + 'Cost Components'!$D$41) * 10^6</f>
        <v>544180078.62649345</v>
      </c>
    </row>
    <row r="27" spans="1:27" x14ac:dyDescent="0.25">
      <c r="A27" t="s">
        <v>121</v>
      </c>
      <c r="B27">
        <v>0</v>
      </c>
      <c r="C27">
        <f>'Cost Components'!$D$36*10^6</f>
        <v>81000000</v>
      </c>
      <c r="D27">
        <f>'Cost Components'!$D$36*10^6</f>
        <v>81000000</v>
      </c>
      <c r="E27">
        <f>'Cost Components'!$D$36*10^6</f>
        <v>81000000</v>
      </c>
      <c r="F27">
        <f>'Cost Components'!$D$36*10^6</f>
        <v>81000000</v>
      </c>
      <c r="G27">
        <f>'Cost Components'!$D$36*10^6</f>
        <v>81000000</v>
      </c>
      <c r="H27">
        <f>'Cost Components'!$D$36*10^6</f>
        <v>81000000</v>
      </c>
      <c r="I27">
        <f>'Cost Components'!$D$36*10^6</f>
        <v>81000000</v>
      </c>
      <c r="J27">
        <f>'Cost Components'!$D$36*10^6</f>
        <v>81000000</v>
      </c>
      <c r="K27">
        <f>'Cost Components'!$D$36*10^6</f>
        <v>81000000</v>
      </c>
      <c r="L27">
        <f>'Cost Components'!$D$36*10^6</f>
        <v>81000000</v>
      </c>
      <c r="M27">
        <f>'Cost Components'!$D$36*10^6</f>
        <v>81000000</v>
      </c>
      <c r="N27">
        <f>'Cost Components'!$D$36*10^6</f>
        <v>81000000</v>
      </c>
      <c r="O27">
        <f>'Cost Components'!$D$36*10^6</f>
        <v>81000000</v>
      </c>
      <c r="P27">
        <f>'Cost Components'!$D$36*10^6</f>
        <v>81000000</v>
      </c>
      <c r="Q27">
        <f>'Cost Components'!$D$36*10^6</f>
        <v>81000000</v>
      </c>
      <c r="R27">
        <f>'Cost Components'!$D$36*10^6</f>
        <v>81000000</v>
      </c>
      <c r="S27">
        <f>'Cost Components'!$D$36*10^6</f>
        <v>81000000</v>
      </c>
      <c r="T27">
        <f>'Cost Components'!$D$36*10^6</f>
        <v>81000000</v>
      </c>
      <c r="U27">
        <f>'Cost Components'!$D$36*10^6</f>
        <v>81000000</v>
      </c>
      <c r="V27">
        <f>'Cost Components'!$D$36*10^6</f>
        <v>81000000</v>
      </c>
      <c r="W27">
        <f>'Cost Components'!$D$36*10^6</f>
        <v>81000000</v>
      </c>
      <c r="X27">
        <f>'Cost Components'!$D$36*10^6</f>
        <v>81000000</v>
      </c>
      <c r="Y27">
        <f>'Cost Components'!$D$36*10^6</f>
        <v>81000000</v>
      </c>
      <c r="Z27">
        <f>'Cost Components'!$D$36*10^6</f>
        <v>81000000</v>
      </c>
      <c r="AA27">
        <f>'Cost Components'!$D$36*10^6</f>
        <v>81000000</v>
      </c>
    </row>
    <row r="28" spans="1:27" x14ac:dyDescent="0.25">
      <c r="A28" t="s">
        <v>122</v>
      </c>
      <c r="B28">
        <f t="shared" ref="B28:AA28" si="2">B26-B27</f>
        <v>887030000</v>
      </c>
      <c r="C28">
        <f t="shared" si="2"/>
        <v>463180078.62649345</v>
      </c>
      <c r="D28">
        <f t="shared" si="2"/>
        <v>463180078.62649345</v>
      </c>
      <c r="E28">
        <f t="shared" si="2"/>
        <v>463180078.62649345</v>
      </c>
      <c r="F28">
        <f t="shared" si="2"/>
        <v>463180078.62649345</v>
      </c>
      <c r="G28">
        <f t="shared" si="2"/>
        <v>463180078.62649345</v>
      </c>
      <c r="H28">
        <f t="shared" si="2"/>
        <v>463180078.62649345</v>
      </c>
      <c r="I28">
        <f t="shared" si="2"/>
        <v>463180078.62649345</v>
      </c>
      <c r="J28">
        <f t="shared" si="2"/>
        <v>463180078.62649345</v>
      </c>
      <c r="K28">
        <f t="shared" si="2"/>
        <v>463180078.62649345</v>
      </c>
      <c r="L28">
        <f t="shared" si="2"/>
        <v>463180078.62649345</v>
      </c>
      <c r="M28">
        <f t="shared" si="2"/>
        <v>463180078.62649345</v>
      </c>
      <c r="N28">
        <f t="shared" si="2"/>
        <v>463180078.62649345</v>
      </c>
      <c r="O28">
        <f t="shared" si="2"/>
        <v>463180078.62649345</v>
      </c>
      <c r="P28">
        <f t="shared" si="2"/>
        <v>463180078.62649345</v>
      </c>
      <c r="Q28">
        <f t="shared" si="2"/>
        <v>463180078.62649345</v>
      </c>
      <c r="R28">
        <f t="shared" si="2"/>
        <v>463180078.62649345</v>
      </c>
      <c r="S28">
        <f t="shared" si="2"/>
        <v>463180078.62649345</v>
      </c>
      <c r="T28">
        <f t="shared" si="2"/>
        <v>463180078.62649345</v>
      </c>
      <c r="U28">
        <f t="shared" si="2"/>
        <v>463180078.62649345</v>
      </c>
      <c r="V28">
        <f t="shared" si="2"/>
        <v>463180078.62649345</v>
      </c>
      <c r="W28">
        <f t="shared" si="2"/>
        <v>463180078.62649345</v>
      </c>
      <c r="X28">
        <f t="shared" si="2"/>
        <v>463180078.62649345</v>
      </c>
      <c r="Y28">
        <f t="shared" si="2"/>
        <v>463180078.62649345</v>
      </c>
      <c r="Z28">
        <f t="shared" si="2"/>
        <v>463180078.62649345</v>
      </c>
      <c r="AA28">
        <f t="shared" si="2"/>
        <v>463180078.62649345</v>
      </c>
    </row>
    <row r="29" spans="1:27" x14ac:dyDescent="0.25">
      <c r="A29" t="s">
        <v>123</v>
      </c>
      <c r="B29">
        <f>B28/(1+'Study Parameters'!$C$4) ^'Production Cost Baseline'!B$2</f>
        <v>887030000</v>
      </c>
      <c r="C29">
        <f>C28/(1+'Study Parameters'!$C$4) ^'Production Cost Baseline'!C$2</f>
        <v>430865189.41999394</v>
      </c>
      <c r="D29">
        <f>D28/(1+'Study Parameters'!$C$4) ^'Production Cost Baseline'!D$2</f>
        <v>400804827.36743623</v>
      </c>
      <c r="E29">
        <f>E28/(1+'Study Parameters'!$C$4) ^'Production Cost Baseline'!E$2</f>
        <v>372841699.8766849</v>
      </c>
      <c r="F29">
        <f>F28/(1+'Study Parameters'!$C$4) ^'Production Cost Baseline'!F$2</f>
        <v>346829488.25738126</v>
      </c>
      <c r="G29">
        <f>G28/(1+'Study Parameters'!$C$4) ^'Production Cost Baseline'!G$2</f>
        <v>322632082.09988958</v>
      </c>
      <c r="H29">
        <f>H28/(1+'Study Parameters'!$C$4) ^'Production Cost Baseline'!H$2</f>
        <v>300122867.06966472</v>
      </c>
      <c r="I29">
        <f>I28/(1+'Study Parameters'!$C$4) ^'Production Cost Baseline'!I$2</f>
        <v>279184062.39038581</v>
      </c>
      <c r="J29">
        <f>J28/(1+'Study Parameters'!$C$4) ^'Production Cost Baseline'!J$2</f>
        <v>259706104.54919609</v>
      </c>
      <c r="K29">
        <f>K28/(1+'Study Parameters'!$C$4) ^'Production Cost Baseline'!K$2</f>
        <v>241587073.99925217</v>
      </c>
      <c r="L29">
        <f>L28/(1+'Study Parameters'!$C$4) ^'Production Cost Baseline'!L$2</f>
        <v>224732161.85976952</v>
      </c>
      <c r="M29">
        <f>M28/(1+'Study Parameters'!$C$4) ^'Production Cost Baseline'!M$2</f>
        <v>209053173.82304138</v>
      </c>
      <c r="N29">
        <f>N28/(1+'Study Parameters'!$C$4) ^'Production Cost Baseline'!N$2</f>
        <v>194468068.67259663</v>
      </c>
      <c r="O29">
        <f>O28/(1+'Study Parameters'!$C$4) ^'Production Cost Baseline'!O$2</f>
        <v>180900528.99776432</v>
      </c>
      <c r="P29">
        <f>P28/(1+'Study Parameters'!$C$4) ^'Production Cost Baseline'!P$2</f>
        <v>168279561.85838541</v>
      </c>
      <c r="Q29">
        <f>Q28/(1+'Study Parameters'!$C$4) ^'Production Cost Baseline'!Q$2</f>
        <v>156539127.31012598</v>
      </c>
      <c r="R29">
        <f>R28/(1+'Study Parameters'!$C$4) ^'Production Cost Baseline'!R$2</f>
        <v>145617792.84662881</v>
      </c>
      <c r="S29">
        <f>S28/(1+'Study Parameters'!$C$4) ^'Production Cost Baseline'!S$2</f>
        <v>135458411.9503524</v>
      </c>
      <c r="T29">
        <f>T28/(1+'Study Parameters'!$C$4) ^'Production Cost Baseline'!T$2</f>
        <v>126007825.07009526</v>
      </c>
      <c r="U29">
        <f>U28/(1+'Study Parameters'!$C$4) ^'Production Cost Baseline'!U$2</f>
        <v>117216581.46055372</v>
      </c>
      <c r="V29">
        <f>V28/(1+'Study Parameters'!$C$4) ^'Production Cost Baseline'!V$2</f>
        <v>109038680.42842208</v>
      </c>
      <c r="W29">
        <f>W28/(1+'Study Parameters'!$C$4) ^'Production Cost Baseline'!W$2</f>
        <v>101431330.6310903</v>
      </c>
      <c r="X29">
        <f>X28/(1+'Study Parameters'!$C$4) ^'Production Cost Baseline'!X$2</f>
        <v>94354726.168456092</v>
      </c>
      <c r="Y29">
        <f>Y28/(1+'Study Parameters'!$C$4) ^'Production Cost Baseline'!Y$2</f>
        <v>87771838.296238229</v>
      </c>
      <c r="Z29">
        <f>Z28/(1+'Study Parameters'!$C$4) ^'Production Cost Baseline'!Z$2</f>
        <v>81648221.670919284</v>
      </c>
      <c r="AA29">
        <f>AA28/(1+'Study Parameters'!$C$4) ^'Production Cost Baseline'!AA$2</f>
        <v>75951834.112483054</v>
      </c>
    </row>
    <row r="30" spans="1:27" x14ac:dyDescent="0.25">
      <c r="A30" t="s">
        <v>124</v>
      </c>
      <c r="B30">
        <v>0</v>
      </c>
      <c r="C30">
        <f>'Study Parameters'!$C$14*'Study Parameters'!$C$8 * 10^3</f>
        <v>38400000</v>
      </c>
      <c r="D30">
        <f>'Study Parameters'!$C$14*'Study Parameters'!$C$8 * 10^3</f>
        <v>38400000</v>
      </c>
      <c r="E30">
        <f>'Study Parameters'!$C$14*'Study Parameters'!$C$8 * 10^3</f>
        <v>38400000</v>
      </c>
      <c r="F30">
        <f>'Study Parameters'!$C$14*'Study Parameters'!$C$8 * 10^3</f>
        <v>38400000</v>
      </c>
      <c r="G30">
        <f>'Study Parameters'!$C$14*'Study Parameters'!$C$8 * 10^3</f>
        <v>38400000</v>
      </c>
      <c r="H30">
        <f>'Study Parameters'!$C$14*'Study Parameters'!$C$8 * 10^3</f>
        <v>38400000</v>
      </c>
      <c r="I30">
        <f>'Study Parameters'!$C$14*'Study Parameters'!$C$8 * 10^3</f>
        <v>38400000</v>
      </c>
      <c r="J30">
        <f>'Study Parameters'!$C$14*'Study Parameters'!$C$8 * 10^3</f>
        <v>38400000</v>
      </c>
      <c r="K30">
        <f>'Study Parameters'!$C$14*'Study Parameters'!$C$8 * 10^3</f>
        <v>38400000</v>
      </c>
      <c r="L30">
        <f>'Study Parameters'!$C$14*'Study Parameters'!$C$8 * 10^3</f>
        <v>38400000</v>
      </c>
      <c r="M30">
        <f>'Study Parameters'!$C$14*'Study Parameters'!$C$8 * 10^3</f>
        <v>38400000</v>
      </c>
      <c r="N30">
        <f>'Study Parameters'!$C$14*'Study Parameters'!$C$8 * 10^3</f>
        <v>38400000</v>
      </c>
      <c r="O30">
        <f>'Study Parameters'!$C$14*'Study Parameters'!$C$8 * 10^3</f>
        <v>38400000</v>
      </c>
      <c r="P30">
        <f>'Study Parameters'!$C$14*'Study Parameters'!$C$8 * 10^3</f>
        <v>38400000</v>
      </c>
      <c r="Q30">
        <f>'Study Parameters'!$C$14*'Study Parameters'!$C$8 * 10^3</f>
        <v>38400000</v>
      </c>
      <c r="R30">
        <f>'Study Parameters'!$C$14*'Study Parameters'!$C$8 * 10^3</f>
        <v>38400000</v>
      </c>
      <c r="S30">
        <f>'Study Parameters'!$C$14*'Study Parameters'!$C$8 * 10^3</f>
        <v>38400000</v>
      </c>
      <c r="T30">
        <f>'Study Parameters'!$C$14*'Study Parameters'!$C$8 * 10^3</f>
        <v>38400000</v>
      </c>
      <c r="U30">
        <f>'Study Parameters'!$C$14*'Study Parameters'!$C$8 * 10^3</f>
        <v>38400000</v>
      </c>
      <c r="V30">
        <f>'Study Parameters'!$C$14*'Study Parameters'!$C$8 * 10^3</f>
        <v>38400000</v>
      </c>
      <c r="W30">
        <f>'Study Parameters'!$C$14*'Study Parameters'!$C$8 * 10^3</f>
        <v>38400000</v>
      </c>
      <c r="X30">
        <f>'Study Parameters'!$C$14*'Study Parameters'!$C$8 * 10^3</f>
        <v>38400000</v>
      </c>
      <c r="Y30">
        <f>'Study Parameters'!$C$14*'Study Parameters'!$C$8 * 10^3</f>
        <v>38400000</v>
      </c>
      <c r="Z30">
        <f>'Study Parameters'!$C$14*'Study Parameters'!$C$8 * 10^3</f>
        <v>38400000</v>
      </c>
      <c r="AA30">
        <f>'Study Parameters'!$C$14*'Study Parameters'!$C$8 * 10^3</f>
        <v>38400000</v>
      </c>
    </row>
    <row r="31" spans="1:27" x14ac:dyDescent="0.25">
      <c r="A31" t="s">
        <v>125</v>
      </c>
      <c r="B31">
        <v>0</v>
      </c>
      <c r="C31">
        <f>C30/(1+'Study Parameters'!$C$4) ^'Production Cost Baseline'!C$2</f>
        <v>35720930.232558139</v>
      </c>
      <c r="D31">
        <f>D30/(1+'Study Parameters'!$C$4) ^'Production Cost Baseline'!D$2</f>
        <v>33228772.30935641</v>
      </c>
      <c r="E31">
        <f>E30/(1+'Study Parameters'!$C$4) ^'Production Cost Baseline'!E$2</f>
        <v>30910485.869168755</v>
      </c>
      <c r="F31">
        <f>F30/(1+'Study Parameters'!$C$4) ^'Production Cost Baseline'!F$2</f>
        <v>28753940.343412794</v>
      </c>
      <c r="G31">
        <f>G30/(1+'Study Parameters'!$C$4) ^'Production Cost Baseline'!G$2</f>
        <v>26747851.482244462</v>
      </c>
      <c r="H31">
        <f>H30/(1+'Study Parameters'!$C$4) ^'Production Cost Baseline'!H$2</f>
        <v>24881722.309064619</v>
      </c>
      <c r="I31">
        <f>I30/(1+'Study Parameters'!$C$4) ^'Production Cost Baseline'!I$2</f>
        <v>23145788.194478713</v>
      </c>
      <c r="J31">
        <f>J30/(1+'Study Parameters'!$C$4) ^'Production Cost Baseline'!J$2</f>
        <v>21530965.762305781</v>
      </c>
      <c r="K31">
        <f>K30/(1+'Study Parameters'!$C$4) ^'Production Cost Baseline'!K$2</f>
        <v>20028805.360284448</v>
      </c>
      <c r="L31">
        <f>L30/(1+'Study Parameters'!$C$4) ^'Production Cost Baseline'!L$2</f>
        <v>18631446.846776232</v>
      </c>
      <c r="M31">
        <f>M30/(1+'Study Parameters'!$C$4) ^'Production Cost Baseline'!M$2</f>
        <v>17331578.462117422</v>
      </c>
      <c r="N31">
        <f>N30/(1+'Study Parameters'!$C$4) ^'Production Cost Baseline'!N$2</f>
        <v>16122398.569411557</v>
      </c>
      <c r="O31">
        <f>O30/(1+'Study Parameters'!$C$4) ^'Production Cost Baseline'!O$2</f>
        <v>14997580.06456889</v>
      </c>
      <c r="P31">
        <f>P30/(1+'Study Parameters'!$C$4) ^'Production Cost Baseline'!P$2</f>
        <v>13951237.269366411</v>
      </c>
      <c r="Q31">
        <f>Q30/(1+'Study Parameters'!$C$4) ^'Production Cost Baseline'!Q$2</f>
        <v>12977895.134294337</v>
      </c>
      <c r="R31">
        <f>R30/(1+'Study Parameters'!$C$4) ^'Production Cost Baseline'!R$2</f>
        <v>12072460.590041243</v>
      </c>
      <c r="S31">
        <f>S30/(1+'Study Parameters'!$C$4) ^'Production Cost Baseline'!S$2</f>
        <v>11230195.897712786</v>
      </c>
      <c r="T31">
        <f>T30/(1+'Study Parameters'!$C$4) ^'Production Cost Baseline'!T$2</f>
        <v>10446693.858337475</v>
      </c>
      <c r="U31">
        <f>U30/(1+'Study Parameters'!$C$4) ^'Production Cost Baseline'!U$2</f>
        <v>9717854.7519418374</v>
      </c>
      <c r="V31">
        <f>V30/(1+'Study Parameters'!$C$4) ^'Production Cost Baseline'!V$2</f>
        <v>9039864.8855272904</v>
      </c>
      <c r="W31">
        <f>W30/(1+'Study Parameters'!$C$4) ^'Production Cost Baseline'!W$2</f>
        <v>8409176.6376998052</v>
      </c>
      <c r="X31">
        <f>X30/(1+'Study Parameters'!$C$4) ^'Production Cost Baseline'!X$2</f>
        <v>7822489.8955347026</v>
      </c>
      <c r="Y31">
        <f>Y30/(1+'Study Parameters'!$C$4) ^'Production Cost Baseline'!Y$2</f>
        <v>7276734.7865439095</v>
      </c>
      <c r="Z31">
        <f>Z30/(1+'Study Parameters'!$C$4) ^'Production Cost Baseline'!Z$2</f>
        <v>6769055.6153896842</v>
      </c>
      <c r="AA31">
        <f>AA30/(1+'Study Parameters'!$C$4) ^'Production Cost Baseline'!AA$2</f>
        <v>6296795.9212927287</v>
      </c>
    </row>
    <row r="33" spans="1:27" x14ac:dyDescent="0.25">
      <c r="A33" t="s">
        <v>126</v>
      </c>
      <c r="B33">
        <f>SUM(B29:AA29) / SUM(C31:AA31)</f>
        <v>14.134274367179685</v>
      </c>
    </row>
    <row r="34" spans="1:27" x14ac:dyDescent="0.25">
      <c r="A34" t="s">
        <v>127</v>
      </c>
      <c r="B34">
        <f>B33 * Inputs!$C$15</f>
        <v>11.349822316845287</v>
      </c>
    </row>
    <row r="36" spans="1:27" x14ac:dyDescent="0.25">
      <c r="A36" s="1" t="s">
        <v>134</v>
      </c>
    </row>
    <row r="37" spans="1:27" x14ac:dyDescent="0.25">
      <c r="A37" t="s">
        <v>120</v>
      </c>
      <c r="B37">
        <f>'Cost Components'!$E$42 * 10^6</f>
        <v>844919999.99999988</v>
      </c>
      <c r="C37">
        <f>('Cost Components'!$E$43  + 'Cost Components'!$E$40 + 'Cost Components'!$E$41) * 10^6</f>
        <v>488478180.27430993</v>
      </c>
      <c r="D37">
        <f>('Cost Components'!$E$43  + 'Cost Components'!$E$40 + 'Cost Components'!$E$41) * 10^6</f>
        <v>488478180.27430993</v>
      </c>
      <c r="E37">
        <f>('Cost Components'!$E$43  + 'Cost Components'!$E$40 + 'Cost Components'!$E$41) * 10^6</f>
        <v>488478180.27430993</v>
      </c>
      <c r="F37">
        <f>('Cost Components'!$E$43  + 'Cost Components'!$E$40 + 'Cost Components'!$E$41) * 10^6</f>
        <v>488478180.27430993</v>
      </c>
      <c r="G37">
        <f>('Cost Components'!$E$43  + 'Cost Components'!$E$40 + 'Cost Components'!$E$41) * 10^6</f>
        <v>488478180.27430993</v>
      </c>
      <c r="H37">
        <f>('Cost Components'!$E$43  + 'Cost Components'!$E$40 + 'Cost Components'!$E$41) * 10^6</f>
        <v>488478180.27430993</v>
      </c>
      <c r="I37">
        <f>('Cost Components'!$E$43  + 'Cost Components'!$E$40 + 'Cost Components'!$E$41) * 10^6</f>
        <v>488478180.27430993</v>
      </c>
      <c r="J37">
        <f>('Cost Components'!$E$43  + 'Cost Components'!$E$40 + 'Cost Components'!$E$41) * 10^6</f>
        <v>488478180.27430993</v>
      </c>
      <c r="K37">
        <f>('Cost Components'!$E$43  + 'Cost Components'!$E$40 + 'Cost Components'!$E$41) * 10^6</f>
        <v>488478180.27430993</v>
      </c>
      <c r="L37">
        <f>('Cost Components'!$E$43  + 'Cost Components'!$E$40 + 'Cost Components'!$E$41) * 10^6</f>
        <v>488478180.27430993</v>
      </c>
      <c r="M37">
        <f>('Cost Components'!$E$43  + 'Cost Components'!$E$40 + 'Cost Components'!$E$41) * 10^6</f>
        <v>488478180.27430993</v>
      </c>
      <c r="N37">
        <f>('Cost Components'!$E$43  + 'Cost Components'!$E$40 + 'Cost Components'!$E$41) * 10^6</f>
        <v>488478180.27430993</v>
      </c>
      <c r="O37">
        <f>('Cost Components'!$E$43  + 'Cost Components'!$E$40 + 'Cost Components'!$E$41) * 10^6</f>
        <v>488478180.27430993</v>
      </c>
      <c r="P37">
        <f>('Cost Components'!$E$43  + 'Cost Components'!$E$40 + 'Cost Components'!$E$41) * 10^6</f>
        <v>488478180.27430993</v>
      </c>
      <c r="Q37">
        <f>('Cost Components'!$E$43  + 'Cost Components'!$E$40 + 'Cost Components'!$E$41) * 10^6</f>
        <v>488478180.27430993</v>
      </c>
      <c r="R37">
        <f>('Cost Components'!$E$43  + 'Cost Components'!$E$40 + 'Cost Components'!$E$41) * 10^6</f>
        <v>488478180.27430993</v>
      </c>
      <c r="S37">
        <f>('Cost Components'!$E$43  + 'Cost Components'!$E$40 + 'Cost Components'!$E$41) * 10^6</f>
        <v>488478180.27430993</v>
      </c>
      <c r="T37">
        <f>('Cost Components'!$E$43  + 'Cost Components'!$E$40 + 'Cost Components'!$E$41) * 10^6</f>
        <v>488478180.27430993</v>
      </c>
      <c r="U37">
        <f>('Cost Components'!$E$43  + 'Cost Components'!$E$40 + 'Cost Components'!$E$41) * 10^6</f>
        <v>488478180.27430993</v>
      </c>
      <c r="V37">
        <f>('Cost Components'!$E$43  + 'Cost Components'!$E$40 + 'Cost Components'!$E$41) * 10^6</f>
        <v>488478180.27430993</v>
      </c>
      <c r="W37">
        <f>('Cost Components'!$E$43  + 'Cost Components'!$E$40 + 'Cost Components'!$E$41) * 10^6</f>
        <v>488478180.27430993</v>
      </c>
      <c r="X37">
        <f>('Cost Components'!$E$43  + 'Cost Components'!$E$40 + 'Cost Components'!$E$41) * 10^6</f>
        <v>488478180.27430993</v>
      </c>
      <c r="Y37">
        <f>('Cost Components'!$E$43  + 'Cost Components'!$E$40 + 'Cost Components'!$E$41) * 10^6</f>
        <v>488478180.27430993</v>
      </c>
      <c r="Z37">
        <f>('Cost Components'!$E$43  + 'Cost Components'!$E$40 + 'Cost Components'!$E$41) * 10^6</f>
        <v>488478180.27430993</v>
      </c>
      <c r="AA37">
        <f>('Cost Components'!$E$43  + 'Cost Components'!$E$40 + 'Cost Components'!$E$41) * 10^6</f>
        <v>488478180.27430993</v>
      </c>
    </row>
    <row r="38" spans="1:27" x14ac:dyDescent="0.25">
      <c r="A38" t="s">
        <v>121</v>
      </c>
      <c r="B38">
        <v>0</v>
      </c>
      <c r="C38">
        <f>'Cost Components'!$E$36*10^6</f>
        <v>103200000</v>
      </c>
      <c r="D38">
        <f>'Cost Components'!$E$36*10^6</f>
        <v>103200000</v>
      </c>
      <c r="E38">
        <f>'Cost Components'!$E$36*10^6</f>
        <v>103200000</v>
      </c>
      <c r="F38">
        <f>'Cost Components'!$E$36*10^6</f>
        <v>103200000</v>
      </c>
      <c r="G38">
        <f>'Cost Components'!$E$36*10^6</f>
        <v>103200000</v>
      </c>
      <c r="H38">
        <f>'Cost Components'!$E$36*10^6</f>
        <v>103200000</v>
      </c>
      <c r="I38">
        <f>'Cost Components'!$E$36*10^6</f>
        <v>103200000</v>
      </c>
      <c r="J38">
        <f>'Cost Components'!$E$36*10^6</f>
        <v>103200000</v>
      </c>
      <c r="K38">
        <f>'Cost Components'!$E$36*10^6</f>
        <v>103200000</v>
      </c>
      <c r="L38">
        <f>'Cost Components'!$E$36*10^6</f>
        <v>103200000</v>
      </c>
      <c r="M38">
        <f>'Cost Components'!$E$36*10^6</f>
        <v>103200000</v>
      </c>
      <c r="N38">
        <f>'Cost Components'!$E$36*10^6</f>
        <v>103200000</v>
      </c>
      <c r="O38">
        <f>'Cost Components'!$E$36*10^6</f>
        <v>103200000</v>
      </c>
      <c r="P38">
        <f>'Cost Components'!$E$36*10^6</f>
        <v>103200000</v>
      </c>
      <c r="Q38">
        <f>'Cost Components'!$E$36*10^6</f>
        <v>103200000</v>
      </c>
      <c r="R38">
        <f>'Cost Components'!$E$36*10^6</f>
        <v>103200000</v>
      </c>
      <c r="S38">
        <f>'Cost Components'!$E$36*10^6</f>
        <v>103200000</v>
      </c>
      <c r="T38">
        <f>'Cost Components'!$E$36*10^6</f>
        <v>103200000</v>
      </c>
      <c r="U38">
        <f>'Cost Components'!$E$36*10^6</f>
        <v>103200000</v>
      </c>
      <c r="V38">
        <f>'Cost Components'!$E$36*10^6</f>
        <v>103200000</v>
      </c>
      <c r="W38">
        <f>'Cost Components'!$E$36*10^6</f>
        <v>103200000</v>
      </c>
      <c r="X38">
        <f>'Cost Components'!$E$36*10^6</f>
        <v>103200000</v>
      </c>
      <c r="Y38">
        <f>'Cost Components'!$E$36*10^6</f>
        <v>103200000</v>
      </c>
      <c r="Z38">
        <f>'Cost Components'!$E$36*10^6</f>
        <v>103200000</v>
      </c>
      <c r="AA38">
        <f>'Cost Components'!$E$36*10^6</f>
        <v>103200000</v>
      </c>
    </row>
    <row r="39" spans="1:27" x14ac:dyDescent="0.25">
      <c r="A39" t="s">
        <v>122</v>
      </c>
      <c r="B39">
        <f t="shared" ref="B39:AA39" si="3">B37-B38</f>
        <v>844919999.99999988</v>
      </c>
      <c r="C39">
        <f t="shared" si="3"/>
        <v>385278180.27430993</v>
      </c>
      <c r="D39">
        <f t="shared" si="3"/>
        <v>385278180.27430993</v>
      </c>
      <c r="E39">
        <f t="shared" si="3"/>
        <v>385278180.27430993</v>
      </c>
      <c r="F39">
        <f t="shared" si="3"/>
        <v>385278180.27430993</v>
      </c>
      <c r="G39">
        <f t="shared" si="3"/>
        <v>385278180.27430993</v>
      </c>
      <c r="H39">
        <f t="shared" si="3"/>
        <v>385278180.27430993</v>
      </c>
      <c r="I39">
        <f t="shared" si="3"/>
        <v>385278180.27430993</v>
      </c>
      <c r="J39">
        <f t="shared" si="3"/>
        <v>385278180.27430993</v>
      </c>
      <c r="K39">
        <f t="shared" si="3"/>
        <v>385278180.27430993</v>
      </c>
      <c r="L39">
        <f t="shared" si="3"/>
        <v>385278180.27430993</v>
      </c>
      <c r="M39">
        <f t="shared" si="3"/>
        <v>385278180.27430993</v>
      </c>
      <c r="N39">
        <f t="shared" si="3"/>
        <v>385278180.27430993</v>
      </c>
      <c r="O39">
        <f t="shared" si="3"/>
        <v>385278180.27430993</v>
      </c>
      <c r="P39">
        <f t="shared" si="3"/>
        <v>385278180.27430993</v>
      </c>
      <c r="Q39">
        <f t="shared" si="3"/>
        <v>385278180.27430993</v>
      </c>
      <c r="R39">
        <f t="shared" si="3"/>
        <v>385278180.27430993</v>
      </c>
      <c r="S39">
        <f t="shared" si="3"/>
        <v>385278180.27430993</v>
      </c>
      <c r="T39">
        <f t="shared" si="3"/>
        <v>385278180.27430993</v>
      </c>
      <c r="U39">
        <f t="shared" si="3"/>
        <v>385278180.27430993</v>
      </c>
      <c r="V39">
        <f t="shared" si="3"/>
        <v>385278180.27430993</v>
      </c>
      <c r="W39">
        <f t="shared" si="3"/>
        <v>385278180.27430993</v>
      </c>
      <c r="X39">
        <f t="shared" si="3"/>
        <v>385278180.27430993</v>
      </c>
      <c r="Y39">
        <f t="shared" si="3"/>
        <v>385278180.27430993</v>
      </c>
      <c r="Z39">
        <f t="shared" si="3"/>
        <v>385278180.27430993</v>
      </c>
      <c r="AA39">
        <f t="shared" si="3"/>
        <v>385278180.27430993</v>
      </c>
    </row>
    <row r="40" spans="1:27" x14ac:dyDescent="0.25">
      <c r="A40" t="s">
        <v>123</v>
      </c>
      <c r="B40">
        <f>B39/(1+'Study Parameters'!$C$4) ^'Production Cost Baseline'!B$2</f>
        <v>844919999.99999988</v>
      </c>
      <c r="C40">
        <f>C39/(1+'Study Parameters'!$C$4) ^'Production Cost Baseline'!C$2</f>
        <v>358398307.23191625</v>
      </c>
      <c r="D40">
        <f>D39/(1+'Study Parameters'!$C$4) ^'Production Cost Baseline'!D$2</f>
        <v>333393774.16922444</v>
      </c>
      <c r="E40">
        <f>E39/(1+'Study Parameters'!$C$4) ^'Production Cost Baseline'!E$2</f>
        <v>310133743.41323203</v>
      </c>
      <c r="F40">
        <f>F39/(1+'Study Parameters'!$C$4) ^'Production Cost Baseline'!F$2</f>
        <v>288496505.50068092</v>
      </c>
      <c r="G40">
        <f>G39/(1+'Study Parameters'!$C$4) ^'Production Cost Baseline'!G$2</f>
        <v>268368842.32621482</v>
      </c>
      <c r="H40">
        <f>H39/(1+'Study Parameters'!$C$4) ^'Production Cost Baseline'!H$2</f>
        <v>249645434.72206035</v>
      </c>
      <c r="I40">
        <f>I39/(1+'Study Parameters'!$C$4) ^'Production Cost Baseline'!I$2</f>
        <v>232228311.36935845</v>
      </c>
      <c r="J40">
        <f>J39/(1+'Study Parameters'!$C$4) ^'Production Cost Baseline'!J$2</f>
        <v>216026336.15754274</v>
      </c>
      <c r="K40">
        <f>K39/(1+'Study Parameters'!$C$4) ^'Production Cost Baseline'!K$2</f>
        <v>200954731.30934209</v>
      </c>
      <c r="L40">
        <f>L39/(1+'Study Parameters'!$C$4) ^'Production Cost Baseline'!L$2</f>
        <v>186934633.77613223</v>
      </c>
      <c r="M40">
        <f>M39/(1+'Study Parameters'!$C$4) ^'Production Cost Baseline'!M$2</f>
        <v>173892682.58244854</v>
      </c>
      <c r="N40">
        <f>N39/(1+'Study Parameters'!$C$4) ^'Production Cost Baseline'!N$2</f>
        <v>161760634.96041727</v>
      </c>
      <c r="O40">
        <f>O39/(1+'Study Parameters'!$C$4) ^'Production Cost Baseline'!O$2</f>
        <v>150475009.26550442</v>
      </c>
      <c r="P40">
        <f>P39/(1+'Study Parameters'!$C$4) ^'Production Cost Baseline'!P$2</f>
        <v>139976752.80512041</v>
      </c>
      <c r="Q40">
        <f>Q39/(1+'Study Parameters'!$C$4) ^'Production Cost Baseline'!Q$2</f>
        <v>130210932.84197247</v>
      </c>
      <c r="R40">
        <f>R39/(1+'Study Parameters'!$C$4) ^'Production Cost Baseline'!R$2</f>
        <v>121126449.15532324</v>
      </c>
      <c r="S40">
        <f>S39/(1+'Study Parameters'!$C$4) ^'Production Cost Baseline'!S$2</f>
        <v>112675766.65611465</v>
      </c>
      <c r="T40">
        <f>T39/(1+'Study Parameters'!$C$4) ^'Production Cost Baseline'!T$2</f>
        <v>104814666.65685084</v>
      </c>
      <c r="U40">
        <f>U39/(1+'Study Parameters'!$C$4) ^'Production Cost Baseline'!U$2</f>
        <v>97502015.494744956</v>
      </c>
      <c r="V40">
        <f>V39/(1+'Study Parameters'!$C$4) ^'Production Cost Baseline'!V$2</f>
        <v>90699549.297437176</v>
      </c>
      <c r="W40">
        <f>W39/(1+'Study Parameters'!$C$4) ^'Production Cost Baseline'!W$2</f>
        <v>84371673.765057832</v>
      </c>
      <c r="X40">
        <f>X39/(1+'Study Parameters'!$C$4) ^'Production Cost Baseline'!X$2</f>
        <v>78485277.92098403</v>
      </c>
      <c r="Y40">
        <f>Y39/(1+'Study Parameters'!$C$4) ^'Production Cost Baseline'!Y$2</f>
        <v>73009560.856729344</v>
      </c>
      <c r="Z40">
        <f>Z39/(1+'Study Parameters'!$C$4) ^'Production Cost Baseline'!Z$2</f>
        <v>67915870.564399391</v>
      </c>
      <c r="AA40">
        <f>AA39/(1+'Study Parameters'!$C$4) ^'Production Cost Baseline'!AA$2</f>
        <v>63177554.013394773</v>
      </c>
    </row>
    <row r="41" spans="1:27" x14ac:dyDescent="0.25">
      <c r="A41" t="s">
        <v>124</v>
      </c>
      <c r="B41">
        <v>0</v>
      </c>
      <c r="C41">
        <f>'Study Parameters'!$C$15*'Study Parameters'!$C$8 * 10^3</f>
        <v>55200000</v>
      </c>
      <c r="D41">
        <f>'Study Parameters'!$C$15*'Study Parameters'!$C$8 * 10^3</f>
        <v>55200000</v>
      </c>
      <c r="E41">
        <f>'Study Parameters'!$C$15*'Study Parameters'!$C$8 * 10^3</f>
        <v>55200000</v>
      </c>
      <c r="F41">
        <f>'Study Parameters'!$C$15*'Study Parameters'!$C$8 * 10^3</f>
        <v>55200000</v>
      </c>
      <c r="G41">
        <f>'Study Parameters'!$C$15*'Study Parameters'!$C$8 * 10^3</f>
        <v>55200000</v>
      </c>
      <c r="H41">
        <f>'Study Parameters'!$C$15*'Study Parameters'!$C$8 * 10^3</f>
        <v>55200000</v>
      </c>
      <c r="I41">
        <f>'Study Parameters'!$C$15*'Study Parameters'!$C$8 * 10^3</f>
        <v>55200000</v>
      </c>
      <c r="J41">
        <f>'Study Parameters'!$C$15*'Study Parameters'!$C$8 * 10^3</f>
        <v>55200000</v>
      </c>
      <c r="K41">
        <f>'Study Parameters'!$C$15*'Study Parameters'!$C$8 * 10^3</f>
        <v>55200000</v>
      </c>
      <c r="L41">
        <f>'Study Parameters'!$C$15*'Study Parameters'!$C$8 * 10^3</f>
        <v>55200000</v>
      </c>
      <c r="M41">
        <f>'Study Parameters'!$C$15*'Study Parameters'!$C$8 * 10^3</f>
        <v>55200000</v>
      </c>
      <c r="N41">
        <f>'Study Parameters'!$C$15*'Study Parameters'!$C$8 * 10^3</f>
        <v>55200000</v>
      </c>
      <c r="O41">
        <f>'Study Parameters'!$C$15*'Study Parameters'!$C$8 * 10^3</f>
        <v>55200000</v>
      </c>
      <c r="P41">
        <f>'Study Parameters'!$C$15*'Study Parameters'!$C$8 * 10^3</f>
        <v>55200000</v>
      </c>
      <c r="Q41">
        <f>'Study Parameters'!$C$15*'Study Parameters'!$C$8 * 10^3</f>
        <v>55200000</v>
      </c>
      <c r="R41">
        <f>'Study Parameters'!$C$15*'Study Parameters'!$C$8 * 10^3</f>
        <v>55200000</v>
      </c>
      <c r="S41">
        <f>'Study Parameters'!$C$15*'Study Parameters'!$C$8 * 10^3</f>
        <v>55200000</v>
      </c>
      <c r="T41">
        <f>'Study Parameters'!$C$15*'Study Parameters'!$C$8 * 10^3</f>
        <v>55200000</v>
      </c>
      <c r="U41">
        <f>'Study Parameters'!$C$15*'Study Parameters'!$C$8 * 10^3</f>
        <v>55200000</v>
      </c>
      <c r="V41">
        <f>'Study Parameters'!$C$15*'Study Parameters'!$C$8 * 10^3</f>
        <v>55200000</v>
      </c>
      <c r="W41">
        <f>'Study Parameters'!$C$15*'Study Parameters'!$C$8 * 10^3</f>
        <v>55200000</v>
      </c>
      <c r="X41">
        <f>'Study Parameters'!$C$15*'Study Parameters'!$C$8 * 10^3</f>
        <v>55200000</v>
      </c>
      <c r="Y41">
        <f>'Study Parameters'!$C$15*'Study Parameters'!$C$8 * 10^3</f>
        <v>55200000</v>
      </c>
      <c r="Z41">
        <f>'Study Parameters'!$C$15*'Study Parameters'!$C$8 * 10^3</f>
        <v>55200000</v>
      </c>
      <c r="AA41">
        <f>'Study Parameters'!$C$15*'Study Parameters'!$C$8 * 10^3</f>
        <v>55200000</v>
      </c>
    </row>
    <row r="42" spans="1:27" x14ac:dyDescent="0.25">
      <c r="A42" t="s">
        <v>125</v>
      </c>
      <c r="B42">
        <v>0</v>
      </c>
      <c r="C42">
        <f>C41/(1+'Study Parameters'!$C$4) ^'Production Cost Baseline'!C$2</f>
        <v>51348837.209302329</v>
      </c>
      <c r="D42">
        <f>D41/(1+'Study Parameters'!$C$4) ^'Production Cost Baseline'!D$2</f>
        <v>47766360.194699839</v>
      </c>
      <c r="E42">
        <f>E41/(1+'Study Parameters'!$C$4) ^'Production Cost Baseline'!E$2</f>
        <v>44433823.43693009</v>
      </c>
      <c r="F42">
        <f>F41/(1+'Study Parameters'!$C$4) ^'Production Cost Baseline'!F$2</f>
        <v>41333789.24365589</v>
      </c>
      <c r="G42">
        <f>G41/(1+'Study Parameters'!$C$4) ^'Production Cost Baseline'!G$2</f>
        <v>38450036.505726412</v>
      </c>
      <c r="H42">
        <f>H41/(1+'Study Parameters'!$C$4) ^'Production Cost Baseline'!H$2</f>
        <v>35767475.819280386</v>
      </c>
      <c r="I42">
        <f>I41/(1+'Study Parameters'!$C$4) ^'Production Cost Baseline'!I$2</f>
        <v>33272070.529563151</v>
      </c>
      <c r="J42">
        <f>J41/(1+'Study Parameters'!$C$4) ^'Production Cost Baseline'!J$2</f>
        <v>30950763.28331456</v>
      </c>
      <c r="K42">
        <f>K41/(1+'Study Parameters'!$C$4) ^'Production Cost Baseline'!K$2</f>
        <v>28791407.705408894</v>
      </c>
      <c r="L42">
        <f>L41/(1+'Study Parameters'!$C$4) ^'Production Cost Baseline'!L$2</f>
        <v>26782704.842240836</v>
      </c>
      <c r="M42">
        <f>M41/(1+'Study Parameters'!$C$4) ^'Production Cost Baseline'!M$2</f>
        <v>24914144.039293796</v>
      </c>
      <c r="N42">
        <f>N41/(1+'Study Parameters'!$C$4) ^'Production Cost Baseline'!N$2</f>
        <v>23175947.943529114</v>
      </c>
      <c r="O42">
        <f>O41/(1+'Study Parameters'!$C$4) ^'Production Cost Baseline'!O$2</f>
        <v>21559021.34281778</v>
      </c>
      <c r="P42">
        <f>P41/(1+'Study Parameters'!$C$4) ^'Production Cost Baseline'!P$2</f>
        <v>20054903.574714214</v>
      </c>
      <c r="Q42">
        <f>Q41/(1+'Study Parameters'!$C$4) ^'Production Cost Baseline'!Q$2</f>
        <v>18655724.255548108</v>
      </c>
      <c r="R42">
        <f>R41/(1+'Study Parameters'!$C$4) ^'Production Cost Baseline'!R$2</f>
        <v>17354162.098184288</v>
      </c>
      <c r="S42">
        <f>S41/(1+'Study Parameters'!$C$4) ^'Production Cost Baseline'!S$2</f>
        <v>16143406.602962129</v>
      </c>
      <c r="T42">
        <f>T41/(1+'Study Parameters'!$C$4) ^'Production Cost Baseline'!T$2</f>
        <v>15017122.42136012</v>
      </c>
      <c r="U42">
        <f>U41/(1+'Study Parameters'!$C$4) ^'Production Cost Baseline'!U$2</f>
        <v>13969416.20591639</v>
      </c>
      <c r="V42">
        <f>V41/(1+'Study Parameters'!$C$4) ^'Production Cost Baseline'!V$2</f>
        <v>12994805.77294548</v>
      </c>
      <c r="W42">
        <f>W41/(1+'Study Parameters'!$C$4) ^'Production Cost Baseline'!W$2</f>
        <v>12088191.41669347</v>
      </c>
      <c r="X42">
        <f>X41/(1+'Study Parameters'!$C$4) ^'Production Cost Baseline'!X$2</f>
        <v>11244829.224831134</v>
      </c>
      <c r="Y42">
        <f>Y41/(1+'Study Parameters'!$C$4) ^'Production Cost Baseline'!Y$2</f>
        <v>10460306.25565687</v>
      </c>
      <c r="Z42">
        <f>Z41/(1+'Study Parameters'!$C$4) ^'Production Cost Baseline'!Z$2</f>
        <v>9730517.4471226707</v>
      </c>
      <c r="AA42">
        <f>AA41/(1+'Study Parameters'!$C$4) ^'Production Cost Baseline'!AA$2</f>
        <v>9051644.1368582975</v>
      </c>
    </row>
    <row r="44" spans="1:27" x14ac:dyDescent="0.25">
      <c r="A44" t="s">
        <v>126</v>
      </c>
      <c r="B44">
        <f>SUM(B40:AA40) / SUM(C42:AA42)</f>
        <v>8.3528355247166335</v>
      </c>
    </row>
    <row r="45" spans="1:27" x14ac:dyDescent="0.25">
      <c r="A45" t="s">
        <v>127</v>
      </c>
      <c r="B45">
        <f>B44 * Inputs!$C$15</f>
        <v>6.7073269263474566</v>
      </c>
    </row>
    <row r="47" spans="1:27" x14ac:dyDescent="0.25">
      <c r="A47" s="1" t="s">
        <v>136</v>
      </c>
    </row>
    <row r="48" spans="1:27" x14ac:dyDescent="0.25">
      <c r="A48" t="s">
        <v>120</v>
      </c>
      <c r="B48">
        <f>'Cost Components'!$F$42 * 10^6</f>
        <v>947660000.00000012</v>
      </c>
      <c r="C48">
        <f>('Cost Components'!$F$43  + 'Cost Components'!$F$40 + 'Cost Components'!$F$41) * 10^6</f>
        <v>529178143.97323197</v>
      </c>
      <c r="D48">
        <f>('Cost Components'!$F$43  + 'Cost Components'!$F$40 + 'Cost Components'!$F$41) * 10^6</f>
        <v>529178143.97323197</v>
      </c>
      <c r="E48">
        <f>('Cost Components'!$F$43  + 'Cost Components'!$F$40 + 'Cost Components'!$F$41) * 10^6</f>
        <v>529178143.97323197</v>
      </c>
      <c r="F48">
        <f>('Cost Components'!$F$43  + 'Cost Components'!$F$40 + 'Cost Components'!$F$41) * 10^6</f>
        <v>529178143.97323197</v>
      </c>
      <c r="G48">
        <f>('Cost Components'!$F$43  + 'Cost Components'!$F$40 + 'Cost Components'!$F$41) * 10^6</f>
        <v>529178143.97323197</v>
      </c>
      <c r="H48">
        <f>('Cost Components'!$F$43  + 'Cost Components'!$F$40 + 'Cost Components'!$F$41) * 10^6</f>
        <v>529178143.97323197</v>
      </c>
      <c r="I48">
        <f>('Cost Components'!$F$43  + 'Cost Components'!$F$40 + 'Cost Components'!$F$41) * 10^6</f>
        <v>529178143.97323197</v>
      </c>
      <c r="J48">
        <f>('Cost Components'!$F$43  + 'Cost Components'!$F$40 + 'Cost Components'!$F$41) * 10^6</f>
        <v>529178143.97323197</v>
      </c>
      <c r="K48">
        <f>('Cost Components'!$F$43  + 'Cost Components'!$F$40 + 'Cost Components'!$F$41) * 10^6</f>
        <v>529178143.97323197</v>
      </c>
      <c r="L48">
        <f>('Cost Components'!$F$43  + 'Cost Components'!$F$40 + 'Cost Components'!$F$41) * 10^6</f>
        <v>529178143.97323197</v>
      </c>
      <c r="M48">
        <f>('Cost Components'!$F$43  + 'Cost Components'!$F$40 + 'Cost Components'!$F$41) * 10^6</f>
        <v>529178143.97323197</v>
      </c>
      <c r="N48">
        <f>('Cost Components'!$F$43  + 'Cost Components'!$F$40 + 'Cost Components'!$F$41) * 10^6</f>
        <v>529178143.97323197</v>
      </c>
      <c r="O48">
        <f>('Cost Components'!$F$43  + 'Cost Components'!$F$40 + 'Cost Components'!$F$41) * 10^6</f>
        <v>529178143.97323197</v>
      </c>
      <c r="P48">
        <f>('Cost Components'!$F$43  + 'Cost Components'!$F$40 + 'Cost Components'!$F$41) * 10^6</f>
        <v>529178143.97323197</v>
      </c>
      <c r="Q48">
        <f>('Cost Components'!$F$43  + 'Cost Components'!$F$40 + 'Cost Components'!$F$41) * 10^6</f>
        <v>529178143.97323197</v>
      </c>
      <c r="R48">
        <f>('Cost Components'!$F$43  + 'Cost Components'!$F$40 + 'Cost Components'!$F$41) * 10^6</f>
        <v>529178143.97323197</v>
      </c>
      <c r="S48">
        <f>('Cost Components'!$F$43  + 'Cost Components'!$F$40 + 'Cost Components'!$F$41) * 10^6</f>
        <v>529178143.97323197</v>
      </c>
      <c r="T48">
        <f>('Cost Components'!$F$43  + 'Cost Components'!$F$40 + 'Cost Components'!$F$41) * 10^6</f>
        <v>529178143.97323197</v>
      </c>
      <c r="U48">
        <f>('Cost Components'!$F$43  + 'Cost Components'!$F$40 + 'Cost Components'!$F$41) * 10^6</f>
        <v>529178143.97323197</v>
      </c>
      <c r="V48">
        <f>('Cost Components'!$F$43  + 'Cost Components'!$F$40 + 'Cost Components'!$F$41) * 10^6</f>
        <v>529178143.97323197</v>
      </c>
      <c r="W48">
        <f>('Cost Components'!$F$43  + 'Cost Components'!$F$40 + 'Cost Components'!$F$41) * 10^6</f>
        <v>529178143.97323197</v>
      </c>
      <c r="X48">
        <f>('Cost Components'!$F$43  + 'Cost Components'!$F$40 + 'Cost Components'!$F$41) * 10^6</f>
        <v>529178143.97323197</v>
      </c>
      <c r="Y48">
        <f>('Cost Components'!$F$43  + 'Cost Components'!$F$40 + 'Cost Components'!$F$41) * 10^6</f>
        <v>529178143.97323197</v>
      </c>
      <c r="Z48">
        <f>('Cost Components'!$F$43  + 'Cost Components'!$F$40 + 'Cost Components'!$F$41) * 10^6</f>
        <v>529178143.97323197</v>
      </c>
      <c r="AA48">
        <f>('Cost Components'!$F$43  + 'Cost Components'!$F$40 + 'Cost Components'!$F$41) * 10^6</f>
        <v>529178143.97323197</v>
      </c>
    </row>
    <row r="49" spans="1:27" x14ac:dyDescent="0.25">
      <c r="A49" t="s">
        <v>121</v>
      </c>
      <c r="B49">
        <v>0</v>
      </c>
      <c r="C49">
        <f>'Cost Components'!$F$36*10^6</f>
        <v>135200000</v>
      </c>
      <c r="D49">
        <f>'Cost Components'!$F$36*10^6</f>
        <v>135200000</v>
      </c>
      <c r="E49">
        <f>'Cost Components'!$F$36*10^6</f>
        <v>135200000</v>
      </c>
      <c r="F49">
        <f>'Cost Components'!$F$36*10^6</f>
        <v>135200000</v>
      </c>
      <c r="G49">
        <f>'Cost Components'!$F$36*10^6</f>
        <v>135200000</v>
      </c>
      <c r="H49">
        <f>'Cost Components'!$F$36*10^6</f>
        <v>135200000</v>
      </c>
      <c r="I49">
        <f>'Cost Components'!$F$36*10^6</f>
        <v>135200000</v>
      </c>
      <c r="J49">
        <f>'Cost Components'!$F$36*10^6</f>
        <v>135200000</v>
      </c>
      <c r="K49">
        <f>'Cost Components'!$F$36*10^6</f>
        <v>135200000</v>
      </c>
      <c r="L49">
        <f>'Cost Components'!$F$36*10^6</f>
        <v>135200000</v>
      </c>
      <c r="M49">
        <f>'Cost Components'!$F$36*10^6</f>
        <v>135200000</v>
      </c>
      <c r="N49">
        <f>'Cost Components'!$F$36*10^6</f>
        <v>135200000</v>
      </c>
      <c r="O49">
        <f>'Cost Components'!$F$36*10^6</f>
        <v>135200000</v>
      </c>
      <c r="P49">
        <f>'Cost Components'!$F$36*10^6</f>
        <v>135200000</v>
      </c>
      <c r="Q49">
        <f>'Cost Components'!$F$36*10^6</f>
        <v>135200000</v>
      </c>
      <c r="R49">
        <f>'Cost Components'!$F$36*10^6</f>
        <v>135200000</v>
      </c>
      <c r="S49">
        <f>'Cost Components'!$F$36*10^6</f>
        <v>135200000</v>
      </c>
      <c r="T49">
        <f>'Cost Components'!$F$36*10^6</f>
        <v>135200000</v>
      </c>
      <c r="U49">
        <f>'Cost Components'!$F$36*10^6</f>
        <v>135200000</v>
      </c>
      <c r="V49">
        <f>'Cost Components'!$F$36*10^6</f>
        <v>135200000</v>
      </c>
      <c r="W49">
        <f>'Cost Components'!$F$36*10^6</f>
        <v>135200000</v>
      </c>
      <c r="X49">
        <f>'Cost Components'!$F$36*10^6</f>
        <v>135200000</v>
      </c>
      <c r="Y49">
        <f>'Cost Components'!$F$36*10^6</f>
        <v>135200000</v>
      </c>
      <c r="Z49">
        <f>'Cost Components'!$F$36*10^6</f>
        <v>135200000</v>
      </c>
      <c r="AA49">
        <f>'Cost Components'!$F$36*10^6</f>
        <v>135200000</v>
      </c>
    </row>
    <row r="50" spans="1:27" x14ac:dyDescent="0.25">
      <c r="A50" t="s">
        <v>122</v>
      </c>
      <c r="B50">
        <f t="shared" ref="B50:AA50" si="4">B48-B49</f>
        <v>947660000.00000012</v>
      </c>
      <c r="C50">
        <f t="shared" si="4"/>
        <v>393978143.97323197</v>
      </c>
      <c r="D50">
        <f t="shared" si="4"/>
        <v>393978143.97323197</v>
      </c>
      <c r="E50">
        <f t="shared" si="4"/>
        <v>393978143.97323197</v>
      </c>
      <c r="F50">
        <f t="shared" si="4"/>
        <v>393978143.97323197</v>
      </c>
      <c r="G50">
        <f t="shared" si="4"/>
        <v>393978143.97323197</v>
      </c>
      <c r="H50">
        <f t="shared" si="4"/>
        <v>393978143.97323197</v>
      </c>
      <c r="I50">
        <f t="shared" si="4"/>
        <v>393978143.97323197</v>
      </c>
      <c r="J50">
        <f t="shared" si="4"/>
        <v>393978143.97323197</v>
      </c>
      <c r="K50">
        <f t="shared" si="4"/>
        <v>393978143.97323197</v>
      </c>
      <c r="L50">
        <f t="shared" si="4"/>
        <v>393978143.97323197</v>
      </c>
      <c r="M50">
        <f t="shared" si="4"/>
        <v>393978143.97323197</v>
      </c>
      <c r="N50">
        <f t="shared" si="4"/>
        <v>393978143.97323197</v>
      </c>
      <c r="O50">
        <f t="shared" si="4"/>
        <v>393978143.97323197</v>
      </c>
      <c r="P50">
        <f t="shared" si="4"/>
        <v>393978143.97323197</v>
      </c>
      <c r="Q50">
        <f t="shared" si="4"/>
        <v>393978143.97323197</v>
      </c>
      <c r="R50">
        <f t="shared" si="4"/>
        <v>393978143.97323197</v>
      </c>
      <c r="S50">
        <f t="shared" si="4"/>
        <v>393978143.97323197</v>
      </c>
      <c r="T50">
        <f t="shared" si="4"/>
        <v>393978143.97323197</v>
      </c>
      <c r="U50">
        <f t="shared" si="4"/>
        <v>393978143.97323197</v>
      </c>
      <c r="V50">
        <f t="shared" si="4"/>
        <v>393978143.97323197</v>
      </c>
      <c r="W50">
        <f t="shared" si="4"/>
        <v>393978143.97323197</v>
      </c>
      <c r="X50">
        <f t="shared" si="4"/>
        <v>393978143.97323197</v>
      </c>
      <c r="Y50">
        <f t="shared" si="4"/>
        <v>393978143.97323197</v>
      </c>
      <c r="Z50">
        <f t="shared" si="4"/>
        <v>393978143.97323197</v>
      </c>
      <c r="AA50">
        <f t="shared" si="4"/>
        <v>393978143.97323197</v>
      </c>
    </row>
    <row r="51" spans="1:27" x14ac:dyDescent="0.25">
      <c r="A51" t="s">
        <v>123</v>
      </c>
      <c r="B51">
        <f>B50/(1+'Study Parameters'!$C$4) ^'Production Cost Baseline'!B$2</f>
        <v>947660000.00000012</v>
      </c>
      <c r="C51">
        <f>C50/(1+'Study Parameters'!$C$4) ^'Production Cost Baseline'!C$2</f>
        <v>366491296.71928555</v>
      </c>
      <c r="D51">
        <f>D50/(1+'Study Parameters'!$C$4) ^'Production Cost Baseline'!D$2</f>
        <v>340922136.48305637</v>
      </c>
      <c r="E51">
        <f>E50/(1+'Study Parameters'!$C$4) ^'Production Cost Baseline'!E$2</f>
        <v>317136871.14702916</v>
      </c>
      <c r="F51">
        <f>F50/(1+'Study Parameters'!$C$4) ^'Production Cost Baseline'!F$2</f>
        <v>295011042.92746902</v>
      </c>
      <c r="G51">
        <f>G50/(1+'Study Parameters'!$C$4) ^'Production Cost Baseline'!G$2</f>
        <v>274428877.14183164</v>
      </c>
      <c r="H51">
        <f>H50/(1+'Study Parameters'!$C$4) ^'Production Cost Baseline'!H$2</f>
        <v>255282676.41100618</v>
      </c>
      <c r="I51">
        <f>I50/(1+'Study Parameters'!$C$4) ^'Production Cost Baseline'!I$2</f>
        <v>237472257.12651739</v>
      </c>
      <c r="J51">
        <f>J50/(1+'Study Parameters'!$C$4) ^'Production Cost Baseline'!J$2</f>
        <v>220904425.23396966</v>
      </c>
      <c r="K51">
        <f>K50/(1+'Study Parameters'!$C$4) ^'Production Cost Baseline'!K$2</f>
        <v>205492488.58973923</v>
      </c>
      <c r="L51">
        <f>L50/(1+'Study Parameters'!$C$4) ^'Production Cost Baseline'!L$2</f>
        <v>191155803.33929235</v>
      </c>
      <c r="M51">
        <f>M50/(1+'Study Parameters'!$C$4) ^'Production Cost Baseline'!M$2</f>
        <v>177819351.94352773</v>
      </c>
      <c r="N51">
        <f>N50/(1+'Study Parameters'!$C$4) ^'Production Cost Baseline'!N$2</f>
        <v>165413350.64514208</v>
      </c>
      <c r="O51">
        <f>O50/(1+'Study Parameters'!$C$4) ^'Production Cost Baseline'!O$2</f>
        <v>153872884.32106239</v>
      </c>
      <c r="P51">
        <f>P50/(1+'Study Parameters'!$C$4) ^'Production Cost Baseline'!P$2</f>
        <v>143137566.8102906</v>
      </c>
      <c r="Q51">
        <f>Q50/(1+'Study Parameters'!$C$4) ^'Production Cost Baseline'!Q$2</f>
        <v>133151224.93980522</v>
      </c>
      <c r="R51">
        <f>R50/(1+'Study Parameters'!$C$4) ^'Production Cost Baseline'!R$2</f>
        <v>123861604.59516765</v>
      </c>
      <c r="S51">
        <f>S50/(1+'Study Parameters'!$C$4) ^'Production Cost Baseline'!S$2</f>
        <v>115220097.29783039</v>
      </c>
      <c r="T51">
        <f>T50/(1+'Study Parameters'!$C$4) ^'Production Cost Baseline'!T$2</f>
        <v>107181485.85844688</v>
      </c>
      <c r="U51">
        <f>U50/(1+'Study Parameters'!$C$4) ^'Production Cost Baseline'!U$2</f>
        <v>99703707.775299415</v>
      </c>
      <c r="V51">
        <f>V50/(1+'Study Parameters'!$C$4) ^'Production Cost Baseline'!V$2</f>
        <v>92747635.139813408</v>
      </c>
      <c r="W51">
        <f>W50/(1+'Study Parameters'!$C$4) ^'Production Cost Baseline'!W$2</f>
        <v>86276869.897500843</v>
      </c>
      <c r="X51">
        <f>X50/(1+'Study Parameters'!$C$4) ^'Production Cost Baseline'!X$2</f>
        <v>80257553.393024042</v>
      </c>
      <c r="Y51">
        <f>Y50/(1+'Study Parameters'!$C$4) ^'Production Cost Baseline'!Y$2</f>
        <v>74658189.202813059</v>
      </c>
      <c r="Z51">
        <f>Z50/(1+'Study Parameters'!$C$4) ^'Production Cost Baseline'!Z$2</f>
        <v>69449478.328198209</v>
      </c>
      <c r="AA51">
        <f>AA50/(1+'Study Parameters'!$C$4) ^'Production Cost Baseline'!AA$2</f>
        <v>64604165.886696003</v>
      </c>
    </row>
    <row r="52" spans="1:27" x14ac:dyDescent="0.25">
      <c r="A52" t="s">
        <v>124</v>
      </c>
      <c r="B52">
        <v>0</v>
      </c>
      <c r="C52">
        <f>'Study Parameters'!$C$16*'Study Parameters'!$C$8 * 10^3</f>
        <v>54400000</v>
      </c>
      <c r="D52">
        <f>'Study Parameters'!$C$16*'Study Parameters'!$C$8 * 10^3</f>
        <v>54400000</v>
      </c>
      <c r="E52">
        <f>'Study Parameters'!$C$16*'Study Parameters'!$C$8 * 10^3</f>
        <v>54400000</v>
      </c>
      <c r="F52">
        <f>'Study Parameters'!$C$16*'Study Parameters'!$C$8 * 10^3</f>
        <v>54400000</v>
      </c>
      <c r="G52">
        <f>'Study Parameters'!$C$16*'Study Parameters'!$C$8 * 10^3</f>
        <v>54400000</v>
      </c>
      <c r="H52">
        <f>'Study Parameters'!$C$16*'Study Parameters'!$C$8 * 10^3</f>
        <v>54400000</v>
      </c>
      <c r="I52">
        <f>'Study Parameters'!$C$16*'Study Parameters'!$C$8 * 10^3</f>
        <v>54400000</v>
      </c>
      <c r="J52">
        <f>'Study Parameters'!$C$16*'Study Parameters'!$C$8 * 10^3</f>
        <v>54400000</v>
      </c>
      <c r="K52">
        <f>'Study Parameters'!$C$16*'Study Parameters'!$C$8 * 10^3</f>
        <v>54400000</v>
      </c>
      <c r="L52">
        <f>'Study Parameters'!$C$16*'Study Parameters'!$C$8 * 10^3</f>
        <v>54400000</v>
      </c>
      <c r="M52">
        <f>'Study Parameters'!$C$16*'Study Parameters'!$C$8 * 10^3</f>
        <v>54400000</v>
      </c>
      <c r="N52">
        <f>'Study Parameters'!$C$16*'Study Parameters'!$C$8 * 10^3</f>
        <v>54400000</v>
      </c>
      <c r="O52">
        <f>'Study Parameters'!$C$16*'Study Parameters'!$C$8 * 10^3</f>
        <v>54400000</v>
      </c>
      <c r="P52">
        <f>'Study Parameters'!$C$16*'Study Parameters'!$C$8 * 10^3</f>
        <v>54400000</v>
      </c>
      <c r="Q52">
        <f>'Study Parameters'!$C$16*'Study Parameters'!$C$8 * 10^3</f>
        <v>54400000</v>
      </c>
      <c r="R52">
        <f>'Study Parameters'!$C$16*'Study Parameters'!$C$8 * 10^3</f>
        <v>54400000</v>
      </c>
      <c r="S52">
        <f>'Study Parameters'!$C$16*'Study Parameters'!$C$8 * 10^3</f>
        <v>54400000</v>
      </c>
      <c r="T52">
        <f>'Study Parameters'!$C$16*'Study Parameters'!$C$8 * 10^3</f>
        <v>54400000</v>
      </c>
      <c r="U52">
        <f>'Study Parameters'!$C$16*'Study Parameters'!$C$8 * 10^3</f>
        <v>54400000</v>
      </c>
      <c r="V52">
        <f>'Study Parameters'!$C$16*'Study Parameters'!$C$8 * 10^3</f>
        <v>54400000</v>
      </c>
      <c r="W52">
        <f>'Study Parameters'!$C$16*'Study Parameters'!$C$8 * 10^3</f>
        <v>54400000</v>
      </c>
      <c r="X52">
        <f>'Study Parameters'!$C$16*'Study Parameters'!$C$8 * 10^3</f>
        <v>54400000</v>
      </c>
      <c r="Y52">
        <f>'Study Parameters'!$C$16*'Study Parameters'!$C$8 * 10^3</f>
        <v>54400000</v>
      </c>
      <c r="Z52">
        <f>'Study Parameters'!$C$16*'Study Parameters'!$C$8 * 10^3</f>
        <v>54400000</v>
      </c>
      <c r="AA52">
        <f>'Study Parameters'!$C$16*'Study Parameters'!$C$8 * 10^3</f>
        <v>54400000</v>
      </c>
    </row>
    <row r="53" spans="1:27" x14ac:dyDescent="0.25">
      <c r="A53" t="s">
        <v>125</v>
      </c>
      <c r="B53">
        <v>0</v>
      </c>
      <c r="C53">
        <f>C52/(1+'Study Parameters'!$C$4) ^'Production Cost Baseline'!C$2</f>
        <v>50604651.162790701</v>
      </c>
      <c r="D53">
        <f>D52/(1+'Study Parameters'!$C$4) ^'Production Cost Baseline'!D$2</f>
        <v>47074094.104921587</v>
      </c>
      <c r="E53">
        <f>E52/(1+'Study Parameters'!$C$4) ^'Production Cost Baseline'!E$2</f>
        <v>43789854.981322408</v>
      </c>
      <c r="F53">
        <f>F52/(1+'Study Parameters'!$C$4) ^'Production Cost Baseline'!F$2</f>
        <v>40734748.819834791</v>
      </c>
      <c r="G53">
        <f>G52/(1+'Study Parameters'!$C$4) ^'Production Cost Baseline'!G$2</f>
        <v>37892789.599846318</v>
      </c>
      <c r="H53">
        <f>H52/(1+'Study Parameters'!$C$4) ^'Production Cost Baseline'!H$2</f>
        <v>35249106.604508206</v>
      </c>
      <c r="I53">
        <f>I52/(1+'Study Parameters'!$C$4) ^'Production Cost Baseline'!I$2</f>
        <v>32789866.608844843</v>
      </c>
      <c r="J53">
        <f>J52/(1+'Study Parameters'!$C$4) ^'Production Cost Baseline'!J$2</f>
        <v>30502201.496599857</v>
      </c>
      <c r="K53">
        <f>K52/(1+'Study Parameters'!$C$4) ^'Production Cost Baseline'!K$2</f>
        <v>28374140.927069634</v>
      </c>
      <c r="L53">
        <f>L52/(1+'Study Parameters'!$C$4) ^'Production Cost Baseline'!L$2</f>
        <v>26394549.699599665</v>
      </c>
      <c r="M53">
        <f>M52/(1+'Study Parameters'!$C$4) ^'Production Cost Baseline'!M$2</f>
        <v>24553069.487999685</v>
      </c>
      <c r="N53">
        <f>N52/(1+'Study Parameters'!$C$4) ^'Production Cost Baseline'!N$2</f>
        <v>22840064.639999706</v>
      </c>
      <c r="O53">
        <f>O52/(1+'Study Parameters'!$C$4) ^'Production Cost Baseline'!O$2</f>
        <v>21246571.75813926</v>
      </c>
      <c r="P53">
        <f>P52/(1+'Study Parameters'!$C$4) ^'Production Cost Baseline'!P$2</f>
        <v>19764252.798269082</v>
      </c>
      <c r="Q53">
        <f>Q52/(1+'Study Parameters'!$C$4) ^'Production Cost Baseline'!Q$2</f>
        <v>18385351.440250307</v>
      </c>
      <c r="R53">
        <f>R52/(1+'Study Parameters'!$C$4) ^'Production Cost Baseline'!R$2</f>
        <v>17102652.502558429</v>
      </c>
      <c r="S53">
        <f>S52/(1+'Study Parameters'!$C$4) ^'Production Cost Baseline'!S$2</f>
        <v>15909444.188426446</v>
      </c>
      <c r="T53">
        <f>T52/(1+'Study Parameters'!$C$4) ^'Production Cost Baseline'!T$2</f>
        <v>14799482.96597809</v>
      </c>
      <c r="U53">
        <f>U52/(1+'Study Parameters'!$C$4) ^'Production Cost Baseline'!U$2</f>
        <v>13766960.898584269</v>
      </c>
      <c r="V53">
        <f>V52/(1+'Study Parameters'!$C$4) ^'Production Cost Baseline'!V$2</f>
        <v>12806475.254496995</v>
      </c>
      <c r="W53">
        <f>W52/(1+'Study Parameters'!$C$4) ^'Production Cost Baseline'!W$2</f>
        <v>11913000.23674139</v>
      </c>
      <c r="X53">
        <f>X52/(1+'Study Parameters'!$C$4) ^'Production Cost Baseline'!X$2</f>
        <v>11081860.685340829</v>
      </c>
      <c r="Y53">
        <f>Y52/(1+'Study Parameters'!$C$4) ^'Production Cost Baseline'!Y$2</f>
        <v>10308707.614270538</v>
      </c>
      <c r="Z53">
        <f>Z52/(1+'Study Parameters'!$C$4) ^'Production Cost Baseline'!Z$2</f>
        <v>9589495.4551353846</v>
      </c>
      <c r="AA53">
        <f>AA52/(1+'Study Parameters'!$C$4) ^'Production Cost Baseline'!AA$2</f>
        <v>8920460.8884980325</v>
      </c>
    </row>
    <row r="55" spans="1:27" x14ac:dyDescent="0.25">
      <c r="A55" t="s">
        <v>126</v>
      </c>
      <c r="B55">
        <f>SUM(B51:AA51) / SUM(C53:AA53)</f>
        <v>8.805024982877649</v>
      </c>
    </row>
    <row r="56" spans="1:27" x14ac:dyDescent="0.25">
      <c r="A56" t="s">
        <v>127</v>
      </c>
      <c r="B56">
        <f>B55 * Inputs!$C$15</f>
        <v>7.0704350612507527</v>
      </c>
    </row>
    <row r="58" spans="1:27" x14ac:dyDescent="0.25">
      <c r="A58" s="11">
        <v>2050</v>
      </c>
    </row>
    <row r="59" spans="1:27" x14ac:dyDescent="0.25">
      <c r="A59" s="1" t="s">
        <v>128</v>
      </c>
    </row>
    <row r="60" spans="1:27" x14ac:dyDescent="0.25">
      <c r="A60" t="s">
        <v>120</v>
      </c>
      <c r="B60">
        <f>'Cost Components'!$M$43 * 10^6</f>
        <v>428200000</v>
      </c>
      <c r="C60" s="15">
        <f>('Cost Components'!$M$44 + 'Cost Components'!$M$42)*10^6</f>
        <v>268701747.37606341</v>
      </c>
      <c r="D60" s="15">
        <f>('Cost Components'!$M$44 + 'Cost Components'!$M$42)*10^6</f>
        <v>268701747.37606341</v>
      </c>
      <c r="E60" s="15">
        <f>('Cost Components'!$M$44 + 'Cost Components'!$M$42)*10^6</f>
        <v>268701747.37606341</v>
      </c>
      <c r="F60" s="15">
        <f>('Cost Components'!$M$44 + 'Cost Components'!$M$42)*10^6</f>
        <v>268701747.37606341</v>
      </c>
      <c r="G60" s="15">
        <f>('Cost Components'!$M$44 + 'Cost Components'!$M$42)*10^6</f>
        <v>268701747.37606341</v>
      </c>
      <c r="H60" s="15">
        <f>('Cost Components'!$M$44 + 'Cost Components'!$M$42)*10^6</f>
        <v>268701747.37606341</v>
      </c>
      <c r="I60" s="15">
        <f>('Cost Components'!$M$44 + 'Cost Components'!$M$42)*10^6</f>
        <v>268701747.37606341</v>
      </c>
      <c r="J60" s="15">
        <f>('Cost Components'!$M$44 + 'Cost Components'!$M$42)*10^6</f>
        <v>268701747.37606341</v>
      </c>
      <c r="K60" s="15">
        <f>('Cost Components'!$M$44 + 'Cost Components'!$M$42)*10^6</f>
        <v>268701747.37606341</v>
      </c>
      <c r="L60" s="15">
        <f>('Cost Components'!$M$44 + 'Cost Components'!$M$42)*10^6</f>
        <v>268701747.37606341</v>
      </c>
      <c r="M60" s="15">
        <f>('Cost Components'!$M$44 + 'Cost Components'!$M$42)*10^6</f>
        <v>268701747.37606341</v>
      </c>
      <c r="N60" s="15">
        <f>('Cost Components'!$M$44 + 'Cost Components'!$M$42)*10^6</f>
        <v>268701747.37606341</v>
      </c>
      <c r="O60" s="15">
        <f>('Cost Components'!$M$44 + 'Cost Components'!$M$42)*10^6</f>
        <v>268701747.37606341</v>
      </c>
      <c r="P60" s="15">
        <f>('Cost Components'!$M$44 + 'Cost Components'!$M$42)*10^6</f>
        <v>268701747.37606341</v>
      </c>
      <c r="Q60" s="15">
        <f>('Cost Components'!$M$44 + 'Cost Components'!$M$42)*10^6</f>
        <v>268701747.37606341</v>
      </c>
      <c r="R60" s="15">
        <f>('Cost Components'!$M$44 + 'Cost Components'!$M$42)*10^6</f>
        <v>268701747.37606341</v>
      </c>
      <c r="S60" s="15">
        <f>('Cost Components'!$M$44 + 'Cost Components'!$M$42)*10^6</f>
        <v>268701747.37606341</v>
      </c>
      <c r="T60" s="15">
        <f>('Cost Components'!$M$44 + 'Cost Components'!$M$42)*10^6</f>
        <v>268701747.37606341</v>
      </c>
      <c r="U60" s="15">
        <f>('Cost Components'!$M$44 + 'Cost Components'!$M$42)*10^6</f>
        <v>268701747.37606341</v>
      </c>
      <c r="V60" s="15">
        <f>('Cost Components'!$M$44 + 'Cost Components'!$M$42)*10^6</f>
        <v>268701747.37606341</v>
      </c>
      <c r="W60" s="15">
        <f>('Cost Components'!$M$44 + 'Cost Components'!$M$42)*10^6</f>
        <v>268701747.37606341</v>
      </c>
      <c r="X60" s="15">
        <f>('Cost Components'!$M$44 + 'Cost Components'!$M$42)*10^6</f>
        <v>268701747.37606341</v>
      </c>
      <c r="Y60" s="15">
        <f>('Cost Components'!$M$44 + 'Cost Components'!$M$42)*10^6</f>
        <v>268701747.37606341</v>
      </c>
      <c r="Z60" s="15">
        <f>('Cost Components'!$M$44 + 'Cost Components'!$M$42)*10^6</f>
        <v>268701747.37606341</v>
      </c>
      <c r="AA60" s="15">
        <f>('Cost Components'!$M$44 + 'Cost Components'!$M$42)*10^6</f>
        <v>268701747.37606341</v>
      </c>
    </row>
    <row r="61" spans="1:27" x14ac:dyDescent="0.25">
      <c r="A61" t="s">
        <v>121</v>
      </c>
      <c r="B61">
        <v>0</v>
      </c>
      <c r="C61">
        <f>'Cost Components'!$M$36 * 10^6</f>
        <v>149900000</v>
      </c>
      <c r="D61">
        <f>'Cost Components'!$M$36 * 10^6</f>
        <v>149900000</v>
      </c>
      <c r="E61">
        <f>'Cost Components'!$M$36 * 10^6</f>
        <v>149900000</v>
      </c>
      <c r="F61">
        <f>'Cost Components'!$M$36 * 10^6</f>
        <v>149900000</v>
      </c>
      <c r="G61">
        <f>'Cost Components'!$M$36 * 10^6</f>
        <v>149900000</v>
      </c>
      <c r="H61">
        <f>'Cost Components'!$M$36 * 10^6</f>
        <v>149900000</v>
      </c>
      <c r="I61">
        <f>'Cost Components'!$M$36 * 10^6</f>
        <v>149900000</v>
      </c>
      <c r="J61">
        <f>'Cost Components'!$M$36 * 10^6</f>
        <v>149900000</v>
      </c>
      <c r="K61">
        <f>'Cost Components'!$M$36 * 10^6</f>
        <v>149900000</v>
      </c>
      <c r="L61">
        <f>'Cost Components'!$M$36 * 10^6</f>
        <v>149900000</v>
      </c>
      <c r="M61">
        <f>'Cost Components'!$M$36 * 10^6</f>
        <v>149900000</v>
      </c>
      <c r="N61">
        <f>'Cost Components'!$M$36 * 10^6</f>
        <v>149900000</v>
      </c>
      <c r="O61">
        <f>'Cost Components'!$M$36 * 10^6</f>
        <v>149900000</v>
      </c>
      <c r="P61">
        <f>'Cost Components'!$M$36 * 10^6</f>
        <v>149900000</v>
      </c>
      <c r="Q61">
        <f>'Cost Components'!$M$36 * 10^6</f>
        <v>149900000</v>
      </c>
      <c r="R61">
        <f>'Cost Components'!$M$36 * 10^6</f>
        <v>149900000</v>
      </c>
      <c r="S61">
        <f>'Cost Components'!$M$36 * 10^6</f>
        <v>149900000</v>
      </c>
      <c r="T61">
        <f>'Cost Components'!$M$36 * 10^6</f>
        <v>149900000</v>
      </c>
      <c r="U61">
        <f>'Cost Components'!$M$36 * 10^6</f>
        <v>149900000</v>
      </c>
      <c r="V61">
        <f>'Cost Components'!$M$36 * 10^6</f>
        <v>149900000</v>
      </c>
      <c r="W61">
        <f>'Cost Components'!$M$36 * 10^6</f>
        <v>149900000</v>
      </c>
      <c r="X61">
        <f>'Cost Components'!$M$36 * 10^6</f>
        <v>149900000</v>
      </c>
      <c r="Y61">
        <f>'Cost Components'!$M$36 * 10^6</f>
        <v>149900000</v>
      </c>
      <c r="Z61">
        <f>'Cost Components'!$M$36 * 10^6</f>
        <v>149900000</v>
      </c>
      <c r="AA61">
        <f>'Cost Components'!$M$36 * 10^6</f>
        <v>149900000</v>
      </c>
    </row>
    <row r="62" spans="1:27" x14ac:dyDescent="0.25">
      <c r="A62" t="s">
        <v>122</v>
      </c>
      <c r="B62">
        <f t="shared" ref="B62:AA62" si="5">B60-B61</f>
        <v>428200000</v>
      </c>
      <c r="C62">
        <f t="shared" si="5"/>
        <v>118801747.37606341</v>
      </c>
      <c r="D62">
        <f t="shared" si="5"/>
        <v>118801747.37606341</v>
      </c>
      <c r="E62">
        <f t="shared" si="5"/>
        <v>118801747.37606341</v>
      </c>
      <c r="F62">
        <f t="shared" si="5"/>
        <v>118801747.37606341</v>
      </c>
      <c r="G62">
        <f t="shared" si="5"/>
        <v>118801747.37606341</v>
      </c>
      <c r="H62">
        <f t="shared" si="5"/>
        <v>118801747.37606341</v>
      </c>
      <c r="I62">
        <f t="shared" si="5"/>
        <v>118801747.37606341</v>
      </c>
      <c r="J62">
        <f t="shared" si="5"/>
        <v>118801747.37606341</v>
      </c>
      <c r="K62">
        <f t="shared" si="5"/>
        <v>118801747.37606341</v>
      </c>
      <c r="L62">
        <f t="shared" si="5"/>
        <v>118801747.37606341</v>
      </c>
      <c r="M62">
        <f t="shared" si="5"/>
        <v>118801747.37606341</v>
      </c>
      <c r="N62">
        <f t="shared" si="5"/>
        <v>118801747.37606341</v>
      </c>
      <c r="O62">
        <f t="shared" si="5"/>
        <v>118801747.37606341</v>
      </c>
      <c r="P62">
        <f t="shared" si="5"/>
        <v>118801747.37606341</v>
      </c>
      <c r="Q62">
        <f t="shared" si="5"/>
        <v>118801747.37606341</v>
      </c>
      <c r="R62">
        <f t="shared" si="5"/>
        <v>118801747.37606341</v>
      </c>
      <c r="S62">
        <f t="shared" si="5"/>
        <v>118801747.37606341</v>
      </c>
      <c r="T62">
        <f t="shared" si="5"/>
        <v>118801747.37606341</v>
      </c>
      <c r="U62">
        <f t="shared" si="5"/>
        <v>118801747.37606341</v>
      </c>
      <c r="V62">
        <f t="shared" si="5"/>
        <v>118801747.37606341</v>
      </c>
      <c r="W62">
        <f t="shared" si="5"/>
        <v>118801747.37606341</v>
      </c>
      <c r="X62">
        <f t="shared" si="5"/>
        <v>118801747.37606341</v>
      </c>
      <c r="Y62">
        <f t="shared" si="5"/>
        <v>118801747.37606341</v>
      </c>
      <c r="Z62">
        <f t="shared" si="5"/>
        <v>118801747.37606341</v>
      </c>
      <c r="AA62">
        <f t="shared" si="5"/>
        <v>118801747.37606341</v>
      </c>
    </row>
    <row r="63" spans="1:27" x14ac:dyDescent="0.25">
      <c r="A63" t="s">
        <v>123</v>
      </c>
      <c r="B63">
        <f>B62/(1+'Study Parameters'!$C$4) ^'Production Cost Baseline'!B$2</f>
        <v>428200000</v>
      </c>
      <c r="C63">
        <f>C62/(1+'Study Parameters'!$C$4) ^'Production Cost Baseline'!C$2</f>
        <v>110513253.37308225</v>
      </c>
      <c r="D63">
        <f>D62/(1+'Study Parameters'!$C$4) ^'Production Cost Baseline'!D$2</f>
        <v>102803026.39356488</v>
      </c>
      <c r="E63">
        <f>E62/(1+'Study Parameters'!$C$4) ^'Production Cost Baseline'!E$2</f>
        <v>95630722.226571992</v>
      </c>
      <c r="F63">
        <f>F62/(1+'Study Parameters'!$C$4) ^'Production Cost Baseline'!F$2</f>
        <v>88958811.373555332</v>
      </c>
      <c r="G63">
        <f>G62/(1+'Study Parameters'!$C$4) ^'Production Cost Baseline'!G$2</f>
        <v>82752382.673074722</v>
      </c>
      <c r="H63">
        <f>H62/(1+'Study Parameters'!$C$4) ^'Production Cost Baseline'!H$2</f>
        <v>76978960.626116037</v>
      </c>
      <c r="I63">
        <f>I62/(1+'Study Parameters'!$C$4) ^'Production Cost Baseline'!I$2</f>
        <v>71608335.466154441</v>
      </c>
      <c r="J63">
        <f>J62/(1+'Study Parameters'!$C$4) ^'Production Cost Baseline'!J$2</f>
        <v>66612405.084794842</v>
      </c>
      <c r="K63">
        <f>K62/(1+'Study Parameters'!$C$4) ^'Production Cost Baseline'!K$2</f>
        <v>61965027.985855661</v>
      </c>
      <c r="L63">
        <f>L62/(1+'Study Parameters'!$C$4) ^'Production Cost Baseline'!L$2</f>
        <v>57641886.498470396</v>
      </c>
      <c r="M63">
        <f>M62/(1+'Study Parameters'!$C$4) ^'Production Cost Baseline'!M$2</f>
        <v>53620359.533460826</v>
      </c>
      <c r="N63">
        <f>N62/(1+'Study Parameters'!$C$4) ^'Production Cost Baseline'!N$2</f>
        <v>49879404.217172861</v>
      </c>
      <c r="O63">
        <f>O62/(1+'Study Parameters'!$C$4) ^'Production Cost Baseline'!O$2</f>
        <v>46399445.783416614</v>
      </c>
      <c r="P63">
        <f>P62/(1+'Study Parameters'!$C$4) ^'Production Cost Baseline'!P$2</f>
        <v>43162275.147364296</v>
      </c>
      <c r="Q63">
        <f>Q62/(1+'Study Parameters'!$C$4) ^'Production Cost Baseline'!Q$2</f>
        <v>40150953.625455163</v>
      </c>
      <c r="R63">
        <f>R62/(1+'Study Parameters'!$C$4) ^'Production Cost Baseline'!R$2</f>
        <v>37349724.302748986</v>
      </c>
      <c r="S63">
        <f>S62/(1+'Study Parameters'!$C$4) ^'Production Cost Baseline'!S$2</f>
        <v>34743929.583952554</v>
      </c>
      <c r="T63">
        <f>T62/(1+'Study Parameters'!$C$4) ^'Production Cost Baseline'!T$2</f>
        <v>32319934.496700048</v>
      </c>
      <c r="U63">
        <f>U62/(1+'Study Parameters'!$C$4) ^'Production Cost Baseline'!U$2</f>
        <v>30065055.345767487</v>
      </c>
      <c r="V63">
        <f>V62/(1+'Study Parameters'!$C$4) ^'Production Cost Baseline'!V$2</f>
        <v>27967493.34489999</v>
      </c>
      <c r="W63">
        <f>W62/(1+'Study Parameters'!$C$4) ^'Production Cost Baseline'!W$2</f>
        <v>26016272.878976729</v>
      </c>
      <c r="X63">
        <f>X62/(1+'Study Parameters'!$C$4) ^'Production Cost Baseline'!X$2</f>
        <v>24201184.073466729</v>
      </c>
      <c r="Y63">
        <f>Y62/(1+'Study Parameters'!$C$4) ^'Production Cost Baseline'!Y$2</f>
        <v>22512729.370666724</v>
      </c>
      <c r="Z63">
        <f>Z62/(1+'Study Parameters'!$C$4) ^'Production Cost Baseline'!Z$2</f>
        <v>20942073.833178349</v>
      </c>
      <c r="AA63">
        <f>AA62/(1+'Study Parameters'!$C$4) ^'Production Cost Baseline'!AA$2</f>
        <v>19480998.91458451</v>
      </c>
    </row>
    <row r="64" spans="1:27" x14ac:dyDescent="0.25">
      <c r="A64" t="s">
        <v>124</v>
      </c>
      <c r="B64">
        <v>0</v>
      </c>
      <c r="C64">
        <f>'Study Parameters'!$C$12*'Study Parameters'!$C$8 * 10^3</f>
        <v>69600000</v>
      </c>
      <c r="D64">
        <f>'Study Parameters'!$C$12*'Study Parameters'!$C$8 * 10^3</f>
        <v>69600000</v>
      </c>
      <c r="E64">
        <f>'Study Parameters'!$C$12*'Study Parameters'!$C$8 * 10^3</f>
        <v>69600000</v>
      </c>
      <c r="F64">
        <f>'Study Parameters'!$C$12*'Study Parameters'!$C$8 * 10^3</f>
        <v>69600000</v>
      </c>
      <c r="G64">
        <f>'Study Parameters'!$C$12*'Study Parameters'!$C$8 * 10^3</f>
        <v>69600000</v>
      </c>
      <c r="H64">
        <f>'Study Parameters'!$C$12*'Study Parameters'!$C$8 * 10^3</f>
        <v>69600000</v>
      </c>
      <c r="I64">
        <f>'Study Parameters'!$C$12*'Study Parameters'!$C$8 * 10^3</f>
        <v>69600000</v>
      </c>
      <c r="J64">
        <f>'Study Parameters'!$C$12*'Study Parameters'!$C$8 * 10^3</f>
        <v>69600000</v>
      </c>
      <c r="K64">
        <f>'Study Parameters'!$C$12*'Study Parameters'!$C$8 * 10^3</f>
        <v>69600000</v>
      </c>
      <c r="L64">
        <f>'Study Parameters'!$C$12*'Study Parameters'!$C$8 * 10^3</f>
        <v>69600000</v>
      </c>
      <c r="M64">
        <f>'Study Parameters'!$C$12*'Study Parameters'!$C$8 * 10^3</f>
        <v>69600000</v>
      </c>
      <c r="N64">
        <f>'Study Parameters'!$C$12*'Study Parameters'!$C$8 * 10^3</f>
        <v>69600000</v>
      </c>
      <c r="O64">
        <f>'Study Parameters'!$C$12*'Study Parameters'!$C$8 * 10^3</f>
        <v>69600000</v>
      </c>
      <c r="P64">
        <f>'Study Parameters'!$C$12*'Study Parameters'!$C$8 * 10^3</f>
        <v>69600000</v>
      </c>
      <c r="Q64">
        <f>'Study Parameters'!$C$12*'Study Parameters'!$C$8 * 10^3</f>
        <v>69600000</v>
      </c>
      <c r="R64">
        <f>'Study Parameters'!$C$12*'Study Parameters'!$C$8 * 10^3</f>
        <v>69600000</v>
      </c>
      <c r="S64">
        <f>'Study Parameters'!$C$12*'Study Parameters'!$C$8 * 10^3</f>
        <v>69600000</v>
      </c>
      <c r="T64">
        <f>'Study Parameters'!$C$12*'Study Parameters'!$C$8 * 10^3</f>
        <v>69600000</v>
      </c>
      <c r="U64">
        <f>'Study Parameters'!$C$12*'Study Parameters'!$C$8 * 10^3</f>
        <v>69600000</v>
      </c>
      <c r="V64">
        <f>'Study Parameters'!$C$12*'Study Parameters'!$C$8 * 10^3</f>
        <v>69600000</v>
      </c>
      <c r="W64">
        <f>'Study Parameters'!$C$12*'Study Parameters'!$C$8 * 10^3</f>
        <v>69600000</v>
      </c>
      <c r="X64">
        <f>'Study Parameters'!$C$12*'Study Parameters'!$C$8 * 10^3</f>
        <v>69600000</v>
      </c>
      <c r="Y64">
        <f>'Study Parameters'!$C$12*'Study Parameters'!$C$8 * 10^3</f>
        <v>69600000</v>
      </c>
      <c r="Z64">
        <f>'Study Parameters'!$C$12*'Study Parameters'!$C$8 * 10^3</f>
        <v>69600000</v>
      </c>
      <c r="AA64">
        <f>'Study Parameters'!$C$12*'Study Parameters'!$C$8 * 10^3</f>
        <v>69600000</v>
      </c>
    </row>
    <row r="65" spans="1:27" x14ac:dyDescent="0.25">
      <c r="A65" t="s">
        <v>125</v>
      </c>
      <c r="B65">
        <f>B64/(1+'Study Parameters'!$C$4) ^'Production Cost Baseline'!B$2</f>
        <v>0</v>
      </c>
      <c r="C65">
        <f>C64/(1+'Study Parameters'!$C$4) ^'Production Cost Baseline'!C$2</f>
        <v>64744186.046511628</v>
      </c>
      <c r="D65">
        <f>D64/(1+'Study Parameters'!$C$4) ^'Production Cost Baseline'!D$2</f>
        <v>60227149.810708493</v>
      </c>
      <c r="E65">
        <f>E64/(1+'Study Parameters'!$C$4) ^'Production Cost Baseline'!E$2</f>
        <v>56025255.637868367</v>
      </c>
      <c r="F65">
        <f>F64/(1+'Study Parameters'!$C$4) ^'Production Cost Baseline'!F$2</f>
        <v>52116516.872435689</v>
      </c>
      <c r="G65">
        <f>G64/(1+'Study Parameters'!$C$4) ^'Production Cost Baseline'!G$2</f>
        <v>48480480.811568081</v>
      </c>
      <c r="H65">
        <f>H64/(1+'Study Parameters'!$C$4) ^'Production Cost Baseline'!H$2</f>
        <v>45098121.685179621</v>
      </c>
      <c r="I65">
        <f>I64/(1+'Study Parameters'!$C$4) ^'Production Cost Baseline'!I$2</f>
        <v>41951741.102492668</v>
      </c>
      <c r="J65">
        <f>J64/(1+'Study Parameters'!$C$4) ^'Production Cost Baseline'!J$2</f>
        <v>39024875.444179229</v>
      </c>
      <c r="K65">
        <f>K64/(1+'Study Parameters'!$C$4) ^'Production Cost Baseline'!K$2</f>
        <v>36302209.715515561</v>
      </c>
      <c r="L65">
        <f>L64/(1+'Study Parameters'!$C$4) ^'Production Cost Baseline'!L$2</f>
        <v>33769497.409781925</v>
      </c>
      <c r="M65">
        <f>M64/(1+'Study Parameters'!$C$4) ^'Production Cost Baseline'!M$2</f>
        <v>31413485.96258783</v>
      </c>
      <c r="N65">
        <f>N64/(1+'Study Parameters'!$C$4) ^'Production Cost Baseline'!N$2</f>
        <v>29221847.407058448</v>
      </c>
      <c r="O65">
        <f>O64/(1+'Study Parameters'!$C$4) ^'Production Cost Baseline'!O$2</f>
        <v>27183113.867031112</v>
      </c>
      <c r="P65">
        <f>P64/(1+'Study Parameters'!$C$4) ^'Production Cost Baseline'!P$2</f>
        <v>25286617.550726619</v>
      </c>
      <c r="Q65">
        <f>Q64/(1+'Study Parameters'!$C$4) ^'Production Cost Baseline'!Q$2</f>
        <v>23522434.930908483</v>
      </c>
      <c r="R65">
        <f>R64/(1+'Study Parameters'!$C$4) ^'Production Cost Baseline'!R$2</f>
        <v>21881334.819449753</v>
      </c>
      <c r="S65">
        <f>S64/(1+'Study Parameters'!$C$4) ^'Production Cost Baseline'!S$2</f>
        <v>20354730.064604424</v>
      </c>
      <c r="T65">
        <f>T64/(1+'Study Parameters'!$C$4) ^'Production Cost Baseline'!T$2</f>
        <v>18934632.618236672</v>
      </c>
      <c r="U65">
        <f>U64/(1+'Study Parameters'!$C$4) ^'Production Cost Baseline'!U$2</f>
        <v>17613611.73789458</v>
      </c>
      <c r="V65">
        <f>V64/(1+'Study Parameters'!$C$4) ^'Production Cost Baseline'!V$2</f>
        <v>16384755.105018215</v>
      </c>
      <c r="W65">
        <f>W64/(1+'Study Parameters'!$C$4) ^'Production Cost Baseline'!W$2</f>
        <v>15241632.655830896</v>
      </c>
      <c r="X65">
        <f>X64/(1+'Study Parameters'!$C$4) ^'Production Cost Baseline'!X$2</f>
        <v>14178262.935656648</v>
      </c>
      <c r="Y65">
        <f>Y64/(1+'Study Parameters'!$C$4) ^'Production Cost Baseline'!Y$2</f>
        <v>13189081.800610837</v>
      </c>
      <c r="Z65">
        <f>Z64/(1+'Study Parameters'!$C$4) ^'Production Cost Baseline'!Z$2</f>
        <v>12268913.302893803</v>
      </c>
      <c r="AA65">
        <f>AA64/(1+'Study Parameters'!$C$4) ^'Production Cost Baseline'!AA$2</f>
        <v>11412942.60734307</v>
      </c>
    </row>
    <row r="67" spans="1:27" x14ac:dyDescent="0.25">
      <c r="A67" t="s">
        <v>126</v>
      </c>
      <c r="B67">
        <f>SUM(B63:AA63) / SUM(C65:AA65)</f>
        <v>2.2588485197752202</v>
      </c>
    </row>
    <row r="68" spans="1:27" x14ac:dyDescent="0.25">
      <c r="A68" t="s">
        <v>127</v>
      </c>
      <c r="B68">
        <f>B67 * Inputs!$C$15</f>
        <v>1.8138553613795019</v>
      </c>
    </row>
    <row r="70" spans="1:27" x14ac:dyDescent="0.25">
      <c r="A70" s="1" t="s">
        <v>130</v>
      </c>
    </row>
    <row r="71" spans="1:27" x14ac:dyDescent="0.25">
      <c r="A71" t="s">
        <v>120</v>
      </c>
      <c r="B71">
        <f>'Cost Components'!$N$43 * 10^6</f>
        <v>309400000</v>
      </c>
      <c r="C71" s="15">
        <f>('Cost Components'!$N$44 + 'Cost Components'!$N$42)*10^6</f>
        <v>232919631.97020155</v>
      </c>
      <c r="D71" s="15">
        <f>('Cost Components'!$N$44 + 'Cost Components'!$N$42)*10^6</f>
        <v>232919631.97020155</v>
      </c>
      <c r="E71" s="15">
        <f>('Cost Components'!$N$44 + 'Cost Components'!$N$42)*10^6</f>
        <v>232919631.97020155</v>
      </c>
      <c r="F71" s="15">
        <f>('Cost Components'!$N$44 + 'Cost Components'!$N$42)*10^6</f>
        <v>232919631.97020155</v>
      </c>
      <c r="G71" s="15">
        <f>('Cost Components'!$N$44 + 'Cost Components'!$N$42)*10^6</f>
        <v>232919631.97020155</v>
      </c>
      <c r="H71" s="15">
        <f>('Cost Components'!$N$44 + 'Cost Components'!$N$42)*10^6</f>
        <v>232919631.97020155</v>
      </c>
      <c r="I71" s="15">
        <f>('Cost Components'!$N$44 + 'Cost Components'!$N$42)*10^6</f>
        <v>232919631.97020155</v>
      </c>
      <c r="J71" s="15">
        <f>('Cost Components'!$N$44 + 'Cost Components'!$N$42)*10^6</f>
        <v>232919631.97020155</v>
      </c>
      <c r="K71" s="15">
        <f>('Cost Components'!$N$44 + 'Cost Components'!$N$42)*10^6</f>
        <v>232919631.97020155</v>
      </c>
      <c r="L71" s="15">
        <f>('Cost Components'!$N$44 + 'Cost Components'!$N$42)*10^6</f>
        <v>232919631.97020155</v>
      </c>
      <c r="M71" s="15">
        <f>('Cost Components'!$N$44 + 'Cost Components'!$N$42)*10^6</f>
        <v>232919631.97020155</v>
      </c>
      <c r="N71" s="15">
        <f>('Cost Components'!$N$44 + 'Cost Components'!$N$42)*10^6</f>
        <v>232919631.97020155</v>
      </c>
      <c r="O71" s="15">
        <f>('Cost Components'!$N$44 + 'Cost Components'!$N$42)*10^6</f>
        <v>232919631.97020155</v>
      </c>
      <c r="P71" s="15">
        <f>('Cost Components'!$N$44 + 'Cost Components'!$N$42)*10^6</f>
        <v>232919631.97020155</v>
      </c>
      <c r="Q71" s="15">
        <f>('Cost Components'!$N$44 + 'Cost Components'!$N$42)*10^6</f>
        <v>232919631.97020155</v>
      </c>
      <c r="R71" s="15">
        <f>('Cost Components'!$N$44 + 'Cost Components'!$N$42)*10^6</f>
        <v>232919631.97020155</v>
      </c>
      <c r="S71" s="15">
        <f>('Cost Components'!$N$44 + 'Cost Components'!$N$42)*10^6</f>
        <v>232919631.97020155</v>
      </c>
      <c r="T71" s="15">
        <f>('Cost Components'!$N$44 + 'Cost Components'!$N$42)*10^6</f>
        <v>232919631.97020155</v>
      </c>
      <c r="U71" s="15">
        <f>('Cost Components'!$N$44 + 'Cost Components'!$N$42)*10^6</f>
        <v>232919631.97020155</v>
      </c>
      <c r="V71" s="15">
        <f>('Cost Components'!$N$44 + 'Cost Components'!$N$42)*10^6</f>
        <v>232919631.97020155</v>
      </c>
      <c r="W71" s="15">
        <f>('Cost Components'!$N$44 + 'Cost Components'!$N$42)*10^6</f>
        <v>232919631.97020155</v>
      </c>
      <c r="X71" s="15">
        <f>('Cost Components'!$N$44 + 'Cost Components'!$N$42)*10^6</f>
        <v>232919631.97020155</v>
      </c>
      <c r="Y71" s="15">
        <f>('Cost Components'!$N$44 + 'Cost Components'!$N$42)*10^6</f>
        <v>232919631.97020155</v>
      </c>
      <c r="Z71" s="15">
        <f>('Cost Components'!$N$44 + 'Cost Components'!$N$42)*10^6</f>
        <v>232919631.97020155</v>
      </c>
      <c r="AA71" s="15">
        <f>('Cost Components'!$N$44 + 'Cost Components'!$N$42)*10^6</f>
        <v>232919631.97020155</v>
      </c>
    </row>
    <row r="72" spans="1:27" x14ac:dyDescent="0.25">
      <c r="A72" t="s">
        <v>121</v>
      </c>
      <c r="B72">
        <v>0</v>
      </c>
      <c r="C72">
        <f>'Cost Components'!$N$36 * 10^6</f>
        <v>81000000</v>
      </c>
      <c r="D72">
        <f>'Cost Components'!$N$36 * 10^6</f>
        <v>81000000</v>
      </c>
      <c r="E72">
        <f>'Cost Components'!$N$36 * 10^6</f>
        <v>81000000</v>
      </c>
      <c r="F72">
        <f>'Cost Components'!$N$36 * 10^6</f>
        <v>81000000</v>
      </c>
      <c r="G72">
        <f>'Cost Components'!$N$36 * 10^6</f>
        <v>81000000</v>
      </c>
      <c r="H72">
        <f>'Cost Components'!$N$36 * 10^6</f>
        <v>81000000</v>
      </c>
      <c r="I72">
        <f>'Cost Components'!$N$36 * 10^6</f>
        <v>81000000</v>
      </c>
      <c r="J72">
        <f>'Cost Components'!$N$36 * 10^6</f>
        <v>81000000</v>
      </c>
      <c r="K72">
        <f>'Cost Components'!$N$36 * 10^6</f>
        <v>81000000</v>
      </c>
      <c r="L72">
        <f>'Cost Components'!$N$36 * 10^6</f>
        <v>81000000</v>
      </c>
      <c r="M72">
        <f>'Cost Components'!$N$36 * 10^6</f>
        <v>81000000</v>
      </c>
      <c r="N72">
        <f>'Cost Components'!$N$36 * 10^6</f>
        <v>81000000</v>
      </c>
      <c r="O72">
        <f>'Cost Components'!$N$36 * 10^6</f>
        <v>81000000</v>
      </c>
      <c r="P72">
        <f>'Cost Components'!$N$36 * 10^6</f>
        <v>81000000</v>
      </c>
      <c r="Q72">
        <f>'Cost Components'!$N$36 * 10^6</f>
        <v>81000000</v>
      </c>
      <c r="R72">
        <f>'Cost Components'!$N$36 * 10^6</f>
        <v>81000000</v>
      </c>
      <c r="S72">
        <f>'Cost Components'!$N$36 * 10^6</f>
        <v>81000000</v>
      </c>
      <c r="T72">
        <f>'Cost Components'!$N$36 * 10^6</f>
        <v>81000000</v>
      </c>
      <c r="U72">
        <f>'Cost Components'!$N$36 * 10^6</f>
        <v>81000000</v>
      </c>
      <c r="V72">
        <f>'Cost Components'!$N$36 * 10^6</f>
        <v>81000000</v>
      </c>
      <c r="W72">
        <f>'Cost Components'!$N$36 * 10^6</f>
        <v>81000000</v>
      </c>
      <c r="X72">
        <f>'Cost Components'!$N$36 * 10^6</f>
        <v>81000000</v>
      </c>
      <c r="Y72">
        <f>'Cost Components'!$N$36 * 10^6</f>
        <v>81000000</v>
      </c>
      <c r="Z72">
        <f>'Cost Components'!$N$36 * 10^6</f>
        <v>81000000</v>
      </c>
      <c r="AA72">
        <f>'Cost Components'!$N$36 * 10^6</f>
        <v>81000000</v>
      </c>
    </row>
    <row r="73" spans="1:27" x14ac:dyDescent="0.25">
      <c r="A73" t="s">
        <v>122</v>
      </c>
      <c r="B73">
        <f t="shared" ref="B73:AA73" si="6">B71-B72</f>
        <v>309400000</v>
      </c>
      <c r="C73">
        <f t="shared" si="6"/>
        <v>151919631.97020155</v>
      </c>
      <c r="D73">
        <f t="shared" si="6"/>
        <v>151919631.97020155</v>
      </c>
      <c r="E73">
        <f t="shared" si="6"/>
        <v>151919631.97020155</v>
      </c>
      <c r="F73">
        <f t="shared" si="6"/>
        <v>151919631.97020155</v>
      </c>
      <c r="G73">
        <f t="shared" si="6"/>
        <v>151919631.97020155</v>
      </c>
      <c r="H73">
        <f t="shared" si="6"/>
        <v>151919631.97020155</v>
      </c>
      <c r="I73">
        <f t="shared" si="6"/>
        <v>151919631.97020155</v>
      </c>
      <c r="J73">
        <f t="shared" si="6"/>
        <v>151919631.97020155</v>
      </c>
      <c r="K73">
        <f t="shared" si="6"/>
        <v>151919631.97020155</v>
      </c>
      <c r="L73">
        <f t="shared" si="6"/>
        <v>151919631.97020155</v>
      </c>
      <c r="M73">
        <f t="shared" si="6"/>
        <v>151919631.97020155</v>
      </c>
      <c r="N73">
        <f t="shared" si="6"/>
        <v>151919631.97020155</v>
      </c>
      <c r="O73">
        <f t="shared" si="6"/>
        <v>151919631.97020155</v>
      </c>
      <c r="P73">
        <f t="shared" si="6"/>
        <v>151919631.97020155</v>
      </c>
      <c r="Q73">
        <f t="shared" si="6"/>
        <v>151919631.97020155</v>
      </c>
      <c r="R73">
        <f t="shared" si="6"/>
        <v>151919631.97020155</v>
      </c>
      <c r="S73">
        <f t="shared" si="6"/>
        <v>151919631.97020155</v>
      </c>
      <c r="T73">
        <f t="shared" si="6"/>
        <v>151919631.97020155</v>
      </c>
      <c r="U73">
        <f t="shared" si="6"/>
        <v>151919631.97020155</v>
      </c>
      <c r="V73">
        <f t="shared" si="6"/>
        <v>151919631.97020155</v>
      </c>
      <c r="W73">
        <f t="shared" si="6"/>
        <v>151919631.97020155</v>
      </c>
      <c r="X73">
        <f t="shared" si="6"/>
        <v>151919631.97020155</v>
      </c>
      <c r="Y73">
        <f t="shared" si="6"/>
        <v>151919631.97020155</v>
      </c>
      <c r="Z73">
        <f t="shared" si="6"/>
        <v>151919631.97020155</v>
      </c>
      <c r="AA73">
        <f t="shared" si="6"/>
        <v>151919631.97020155</v>
      </c>
    </row>
    <row r="74" spans="1:27" x14ac:dyDescent="0.25">
      <c r="A74" t="s">
        <v>123</v>
      </c>
      <c r="B74">
        <f>B73/(1+'Study Parameters'!$C$4) ^'Production Cost Baseline'!B$2</f>
        <v>309400000</v>
      </c>
      <c r="C74">
        <f>C73/(1+'Study Parameters'!$C$4) ^'Production Cost Baseline'!C$2</f>
        <v>141320587.87925726</v>
      </c>
      <c r="D74">
        <f>D73/(1+'Study Parameters'!$C$4) ^'Production Cost Baseline'!D$2</f>
        <v>131461011.98070444</v>
      </c>
      <c r="E74">
        <f>E73/(1+'Study Parameters'!$C$4) ^'Production Cost Baseline'!E$2</f>
        <v>122289313.47042273</v>
      </c>
      <c r="F74">
        <f>F73/(1+'Study Parameters'!$C$4) ^'Production Cost Baseline'!F$2</f>
        <v>113757500.90271883</v>
      </c>
      <c r="G74">
        <f>G73/(1+'Study Parameters'!$C$4) ^'Production Cost Baseline'!G$2</f>
        <v>105820931.07229657</v>
      </c>
      <c r="H74">
        <f>H73/(1+'Study Parameters'!$C$4) ^'Production Cost Baseline'!H$2</f>
        <v>98438075.416089848</v>
      </c>
      <c r="I74">
        <f>I73/(1+'Study Parameters'!$C$4) ^'Production Cost Baseline'!I$2</f>
        <v>91570302.712641716</v>
      </c>
      <c r="J74">
        <f>J73/(1+'Study Parameters'!$C$4) ^'Production Cost Baseline'!J$2</f>
        <v>85181676.941992298</v>
      </c>
      <c r="K74">
        <f>K73/(1+'Study Parameters'!$C$4) ^'Production Cost Baseline'!K$2</f>
        <v>79238769.248364925</v>
      </c>
      <c r="L74">
        <f>L73/(1+'Study Parameters'!$C$4) ^'Production Cost Baseline'!L$2</f>
        <v>73710483.021734834</v>
      </c>
      <c r="M74">
        <f>M73/(1+'Study Parameters'!$C$4) ^'Production Cost Baseline'!M$2</f>
        <v>68567891.183009133</v>
      </c>
      <c r="N74">
        <f>N73/(1+'Study Parameters'!$C$4) ^'Production Cost Baseline'!N$2</f>
        <v>63784084.821403854</v>
      </c>
      <c r="O74">
        <f>O73/(1+'Study Parameters'!$C$4) ^'Production Cost Baseline'!O$2</f>
        <v>59334032.392003581</v>
      </c>
      <c r="P74">
        <f>P73/(1+'Study Parameters'!$C$4) ^'Production Cost Baseline'!P$2</f>
        <v>55194448.736747518</v>
      </c>
      <c r="Q74">
        <f>Q73/(1+'Study Parameters'!$C$4) ^'Production Cost Baseline'!Q$2</f>
        <v>51343673.243486069</v>
      </c>
      <c r="R74">
        <f>R73/(1+'Study Parameters'!$C$4) ^'Production Cost Baseline'!R$2</f>
        <v>47761556.505568437</v>
      </c>
      <c r="S74">
        <f>S73/(1+'Study Parameters'!$C$4) ^'Production Cost Baseline'!S$2</f>
        <v>44429354.888900876</v>
      </c>
      <c r="T74">
        <f>T73/(1+'Study Parameters'!$C$4) ^'Production Cost Baseline'!T$2</f>
        <v>41329632.454791516</v>
      </c>
      <c r="U74">
        <f>U73/(1+'Study Parameters'!$C$4) ^'Production Cost Baseline'!U$2</f>
        <v>38446169.725387454</v>
      </c>
      <c r="V74">
        <f>V73/(1+'Study Parameters'!$C$4) ^'Production Cost Baseline'!V$2</f>
        <v>35763878.814313911</v>
      </c>
      <c r="W74">
        <f>W73/(1+'Study Parameters'!$C$4) ^'Production Cost Baseline'!W$2</f>
        <v>33268724.478431541</v>
      </c>
      <c r="X74">
        <f>X73/(1+'Study Parameters'!$C$4) ^'Production Cost Baseline'!X$2</f>
        <v>30947650.67761074</v>
      </c>
      <c r="Y74">
        <f>Y73/(1+'Study Parameters'!$C$4) ^'Production Cost Baseline'!Y$2</f>
        <v>28788512.258242548</v>
      </c>
      <c r="Z74">
        <f>Z73/(1+'Study Parameters'!$C$4) ^'Production Cost Baseline'!Z$2</f>
        <v>26780011.403016325</v>
      </c>
      <c r="AA74">
        <f>AA73/(1+'Study Parameters'!$C$4) ^'Production Cost Baseline'!AA$2</f>
        <v>24911638.51443379</v>
      </c>
    </row>
    <row r="75" spans="1:27" x14ac:dyDescent="0.25">
      <c r="A75" t="s">
        <v>124</v>
      </c>
      <c r="B75">
        <v>0</v>
      </c>
      <c r="C75">
        <f>'Study Parameters'!$C$13*'Study Parameters'!$C$8 * 10^3</f>
        <v>28000000</v>
      </c>
      <c r="D75">
        <f>'Study Parameters'!$C$13*'Study Parameters'!$C$8 * 10^3</f>
        <v>28000000</v>
      </c>
      <c r="E75">
        <f>'Study Parameters'!$C$13*'Study Parameters'!$C$8 * 10^3</f>
        <v>28000000</v>
      </c>
      <c r="F75">
        <f>'Study Parameters'!$C$13*'Study Parameters'!$C$8 * 10^3</f>
        <v>28000000</v>
      </c>
      <c r="G75">
        <f>'Study Parameters'!$C$13*'Study Parameters'!$C$8 * 10^3</f>
        <v>28000000</v>
      </c>
      <c r="H75">
        <f>'Study Parameters'!$C$13*'Study Parameters'!$C$8 * 10^3</f>
        <v>28000000</v>
      </c>
      <c r="I75">
        <f>'Study Parameters'!$C$13*'Study Parameters'!$C$8 * 10^3</f>
        <v>28000000</v>
      </c>
      <c r="J75">
        <f>'Study Parameters'!$C$13*'Study Parameters'!$C$8 * 10^3</f>
        <v>28000000</v>
      </c>
      <c r="K75">
        <f>'Study Parameters'!$C$13*'Study Parameters'!$C$8 * 10^3</f>
        <v>28000000</v>
      </c>
      <c r="L75">
        <f>'Study Parameters'!$C$13*'Study Parameters'!$C$8 * 10^3</f>
        <v>28000000</v>
      </c>
      <c r="M75">
        <f>'Study Parameters'!$C$13*'Study Parameters'!$C$8 * 10^3</f>
        <v>28000000</v>
      </c>
      <c r="N75">
        <f>'Study Parameters'!$C$13*'Study Parameters'!$C$8 * 10^3</f>
        <v>28000000</v>
      </c>
      <c r="O75">
        <f>'Study Parameters'!$C$13*'Study Parameters'!$C$8 * 10^3</f>
        <v>28000000</v>
      </c>
      <c r="P75">
        <f>'Study Parameters'!$C$13*'Study Parameters'!$C$8 * 10^3</f>
        <v>28000000</v>
      </c>
      <c r="Q75">
        <f>'Study Parameters'!$C$13*'Study Parameters'!$C$8 * 10^3</f>
        <v>28000000</v>
      </c>
      <c r="R75">
        <f>'Study Parameters'!$C$13*'Study Parameters'!$C$8 * 10^3</f>
        <v>28000000</v>
      </c>
      <c r="S75">
        <f>'Study Parameters'!$C$13*'Study Parameters'!$C$8 * 10^3</f>
        <v>28000000</v>
      </c>
      <c r="T75">
        <f>'Study Parameters'!$C$13*'Study Parameters'!$C$8 * 10^3</f>
        <v>28000000</v>
      </c>
      <c r="U75">
        <f>'Study Parameters'!$C$13*'Study Parameters'!$C$8 * 10^3</f>
        <v>28000000</v>
      </c>
      <c r="V75">
        <f>'Study Parameters'!$C$13*'Study Parameters'!$C$8 * 10^3</f>
        <v>28000000</v>
      </c>
      <c r="W75">
        <f>'Study Parameters'!$C$13*'Study Parameters'!$C$8 * 10^3</f>
        <v>28000000</v>
      </c>
      <c r="X75">
        <f>'Study Parameters'!$C$13*'Study Parameters'!$C$8 * 10^3</f>
        <v>28000000</v>
      </c>
      <c r="Y75">
        <f>'Study Parameters'!$C$13*'Study Parameters'!$C$8 * 10^3</f>
        <v>28000000</v>
      </c>
      <c r="Z75">
        <f>'Study Parameters'!$C$13*'Study Parameters'!$C$8 * 10^3</f>
        <v>28000000</v>
      </c>
      <c r="AA75">
        <f>'Study Parameters'!$C$13*'Study Parameters'!$C$8 * 10^3</f>
        <v>28000000</v>
      </c>
    </row>
    <row r="76" spans="1:27" x14ac:dyDescent="0.25">
      <c r="A76" t="s">
        <v>125</v>
      </c>
      <c r="B76">
        <f>B75/(1+'Study Parameters'!$C$4) ^'Production Cost Baseline'!B$2</f>
        <v>0</v>
      </c>
      <c r="C76">
        <f>C75/(1+'Study Parameters'!$C$4) ^'Production Cost Baseline'!C$2</f>
        <v>26046511.627906978</v>
      </c>
      <c r="D76">
        <f>D75/(1+'Study Parameters'!$C$4) ^'Production Cost Baseline'!D$2</f>
        <v>24229313.142239049</v>
      </c>
      <c r="E76">
        <f>E75/(1+'Study Parameters'!$C$4) ^'Production Cost Baseline'!E$2</f>
        <v>22538895.946268886</v>
      </c>
      <c r="F76">
        <f>F75/(1+'Study Parameters'!$C$4) ^'Production Cost Baseline'!F$2</f>
        <v>20966414.833738498</v>
      </c>
      <c r="G76">
        <f>G75/(1+'Study Parameters'!$C$4) ^'Production Cost Baseline'!G$2</f>
        <v>19503641.705803253</v>
      </c>
      <c r="H76">
        <f>H75/(1+'Study Parameters'!$C$4) ^'Production Cost Baseline'!H$2</f>
        <v>18142922.517026283</v>
      </c>
      <c r="I76">
        <f>I75/(1+'Study Parameters'!$C$4) ^'Production Cost Baseline'!I$2</f>
        <v>16877137.225140728</v>
      </c>
      <c r="J76">
        <f>J75/(1+'Study Parameters'!$C$4) ^'Production Cost Baseline'!J$2</f>
        <v>15699662.535014631</v>
      </c>
      <c r="K76">
        <f>K75/(1+'Study Parameters'!$C$4) ^'Production Cost Baseline'!K$2</f>
        <v>14604337.241874076</v>
      </c>
      <c r="L76">
        <f>L75/(1+'Study Parameters'!$C$4) ^'Production Cost Baseline'!L$2</f>
        <v>13585429.992441004</v>
      </c>
      <c r="M76">
        <f>M75/(1+'Study Parameters'!$C$4) ^'Production Cost Baseline'!M$2</f>
        <v>12637609.295293955</v>
      </c>
      <c r="N76">
        <f>N75/(1+'Study Parameters'!$C$4) ^'Production Cost Baseline'!N$2</f>
        <v>11755915.623529261</v>
      </c>
      <c r="O76">
        <f>O75/(1+'Study Parameters'!$C$4) ^'Production Cost Baseline'!O$2</f>
        <v>10935735.46374815</v>
      </c>
      <c r="P76">
        <f>P75/(1+'Study Parameters'!$C$4) ^'Production Cost Baseline'!P$2</f>
        <v>10172777.175579675</v>
      </c>
      <c r="Q76">
        <f>Q75/(1+'Study Parameters'!$C$4) ^'Production Cost Baseline'!Q$2</f>
        <v>9463048.5354229528</v>
      </c>
      <c r="R76">
        <f>R75/(1+'Study Parameters'!$C$4) ^'Production Cost Baseline'!R$2</f>
        <v>8802835.8469050732</v>
      </c>
      <c r="S76">
        <f>S75/(1+'Study Parameters'!$C$4) ^'Production Cost Baseline'!S$2</f>
        <v>8188684.5087489057</v>
      </c>
      <c r="T76">
        <f>T75/(1+'Study Parameters'!$C$4) ^'Production Cost Baseline'!T$2</f>
        <v>7617380.9383710753</v>
      </c>
      <c r="U76">
        <f>U75/(1+'Study Parameters'!$C$4) ^'Production Cost Baseline'!U$2</f>
        <v>7085935.7566242563</v>
      </c>
      <c r="V76">
        <f>V75/(1+'Study Parameters'!$C$4) ^'Production Cost Baseline'!V$2</f>
        <v>6591568.1456969827</v>
      </c>
      <c r="W76">
        <f>W75/(1+'Study Parameters'!$C$4) ^'Production Cost Baseline'!W$2</f>
        <v>6131691.2983227745</v>
      </c>
      <c r="X76">
        <f>X75/(1+'Study Parameters'!$C$4) ^'Production Cost Baseline'!X$2</f>
        <v>5703898.8821607204</v>
      </c>
      <c r="Y76">
        <f>Y75/(1+'Study Parameters'!$C$4) ^'Production Cost Baseline'!Y$2</f>
        <v>5305952.4485216001</v>
      </c>
      <c r="Z76">
        <f>Z75/(1+'Study Parameters'!$C$4) ^'Production Cost Baseline'!Z$2</f>
        <v>4935769.7195549775</v>
      </c>
      <c r="AA76">
        <f>AA75/(1+'Study Parameters'!$C$4) ^'Production Cost Baseline'!AA$2</f>
        <v>4591413.6926092813</v>
      </c>
    </row>
    <row r="78" spans="1:27" x14ac:dyDescent="0.25">
      <c r="A78" t="s">
        <v>126</v>
      </c>
      <c r="B78">
        <f>SUM(B74:AA74) / SUM(C76:AA76)</f>
        <v>6.4170040635192676</v>
      </c>
    </row>
    <row r="79" spans="1:27" x14ac:dyDescent="0.25">
      <c r="A79" t="s">
        <v>127</v>
      </c>
      <c r="B79">
        <f>B78 * Inputs!$C$15</f>
        <v>5.1528542630059722</v>
      </c>
    </row>
    <row r="81" spans="1:27" x14ac:dyDescent="0.25">
      <c r="A81" s="1" t="s">
        <v>132</v>
      </c>
    </row>
    <row r="82" spans="1:27" x14ac:dyDescent="0.25">
      <c r="A82" t="s">
        <v>120</v>
      </c>
      <c r="B82">
        <f>'Cost Components'!$O$43 * 10^6</f>
        <v>321600000</v>
      </c>
      <c r="C82" s="15">
        <f>('Cost Components'!$O$44 + 'Cost Components'!$O$42)*10^6</f>
        <v>245676082.51392856</v>
      </c>
      <c r="D82" s="15">
        <f>('Cost Components'!$O$44 + 'Cost Components'!$O$42)*10^6</f>
        <v>245676082.51392856</v>
      </c>
      <c r="E82" s="15">
        <f>('Cost Components'!$O$44 + 'Cost Components'!$O$42)*10^6</f>
        <v>245676082.51392856</v>
      </c>
      <c r="F82" s="15">
        <f>('Cost Components'!$O$44 + 'Cost Components'!$O$42)*10^6</f>
        <v>245676082.51392856</v>
      </c>
      <c r="G82" s="15">
        <f>('Cost Components'!$O$44 + 'Cost Components'!$O$42)*10^6</f>
        <v>245676082.51392856</v>
      </c>
      <c r="H82" s="15">
        <f>('Cost Components'!$O$44 + 'Cost Components'!$O$42)*10^6</f>
        <v>245676082.51392856</v>
      </c>
      <c r="I82" s="15">
        <f>('Cost Components'!$O$44 + 'Cost Components'!$O$42)*10^6</f>
        <v>245676082.51392856</v>
      </c>
      <c r="J82" s="15">
        <f>('Cost Components'!$O$44 + 'Cost Components'!$O$42)*10^6</f>
        <v>245676082.51392856</v>
      </c>
      <c r="K82" s="15">
        <f>('Cost Components'!$O$44 + 'Cost Components'!$O$42)*10^6</f>
        <v>245676082.51392856</v>
      </c>
      <c r="L82" s="15">
        <f>('Cost Components'!$O$44 + 'Cost Components'!$O$42)*10^6</f>
        <v>245676082.51392856</v>
      </c>
      <c r="M82" s="15">
        <f>('Cost Components'!$O$44 + 'Cost Components'!$O$42)*10^6</f>
        <v>245676082.51392856</v>
      </c>
      <c r="N82" s="15">
        <f>('Cost Components'!$O$44 + 'Cost Components'!$O$42)*10^6</f>
        <v>245676082.51392856</v>
      </c>
      <c r="O82" s="15">
        <f>('Cost Components'!$O$44 + 'Cost Components'!$O$42)*10^6</f>
        <v>245676082.51392856</v>
      </c>
      <c r="P82" s="15">
        <f>('Cost Components'!$O$44 + 'Cost Components'!$O$42)*10^6</f>
        <v>245676082.51392856</v>
      </c>
      <c r="Q82" s="15">
        <f>('Cost Components'!$O$44 + 'Cost Components'!$O$42)*10^6</f>
        <v>245676082.51392856</v>
      </c>
      <c r="R82" s="15">
        <f>('Cost Components'!$O$44 + 'Cost Components'!$O$42)*10^6</f>
        <v>245676082.51392856</v>
      </c>
      <c r="S82" s="15">
        <f>('Cost Components'!$O$44 + 'Cost Components'!$O$42)*10^6</f>
        <v>245676082.51392856</v>
      </c>
      <c r="T82" s="15">
        <f>('Cost Components'!$O$44 + 'Cost Components'!$O$42)*10^6</f>
        <v>245676082.51392856</v>
      </c>
      <c r="U82" s="15">
        <f>('Cost Components'!$O$44 + 'Cost Components'!$O$42)*10^6</f>
        <v>245676082.51392856</v>
      </c>
      <c r="V82" s="15">
        <f>('Cost Components'!$O$44 + 'Cost Components'!$O$42)*10^6</f>
        <v>245676082.51392856</v>
      </c>
      <c r="W82" s="15">
        <f>('Cost Components'!$O$44 + 'Cost Components'!$O$42)*10^6</f>
        <v>245676082.51392856</v>
      </c>
      <c r="X82" s="15">
        <f>('Cost Components'!$O$44 + 'Cost Components'!$O$42)*10^6</f>
        <v>245676082.51392856</v>
      </c>
      <c r="Y82" s="15">
        <f>('Cost Components'!$O$44 + 'Cost Components'!$O$42)*10^6</f>
        <v>245676082.51392856</v>
      </c>
      <c r="Z82" s="15">
        <f>('Cost Components'!$O$44 + 'Cost Components'!$O$42)*10^6</f>
        <v>245676082.51392856</v>
      </c>
      <c r="AA82" s="15">
        <f>('Cost Components'!$O$44 + 'Cost Components'!$O$42)*10^6</f>
        <v>245676082.51392856</v>
      </c>
    </row>
    <row r="83" spans="1:27" x14ac:dyDescent="0.25">
      <c r="A83" t="s">
        <v>121</v>
      </c>
      <c r="B83">
        <v>0</v>
      </c>
      <c r="C83">
        <f>'Cost Components'!$O$36 * 10^6</f>
        <v>103200000</v>
      </c>
      <c r="D83">
        <f>'Cost Components'!$O$36 * 10^6</f>
        <v>103200000</v>
      </c>
      <c r="E83">
        <f>'Cost Components'!$O$36 * 10^6</f>
        <v>103200000</v>
      </c>
      <c r="F83">
        <f>'Cost Components'!$O$36 * 10^6</f>
        <v>103200000</v>
      </c>
      <c r="G83">
        <f>'Cost Components'!$O$36 * 10^6</f>
        <v>103200000</v>
      </c>
      <c r="H83">
        <f>'Cost Components'!$O$36 * 10^6</f>
        <v>103200000</v>
      </c>
      <c r="I83">
        <f>'Cost Components'!$O$36 * 10^6</f>
        <v>103200000</v>
      </c>
      <c r="J83">
        <f>'Cost Components'!$O$36 * 10^6</f>
        <v>103200000</v>
      </c>
      <c r="K83">
        <f>'Cost Components'!$O$36 * 10^6</f>
        <v>103200000</v>
      </c>
      <c r="L83">
        <f>'Cost Components'!$O$36 * 10^6</f>
        <v>103200000</v>
      </c>
      <c r="M83">
        <f>'Cost Components'!$O$36 * 10^6</f>
        <v>103200000</v>
      </c>
      <c r="N83">
        <f>'Cost Components'!$O$36 * 10^6</f>
        <v>103200000</v>
      </c>
      <c r="O83">
        <f>'Cost Components'!$O$36 * 10^6</f>
        <v>103200000</v>
      </c>
      <c r="P83">
        <f>'Cost Components'!$O$36 * 10^6</f>
        <v>103200000</v>
      </c>
      <c r="Q83">
        <f>'Cost Components'!$O$36 * 10^6</f>
        <v>103200000</v>
      </c>
      <c r="R83">
        <f>'Cost Components'!$O$36 * 10^6</f>
        <v>103200000</v>
      </c>
      <c r="S83">
        <f>'Cost Components'!$O$36 * 10^6</f>
        <v>103200000</v>
      </c>
      <c r="T83">
        <f>'Cost Components'!$O$36 * 10^6</f>
        <v>103200000</v>
      </c>
      <c r="U83">
        <f>'Cost Components'!$O$36 * 10^6</f>
        <v>103200000</v>
      </c>
      <c r="V83">
        <f>'Cost Components'!$O$36 * 10^6</f>
        <v>103200000</v>
      </c>
      <c r="W83">
        <f>'Cost Components'!$O$36 * 10^6</f>
        <v>103200000</v>
      </c>
      <c r="X83">
        <f>'Cost Components'!$O$36 * 10^6</f>
        <v>103200000</v>
      </c>
      <c r="Y83">
        <f>'Cost Components'!$O$36 * 10^6</f>
        <v>103200000</v>
      </c>
      <c r="Z83">
        <f>'Cost Components'!$O$36 * 10^6</f>
        <v>103200000</v>
      </c>
      <c r="AA83">
        <f>'Cost Components'!$O$36 * 10^6</f>
        <v>103200000</v>
      </c>
    </row>
    <row r="84" spans="1:27" x14ac:dyDescent="0.25">
      <c r="A84" t="s">
        <v>122</v>
      </c>
      <c r="B84">
        <f t="shared" ref="B84:AA84" si="7">B82-B83</f>
        <v>321600000</v>
      </c>
      <c r="C84">
        <f t="shared" si="7"/>
        <v>142476082.51392856</v>
      </c>
      <c r="D84">
        <f t="shared" si="7"/>
        <v>142476082.51392856</v>
      </c>
      <c r="E84">
        <f t="shared" si="7"/>
        <v>142476082.51392856</v>
      </c>
      <c r="F84">
        <f t="shared" si="7"/>
        <v>142476082.51392856</v>
      </c>
      <c r="G84">
        <f t="shared" si="7"/>
        <v>142476082.51392856</v>
      </c>
      <c r="H84">
        <f t="shared" si="7"/>
        <v>142476082.51392856</v>
      </c>
      <c r="I84">
        <f t="shared" si="7"/>
        <v>142476082.51392856</v>
      </c>
      <c r="J84">
        <f t="shared" si="7"/>
        <v>142476082.51392856</v>
      </c>
      <c r="K84">
        <f t="shared" si="7"/>
        <v>142476082.51392856</v>
      </c>
      <c r="L84">
        <f t="shared" si="7"/>
        <v>142476082.51392856</v>
      </c>
      <c r="M84">
        <f t="shared" si="7"/>
        <v>142476082.51392856</v>
      </c>
      <c r="N84">
        <f t="shared" si="7"/>
        <v>142476082.51392856</v>
      </c>
      <c r="O84">
        <f t="shared" si="7"/>
        <v>142476082.51392856</v>
      </c>
      <c r="P84">
        <f t="shared" si="7"/>
        <v>142476082.51392856</v>
      </c>
      <c r="Q84">
        <f t="shared" si="7"/>
        <v>142476082.51392856</v>
      </c>
      <c r="R84">
        <f t="shared" si="7"/>
        <v>142476082.51392856</v>
      </c>
      <c r="S84">
        <f t="shared" si="7"/>
        <v>142476082.51392856</v>
      </c>
      <c r="T84">
        <f t="shared" si="7"/>
        <v>142476082.51392856</v>
      </c>
      <c r="U84">
        <f t="shared" si="7"/>
        <v>142476082.51392856</v>
      </c>
      <c r="V84">
        <f t="shared" si="7"/>
        <v>142476082.51392856</v>
      </c>
      <c r="W84">
        <f t="shared" si="7"/>
        <v>142476082.51392856</v>
      </c>
      <c r="X84">
        <f t="shared" si="7"/>
        <v>142476082.51392856</v>
      </c>
      <c r="Y84">
        <f t="shared" si="7"/>
        <v>142476082.51392856</v>
      </c>
      <c r="Z84">
        <f t="shared" si="7"/>
        <v>142476082.51392856</v>
      </c>
      <c r="AA84">
        <f t="shared" si="7"/>
        <v>142476082.51392856</v>
      </c>
    </row>
    <row r="85" spans="1:27" x14ac:dyDescent="0.25">
      <c r="A85" t="s">
        <v>123</v>
      </c>
      <c r="B85">
        <f>B84/(1+'Study Parameters'!$C$4) ^'Production Cost Baseline'!B$2</f>
        <v>321600000</v>
      </c>
      <c r="C85">
        <f>C84/(1+'Study Parameters'!$C$4) ^'Production Cost Baseline'!C$2</f>
        <v>132535890.71063122</v>
      </c>
      <c r="D85">
        <f>D84/(1+'Study Parameters'!$C$4) ^'Production Cost Baseline'!D$2</f>
        <v>123289200.6610523</v>
      </c>
      <c r="E85">
        <f>E84/(1+'Study Parameters'!$C$4) ^'Production Cost Baseline'!E$2</f>
        <v>114687628.52190913</v>
      </c>
      <c r="F85">
        <f>F84/(1+'Study Parameters'!$C$4) ^'Production Cost Baseline'!F$2</f>
        <v>106686166.06689221</v>
      </c>
      <c r="G85">
        <f>G84/(1+'Study Parameters'!$C$4) ^'Production Cost Baseline'!G$2</f>
        <v>99242945.178504378</v>
      </c>
      <c r="H85">
        <f>H84/(1+'Study Parameters'!$C$4) ^'Production Cost Baseline'!H$2</f>
        <v>92319018.770701766</v>
      </c>
      <c r="I85">
        <f>I84/(1+'Study Parameters'!$C$4) ^'Production Cost Baseline'!I$2</f>
        <v>85878156.996001631</v>
      </c>
      <c r="J85">
        <f>J84/(1+'Study Parameters'!$C$4) ^'Production Cost Baseline'!J$2</f>
        <v>79886657.670699194</v>
      </c>
      <c r="K85">
        <f>K84/(1+'Study Parameters'!$C$4) ^'Production Cost Baseline'!K$2</f>
        <v>74313169.926231816</v>
      </c>
      <c r="L85">
        <f>L84/(1+'Study Parameters'!$C$4) ^'Production Cost Baseline'!L$2</f>
        <v>69128530.163936585</v>
      </c>
      <c r="M85">
        <f>M84/(1+'Study Parameters'!$C$4) ^'Production Cost Baseline'!M$2</f>
        <v>64305609.454824716</v>
      </c>
      <c r="N85">
        <f>N84/(1+'Study Parameters'!$C$4) ^'Production Cost Baseline'!N$2</f>
        <v>59819171.585883461</v>
      </c>
      <c r="O85">
        <f>O84/(1+'Study Parameters'!$C$4) ^'Production Cost Baseline'!O$2</f>
        <v>55645741.010124147</v>
      </c>
      <c r="P85">
        <f>P84/(1+'Study Parameters'!$C$4) ^'Production Cost Baseline'!P$2</f>
        <v>51763480.009417817</v>
      </c>
      <c r="Q85">
        <f>Q84/(1+'Study Parameters'!$C$4) ^'Production Cost Baseline'!Q$2</f>
        <v>48152074.427365415</v>
      </c>
      <c r="R85">
        <f>R84/(1+'Study Parameters'!$C$4) ^'Production Cost Baseline'!R$2</f>
        <v>44792627.374293409</v>
      </c>
      <c r="S85">
        <f>S84/(1+'Study Parameters'!$C$4) ^'Production Cost Baseline'!S$2</f>
        <v>41667560.348179922</v>
      </c>
      <c r="T85">
        <f>T84/(1+'Study Parameters'!$C$4) ^'Production Cost Baseline'!T$2</f>
        <v>38760521.254120857</v>
      </c>
      <c r="U85">
        <f>U84/(1+'Study Parameters'!$C$4) ^'Production Cost Baseline'!U$2</f>
        <v>36056298.841042653</v>
      </c>
      <c r="V85">
        <f>V84/(1+'Study Parameters'!$C$4) ^'Production Cost Baseline'!V$2</f>
        <v>33540743.107946657</v>
      </c>
      <c r="W85">
        <f>W84/(1+'Study Parameters'!$C$4) ^'Production Cost Baseline'!W$2</f>
        <v>31200691.263206191</v>
      </c>
      <c r="X85">
        <f>X84/(1+'Study Parameters'!$C$4) ^'Production Cost Baseline'!X$2</f>
        <v>29023898.849494133</v>
      </c>
      <c r="Y85">
        <f>Y84/(1+'Study Parameters'!$C$4) ^'Production Cost Baseline'!Y$2</f>
        <v>26998975.673948031</v>
      </c>
      <c r="Z85">
        <f>Z84/(1+'Study Parameters'!$C$4) ^'Production Cost Baseline'!Z$2</f>
        <v>25115326.208323751</v>
      </c>
      <c r="AA85">
        <f>AA84/(1+'Study Parameters'!$C$4) ^'Production Cost Baseline'!AA$2</f>
        <v>23363094.147277907</v>
      </c>
    </row>
    <row r="86" spans="1:27" x14ac:dyDescent="0.25">
      <c r="A86" t="s">
        <v>124</v>
      </c>
      <c r="B86">
        <v>0</v>
      </c>
      <c r="C86">
        <f>'Study Parameters'!$C$14*'Study Parameters'!$C$8 * 10^3</f>
        <v>38400000</v>
      </c>
      <c r="D86">
        <f>'Study Parameters'!$C$14*'Study Parameters'!$C$8 * 10^3</f>
        <v>38400000</v>
      </c>
      <c r="E86">
        <f>'Study Parameters'!$C$14*'Study Parameters'!$C$8 * 10^3</f>
        <v>38400000</v>
      </c>
      <c r="F86">
        <f>'Study Parameters'!$C$14*'Study Parameters'!$C$8 * 10^3</f>
        <v>38400000</v>
      </c>
      <c r="G86">
        <f>'Study Parameters'!$C$14*'Study Parameters'!$C$8 * 10^3</f>
        <v>38400000</v>
      </c>
      <c r="H86">
        <f>'Study Parameters'!$C$14*'Study Parameters'!$C$8 * 10^3</f>
        <v>38400000</v>
      </c>
      <c r="I86">
        <f>'Study Parameters'!$C$14*'Study Parameters'!$C$8 * 10^3</f>
        <v>38400000</v>
      </c>
      <c r="J86">
        <f>'Study Parameters'!$C$14*'Study Parameters'!$C$8 * 10^3</f>
        <v>38400000</v>
      </c>
      <c r="K86">
        <f>'Study Parameters'!$C$14*'Study Parameters'!$C$8 * 10^3</f>
        <v>38400000</v>
      </c>
      <c r="L86">
        <f>'Study Parameters'!$C$14*'Study Parameters'!$C$8 * 10^3</f>
        <v>38400000</v>
      </c>
      <c r="M86">
        <f>'Study Parameters'!$C$14*'Study Parameters'!$C$8 * 10^3</f>
        <v>38400000</v>
      </c>
      <c r="N86">
        <f>'Study Parameters'!$C$14*'Study Parameters'!$C$8 * 10^3</f>
        <v>38400000</v>
      </c>
      <c r="O86">
        <f>'Study Parameters'!$C$14*'Study Parameters'!$C$8 * 10^3</f>
        <v>38400000</v>
      </c>
      <c r="P86">
        <f>'Study Parameters'!$C$14*'Study Parameters'!$C$8 * 10^3</f>
        <v>38400000</v>
      </c>
      <c r="Q86">
        <f>'Study Parameters'!$C$14*'Study Parameters'!$C$8 * 10^3</f>
        <v>38400000</v>
      </c>
      <c r="R86">
        <f>'Study Parameters'!$C$14*'Study Parameters'!$C$8 * 10^3</f>
        <v>38400000</v>
      </c>
      <c r="S86">
        <f>'Study Parameters'!$C$14*'Study Parameters'!$C$8 * 10^3</f>
        <v>38400000</v>
      </c>
      <c r="T86">
        <f>'Study Parameters'!$C$14*'Study Parameters'!$C$8 * 10^3</f>
        <v>38400000</v>
      </c>
      <c r="U86">
        <f>'Study Parameters'!$C$14*'Study Parameters'!$C$8 * 10^3</f>
        <v>38400000</v>
      </c>
      <c r="V86">
        <f>'Study Parameters'!$C$14*'Study Parameters'!$C$8 * 10^3</f>
        <v>38400000</v>
      </c>
      <c r="W86">
        <f>'Study Parameters'!$C$14*'Study Parameters'!$C$8 * 10^3</f>
        <v>38400000</v>
      </c>
      <c r="X86">
        <f>'Study Parameters'!$C$14*'Study Parameters'!$C$8 * 10^3</f>
        <v>38400000</v>
      </c>
      <c r="Y86">
        <f>'Study Parameters'!$C$14*'Study Parameters'!$C$8 * 10^3</f>
        <v>38400000</v>
      </c>
      <c r="Z86">
        <f>'Study Parameters'!$C$14*'Study Parameters'!$C$8 * 10^3</f>
        <v>38400000</v>
      </c>
      <c r="AA86">
        <f>'Study Parameters'!$C$14*'Study Parameters'!$C$8 * 10^3</f>
        <v>38400000</v>
      </c>
    </row>
    <row r="87" spans="1:27" x14ac:dyDescent="0.25">
      <c r="A87" t="s">
        <v>125</v>
      </c>
      <c r="B87">
        <f>B86/(1+'Study Parameters'!$C$4) ^'Production Cost Baseline'!B$2</f>
        <v>0</v>
      </c>
      <c r="C87">
        <f>C86/(1+'Study Parameters'!$C$4) ^'Production Cost Baseline'!C$2</f>
        <v>35720930.232558139</v>
      </c>
      <c r="D87">
        <f>D86/(1+'Study Parameters'!$C$4) ^'Production Cost Baseline'!D$2</f>
        <v>33228772.30935641</v>
      </c>
      <c r="E87">
        <f>E86/(1+'Study Parameters'!$C$4) ^'Production Cost Baseline'!E$2</f>
        <v>30910485.869168755</v>
      </c>
      <c r="F87">
        <f>F86/(1+'Study Parameters'!$C$4) ^'Production Cost Baseline'!F$2</f>
        <v>28753940.343412794</v>
      </c>
      <c r="G87">
        <f>G86/(1+'Study Parameters'!$C$4) ^'Production Cost Baseline'!G$2</f>
        <v>26747851.482244462</v>
      </c>
      <c r="H87">
        <f>H86/(1+'Study Parameters'!$C$4) ^'Production Cost Baseline'!H$2</f>
        <v>24881722.309064619</v>
      </c>
      <c r="I87">
        <f>I86/(1+'Study Parameters'!$C$4) ^'Production Cost Baseline'!I$2</f>
        <v>23145788.194478713</v>
      </c>
      <c r="J87">
        <f>J86/(1+'Study Parameters'!$C$4) ^'Production Cost Baseline'!J$2</f>
        <v>21530965.762305781</v>
      </c>
      <c r="K87">
        <f>K86/(1+'Study Parameters'!$C$4) ^'Production Cost Baseline'!K$2</f>
        <v>20028805.360284448</v>
      </c>
      <c r="L87">
        <f>L86/(1+'Study Parameters'!$C$4) ^'Production Cost Baseline'!L$2</f>
        <v>18631446.846776232</v>
      </c>
      <c r="M87">
        <f>M86/(1+'Study Parameters'!$C$4) ^'Production Cost Baseline'!M$2</f>
        <v>17331578.462117422</v>
      </c>
      <c r="N87">
        <f>N86/(1+'Study Parameters'!$C$4) ^'Production Cost Baseline'!N$2</f>
        <v>16122398.569411557</v>
      </c>
      <c r="O87">
        <f>O86/(1+'Study Parameters'!$C$4) ^'Production Cost Baseline'!O$2</f>
        <v>14997580.06456889</v>
      </c>
      <c r="P87">
        <f>P86/(1+'Study Parameters'!$C$4) ^'Production Cost Baseline'!P$2</f>
        <v>13951237.269366411</v>
      </c>
      <c r="Q87">
        <f>Q86/(1+'Study Parameters'!$C$4) ^'Production Cost Baseline'!Q$2</f>
        <v>12977895.134294337</v>
      </c>
      <c r="R87">
        <f>R86/(1+'Study Parameters'!$C$4) ^'Production Cost Baseline'!R$2</f>
        <v>12072460.590041243</v>
      </c>
      <c r="S87">
        <f>S86/(1+'Study Parameters'!$C$4) ^'Production Cost Baseline'!S$2</f>
        <v>11230195.897712786</v>
      </c>
      <c r="T87">
        <f>T86/(1+'Study Parameters'!$C$4) ^'Production Cost Baseline'!T$2</f>
        <v>10446693.858337475</v>
      </c>
      <c r="U87">
        <f>U86/(1+'Study Parameters'!$C$4) ^'Production Cost Baseline'!U$2</f>
        <v>9717854.7519418374</v>
      </c>
      <c r="V87">
        <f>V86/(1+'Study Parameters'!$C$4) ^'Production Cost Baseline'!V$2</f>
        <v>9039864.8855272904</v>
      </c>
      <c r="W87">
        <f>W86/(1+'Study Parameters'!$C$4) ^'Production Cost Baseline'!W$2</f>
        <v>8409176.6376998052</v>
      </c>
      <c r="X87">
        <f>X86/(1+'Study Parameters'!$C$4) ^'Production Cost Baseline'!X$2</f>
        <v>7822489.8955347026</v>
      </c>
      <c r="Y87">
        <f>Y86/(1+'Study Parameters'!$C$4) ^'Production Cost Baseline'!Y$2</f>
        <v>7276734.7865439095</v>
      </c>
      <c r="Z87">
        <f>Z86/(1+'Study Parameters'!$C$4) ^'Production Cost Baseline'!Z$2</f>
        <v>6769055.6153896842</v>
      </c>
      <c r="AA87">
        <f>AA86/(1+'Study Parameters'!$C$4) ^'Production Cost Baseline'!AA$2</f>
        <v>6296795.9212927287</v>
      </c>
    </row>
    <row r="89" spans="1:27" x14ac:dyDescent="0.25">
      <c r="A89" t="s">
        <v>126</v>
      </c>
      <c r="B89">
        <f>SUM(B85:AA85) / SUM(C87:AA87)</f>
        <v>4.4616415238643166</v>
      </c>
    </row>
    <row r="90" spans="1:27" x14ac:dyDescent="0.25">
      <c r="A90" t="s">
        <v>127</v>
      </c>
      <c r="B90">
        <f>B89 * Inputs!$C$15</f>
        <v>3.5826981436630465</v>
      </c>
    </row>
    <row r="92" spans="1:27" x14ac:dyDescent="0.25">
      <c r="A92" s="1" t="s">
        <v>134</v>
      </c>
    </row>
    <row r="93" spans="1:27" x14ac:dyDescent="0.25">
      <c r="A93" t="s">
        <v>120</v>
      </c>
      <c r="B93">
        <f>'Cost Components'!$P$43 * 10^6</f>
        <v>339000000</v>
      </c>
      <c r="C93" s="15">
        <f>('Cost Components'!$P$44 + 'Cost Components'!$P$42)*10^6</f>
        <v>221311187.23464698</v>
      </c>
      <c r="D93" s="15">
        <f>('Cost Components'!$P$44 + 'Cost Components'!$P$42)*10^6</f>
        <v>221311187.23464698</v>
      </c>
      <c r="E93" s="15">
        <f>('Cost Components'!$P$44 + 'Cost Components'!$P$42)*10^6</f>
        <v>221311187.23464698</v>
      </c>
      <c r="F93" s="15">
        <f>('Cost Components'!$P$44 + 'Cost Components'!$P$42)*10^6</f>
        <v>221311187.23464698</v>
      </c>
      <c r="G93" s="15">
        <f>('Cost Components'!$P$44 + 'Cost Components'!$P$42)*10^6</f>
        <v>221311187.23464698</v>
      </c>
      <c r="H93" s="15">
        <f>('Cost Components'!$P$44 + 'Cost Components'!$P$42)*10^6</f>
        <v>221311187.23464698</v>
      </c>
      <c r="I93" s="15">
        <f>('Cost Components'!$P$44 + 'Cost Components'!$P$42)*10^6</f>
        <v>221311187.23464698</v>
      </c>
      <c r="J93" s="15">
        <f>('Cost Components'!$P$44 + 'Cost Components'!$P$42)*10^6</f>
        <v>221311187.23464698</v>
      </c>
      <c r="K93" s="15">
        <f>('Cost Components'!$P$44 + 'Cost Components'!$P$42)*10^6</f>
        <v>221311187.23464698</v>
      </c>
      <c r="L93" s="15">
        <f>('Cost Components'!$P$44 + 'Cost Components'!$P$42)*10^6</f>
        <v>221311187.23464698</v>
      </c>
      <c r="M93" s="15">
        <f>('Cost Components'!$P$44 + 'Cost Components'!$P$42)*10^6</f>
        <v>221311187.23464698</v>
      </c>
      <c r="N93" s="15">
        <f>('Cost Components'!$P$44 + 'Cost Components'!$P$42)*10^6</f>
        <v>221311187.23464698</v>
      </c>
      <c r="O93" s="15">
        <f>('Cost Components'!$P$44 + 'Cost Components'!$P$42)*10^6</f>
        <v>221311187.23464698</v>
      </c>
      <c r="P93" s="15">
        <f>('Cost Components'!$P$44 + 'Cost Components'!$P$42)*10^6</f>
        <v>221311187.23464698</v>
      </c>
      <c r="Q93" s="15">
        <f>('Cost Components'!$P$44 + 'Cost Components'!$P$42)*10^6</f>
        <v>221311187.23464698</v>
      </c>
      <c r="R93" s="15">
        <f>('Cost Components'!$P$44 + 'Cost Components'!$P$42)*10^6</f>
        <v>221311187.23464698</v>
      </c>
      <c r="S93" s="15">
        <f>('Cost Components'!$P$44 + 'Cost Components'!$P$42)*10^6</f>
        <v>221311187.23464698</v>
      </c>
      <c r="T93" s="15">
        <f>('Cost Components'!$P$44 + 'Cost Components'!$P$42)*10^6</f>
        <v>221311187.23464698</v>
      </c>
      <c r="U93" s="15">
        <f>('Cost Components'!$P$44 + 'Cost Components'!$P$42)*10^6</f>
        <v>221311187.23464698</v>
      </c>
      <c r="V93" s="15">
        <f>('Cost Components'!$P$44 + 'Cost Components'!$P$42)*10^6</f>
        <v>221311187.23464698</v>
      </c>
      <c r="W93" s="15">
        <f>('Cost Components'!$P$44 + 'Cost Components'!$P$42)*10^6</f>
        <v>221311187.23464698</v>
      </c>
      <c r="X93" s="15">
        <f>('Cost Components'!$P$44 + 'Cost Components'!$P$42)*10^6</f>
        <v>221311187.23464698</v>
      </c>
      <c r="Y93" s="15">
        <f>('Cost Components'!$P$44 + 'Cost Components'!$P$42)*10^6</f>
        <v>221311187.23464698</v>
      </c>
      <c r="Z93" s="15">
        <f>('Cost Components'!$P$44 + 'Cost Components'!$P$42)*10^6</f>
        <v>221311187.23464698</v>
      </c>
      <c r="AA93" s="15">
        <f>('Cost Components'!$P$44 + 'Cost Components'!$P$42)*10^6</f>
        <v>221311187.23464698</v>
      </c>
    </row>
    <row r="94" spans="1:27" x14ac:dyDescent="0.25">
      <c r="A94" t="s">
        <v>121</v>
      </c>
      <c r="B94">
        <v>0</v>
      </c>
      <c r="C94">
        <f>'Cost Components'!$P$36 * 10^6</f>
        <v>135200000</v>
      </c>
      <c r="D94">
        <f>'Cost Components'!$P$36 * 10^6</f>
        <v>135200000</v>
      </c>
      <c r="E94">
        <f>'Cost Components'!$P$36 * 10^6</f>
        <v>135200000</v>
      </c>
      <c r="F94">
        <f>'Cost Components'!$P$36 * 10^6</f>
        <v>135200000</v>
      </c>
      <c r="G94">
        <f>'Cost Components'!$P$36 * 10^6</f>
        <v>135200000</v>
      </c>
      <c r="H94">
        <f>'Cost Components'!$P$36 * 10^6</f>
        <v>135200000</v>
      </c>
      <c r="I94">
        <f>'Cost Components'!$P$36 * 10^6</f>
        <v>135200000</v>
      </c>
      <c r="J94">
        <f>'Cost Components'!$P$36 * 10^6</f>
        <v>135200000</v>
      </c>
      <c r="K94">
        <f>'Cost Components'!$P$36 * 10^6</f>
        <v>135200000</v>
      </c>
      <c r="L94">
        <f>'Cost Components'!$P$36 * 10^6</f>
        <v>135200000</v>
      </c>
      <c r="M94">
        <f>'Cost Components'!$P$36 * 10^6</f>
        <v>135200000</v>
      </c>
      <c r="N94">
        <f>'Cost Components'!$P$36 * 10^6</f>
        <v>135200000</v>
      </c>
      <c r="O94">
        <f>'Cost Components'!$P$36 * 10^6</f>
        <v>135200000</v>
      </c>
      <c r="P94">
        <f>'Cost Components'!$P$36 * 10^6</f>
        <v>135200000</v>
      </c>
      <c r="Q94">
        <f>'Cost Components'!$P$36 * 10^6</f>
        <v>135200000</v>
      </c>
      <c r="R94">
        <f>'Cost Components'!$P$36 * 10^6</f>
        <v>135200000</v>
      </c>
      <c r="S94">
        <f>'Cost Components'!$P$36 * 10^6</f>
        <v>135200000</v>
      </c>
      <c r="T94">
        <f>'Cost Components'!$P$36 * 10^6</f>
        <v>135200000</v>
      </c>
      <c r="U94">
        <f>'Cost Components'!$P$36 * 10^6</f>
        <v>135200000</v>
      </c>
      <c r="V94">
        <f>'Cost Components'!$P$36 * 10^6</f>
        <v>135200000</v>
      </c>
      <c r="W94">
        <f>'Cost Components'!$P$36 * 10^6</f>
        <v>135200000</v>
      </c>
      <c r="X94">
        <f>'Cost Components'!$P$36 * 10^6</f>
        <v>135200000</v>
      </c>
      <c r="Y94">
        <f>'Cost Components'!$P$36 * 10^6</f>
        <v>135200000</v>
      </c>
      <c r="Z94">
        <f>'Cost Components'!$P$36 * 10^6</f>
        <v>135200000</v>
      </c>
      <c r="AA94">
        <f>'Cost Components'!$P$36 * 10^6</f>
        <v>135200000</v>
      </c>
    </row>
    <row r="95" spans="1:27" x14ac:dyDescent="0.25">
      <c r="A95" t="s">
        <v>122</v>
      </c>
      <c r="B95">
        <f t="shared" ref="B95:AA95" si="8">B93-B94</f>
        <v>339000000</v>
      </c>
      <c r="C95">
        <f t="shared" si="8"/>
        <v>86111187.234646976</v>
      </c>
      <c r="D95">
        <f t="shared" si="8"/>
        <v>86111187.234646976</v>
      </c>
      <c r="E95">
        <f t="shared" si="8"/>
        <v>86111187.234646976</v>
      </c>
      <c r="F95">
        <f t="shared" si="8"/>
        <v>86111187.234646976</v>
      </c>
      <c r="G95">
        <f t="shared" si="8"/>
        <v>86111187.234646976</v>
      </c>
      <c r="H95">
        <f t="shared" si="8"/>
        <v>86111187.234646976</v>
      </c>
      <c r="I95">
        <f t="shared" si="8"/>
        <v>86111187.234646976</v>
      </c>
      <c r="J95">
        <f t="shared" si="8"/>
        <v>86111187.234646976</v>
      </c>
      <c r="K95">
        <f t="shared" si="8"/>
        <v>86111187.234646976</v>
      </c>
      <c r="L95">
        <f t="shared" si="8"/>
        <v>86111187.234646976</v>
      </c>
      <c r="M95">
        <f t="shared" si="8"/>
        <v>86111187.234646976</v>
      </c>
      <c r="N95">
        <f t="shared" si="8"/>
        <v>86111187.234646976</v>
      </c>
      <c r="O95">
        <f t="shared" si="8"/>
        <v>86111187.234646976</v>
      </c>
      <c r="P95">
        <f t="shared" si="8"/>
        <v>86111187.234646976</v>
      </c>
      <c r="Q95">
        <f t="shared" si="8"/>
        <v>86111187.234646976</v>
      </c>
      <c r="R95">
        <f t="shared" si="8"/>
        <v>86111187.234646976</v>
      </c>
      <c r="S95">
        <f t="shared" si="8"/>
        <v>86111187.234646976</v>
      </c>
      <c r="T95">
        <f t="shared" si="8"/>
        <v>86111187.234646976</v>
      </c>
      <c r="U95">
        <f t="shared" si="8"/>
        <v>86111187.234646976</v>
      </c>
      <c r="V95">
        <f t="shared" si="8"/>
        <v>86111187.234646976</v>
      </c>
      <c r="W95">
        <f t="shared" si="8"/>
        <v>86111187.234646976</v>
      </c>
      <c r="X95">
        <f t="shared" si="8"/>
        <v>86111187.234646976</v>
      </c>
      <c r="Y95">
        <f t="shared" si="8"/>
        <v>86111187.234646976</v>
      </c>
      <c r="Z95">
        <f t="shared" si="8"/>
        <v>86111187.234646976</v>
      </c>
      <c r="AA95">
        <f t="shared" si="8"/>
        <v>86111187.234646976</v>
      </c>
    </row>
    <row r="96" spans="1:27" x14ac:dyDescent="0.25">
      <c r="A96" t="s">
        <v>123</v>
      </c>
      <c r="B96">
        <f>B95/(1+'Study Parameters'!$C$4) ^'Production Cost Baseline'!B$2</f>
        <v>339000000</v>
      </c>
      <c r="C96">
        <f>C95/(1+'Study Parameters'!$C$4) ^'Production Cost Baseline'!C$2</f>
        <v>80103429.985718116</v>
      </c>
      <c r="D96">
        <f>D95/(1+'Study Parameters'!$C$4) ^'Production Cost Baseline'!D$2</f>
        <v>74514818.591365695</v>
      </c>
      <c r="E96">
        <f>E95/(1+'Study Parameters'!$C$4) ^'Production Cost Baseline'!E$2</f>
        <v>69316110.317549482</v>
      </c>
      <c r="F96">
        <f>F95/(1+'Study Parameters'!$C$4) ^'Production Cost Baseline'!F$2</f>
        <v>64480102.620976269</v>
      </c>
      <c r="G96">
        <f>G95/(1+'Study Parameters'!$C$4) ^'Production Cost Baseline'!G$2</f>
        <v>59981490.810210481</v>
      </c>
      <c r="H96">
        <f>H95/(1+'Study Parameters'!$C$4) ^'Production Cost Baseline'!H$2</f>
        <v>55796735.637405105</v>
      </c>
      <c r="I96">
        <f>I95/(1+'Study Parameters'!$C$4) ^'Production Cost Baseline'!I$2</f>
        <v>51903940.127818696</v>
      </c>
      <c r="J96">
        <f>J95/(1+'Study Parameters'!$C$4) ^'Production Cost Baseline'!J$2</f>
        <v>48282735.002622046</v>
      </c>
      <c r="K96">
        <f>K95/(1+'Study Parameters'!$C$4) ^'Production Cost Baseline'!K$2</f>
        <v>44914172.095462367</v>
      </c>
      <c r="L96">
        <f>L95/(1+'Study Parameters'!$C$4) ^'Production Cost Baseline'!L$2</f>
        <v>41780625.205081284</v>
      </c>
      <c r="M96">
        <f>M95/(1+'Study Parameters'!$C$4) ^'Production Cost Baseline'!M$2</f>
        <v>38865697.865191884</v>
      </c>
      <c r="N96">
        <f>N95/(1+'Study Parameters'!$C$4) ^'Production Cost Baseline'!N$2</f>
        <v>36154137.549015708</v>
      </c>
      <c r="O96">
        <f>O95/(1+'Study Parameters'!$C$4) ^'Production Cost Baseline'!O$2</f>
        <v>33631755.859549493</v>
      </c>
      <c r="P96">
        <f>P95/(1+'Study Parameters'!$C$4) ^'Production Cost Baseline'!P$2</f>
        <v>31285354.287953019</v>
      </c>
      <c r="Q96">
        <f>Q95/(1+'Study Parameters'!$C$4) ^'Production Cost Baseline'!Q$2</f>
        <v>29102655.151584204</v>
      </c>
      <c r="R96">
        <f>R95/(1+'Study Parameters'!$C$4) ^'Production Cost Baseline'!R$2</f>
        <v>27072237.350310892</v>
      </c>
      <c r="S96">
        <f>S95/(1+'Study Parameters'!$C$4) ^'Production Cost Baseline'!S$2</f>
        <v>25183476.604940366</v>
      </c>
      <c r="T96">
        <f>T95/(1+'Study Parameters'!$C$4) ^'Production Cost Baseline'!T$2</f>
        <v>23426489.865060806</v>
      </c>
      <c r="U96">
        <f>U95/(1+'Study Parameters'!$C$4) ^'Production Cost Baseline'!U$2</f>
        <v>21792083.5954054</v>
      </c>
      <c r="V96">
        <f>V95/(1+'Study Parameters'!$C$4) ^'Production Cost Baseline'!V$2</f>
        <v>20271705.670144558</v>
      </c>
      <c r="W96">
        <f>W95/(1+'Study Parameters'!$C$4) ^'Production Cost Baseline'!W$2</f>
        <v>18857400.623390287</v>
      </c>
      <c r="X96">
        <f>X95/(1+'Study Parameters'!$C$4) ^'Production Cost Baseline'!X$2</f>
        <v>17541768.021758407</v>
      </c>
      <c r="Y96">
        <f>Y95/(1+'Study Parameters'!$C$4) ^'Production Cost Baseline'!Y$2</f>
        <v>16317923.741170611</v>
      </c>
      <c r="Z96">
        <f>Z95/(1+'Study Parameters'!$C$4) ^'Production Cost Baseline'!Z$2</f>
        <v>15179463.945274988</v>
      </c>
      <c r="AA96">
        <f>AA95/(1+'Study Parameters'!$C$4) ^'Production Cost Baseline'!AA$2</f>
        <v>14120431.576999988</v>
      </c>
    </row>
    <row r="97" spans="1:27" x14ac:dyDescent="0.25">
      <c r="A97" t="s">
        <v>124</v>
      </c>
      <c r="B97">
        <v>0</v>
      </c>
      <c r="C97">
        <f>'Study Parameters'!$C$15*'Study Parameters'!$C$8 * 10^3</f>
        <v>55200000</v>
      </c>
      <c r="D97">
        <f>'Study Parameters'!$C$15*'Study Parameters'!$C$8 * 10^3</f>
        <v>55200000</v>
      </c>
      <c r="E97">
        <f>'Study Parameters'!$C$15*'Study Parameters'!$C$8 * 10^3</f>
        <v>55200000</v>
      </c>
      <c r="F97">
        <f>'Study Parameters'!$C$15*'Study Parameters'!$C$8 * 10^3</f>
        <v>55200000</v>
      </c>
      <c r="G97">
        <f>'Study Parameters'!$C$15*'Study Parameters'!$C$8 * 10^3</f>
        <v>55200000</v>
      </c>
      <c r="H97">
        <f>'Study Parameters'!$C$15*'Study Parameters'!$C$8 * 10^3</f>
        <v>55200000</v>
      </c>
      <c r="I97">
        <f>'Study Parameters'!$C$15*'Study Parameters'!$C$8 * 10^3</f>
        <v>55200000</v>
      </c>
      <c r="J97">
        <f>'Study Parameters'!$C$15*'Study Parameters'!$C$8 * 10^3</f>
        <v>55200000</v>
      </c>
      <c r="K97">
        <f>'Study Parameters'!$C$15*'Study Parameters'!$C$8 * 10^3</f>
        <v>55200000</v>
      </c>
      <c r="L97">
        <f>'Study Parameters'!$C$15*'Study Parameters'!$C$8 * 10^3</f>
        <v>55200000</v>
      </c>
      <c r="M97">
        <f>'Study Parameters'!$C$15*'Study Parameters'!$C$8 * 10^3</f>
        <v>55200000</v>
      </c>
      <c r="N97">
        <f>'Study Parameters'!$C$15*'Study Parameters'!$C$8 * 10^3</f>
        <v>55200000</v>
      </c>
      <c r="O97">
        <f>'Study Parameters'!$C$15*'Study Parameters'!$C$8 * 10^3</f>
        <v>55200000</v>
      </c>
      <c r="P97">
        <f>'Study Parameters'!$C$15*'Study Parameters'!$C$8 * 10^3</f>
        <v>55200000</v>
      </c>
      <c r="Q97">
        <f>'Study Parameters'!$C$15*'Study Parameters'!$C$8 * 10^3</f>
        <v>55200000</v>
      </c>
      <c r="R97">
        <f>'Study Parameters'!$C$15*'Study Parameters'!$C$8 * 10^3</f>
        <v>55200000</v>
      </c>
      <c r="S97">
        <f>'Study Parameters'!$C$15*'Study Parameters'!$C$8 * 10^3</f>
        <v>55200000</v>
      </c>
      <c r="T97">
        <f>'Study Parameters'!$C$15*'Study Parameters'!$C$8 * 10^3</f>
        <v>55200000</v>
      </c>
      <c r="U97">
        <f>'Study Parameters'!$C$15*'Study Parameters'!$C$8 * 10^3</f>
        <v>55200000</v>
      </c>
      <c r="V97">
        <f>'Study Parameters'!$C$15*'Study Parameters'!$C$8 * 10^3</f>
        <v>55200000</v>
      </c>
      <c r="W97">
        <f>'Study Parameters'!$C$15*'Study Parameters'!$C$8 * 10^3</f>
        <v>55200000</v>
      </c>
      <c r="X97">
        <f>'Study Parameters'!$C$15*'Study Parameters'!$C$8 * 10^3</f>
        <v>55200000</v>
      </c>
      <c r="Y97">
        <f>'Study Parameters'!$C$15*'Study Parameters'!$C$8 * 10^3</f>
        <v>55200000</v>
      </c>
      <c r="Z97">
        <f>'Study Parameters'!$C$15*'Study Parameters'!$C$8 * 10^3</f>
        <v>55200000</v>
      </c>
      <c r="AA97">
        <f>'Study Parameters'!$C$15*'Study Parameters'!$C$8 * 10^3</f>
        <v>55200000</v>
      </c>
    </row>
    <row r="98" spans="1:27" x14ac:dyDescent="0.25">
      <c r="A98" t="s">
        <v>125</v>
      </c>
      <c r="B98">
        <f>B97/(1+'Study Parameters'!$C$4) ^'Production Cost Baseline'!B$2</f>
        <v>0</v>
      </c>
      <c r="C98">
        <f>C97/(1+'Study Parameters'!$C$4) ^'Production Cost Baseline'!C$2</f>
        <v>51348837.209302329</v>
      </c>
      <c r="D98">
        <f>D97/(1+'Study Parameters'!$C$4) ^'Production Cost Baseline'!D$2</f>
        <v>47766360.194699839</v>
      </c>
      <c r="E98">
        <f>E97/(1+'Study Parameters'!$C$4) ^'Production Cost Baseline'!E$2</f>
        <v>44433823.43693009</v>
      </c>
      <c r="F98">
        <f>F97/(1+'Study Parameters'!$C$4) ^'Production Cost Baseline'!F$2</f>
        <v>41333789.24365589</v>
      </c>
      <c r="G98">
        <f>G97/(1+'Study Parameters'!$C$4) ^'Production Cost Baseline'!G$2</f>
        <v>38450036.505726412</v>
      </c>
      <c r="H98">
        <f>H97/(1+'Study Parameters'!$C$4) ^'Production Cost Baseline'!H$2</f>
        <v>35767475.819280386</v>
      </c>
      <c r="I98">
        <f>I97/(1+'Study Parameters'!$C$4) ^'Production Cost Baseline'!I$2</f>
        <v>33272070.529563151</v>
      </c>
      <c r="J98">
        <f>J97/(1+'Study Parameters'!$C$4) ^'Production Cost Baseline'!J$2</f>
        <v>30950763.28331456</v>
      </c>
      <c r="K98">
        <f>K97/(1+'Study Parameters'!$C$4) ^'Production Cost Baseline'!K$2</f>
        <v>28791407.705408894</v>
      </c>
      <c r="L98">
        <f>L97/(1+'Study Parameters'!$C$4) ^'Production Cost Baseline'!L$2</f>
        <v>26782704.842240836</v>
      </c>
      <c r="M98">
        <f>M97/(1+'Study Parameters'!$C$4) ^'Production Cost Baseline'!M$2</f>
        <v>24914144.039293796</v>
      </c>
      <c r="N98">
        <f>N97/(1+'Study Parameters'!$C$4) ^'Production Cost Baseline'!N$2</f>
        <v>23175947.943529114</v>
      </c>
      <c r="O98">
        <f>O97/(1+'Study Parameters'!$C$4) ^'Production Cost Baseline'!O$2</f>
        <v>21559021.34281778</v>
      </c>
      <c r="P98">
        <f>P97/(1+'Study Parameters'!$C$4) ^'Production Cost Baseline'!P$2</f>
        <v>20054903.574714214</v>
      </c>
      <c r="Q98">
        <f>Q97/(1+'Study Parameters'!$C$4) ^'Production Cost Baseline'!Q$2</f>
        <v>18655724.255548108</v>
      </c>
      <c r="R98">
        <f>R97/(1+'Study Parameters'!$C$4) ^'Production Cost Baseline'!R$2</f>
        <v>17354162.098184288</v>
      </c>
      <c r="S98">
        <f>S97/(1+'Study Parameters'!$C$4) ^'Production Cost Baseline'!S$2</f>
        <v>16143406.602962129</v>
      </c>
      <c r="T98">
        <f>T97/(1+'Study Parameters'!$C$4) ^'Production Cost Baseline'!T$2</f>
        <v>15017122.42136012</v>
      </c>
      <c r="U98">
        <f>U97/(1+'Study Parameters'!$C$4) ^'Production Cost Baseline'!U$2</f>
        <v>13969416.20591639</v>
      </c>
      <c r="V98">
        <f>V97/(1+'Study Parameters'!$C$4) ^'Production Cost Baseline'!V$2</f>
        <v>12994805.77294548</v>
      </c>
      <c r="W98">
        <f>W97/(1+'Study Parameters'!$C$4) ^'Production Cost Baseline'!W$2</f>
        <v>12088191.41669347</v>
      </c>
      <c r="X98">
        <f>X97/(1+'Study Parameters'!$C$4) ^'Production Cost Baseline'!X$2</f>
        <v>11244829.224831134</v>
      </c>
      <c r="Y98">
        <f>Y97/(1+'Study Parameters'!$C$4) ^'Production Cost Baseline'!Y$2</f>
        <v>10460306.25565687</v>
      </c>
      <c r="Z98">
        <f>Z97/(1+'Study Parameters'!$C$4) ^'Production Cost Baseline'!Z$2</f>
        <v>9730517.4471226707</v>
      </c>
      <c r="AA98">
        <f>AA97/(1+'Study Parameters'!$C$4) ^'Production Cost Baseline'!AA$2</f>
        <v>9051644.1368582975</v>
      </c>
    </row>
    <row r="100" spans="1:27" x14ac:dyDescent="0.25">
      <c r="A100" t="s">
        <v>126</v>
      </c>
      <c r="B100">
        <f>SUM(B96:AA96) / SUM(C98:AA98)</f>
        <v>2.1109258138371101</v>
      </c>
    </row>
    <row r="101" spans="1:27" x14ac:dyDescent="0.25">
      <c r="A101" t="s">
        <v>127</v>
      </c>
      <c r="B101">
        <f>B100 * Inputs!$C$15</f>
        <v>1.6950734285111995</v>
      </c>
    </row>
    <row r="103" spans="1:27" x14ac:dyDescent="0.25">
      <c r="A103" s="1" t="s">
        <v>136</v>
      </c>
    </row>
    <row r="104" spans="1:27" x14ac:dyDescent="0.25">
      <c r="A104" t="s">
        <v>120</v>
      </c>
      <c r="B104">
        <f>'Cost Components'!$Q$43 * 10^6</f>
        <v>347000000</v>
      </c>
      <c r="C104" s="15">
        <f>('Cost Components'!$Q$44 + 'Cost Components'!$Q$42)*10^6</f>
        <v>237415868.49539927</v>
      </c>
      <c r="D104" s="15">
        <f>('Cost Components'!$Q$44 + 'Cost Components'!$Q$42)*10^6</f>
        <v>237415868.49539927</v>
      </c>
      <c r="E104" s="15">
        <f>('Cost Components'!$Q$44 + 'Cost Components'!$Q$42)*10^6</f>
        <v>237415868.49539927</v>
      </c>
      <c r="F104" s="15">
        <f>('Cost Components'!$Q$44 + 'Cost Components'!$Q$42)*10^6</f>
        <v>237415868.49539927</v>
      </c>
      <c r="G104" s="15">
        <f>('Cost Components'!$Q$44 + 'Cost Components'!$Q$42)*10^6</f>
        <v>237415868.49539927</v>
      </c>
      <c r="H104" s="15">
        <f>('Cost Components'!$Q$44 + 'Cost Components'!$Q$42)*10^6</f>
        <v>237415868.49539927</v>
      </c>
      <c r="I104" s="15">
        <f>('Cost Components'!$Q$44 + 'Cost Components'!$Q$42)*10^6</f>
        <v>237415868.49539927</v>
      </c>
      <c r="J104" s="15">
        <f>('Cost Components'!$Q$44 + 'Cost Components'!$Q$42)*10^6</f>
        <v>237415868.49539927</v>
      </c>
      <c r="K104" s="15">
        <f>('Cost Components'!$Q$44 + 'Cost Components'!$Q$42)*10^6</f>
        <v>237415868.49539927</v>
      </c>
      <c r="L104" s="15">
        <f>('Cost Components'!$Q$44 + 'Cost Components'!$Q$42)*10^6</f>
        <v>237415868.49539927</v>
      </c>
      <c r="M104" s="15">
        <f>('Cost Components'!$Q$44 + 'Cost Components'!$Q$42)*10^6</f>
        <v>237415868.49539927</v>
      </c>
      <c r="N104" s="15">
        <f>('Cost Components'!$Q$44 + 'Cost Components'!$Q$42)*10^6</f>
        <v>237415868.49539927</v>
      </c>
      <c r="O104" s="15">
        <f>('Cost Components'!$Q$44 + 'Cost Components'!$Q$42)*10^6</f>
        <v>237415868.49539927</v>
      </c>
      <c r="P104" s="15">
        <f>('Cost Components'!$Q$44 + 'Cost Components'!$Q$42)*10^6</f>
        <v>237415868.49539927</v>
      </c>
      <c r="Q104" s="15">
        <f>('Cost Components'!$Q$44 + 'Cost Components'!$Q$42)*10^6</f>
        <v>237415868.49539927</v>
      </c>
      <c r="R104" s="15">
        <f>('Cost Components'!$Q$44 + 'Cost Components'!$Q$42)*10^6</f>
        <v>237415868.49539927</v>
      </c>
      <c r="S104" s="15">
        <f>('Cost Components'!$Q$44 + 'Cost Components'!$Q$42)*10^6</f>
        <v>237415868.49539927</v>
      </c>
      <c r="T104" s="15">
        <f>('Cost Components'!$Q$44 + 'Cost Components'!$Q$42)*10^6</f>
        <v>237415868.49539927</v>
      </c>
      <c r="U104" s="15">
        <f>('Cost Components'!$Q$44 + 'Cost Components'!$Q$42)*10^6</f>
        <v>237415868.49539927</v>
      </c>
      <c r="V104" s="15">
        <f>('Cost Components'!$Q$44 + 'Cost Components'!$Q$42)*10^6</f>
        <v>237415868.49539927</v>
      </c>
      <c r="W104" s="15">
        <f>('Cost Components'!$Q$44 + 'Cost Components'!$Q$42)*10^6</f>
        <v>237415868.49539927</v>
      </c>
      <c r="X104" s="15">
        <f>('Cost Components'!$Q$44 + 'Cost Components'!$Q$42)*10^6</f>
        <v>237415868.49539927</v>
      </c>
      <c r="Y104" s="15">
        <f>('Cost Components'!$Q$44 + 'Cost Components'!$Q$42)*10^6</f>
        <v>237415868.49539927</v>
      </c>
      <c r="Z104" s="15">
        <f>('Cost Components'!$Q$44 + 'Cost Components'!$Q$42)*10^6</f>
        <v>237415868.49539927</v>
      </c>
      <c r="AA104" s="15">
        <f>('Cost Components'!$Q$44 + 'Cost Components'!$Q$42)*10^6</f>
        <v>237415868.49539927</v>
      </c>
    </row>
    <row r="105" spans="1:27" x14ac:dyDescent="0.25">
      <c r="A105" t="s">
        <v>121</v>
      </c>
      <c r="B105">
        <v>0</v>
      </c>
      <c r="C105">
        <f>'Cost Components'!$Q$36 * 10^6</f>
        <v>133699999.99999999</v>
      </c>
      <c r="D105">
        <f>'Cost Components'!$Q$36 * 10^6</f>
        <v>133699999.99999999</v>
      </c>
      <c r="E105">
        <f>'Cost Components'!$Q$36 * 10^6</f>
        <v>133699999.99999999</v>
      </c>
      <c r="F105">
        <f>'Cost Components'!$Q$36 * 10^6</f>
        <v>133699999.99999999</v>
      </c>
      <c r="G105">
        <f>'Cost Components'!$Q$36 * 10^6</f>
        <v>133699999.99999999</v>
      </c>
      <c r="H105">
        <f>'Cost Components'!$Q$36 * 10^6</f>
        <v>133699999.99999999</v>
      </c>
      <c r="I105">
        <f>'Cost Components'!$Q$36 * 10^6</f>
        <v>133699999.99999999</v>
      </c>
      <c r="J105">
        <f>'Cost Components'!$Q$36 * 10^6</f>
        <v>133699999.99999999</v>
      </c>
      <c r="K105">
        <f>'Cost Components'!$Q$36 * 10^6</f>
        <v>133699999.99999999</v>
      </c>
      <c r="L105">
        <f>'Cost Components'!$Q$36 * 10^6</f>
        <v>133699999.99999999</v>
      </c>
      <c r="M105">
        <f>'Cost Components'!$Q$36 * 10^6</f>
        <v>133699999.99999999</v>
      </c>
      <c r="N105">
        <f>'Cost Components'!$Q$36 * 10^6</f>
        <v>133699999.99999999</v>
      </c>
      <c r="O105">
        <f>'Cost Components'!$Q$36 * 10^6</f>
        <v>133699999.99999999</v>
      </c>
      <c r="P105">
        <f>'Cost Components'!$Q$36 * 10^6</f>
        <v>133699999.99999999</v>
      </c>
      <c r="Q105">
        <f>'Cost Components'!$Q$36 * 10^6</f>
        <v>133699999.99999999</v>
      </c>
      <c r="R105">
        <f>'Cost Components'!$Q$36 * 10^6</f>
        <v>133699999.99999999</v>
      </c>
      <c r="S105">
        <f>'Cost Components'!$Q$36 * 10^6</f>
        <v>133699999.99999999</v>
      </c>
      <c r="T105">
        <f>'Cost Components'!$Q$36 * 10^6</f>
        <v>133699999.99999999</v>
      </c>
      <c r="U105">
        <f>'Cost Components'!$Q$36 * 10^6</f>
        <v>133699999.99999999</v>
      </c>
      <c r="V105">
        <f>'Cost Components'!$Q$36 * 10^6</f>
        <v>133699999.99999999</v>
      </c>
      <c r="W105">
        <f>'Cost Components'!$Q$36 * 10^6</f>
        <v>133699999.99999999</v>
      </c>
      <c r="X105">
        <f>'Cost Components'!$Q$36 * 10^6</f>
        <v>133699999.99999999</v>
      </c>
      <c r="Y105">
        <f>'Cost Components'!$Q$36 * 10^6</f>
        <v>133699999.99999999</v>
      </c>
      <c r="Z105">
        <f>'Cost Components'!$Q$36 * 10^6</f>
        <v>133699999.99999999</v>
      </c>
      <c r="AA105">
        <f>'Cost Components'!$Q$36 * 10^6</f>
        <v>133699999.99999999</v>
      </c>
    </row>
    <row r="106" spans="1:27" x14ac:dyDescent="0.25">
      <c r="A106" t="s">
        <v>122</v>
      </c>
      <c r="B106">
        <f t="shared" ref="B106:AA106" si="9">B104-B105</f>
        <v>347000000</v>
      </c>
      <c r="C106">
        <f t="shared" si="9"/>
        <v>103715868.49539928</v>
      </c>
      <c r="D106">
        <f t="shared" si="9"/>
        <v>103715868.49539928</v>
      </c>
      <c r="E106">
        <f t="shared" si="9"/>
        <v>103715868.49539928</v>
      </c>
      <c r="F106">
        <f t="shared" si="9"/>
        <v>103715868.49539928</v>
      </c>
      <c r="G106">
        <f t="shared" si="9"/>
        <v>103715868.49539928</v>
      </c>
      <c r="H106">
        <f t="shared" si="9"/>
        <v>103715868.49539928</v>
      </c>
      <c r="I106">
        <f t="shared" si="9"/>
        <v>103715868.49539928</v>
      </c>
      <c r="J106">
        <f t="shared" si="9"/>
        <v>103715868.49539928</v>
      </c>
      <c r="K106">
        <f t="shared" si="9"/>
        <v>103715868.49539928</v>
      </c>
      <c r="L106">
        <f t="shared" si="9"/>
        <v>103715868.49539928</v>
      </c>
      <c r="M106">
        <f t="shared" si="9"/>
        <v>103715868.49539928</v>
      </c>
      <c r="N106">
        <f t="shared" si="9"/>
        <v>103715868.49539928</v>
      </c>
      <c r="O106">
        <f t="shared" si="9"/>
        <v>103715868.49539928</v>
      </c>
      <c r="P106">
        <f t="shared" si="9"/>
        <v>103715868.49539928</v>
      </c>
      <c r="Q106">
        <f t="shared" si="9"/>
        <v>103715868.49539928</v>
      </c>
      <c r="R106">
        <f t="shared" si="9"/>
        <v>103715868.49539928</v>
      </c>
      <c r="S106">
        <f t="shared" si="9"/>
        <v>103715868.49539928</v>
      </c>
      <c r="T106">
        <f t="shared" si="9"/>
        <v>103715868.49539928</v>
      </c>
      <c r="U106">
        <f t="shared" si="9"/>
        <v>103715868.49539928</v>
      </c>
      <c r="V106">
        <f t="shared" si="9"/>
        <v>103715868.49539928</v>
      </c>
      <c r="W106">
        <f t="shared" si="9"/>
        <v>103715868.49539928</v>
      </c>
      <c r="X106">
        <f t="shared" si="9"/>
        <v>103715868.49539928</v>
      </c>
      <c r="Y106">
        <f t="shared" si="9"/>
        <v>103715868.49539928</v>
      </c>
      <c r="Z106">
        <f t="shared" si="9"/>
        <v>103715868.49539928</v>
      </c>
      <c r="AA106">
        <f t="shared" si="9"/>
        <v>103715868.49539928</v>
      </c>
    </row>
    <row r="107" spans="1:27" x14ac:dyDescent="0.25">
      <c r="A107" t="s">
        <v>123</v>
      </c>
      <c r="B107">
        <f>B106/(1+'Study Parameters'!$C$4) ^'Production Cost Baseline'!B$2</f>
        <v>347000000</v>
      </c>
      <c r="C107">
        <f>C106/(1+'Study Parameters'!$C$4) ^'Production Cost Baseline'!C$2</f>
        <v>96479877.670138866</v>
      </c>
      <c r="D107">
        <f>D106/(1+'Study Parameters'!$C$4) ^'Production Cost Baseline'!D$2</f>
        <v>89748723.414082676</v>
      </c>
      <c r="E107">
        <f>E106/(1+'Study Parameters'!$C$4) ^'Production Cost Baseline'!E$2</f>
        <v>83487184.571239695</v>
      </c>
      <c r="F107">
        <f>F106/(1+'Study Parameters'!$C$4) ^'Production Cost Baseline'!F$2</f>
        <v>77662497.275571808</v>
      </c>
      <c r="G107">
        <f>G106/(1+'Study Parameters'!$C$4) ^'Production Cost Baseline'!G$2</f>
        <v>72244183.512159824</v>
      </c>
      <c r="H107">
        <f>H106/(1+'Study Parameters'!$C$4) ^'Production Cost Baseline'!H$2</f>
        <v>67203891.63921845</v>
      </c>
      <c r="I107">
        <f>I106/(1+'Study Parameters'!$C$4) ^'Production Cost Baseline'!I$2</f>
        <v>62515248.036482275</v>
      </c>
      <c r="J107">
        <f>J106/(1+'Study Parameters'!$C$4) ^'Production Cost Baseline'!J$2</f>
        <v>58153719.103704445</v>
      </c>
      <c r="K107">
        <f>K106/(1+'Study Parameters'!$C$4) ^'Production Cost Baseline'!K$2</f>
        <v>54096482.887166925</v>
      </c>
      <c r="L107">
        <f>L106/(1+'Study Parameters'!$C$4) ^'Production Cost Baseline'!L$2</f>
        <v>50322309.662480868</v>
      </c>
      <c r="M107">
        <f>M106/(1+'Study Parameters'!$C$4) ^'Production Cost Baseline'!M$2</f>
        <v>46811450.848819405</v>
      </c>
      <c r="N107">
        <f>N106/(1+'Study Parameters'!$C$4) ^'Production Cost Baseline'!N$2</f>
        <v>43545535.673320383</v>
      </c>
      <c r="O107">
        <f>O106/(1+'Study Parameters'!$C$4) ^'Production Cost Baseline'!O$2</f>
        <v>40507475.044949189</v>
      </c>
      <c r="P107">
        <f>P106/(1+'Study Parameters'!$C$4) ^'Production Cost Baseline'!P$2</f>
        <v>37681372.134836458</v>
      </c>
      <c r="Q107">
        <f>Q106/(1+'Study Parameters'!$C$4) ^'Production Cost Baseline'!Q$2</f>
        <v>35052439.195196703</v>
      </c>
      <c r="R107">
        <f>R106/(1+'Study Parameters'!$C$4) ^'Production Cost Baseline'!R$2</f>
        <v>32606920.181578334</v>
      </c>
      <c r="S107">
        <f>S106/(1+'Study Parameters'!$C$4) ^'Production Cost Baseline'!S$2</f>
        <v>30332018.773561243</v>
      </c>
      <c r="T107">
        <f>T106/(1+'Study Parameters'!$C$4) ^'Production Cost Baseline'!T$2</f>
        <v>28215831.417266276</v>
      </c>
      <c r="U107">
        <f>U106/(1+'Study Parameters'!$C$4) ^'Production Cost Baseline'!U$2</f>
        <v>26247285.039317463</v>
      </c>
      <c r="V107">
        <f>V106/(1+'Study Parameters'!$C$4) ^'Production Cost Baseline'!V$2</f>
        <v>24416079.106341828</v>
      </c>
      <c r="W107">
        <f>W106/(1+'Study Parameters'!$C$4) ^'Production Cost Baseline'!W$2</f>
        <v>22712631.726829603</v>
      </c>
      <c r="X107">
        <f>X106/(1+'Study Parameters'!$C$4) ^'Production Cost Baseline'!X$2</f>
        <v>21128029.513329867</v>
      </c>
      <c r="Y107">
        <f>Y106/(1+'Study Parameters'!$C$4) ^'Production Cost Baseline'!Y$2</f>
        <v>19653980.942632433</v>
      </c>
      <c r="Z107">
        <f>Z106/(1+'Study Parameters'!$C$4) ^'Production Cost Baseline'!Z$2</f>
        <v>18282772.969890639</v>
      </c>
      <c r="AA107">
        <f>AA106/(1+'Study Parameters'!$C$4) ^'Production Cost Baseline'!AA$2</f>
        <v>17007230.669665709</v>
      </c>
    </row>
    <row r="108" spans="1:27" x14ac:dyDescent="0.25">
      <c r="A108" t="s">
        <v>124</v>
      </c>
      <c r="B108">
        <v>0</v>
      </c>
      <c r="C108">
        <f>'Study Parameters'!$C$16*'Study Parameters'!$C$8 * 10^3</f>
        <v>54400000</v>
      </c>
      <c r="D108">
        <f>'Study Parameters'!$C$16*'Study Parameters'!$C$8 * 10^3</f>
        <v>54400000</v>
      </c>
      <c r="E108">
        <f>'Study Parameters'!$C$16*'Study Parameters'!$C$8 * 10^3</f>
        <v>54400000</v>
      </c>
      <c r="F108">
        <f>'Study Parameters'!$C$16*'Study Parameters'!$C$8 * 10^3</f>
        <v>54400000</v>
      </c>
      <c r="G108">
        <f>'Study Parameters'!$C$16*'Study Parameters'!$C$8 * 10^3</f>
        <v>54400000</v>
      </c>
      <c r="H108">
        <f>'Study Parameters'!$C$16*'Study Parameters'!$C$8 * 10^3</f>
        <v>54400000</v>
      </c>
      <c r="I108">
        <f>'Study Parameters'!$C$16*'Study Parameters'!$C$8 * 10^3</f>
        <v>54400000</v>
      </c>
      <c r="J108">
        <f>'Study Parameters'!$C$16*'Study Parameters'!$C$8 * 10^3</f>
        <v>54400000</v>
      </c>
      <c r="K108">
        <f>'Study Parameters'!$C$16*'Study Parameters'!$C$8 * 10^3</f>
        <v>54400000</v>
      </c>
      <c r="L108">
        <f>'Study Parameters'!$C$16*'Study Parameters'!$C$8 * 10^3</f>
        <v>54400000</v>
      </c>
      <c r="M108">
        <f>'Study Parameters'!$C$16*'Study Parameters'!$C$8 * 10^3</f>
        <v>54400000</v>
      </c>
      <c r="N108">
        <f>'Study Parameters'!$C$16*'Study Parameters'!$C$8 * 10^3</f>
        <v>54400000</v>
      </c>
      <c r="O108">
        <f>'Study Parameters'!$C$16*'Study Parameters'!$C$8 * 10^3</f>
        <v>54400000</v>
      </c>
      <c r="P108">
        <f>'Study Parameters'!$C$16*'Study Parameters'!$C$8 * 10^3</f>
        <v>54400000</v>
      </c>
      <c r="Q108">
        <f>'Study Parameters'!$C$16*'Study Parameters'!$C$8 * 10^3</f>
        <v>54400000</v>
      </c>
      <c r="R108">
        <f>'Study Parameters'!$C$16*'Study Parameters'!$C$8 * 10^3</f>
        <v>54400000</v>
      </c>
      <c r="S108">
        <f>'Study Parameters'!$C$16*'Study Parameters'!$C$8 * 10^3</f>
        <v>54400000</v>
      </c>
      <c r="T108">
        <f>'Study Parameters'!$C$16*'Study Parameters'!$C$8 * 10^3</f>
        <v>54400000</v>
      </c>
      <c r="U108">
        <f>'Study Parameters'!$C$16*'Study Parameters'!$C$8 * 10^3</f>
        <v>54400000</v>
      </c>
      <c r="V108">
        <f>'Study Parameters'!$C$16*'Study Parameters'!$C$8 * 10^3</f>
        <v>54400000</v>
      </c>
      <c r="W108">
        <f>'Study Parameters'!$C$16*'Study Parameters'!$C$8 * 10^3</f>
        <v>54400000</v>
      </c>
      <c r="X108">
        <f>'Study Parameters'!$C$16*'Study Parameters'!$C$8 * 10^3</f>
        <v>54400000</v>
      </c>
      <c r="Y108">
        <f>'Study Parameters'!$C$16*'Study Parameters'!$C$8 * 10^3</f>
        <v>54400000</v>
      </c>
      <c r="Z108">
        <f>'Study Parameters'!$C$16*'Study Parameters'!$C$8 * 10^3</f>
        <v>54400000</v>
      </c>
      <c r="AA108">
        <f>'Study Parameters'!$C$16*'Study Parameters'!$C$8 * 10^3</f>
        <v>54400000</v>
      </c>
    </row>
    <row r="109" spans="1:27" x14ac:dyDescent="0.25">
      <c r="A109" t="s">
        <v>125</v>
      </c>
      <c r="B109">
        <f>B108/(1+'Study Parameters'!$C$4) ^'Production Cost Baseline'!B$2</f>
        <v>0</v>
      </c>
      <c r="C109">
        <f>C108/(1+'Study Parameters'!$C$4) ^'Production Cost Baseline'!C$2</f>
        <v>50604651.162790701</v>
      </c>
      <c r="D109">
        <f>D108/(1+'Study Parameters'!$C$4) ^'Production Cost Baseline'!D$2</f>
        <v>47074094.104921587</v>
      </c>
      <c r="E109">
        <f>E108/(1+'Study Parameters'!$C$4) ^'Production Cost Baseline'!E$2</f>
        <v>43789854.981322408</v>
      </c>
      <c r="F109">
        <f>F108/(1+'Study Parameters'!$C$4) ^'Production Cost Baseline'!F$2</f>
        <v>40734748.819834791</v>
      </c>
      <c r="G109">
        <f>G108/(1+'Study Parameters'!$C$4) ^'Production Cost Baseline'!G$2</f>
        <v>37892789.599846318</v>
      </c>
      <c r="H109">
        <f>H108/(1+'Study Parameters'!$C$4) ^'Production Cost Baseline'!H$2</f>
        <v>35249106.604508206</v>
      </c>
      <c r="I109">
        <f>I108/(1+'Study Parameters'!$C$4) ^'Production Cost Baseline'!I$2</f>
        <v>32789866.608844843</v>
      </c>
      <c r="J109">
        <f>J108/(1+'Study Parameters'!$C$4) ^'Production Cost Baseline'!J$2</f>
        <v>30502201.496599857</v>
      </c>
      <c r="K109">
        <f>K108/(1+'Study Parameters'!$C$4) ^'Production Cost Baseline'!K$2</f>
        <v>28374140.927069634</v>
      </c>
      <c r="L109">
        <f>L108/(1+'Study Parameters'!$C$4) ^'Production Cost Baseline'!L$2</f>
        <v>26394549.699599665</v>
      </c>
      <c r="M109">
        <f>M108/(1+'Study Parameters'!$C$4) ^'Production Cost Baseline'!M$2</f>
        <v>24553069.487999685</v>
      </c>
      <c r="N109">
        <f>N108/(1+'Study Parameters'!$C$4) ^'Production Cost Baseline'!N$2</f>
        <v>22840064.639999706</v>
      </c>
      <c r="O109">
        <f>O108/(1+'Study Parameters'!$C$4) ^'Production Cost Baseline'!O$2</f>
        <v>21246571.75813926</v>
      </c>
      <c r="P109">
        <f>P108/(1+'Study Parameters'!$C$4) ^'Production Cost Baseline'!P$2</f>
        <v>19764252.798269082</v>
      </c>
      <c r="Q109">
        <f>Q108/(1+'Study Parameters'!$C$4) ^'Production Cost Baseline'!Q$2</f>
        <v>18385351.440250307</v>
      </c>
      <c r="R109">
        <f>R108/(1+'Study Parameters'!$C$4) ^'Production Cost Baseline'!R$2</f>
        <v>17102652.502558429</v>
      </c>
      <c r="S109">
        <f>S108/(1+'Study Parameters'!$C$4) ^'Production Cost Baseline'!S$2</f>
        <v>15909444.188426446</v>
      </c>
      <c r="T109">
        <f>T108/(1+'Study Parameters'!$C$4) ^'Production Cost Baseline'!T$2</f>
        <v>14799482.96597809</v>
      </c>
      <c r="U109">
        <f>U108/(1+'Study Parameters'!$C$4) ^'Production Cost Baseline'!U$2</f>
        <v>13766960.898584269</v>
      </c>
      <c r="V109">
        <f>V108/(1+'Study Parameters'!$C$4) ^'Production Cost Baseline'!V$2</f>
        <v>12806475.254496995</v>
      </c>
      <c r="W109">
        <f>W108/(1+'Study Parameters'!$C$4) ^'Production Cost Baseline'!W$2</f>
        <v>11913000.23674139</v>
      </c>
      <c r="X109">
        <f>X108/(1+'Study Parameters'!$C$4) ^'Production Cost Baseline'!X$2</f>
        <v>11081860.685340829</v>
      </c>
      <c r="Y109">
        <f>Y108/(1+'Study Parameters'!$C$4) ^'Production Cost Baseline'!Y$2</f>
        <v>10308707.614270538</v>
      </c>
      <c r="Z109">
        <f>Z108/(1+'Study Parameters'!$C$4) ^'Production Cost Baseline'!Z$2</f>
        <v>9589495.4551353846</v>
      </c>
      <c r="AA109">
        <f>AA108/(1+'Study Parameters'!$C$4) ^'Production Cost Baseline'!AA$2</f>
        <v>8920460.8884980325</v>
      </c>
    </row>
    <row r="111" spans="1:27" x14ac:dyDescent="0.25">
      <c r="A111" t="s">
        <v>126</v>
      </c>
      <c r="B111">
        <f>SUM(B107:AA107) / SUM(C109:AA109)</f>
        <v>2.4787770506940499</v>
      </c>
    </row>
    <row r="112" spans="1:27" x14ac:dyDescent="0.25">
      <c r="A112" t="s">
        <v>127</v>
      </c>
      <c r="B112">
        <f>B111 * Inputs!$C$15</f>
        <v>1.9904579717073221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12"/>
  <sheetViews>
    <sheetView topLeftCell="A56" workbookViewId="0">
      <selection activeCell="B2" sqref="B2:AA2"/>
    </sheetView>
  </sheetViews>
  <sheetFormatPr defaultColWidth="11" defaultRowHeight="15.75" x14ac:dyDescent="0.25"/>
  <cols>
    <col min="1" max="1" width="27.375" bestFit="1" customWidth="1"/>
    <col min="2" max="2" width="11.125" bestFit="1" customWidth="1"/>
    <col min="3" max="3" width="15.5" bestFit="1" customWidth="1"/>
  </cols>
  <sheetData>
    <row r="1" spans="1:27" x14ac:dyDescent="0.25">
      <c r="A1" s="11">
        <v>2021</v>
      </c>
    </row>
    <row r="2" spans="1:27" x14ac:dyDescent="0.25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</row>
    <row r="3" spans="1:27" x14ac:dyDescent="0.25">
      <c r="A3" s="1" t="s">
        <v>128</v>
      </c>
    </row>
    <row r="4" spans="1:27" x14ac:dyDescent="0.25">
      <c r="A4" t="s">
        <v>120</v>
      </c>
      <c r="B4">
        <f>'Cost Components'!$B$42 * 10^6</f>
        <v>1136760000</v>
      </c>
      <c r="C4">
        <f>('Cost Components'!$B$43  + 'Cost Components'!$B$40 + 'Cost Components'!$B$41) * 10^6</f>
        <v>556074856.00618696</v>
      </c>
      <c r="D4">
        <f>('Cost Components'!$B$43  + 'Cost Components'!$B$40 + 'Cost Components'!$B$41) * 10^6</f>
        <v>556074856.00618696</v>
      </c>
      <c r="E4">
        <f>('Cost Components'!$B$43  + 'Cost Components'!$B$40 + 'Cost Components'!$B$41) * 10^6</f>
        <v>556074856.00618696</v>
      </c>
      <c r="F4">
        <f>('Cost Components'!$B$43  + 'Cost Components'!$B$40 + 'Cost Components'!$B$41) * 10^6</f>
        <v>556074856.00618696</v>
      </c>
      <c r="G4">
        <f>('Cost Components'!$B$43  + 'Cost Components'!$B$40 + 'Cost Components'!$B$41) * 10^6</f>
        <v>556074856.00618696</v>
      </c>
      <c r="H4">
        <f>('Cost Components'!$B$43  + 'Cost Components'!$B$40 + 'Cost Components'!$B$41) * 10^6</f>
        <v>556074856.00618696</v>
      </c>
      <c r="I4">
        <f>('Cost Components'!$B$43  + 'Cost Components'!$B$40 + 'Cost Components'!$B$41) * 10^6</f>
        <v>556074856.00618696</v>
      </c>
      <c r="J4">
        <f>('Cost Components'!$B$43  + 'Cost Components'!$B$40 + 'Cost Components'!$B$41) * 10^6</f>
        <v>556074856.00618696</v>
      </c>
      <c r="K4">
        <f>('Cost Components'!$B$43  + 'Cost Components'!$B$40 + 'Cost Components'!$B$41) * 10^6</f>
        <v>556074856.00618696</v>
      </c>
      <c r="L4">
        <f>('Cost Components'!$B$43  + 'Cost Components'!$B$40 + 'Cost Components'!$B$41) * 10^6</f>
        <v>556074856.00618696</v>
      </c>
      <c r="M4">
        <f>('Cost Components'!$B$43  + 'Cost Components'!$B$40 + 'Cost Components'!$B$41) * 10^6</f>
        <v>556074856.00618696</v>
      </c>
      <c r="N4">
        <f>('Cost Components'!$B$43  + 'Cost Components'!$B$40 + 'Cost Components'!$B$41) * 10^6</f>
        <v>556074856.00618696</v>
      </c>
      <c r="O4">
        <f>('Cost Components'!$B$43  + 'Cost Components'!$B$40 + 'Cost Components'!$B$41) * 10^6</f>
        <v>556074856.00618696</v>
      </c>
      <c r="P4">
        <f>('Cost Components'!$B$43  + 'Cost Components'!$B$40 + 'Cost Components'!$B$41) * 10^6</f>
        <v>556074856.00618696</v>
      </c>
      <c r="Q4">
        <f>('Cost Components'!$B$43  + 'Cost Components'!$B$40 + 'Cost Components'!$B$41) * 10^6</f>
        <v>556074856.00618696</v>
      </c>
      <c r="R4">
        <f>('Cost Components'!$B$43  + 'Cost Components'!$B$40 + 'Cost Components'!$B$41) * 10^6</f>
        <v>556074856.00618696</v>
      </c>
      <c r="S4">
        <f>('Cost Components'!$B$43  + 'Cost Components'!$B$40 + 'Cost Components'!$B$41) * 10^6</f>
        <v>556074856.00618696</v>
      </c>
      <c r="T4">
        <f>('Cost Components'!$B$43  + 'Cost Components'!$B$40 + 'Cost Components'!$B$41) * 10^6</f>
        <v>556074856.00618696</v>
      </c>
      <c r="U4">
        <f>('Cost Components'!$B$43  + 'Cost Components'!$B$40 + 'Cost Components'!$B$41) * 10^6</f>
        <v>556074856.00618696</v>
      </c>
      <c r="V4">
        <f>('Cost Components'!$B$43  + 'Cost Components'!$B$40 + 'Cost Components'!$B$41) * 10^6</f>
        <v>556074856.00618696</v>
      </c>
      <c r="W4">
        <f>('Cost Components'!$B$43  + 'Cost Components'!$B$40 + 'Cost Components'!$B$41) * 10^6</f>
        <v>556074856.00618696</v>
      </c>
      <c r="X4">
        <f>('Cost Components'!$B$43  + 'Cost Components'!$B$40 + 'Cost Components'!$B$41) * 10^6</f>
        <v>556074856.00618696</v>
      </c>
      <c r="Y4">
        <f>('Cost Components'!$B$43  + 'Cost Components'!$B$40 + 'Cost Components'!$B$41) * 10^6</f>
        <v>556074856.00618696</v>
      </c>
      <c r="Z4">
        <f>('Cost Components'!$B$43  + 'Cost Components'!$B$40 + 'Cost Components'!$B$41) * 10^6</f>
        <v>556074856.00618696</v>
      </c>
      <c r="AA4">
        <f>('Cost Components'!$B$43  + 'Cost Components'!$B$40 + 'Cost Components'!$B$41) * 10^6</f>
        <v>556074856.00618696</v>
      </c>
    </row>
    <row r="5" spans="1:27" x14ac:dyDescent="0.25">
      <c r="A5" t="s">
        <v>121</v>
      </c>
      <c r="B5">
        <v>0</v>
      </c>
      <c r="C5">
        <f>'Cost Components'!$B$36*10^6</f>
        <v>56800000</v>
      </c>
      <c r="D5">
        <f>'Cost Components'!$B$36*10^6</f>
        <v>56800000</v>
      </c>
      <c r="E5">
        <f>'Cost Components'!$B$36*10^6</f>
        <v>56800000</v>
      </c>
      <c r="F5">
        <f>'Cost Components'!$B$36*10^6</f>
        <v>56800000</v>
      </c>
      <c r="G5">
        <f>'Cost Components'!$B$36*10^6</f>
        <v>56800000</v>
      </c>
      <c r="H5">
        <f>'Cost Components'!$B$36*10^6</f>
        <v>56800000</v>
      </c>
      <c r="I5">
        <f>'Cost Components'!$B$36*10^6</f>
        <v>56800000</v>
      </c>
      <c r="J5">
        <f>'Cost Components'!$B$36*10^6</f>
        <v>56800000</v>
      </c>
      <c r="K5">
        <f>'Cost Components'!$B$36*10^6</f>
        <v>56800000</v>
      </c>
      <c r="L5">
        <f>'Cost Components'!$B$36*10^6</f>
        <v>56800000</v>
      </c>
      <c r="M5">
        <f>'Cost Components'!$B$36*10^6</f>
        <v>56800000</v>
      </c>
      <c r="N5">
        <f>'Cost Components'!$B$36*10^6</f>
        <v>56800000</v>
      </c>
      <c r="O5">
        <f>'Cost Components'!$B$36*10^6</f>
        <v>56800000</v>
      </c>
      <c r="P5">
        <f>'Cost Components'!$B$36*10^6</f>
        <v>56800000</v>
      </c>
      <c r="Q5">
        <f>'Cost Components'!$B$36*10^6</f>
        <v>56800000</v>
      </c>
      <c r="R5">
        <f>'Cost Components'!$B$36*10^6</f>
        <v>56800000</v>
      </c>
      <c r="S5">
        <f>'Cost Components'!$B$36*10^6</f>
        <v>56800000</v>
      </c>
      <c r="T5">
        <f>'Cost Components'!$B$36*10^6</f>
        <v>56800000</v>
      </c>
      <c r="U5">
        <f>'Cost Components'!$B$36*10^6</f>
        <v>56800000</v>
      </c>
      <c r="V5">
        <f>'Cost Components'!$B$36*10^6</f>
        <v>56800000</v>
      </c>
      <c r="W5">
        <f>'Cost Components'!$B$36*10^6</f>
        <v>56800000</v>
      </c>
      <c r="X5">
        <f>'Cost Components'!$B$36*10^6</f>
        <v>56800000</v>
      </c>
      <c r="Y5">
        <f>'Cost Components'!$B$36*10^6</f>
        <v>56800000</v>
      </c>
      <c r="Z5">
        <f>'Cost Components'!$B$36*10^6</f>
        <v>56800000</v>
      </c>
      <c r="AA5">
        <f>'Cost Components'!$B$36*10^6</f>
        <v>56800000</v>
      </c>
    </row>
    <row r="6" spans="1:27" x14ac:dyDescent="0.25">
      <c r="A6" t="s">
        <v>122</v>
      </c>
      <c r="B6">
        <f t="shared" ref="B6:AA6" si="0">B4-B5</f>
        <v>1136760000</v>
      </c>
      <c r="C6">
        <f t="shared" si="0"/>
        <v>499274856.00618696</v>
      </c>
      <c r="D6">
        <f t="shared" si="0"/>
        <v>499274856.00618696</v>
      </c>
      <c r="E6">
        <f t="shared" si="0"/>
        <v>499274856.00618696</v>
      </c>
      <c r="F6">
        <f t="shared" si="0"/>
        <v>499274856.00618696</v>
      </c>
      <c r="G6">
        <f t="shared" si="0"/>
        <v>499274856.00618696</v>
      </c>
      <c r="H6">
        <f t="shared" si="0"/>
        <v>499274856.00618696</v>
      </c>
      <c r="I6">
        <f t="shared" si="0"/>
        <v>499274856.00618696</v>
      </c>
      <c r="J6">
        <f t="shared" si="0"/>
        <v>499274856.00618696</v>
      </c>
      <c r="K6">
        <f t="shared" si="0"/>
        <v>499274856.00618696</v>
      </c>
      <c r="L6">
        <f t="shared" si="0"/>
        <v>499274856.00618696</v>
      </c>
      <c r="M6">
        <f t="shared" si="0"/>
        <v>499274856.00618696</v>
      </c>
      <c r="N6">
        <f t="shared" si="0"/>
        <v>499274856.00618696</v>
      </c>
      <c r="O6">
        <f t="shared" si="0"/>
        <v>499274856.00618696</v>
      </c>
      <c r="P6">
        <f t="shared" si="0"/>
        <v>499274856.00618696</v>
      </c>
      <c r="Q6">
        <f t="shared" si="0"/>
        <v>499274856.00618696</v>
      </c>
      <c r="R6">
        <f t="shared" si="0"/>
        <v>499274856.00618696</v>
      </c>
      <c r="S6">
        <f t="shared" si="0"/>
        <v>499274856.00618696</v>
      </c>
      <c r="T6">
        <f t="shared" si="0"/>
        <v>499274856.00618696</v>
      </c>
      <c r="U6">
        <f t="shared" si="0"/>
        <v>499274856.00618696</v>
      </c>
      <c r="V6">
        <f t="shared" si="0"/>
        <v>499274856.00618696</v>
      </c>
      <c r="W6">
        <f t="shared" si="0"/>
        <v>499274856.00618696</v>
      </c>
      <c r="X6">
        <f t="shared" si="0"/>
        <v>499274856.00618696</v>
      </c>
      <c r="Y6">
        <f t="shared" si="0"/>
        <v>499274856.00618696</v>
      </c>
      <c r="Z6">
        <f t="shared" si="0"/>
        <v>499274856.00618696</v>
      </c>
      <c r="AA6">
        <f t="shared" si="0"/>
        <v>499274856.00618696</v>
      </c>
    </row>
    <row r="7" spans="1:27" x14ac:dyDescent="0.25">
      <c r="A7" t="s">
        <v>123</v>
      </c>
      <c r="B7">
        <f>B6/(1+Inputs!$C$5) ^'Production Cost Baseline'!B$2</f>
        <v>1136760000</v>
      </c>
      <c r="C7">
        <f>C6/(1+Inputs!$C$5) ^'Production Cost Baseline'!C$2</f>
        <v>466612014.95905322</v>
      </c>
      <c r="D7">
        <f>D6/(1+Inputs!$C$5) ^'Production Cost Baseline'!D$2</f>
        <v>436085995.28883481</v>
      </c>
      <c r="E7">
        <f>E6/(1+Inputs!$C$5) ^'Production Cost Baseline'!E$2</f>
        <v>407557004.94283623</v>
      </c>
      <c r="F7">
        <f>F6/(1+Inputs!$C$5) ^'Production Cost Baseline'!F$2</f>
        <v>380894397.14283764</v>
      </c>
      <c r="G7">
        <f>G6/(1+Inputs!$C$5) ^'Production Cost Baseline'!G$2</f>
        <v>355976072.09610987</v>
      </c>
      <c r="H7">
        <f>H6/(1+Inputs!$C$5) ^'Production Cost Baseline'!H$2</f>
        <v>332687917.84683168</v>
      </c>
      <c r="I7">
        <f>I6/(1+Inputs!$C$5) ^'Production Cost Baseline'!I$2</f>
        <v>310923287.70731932</v>
      </c>
      <c r="J7">
        <f>J6/(1+Inputs!$C$5) ^'Production Cost Baseline'!J$2</f>
        <v>290582511.87599939</v>
      </c>
      <c r="K7">
        <f>K6/(1+Inputs!$C$5) ^'Production Cost Baseline'!K$2</f>
        <v>271572441.00560689</v>
      </c>
      <c r="L7">
        <f>L6/(1+Inputs!$C$5) ^'Production Cost Baseline'!L$2</f>
        <v>253806019.6314083</v>
      </c>
      <c r="M7">
        <f>M6/(1+Inputs!$C$5) ^'Production Cost Baseline'!M$2</f>
        <v>237201887.50598904</v>
      </c>
      <c r="N7">
        <f>N6/(1+Inputs!$C$5) ^'Production Cost Baseline'!N$2</f>
        <v>221684007.01494306</v>
      </c>
      <c r="O7">
        <f>O6/(1+Inputs!$C$5) ^'Production Cost Baseline'!O$2</f>
        <v>207181314.96723649</v>
      </c>
      <c r="P7">
        <f>P6/(1+Inputs!$C$5) ^'Production Cost Baseline'!P$2</f>
        <v>193627397.16564161</v>
      </c>
      <c r="Q7">
        <f>Q6/(1+Inputs!$C$5) ^'Production Cost Baseline'!Q$2</f>
        <v>180960184.26695475</v>
      </c>
      <c r="R7">
        <f>R6/(1+Inputs!$C$5) ^'Production Cost Baseline'!R$2</f>
        <v>169121667.53921005</v>
      </c>
      <c r="S7">
        <f>S6/(1+Inputs!$C$5) ^'Production Cost Baseline'!S$2</f>
        <v>158057633.21421501</v>
      </c>
      <c r="T7">
        <f>T6/(1+Inputs!$C$5) ^'Production Cost Baseline'!T$2</f>
        <v>147717414.21889251</v>
      </c>
      <c r="U7">
        <f>U6/(1+Inputs!$C$5) ^'Production Cost Baseline'!U$2</f>
        <v>138053658.14849767</v>
      </c>
      <c r="V7">
        <f>V6/(1+Inputs!$C$5) ^'Production Cost Baseline'!V$2</f>
        <v>129022110.41915672</v>
      </c>
      <c r="W7">
        <f>W6/(1+Inputs!$C$5) ^'Production Cost Baseline'!W$2</f>
        <v>120581411.60668851</v>
      </c>
      <c r="X7">
        <f>X6/(1+Inputs!$C$5) ^'Production Cost Baseline'!X$2</f>
        <v>112692908.04363413</v>
      </c>
      <c r="Y7">
        <f>Y6/(1+Inputs!$C$5) ^'Production Cost Baseline'!Y$2</f>
        <v>105320474.8071347</v>
      </c>
      <c r="Z7">
        <f>Z6/(1+Inputs!$C$5) ^'Production Cost Baseline'!Z$2</f>
        <v>98430350.287041768</v>
      </c>
      <c r="AA7">
        <f>AA6/(1+Inputs!$C$5) ^'Production Cost Baseline'!AA$2</f>
        <v>91990981.576674551</v>
      </c>
    </row>
    <row r="8" spans="1:27" x14ac:dyDescent="0.25">
      <c r="A8" t="s">
        <v>124</v>
      </c>
      <c r="B8">
        <v>0</v>
      </c>
      <c r="C8">
        <f>'Study Parameters'!$C$12*'Study Parameters'!$C$8 * 10^3</f>
        <v>69600000</v>
      </c>
      <c r="D8">
        <f>'Study Parameters'!$C$12*'Study Parameters'!$C$8 * 10^3</f>
        <v>69600000</v>
      </c>
      <c r="E8">
        <f>'Study Parameters'!$C$12*'Study Parameters'!$C$8 * 10^3</f>
        <v>69600000</v>
      </c>
      <c r="F8">
        <f>'Study Parameters'!$C$12*'Study Parameters'!$C$8 * 10^3</f>
        <v>69600000</v>
      </c>
      <c r="G8">
        <f>'Study Parameters'!$C$12*'Study Parameters'!$C$8 * 10^3</f>
        <v>69600000</v>
      </c>
      <c r="H8">
        <f>'Study Parameters'!$C$12*'Study Parameters'!$C$8 * 10^3</f>
        <v>69600000</v>
      </c>
      <c r="I8">
        <f>'Study Parameters'!$C$12*'Study Parameters'!$C$8 * 10^3</f>
        <v>69600000</v>
      </c>
      <c r="J8">
        <f>'Study Parameters'!$C$12*'Study Parameters'!$C$8 * 10^3</f>
        <v>69600000</v>
      </c>
      <c r="K8">
        <f>'Study Parameters'!$C$12*'Study Parameters'!$C$8 * 10^3</f>
        <v>69600000</v>
      </c>
      <c r="L8">
        <f>'Study Parameters'!$C$12*'Study Parameters'!$C$8 * 10^3</f>
        <v>69600000</v>
      </c>
      <c r="M8">
        <f>'Study Parameters'!$C$12*'Study Parameters'!$C$8 * 10^3</f>
        <v>69600000</v>
      </c>
      <c r="N8">
        <f>'Study Parameters'!$C$12*'Study Parameters'!$C$8 * 10^3</f>
        <v>69600000</v>
      </c>
      <c r="O8">
        <f>'Study Parameters'!$C$12*'Study Parameters'!$C$8 * 10^3</f>
        <v>69600000</v>
      </c>
      <c r="P8">
        <f>'Study Parameters'!$C$12*'Study Parameters'!$C$8 * 10^3</f>
        <v>69600000</v>
      </c>
      <c r="Q8">
        <f>'Study Parameters'!$C$12*'Study Parameters'!$C$8 * 10^3</f>
        <v>69600000</v>
      </c>
      <c r="R8">
        <f>'Study Parameters'!$C$12*'Study Parameters'!$C$8 * 10^3</f>
        <v>69600000</v>
      </c>
      <c r="S8">
        <f>'Study Parameters'!$C$12*'Study Parameters'!$C$8 * 10^3</f>
        <v>69600000</v>
      </c>
      <c r="T8">
        <f>'Study Parameters'!$C$12*'Study Parameters'!$C$8 * 10^3</f>
        <v>69600000</v>
      </c>
      <c r="U8">
        <f>'Study Parameters'!$C$12*'Study Parameters'!$C$8 * 10^3</f>
        <v>69600000</v>
      </c>
      <c r="V8">
        <f>'Study Parameters'!$C$12*'Study Parameters'!$C$8 * 10^3</f>
        <v>69600000</v>
      </c>
      <c r="W8">
        <f>'Study Parameters'!$C$12*'Study Parameters'!$C$8 * 10^3</f>
        <v>69600000</v>
      </c>
      <c r="X8">
        <f>'Study Parameters'!$C$12*'Study Parameters'!$C$8 * 10^3</f>
        <v>69600000</v>
      </c>
      <c r="Y8">
        <f>'Study Parameters'!$C$12*'Study Parameters'!$C$8 * 10^3</f>
        <v>69600000</v>
      </c>
      <c r="Z8">
        <f>'Study Parameters'!$C$12*'Study Parameters'!$C$8 * 10^3</f>
        <v>69600000</v>
      </c>
      <c r="AA8">
        <f>'Study Parameters'!$C$12*'Study Parameters'!$C$8 * 10^3</f>
        <v>69600000</v>
      </c>
    </row>
    <row r="9" spans="1:27" x14ac:dyDescent="0.25">
      <c r="A9" t="s">
        <v>125</v>
      </c>
      <c r="B9">
        <v>0</v>
      </c>
      <c r="C9">
        <f>C8/(1+Inputs!$C$5) ^'Production Cost Baseline'!C$2</f>
        <v>65046728.971962616</v>
      </c>
      <c r="D9">
        <f>D8/(1+Inputs!$C$5) ^'Production Cost Baseline'!D$2</f>
        <v>60791335.487815529</v>
      </c>
      <c r="E9">
        <f>E8/(1+Inputs!$C$5) ^'Production Cost Baseline'!E$2</f>
        <v>56814332.231603295</v>
      </c>
      <c r="F9">
        <f>F8/(1+Inputs!$C$5) ^'Production Cost Baseline'!F$2</f>
        <v>53097506.758507758</v>
      </c>
      <c r="G9">
        <f>G8/(1+Inputs!$C$5) ^'Production Cost Baseline'!G$2</f>
        <v>49623838.092063315</v>
      </c>
      <c r="H9">
        <f>H8/(1+Inputs!$C$5) ^'Production Cost Baseline'!H$2</f>
        <v>46377418.777629271</v>
      </c>
      <c r="I9">
        <f>I8/(1+Inputs!$C$5) ^'Production Cost Baseline'!I$2</f>
        <v>43343382.035167538</v>
      </c>
      <c r="J9">
        <f>J8/(1+Inputs!$C$5) ^'Production Cost Baseline'!J$2</f>
        <v>40507833.677726679</v>
      </c>
      <c r="K9">
        <f>K8/(1+Inputs!$C$5) ^'Production Cost Baseline'!K$2</f>
        <v>37857788.4838567</v>
      </c>
      <c r="L9">
        <f>L8/(1+Inputs!$C$5) ^'Production Cost Baseline'!L$2</f>
        <v>35381110.732576355</v>
      </c>
      <c r="M9">
        <f>M8/(1+Inputs!$C$5) ^'Production Cost Baseline'!M$2</f>
        <v>33066458.628576033</v>
      </c>
      <c r="N9">
        <f>N8/(1+Inputs!$C$5) ^'Production Cost Baseline'!N$2</f>
        <v>30903232.363155175</v>
      </c>
      <c r="O9">
        <f>O8/(1+Inputs!$C$5) ^'Production Cost Baseline'!O$2</f>
        <v>28881525.573042218</v>
      </c>
      <c r="P9">
        <f>P8/(1+Inputs!$C$5) ^'Production Cost Baseline'!P$2</f>
        <v>26992079.974805813</v>
      </c>
      <c r="Q9">
        <f>Q8/(1+Inputs!$C$5) ^'Production Cost Baseline'!Q$2</f>
        <v>25226242.967108235</v>
      </c>
      <c r="R9">
        <f>R8/(1+Inputs!$C$5) ^'Production Cost Baseline'!R$2</f>
        <v>23575928.006643213</v>
      </c>
      <c r="S9">
        <f>S8/(1+Inputs!$C$5) ^'Production Cost Baseline'!S$2</f>
        <v>22033577.576302066</v>
      </c>
      <c r="T9">
        <f>T8/(1+Inputs!$C$5) ^'Production Cost Baseline'!T$2</f>
        <v>20592128.575983241</v>
      </c>
      <c r="U9">
        <f>U8/(1+Inputs!$C$5) ^'Production Cost Baseline'!U$2</f>
        <v>19244979.977554429</v>
      </c>
      <c r="V9">
        <f>V8/(1+Inputs!$C$5) ^'Production Cost Baseline'!V$2</f>
        <v>17985962.59584526</v>
      </c>
      <c r="W9">
        <f>W8/(1+Inputs!$C$5) ^'Production Cost Baseline'!W$2</f>
        <v>16809310.837238561</v>
      </c>
      <c r="X9">
        <f>X8/(1+Inputs!$C$5) ^'Production Cost Baseline'!X$2</f>
        <v>15709636.296484636</v>
      </c>
      <c r="Y9">
        <f>Y8/(1+Inputs!$C$5) ^'Production Cost Baseline'!Y$2</f>
        <v>14681903.080826763</v>
      </c>
      <c r="Z9">
        <f>Z8/(1+Inputs!$C$5) ^'Production Cost Baseline'!Z$2</f>
        <v>13721404.748436227</v>
      </c>
      <c r="AA9">
        <f>AA8/(1+Inputs!$C$5) ^'Production Cost Baseline'!AA$2</f>
        <v>12823742.755547874</v>
      </c>
    </row>
    <row r="11" spans="1:27" x14ac:dyDescent="0.25">
      <c r="A11" t="s">
        <v>126</v>
      </c>
      <c r="B11">
        <f>SUM(B7:AA7) / SUM(C9:AA9)</f>
        <v>8.5750117753153869</v>
      </c>
    </row>
    <row r="12" spans="1:27" x14ac:dyDescent="0.25">
      <c r="A12" t="s">
        <v>127</v>
      </c>
      <c r="B12">
        <f>B11 * Inputs!$C$15</f>
        <v>6.8857344555782563</v>
      </c>
    </row>
    <row r="14" spans="1:27" x14ac:dyDescent="0.25">
      <c r="A14" s="1" t="s">
        <v>130</v>
      </c>
    </row>
    <row r="15" spans="1:27" x14ac:dyDescent="0.25">
      <c r="A15" t="s">
        <v>120</v>
      </c>
      <c r="B15">
        <f>'Cost Components'!$C$42 * 10^6</f>
        <v>827300000</v>
      </c>
      <c r="C15">
        <f>('Cost Components'!$C$43  + 'Cost Components'!$C$40 + 'Cost Components'!$C$41) * 10^6</f>
        <v>483251639.09935451</v>
      </c>
      <c r="D15">
        <f>('Cost Components'!$C$43  + 'Cost Components'!$C$40 + 'Cost Components'!$C$41) * 10^6</f>
        <v>483251639.09935451</v>
      </c>
      <c r="E15">
        <f>('Cost Components'!$C$43  + 'Cost Components'!$C$40 + 'Cost Components'!$C$41) * 10^6</f>
        <v>483251639.09935451</v>
      </c>
      <c r="F15">
        <f>('Cost Components'!$C$43  + 'Cost Components'!$C$40 + 'Cost Components'!$C$41) * 10^6</f>
        <v>483251639.09935451</v>
      </c>
      <c r="G15">
        <f>('Cost Components'!$C$43  + 'Cost Components'!$C$40 + 'Cost Components'!$C$41) * 10^6</f>
        <v>483251639.09935451</v>
      </c>
      <c r="H15">
        <f>('Cost Components'!$C$43  + 'Cost Components'!$C$40 + 'Cost Components'!$C$41) * 10^6</f>
        <v>483251639.09935451</v>
      </c>
      <c r="I15">
        <f>('Cost Components'!$C$43  + 'Cost Components'!$C$40 + 'Cost Components'!$C$41) * 10^6</f>
        <v>483251639.09935451</v>
      </c>
      <c r="J15">
        <f>('Cost Components'!$C$43  + 'Cost Components'!$C$40 + 'Cost Components'!$C$41) * 10^6</f>
        <v>483251639.09935451</v>
      </c>
      <c r="K15">
        <f>('Cost Components'!$C$43  + 'Cost Components'!$C$40 + 'Cost Components'!$C$41) * 10^6</f>
        <v>483251639.09935451</v>
      </c>
      <c r="L15">
        <f>('Cost Components'!$C$43  + 'Cost Components'!$C$40 + 'Cost Components'!$C$41) * 10^6</f>
        <v>483251639.09935451</v>
      </c>
      <c r="M15">
        <f>('Cost Components'!$C$43  + 'Cost Components'!$C$40 + 'Cost Components'!$C$41) * 10^6</f>
        <v>483251639.09935451</v>
      </c>
      <c r="N15">
        <f>('Cost Components'!$C$43  + 'Cost Components'!$C$40 + 'Cost Components'!$C$41) * 10^6</f>
        <v>483251639.09935451</v>
      </c>
      <c r="O15">
        <f>('Cost Components'!$C$43  + 'Cost Components'!$C$40 + 'Cost Components'!$C$41) * 10^6</f>
        <v>483251639.09935451</v>
      </c>
      <c r="P15">
        <f>('Cost Components'!$C$43  + 'Cost Components'!$C$40 + 'Cost Components'!$C$41) * 10^6</f>
        <v>483251639.09935451</v>
      </c>
      <c r="Q15">
        <f>('Cost Components'!$C$43  + 'Cost Components'!$C$40 + 'Cost Components'!$C$41) * 10^6</f>
        <v>483251639.09935451</v>
      </c>
      <c r="R15">
        <f>('Cost Components'!$C$43  + 'Cost Components'!$C$40 + 'Cost Components'!$C$41) * 10^6</f>
        <v>483251639.09935451</v>
      </c>
      <c r="S15">
        <f>('Cost Components'!$C$43  + 'Cost Components'!$C$40 + 'Cost Components'!$C$41) * 10^6</f>
        <v>483251639.09935451</v>
      </c>
      <c r="T15">
        <f>('Cost Components'!$C$43  + 'Cost Components'!$C$40 + 'Cost Components'!$C$41) * 10^6</f>
        <v>483251639.09935451</v>
      </c>
      <c r="U15">
        <f>('Cost Components'!$C$43  + 'Cost Components'!$C$40 + 'Cost Components'!$C$41) * 10^6</f>
        <v>483251639.09935451</v>
      </c>
      <c r="V15">
        <f>('Cost Components'!$C$43  + 'Cost Components'!$C$40 + 'Cost Components'!$C$41) * 10^6</f>
        <v>483251639.09935451</v>
      </c>
      <c r="W15">
        <f>('Cost Components'!$C$43  + 'Cost Components'!$C$40 + 'Cost Components'!$C$41) * 10^6</f>
        <v>483251639.09935451</v>
      </c>
      <c r="X15">
        <f>('Cost Components'!$C$43  + 'Cost Components'!$C$40 + 'Cost Components'!$C$41) * 10^6</f>
        <v>483251639.09935451</v>
      </c>
      <c r="Y15">
        <f>('Cost Components'!$C$43  + 'Cost Components'!$C$40 + 'Cost Components'!$C$41) * 10^6</f>
        <v>483251639.09935451</v>
      </c>
      <c r="Z15">
        <f>('Cost Components'!$C$43  + 'Cost Components'!$C$40 + 'Cost Components'!$C$41) * 10^6</f>
        <v>483251639.09935451</v>
      </c>
      <c r="AA15">
        <f>('Cost Components'!$C$43  + 'Cost Components'!$C$40 + 'Cost Components'!$C$41) * 10^6</f>
        <v>483251639.09935451</v>
      </c>
    </row>
    <row r="16" spans="1:27" x14ac:dyDescent="0.25">
      <c r="A16" t="s">
        <v>121</v>
      </c>
      <c r="B16">
        <v>0</v>
      </c>
      <c r="C16">
        <f>'Cost Components'!$C$36*10^6</f>
        <v>149899999.99999997</v>
      </c>
      <c r="D16">
        <f>'Cost Components'!$C$36*10^6</f>
        <v>149899999.99999997</v>
      </c>
      <c r="E16">
        <f>'Cost Components'!$C$36*10^6</f>
        <v>149899999.99999997</v>
      </c>
      <c r="F16">
        <f>'Cost Components'!$C$36*10^6</f>
        <v>149899999.99999997</v>
      </c>
      <c r="G16">
        <f>'Cost Components'!$C$36*10^6</f>
        <v>149899999.99999997</v>
      </c>
      <c r="H16">
        <f>'Cost Components'!$C$36*10^6</f>
        <v>149899999.99999997</v>
      </c>
      <c r="I16">
        <f>'Cost Components'!$C$36*10^6</f>
        <v>149899999.99999997</v>
      </c>
      <c r="J16">
        <f>'Cost Components'!$C$36*10^6</f>
        <v>149899999.99999997</v>
      </c>
      <c r="K16">
        <f>'Cost Components'!$C$36*10^6</f>
        <v>149899999.99999997</v>
      </c>
      <c r="L16">
        <f>'Cost Components'!$C$36*10^6</f>
        <v>149899999.99999997</v>
      </c>
      <c r="M16">
        <f>'Cost Components'!$C$36*10^6</f>
        <v>149899999.99999997</v>
      </c>
      <c r="N16">
        <f>'Cost Components'!$C$36*10^6</f>
        <v>149899999.99999997</v>
      </c>
      <c r="O16">
        <f>'Cost Components'!$C$36*10^6</f>
        <v>149899999.99999997</v>
      </c>
      <c r="P16">
        <f>'Cost Components'!$C$36*10^6</f>
        <v>149899999.99999997</v>
      </c>
      <c r="Q16">
        <f>'Cost Components'!$C$36*10^6</f>
        <v>149899999.99999997</v>
      </c>
      <c r="R16">
        <f>'Cost Components'!$C$36*10^6</f>
        <v>149899999.99999997</v>
      </c>
      <c r="S16">
        <f>'Cost Components'!$C$36*10^6</f>
        <v>149899999.99999997</v>
      </c>
      <c r="T16">
        <f>'Cost Components'!$C$36*10^6</f>
        <v>149899999.99999997</v>
      </c>
      <c r="U16">
        <f>'Cost Components'!$C$36*10^6</f>
        <v>149899999.99999997</v>
      </c>
      <c r="V16">
        <f>'Cost Components'!$C$36*10^6</f>
        <v>149899999.99999997</v>
      </c>
      <c r="W16">
        <f>'Cost Components'!$C$36*10^6</f>
        <v>149899999.99999997</v>
      </c>
      <c r="X16">
        <f>'Cost Components'!$C$36*10^6</f>
        <v>149899999.99999997</v>
      </c>
      <c r="Y16">
        <f>'Cost Components'!$C$36*10^6</f>
        <v>149899999.99999997</v>
      </c>
      <c r="Z16">
        <f>'Cost Components'!$C$36*10^6</f>
        <v>149899999.99999997</v>
      </c>
      <c r="AA16">
        <f>'Cost Components'!$C$36*10^6</f>
        <v>149899999.99999997</v>
      </c>
    </row>
    <row r="17" spans="1:27" x14ac:dyDescent="0.25">
      <c r="A17" t="s">
        <v>122</v>
      </c>
      <c r="B17">
        <f t="shared" ref="B17:AA17" si="1">B15-B16</f>
        <v>827300000</v>
      </c>
      <c r="C17">
        <f t="shared" si="1"/>
        <v>333351639.09935451</v>
      </c>
      <c r="D17">
        <f t="shared" si="1"/>
        <v>333351639.09935451</v>
      </c>
      <c r="E17">
        <f t="shared" si="1"/>
        <v>333351639.09935451</v>
      </c>
      <c r="F17">
        <f t="shared" si="1"/>
        <v>333351639.09935451</v>
      </c>
      <c r="G17">
        <f t="shared" si="1"/>
        <v>333351639.09935451</v>
      </c>
      <c r="H17">
        <f t="shared" si="1"/>
        <v>333351639.09935451</v>
      </c>
      <c r="I17">
        <f t="shared" si="1"/>
        <v>333351639.09935451</v>
      </c>
      <c r="J17">
        <f t="shared" si="1"/>
        <v>333351639.09935451</v>
      </c>
      <c r="K17">
        <f t="shared" si="1"/>
        <v>333351639.09935451</v>
      </c>
      <c r="L17">
        <f t="shared" si="1"/>
        <v>333351639.09935451</v>
      </c>
      <c r="M17">
        <f t="shared" si="1"/>
        <v>333351639.09935451</v>
      </c>
      <c r="N17">
        <f t="shared" si="1"/>
        <v>333351639.09935451</v>
      </c>
      <c r="O17">
        <f t="shared" si="1"/>
        <v>333351639.09935451</v>
      </c>
      <c r="P17">
        <f t="shared" si="1"/>
        <v>333351639.09935451</v>
      </c>
      <c r="Q17">
        <f t="shared" si="1"/>
        <v>333351639.09935451</v>
      </c>
      <c r="R17">
        <f t="shared" si="1"/>
        <v>333351639.09935451</v>
      </c>
      <c r="S17">
        <f t="shared" si="1"/>
        <v>333351639.09935451</v>
      </c>
      <c r="T17">
        <f t="shared" si="1"/>
        <v>333351639.09935451</v>
      </c>
      <c r="U17">
        <f t="shared" si="1"/>
        <v>333351639.09935451</v>
      </c>
      <c r="V17">
        <f t="shared" si="1"/>
        <v>333351639.09935451</v>
      </c>
      <c r="W17">
        <f t="shared" si="1"/>
        <v>333351639.09935451</v>
      </c>
      <c r="X17">
        <f t="shared" si="1"/>
        <v>333351639.09935451</v>
      </c>
      <c r="Y17">
        <f t="shared" si="1"/>
        <v>333351639.09935451</v>
      </c>
      <c r="Z17">
        <f t="shared" si="1"/>
        <v>333351639.09935451</v>
      </c>
      <c r="AA17">
        <f t="shared" si="1"/>
        <v>333351639.09935451</v>
      </c>
    </row>
    <row r="18" spans="1:27" x14ac:dyDescent="0.25">
      <c r="A18" t="s">
        <v>123</v>
      </c>
      <c r="B18">
        <f>B17/(1+Inputs!$C$5) ^'Production Cost Baseline'!B$2</f>
        <v>827300000</v>
      </c>
      <c r="C18">
        <f>C17/(1+Inputs!$C$5) ^'Production Cost Baseline'!C$2</f>
        <v>311543587.94332194</v>
      </c>
      <c r="D18">
        <f>D17/(1+Inputs!$C$5) ^'Production Cost Baseline'!D$2</f>
        <v>291162231.72273082</v>
      </c>
      <c r="E18">
        <f>E17/(1+Inputs!$C$5) ^'Production Cost Baseline'!E$2</f>
        <v>272114235.25488859</v>
      </c>
      <c r="F18">
        <f>F17/(1+Inputs!$C$5) ^'Production Cost Baseline'!F$2</f>
        <v>254312369.39709216</v>
      </c>
      <c r="G18">
        <f>G17/(1+Inputs!$C$5) ^'Production Cost Baseline'!G$2</f>
        <v>237675111.58606741</v>
      </c>
      <c r="H18">
        <f>H17/(1+Inputs!$C$5) ^'Production Cost Baseline'!H$2</f>
        <v>222126272.5103434</v>
      </c>
      <c r="I18">
        <f>I17/(1+Inputs!$C$5) ^'Production Cost Baseline'!I$2</f>
        <v>207594647.20592839</v>
      </c>
      <c r="J18">
        <f>J17/(1+Inputs!$C$5) ^'Production Cost Baseline'!J$2</f>
        <v>194013688.97750318</v>
      </c>
      <c r="K18">
        <f>K17/(1+Inputs!$C$5) ^'Production Cost Baseline'!K$2</f>
        <v>181321204.6518721</v>
      </c>
      <c r="L18">
        <f>L17/(1+Inputs!$C$5) ^'Production Cost Baseline'!L$2</f>
        <v>169459069.76810479</v>
      </c>
      <c r="M18">
        <f>M17/(1+Inputs!$C$5) ^'Production Cost Baseline'!M$2</f>
        <v>158372962.40009791</v>
      </c>
      <c r="N18">
        <f>N17/(1+Inputs!$C$5) ^'Production Cost Baseline'!N$2</f>
        <v>148012114.3926149</v>
      </c>
      <c r="O18">
        <f>O17/(1+Inputs!$C$5) ^'Production Cost Baseline'!O$2</f>
        <v>138329078.87160268</v>
      </c>
      <c r="P18">
        <f>P17/(1+Inputs!$C$5) ^'Production Cost Baseline'!P$2</f>
        <v>129279512.96411467</v>
      </c>
      <c r="Q18">
        <f>Q17/(1+Inputs!$C$5) ^'Production Cost Baseline'!Q$2</f>
        <v>120821974.73281744</v>
      </c>
      <c r="R18">
        <f>R17/(1+Inputs!$C$5) ^'Production Cost Baseline'!R$2</f>
        <v>112917733.3951565</v>
      </c>
      <c r="S18">
        <f>S17/(1+Inputs!$C$5) ^'Production Cost Baseline'!S$2</f>
        <v>105530591.95809019</v>
      </c>
      <c r="T18">
        <f>T17/(1+Inputs!$C$5) ^'Production Cost Baseline'!T$2</f>
        <v>98626721.45615904</v>
      </c>
      <c r="U18">
        <f>U17/(1+Inputs!$C$5) ^'Production Cost Baseline'!U$2</f>
        <v>92174506.033793494</v>
      </c>
      <c r="V18">
        <f>V17/(1+Inputs!$C$5) ^'Production Cost Baseline'!V$2</f>
        <v>86144398.162423834</v>
      </c>
      <c r="W18">
        <f>W17/(1+Inputs!$C$5) ^'Production Cost Baseline'!W$2</f>
        <v>80508783.32936807</v>
      </c>
      <c r="X18">
        <f>X17/(1+Inputs!$C$5) ^'Production Cost Baseline'!X$2</f>
        <v>75241853.57884866</v>
      </c>
      <c r="Y18">
        <f>Y17/(1+Inputs!$C$5) ^'Production Cost Baseline'!Y$2</f>
        <v>70319489.326026782</v>
      </c>
      <c r="Z18">
        <f>Z17/(1+Inputs!$C$5) ^'Production Cost Baseline'!Z$2</f>
        <v>65719148.902828768</v>
      </c>
      <c r="AA18">
        <f>AA17/(1+Inputs!$C$5) ^'Production Cost Baseline'!AA$2</f>
        <v>61419765.329746507</v>
      </c>
    </row>
    <row r="19" spans="1:27" x14ac:dyDescent="0.25">
      <c r="A19" t="s">
        <v>124</v>
      </c>
      <c r="B19">
        <v>0</v>
      </c>
      <c r="C19">
        <f>'Study Parameters'!$C$13*'Study Parameters'!$C$8 * 10^3</f>
        <v>28000000</v>
      </c>
      <c r="D19">
        <f>'Study Parameters'!$C$13*'Study Parameters'!$C$8 * 10^3</f>
        <v>28000000</v>
      </c>
      <c r="E19">
        <f>'Study Parameters'!$C$13*'Study Parameters'!$C$8 * 10^3</f>
        <v>28000000</v>
      </c>
      <c r="F19">
        <f>'Study Parameters'!$C$13*'Study Parameters'!$C$8 * 10^3</f>
        <v>28000000</v>
      </c>
      <c r="G19">
        <f>'Study Parameters'!$C$13*'Study Parameters'!$C$8 * 10^3</f>
        <v>28000000</v>
      </c>
      <c r="H19">
        <f>'Study Parameters'!$C$13*'Study Parameters'!$C$8 * 10^3</f>
        <v>28000000</v>
      </c>
      <c r="I19">
        <f>'Study Parameters'!$C$13*'Study Parameters'!$C$8 * 10^3</f>
        <v>28000000</v>
      </c>
      <c r="J19">
        <f>'Study Parameters'!$C$13*'Study Parameters'!$C$8 * 10^3</f>
        <v>28000000</v>
      </c>
      <c r="K19">
        <f>'Study Parameters'!$C$13*'Study Parameters'!$C$8 * 10^3</f>
        <v>28000000</v>
      </c>
      <c r="L19">
        <f>'Study Parameters'!$C$13*'Study Parameters'!$C$8 * 10^3</f>
        <v>28000000</v>
      </c>
      <c r="M19">
        <f>'Study Parameters'!$C$13*'Study Parameters'!$C$8 * 10^3</f>
        <v>28000000</v>
      </c>
      <c r="N19">
        <f>'Study Parameters'!$C$13*'Study Parameters'!$C$8 * 10^3</f>
        <v>28000000</v>
      </c>
      <c r="O19">
        <f>'Study Parameters'!$C$13*'Study Parameters'!$C$8 * 10^3</f>
        <v>28000000</v>
      </c>
      <c r="P19">
        <f>'Study Parameters'!$C$13*'Study Parameters'!$C$8 * 10^3</f>
        <v>28000000</v>
      </c>
      <c r="Q19">
        <f>'Study Parameters'!$C$13*'Study Parameters'!$C$8 * 10^3</f>
        <v>28000000</v>
      </c>
      <c r="R19">
        <f>'Study Parameters'!$C$13*'Study Parameters'!$C$8 * 10^3</f>
        <v>28000000</v>
      </c>
      <c r="S19">
        <f>'Study Parameters'!$C$13*'Study Parameters'!$C$8 * 10^3</f>
        <v>28000000</v>
      </c>
      <c r="T19">
        <f>'Study Parameters'!$C$13*'Study Parameters'!$C$8 * 10^3</f>
        <v>28000000</v>
      </c>
      <c r="U19">
        <f>'Study Parameters'!$C$13*'Study Parameters'!$C$8 * 10^3</f>
        <v>28000000</v>
      </c>
      <c r="V19">
        <f>'Study Parameters'!$C$13*'Study Parameters'!$C$8 * 10^3</f>
        <v>28000000</v>
      </c>
      <c r="W19">
        <f>'Study Parameters'!$C$13*'Study Parameters'!$C$8 * 10^3</f>
        <v>28000000</v>
      </c>
      <c r="X19">
        <f>'Study Parameters'!$C$13*'Study Parameters'!$C$8 * 10^3</f>
        <v>28000000</v>
      </c>
      <c r="Y19">
        <f>'Study Parameters'!$C$13*'Study Parameters'!$C$8 * 10^3</f>
        <v>28000000</v>
      </c>
      <c r="Z19">
        <f>'Study Parameters'!$C$13*'Study Parameters'!$C$8 * 10^3</f>
        <v>28000000</v>
      </c>
      <c r="AA19">
        <f>'Study Parameters'!$C$13*'Study Parameters'!$C$8 * 10^3</f>
        <v>28000000</v>
      </c>
    </row>
    <row r="20" spans="1:27" x14ac:dyDescent="0.25">
      <c r="A20" t="s">
        <v>125</v>
      </c>
      <c r="B20">
        <v>0</v>
      </c>
      <c r="C20">
        <f>C19/(1+Inputs!$C$5) ^'Production Cost Baseline'!C$2</f>
        <v>26168224.299065419</v>
      </c>
      <c r="D20">
        <f>D19/(1+Inputs!$C$5) ^'Production Cost Baseline'!D$2</f>
        <v>24456284.391649924</v>
      </c>
      <c r="E20">
        <f>E19/(1+Inputs!$C$5) ^'Production Cost Baseline'!E$2</f>
        <v>22856340.552943856</v>
      </c>
      <c r="F20">
        <f>F19/(1+Inputs!$C$5) ^'Production Cost Baseline'!F$2</f>
        <v>21361065.937330708</v>
      </c>
      <c r="G20">
        <f>G19/(1+Inputs!$C$5) ^'Production Cost Baseline'!G$2</f>
        <v>19963613.025542714</v>
      </c>
      <c r="H20">
        <f>H19/(1+Inputs!$C$5) ^'Production Cost Baseline'!H$2</f>
        <v>18657582.266862351</v>
      </c>
      <c r="I20">
        <f>I19/(1+Inputs!$C$5) ^'Production Cost Baseline'!I$2</f>
        <v>17436992.77276855</v>
      </c>
      <c r="J20">
        <f>J19/(1+Inputs!$C$5) ^'Production Cost Baseline'!J$2</f>
        <v>16296254.927821076</v>
      </c>
      <c r="K20">
        <f>K19/(1+Inputs!$C$5) ^'Production Cost Baseline'!K$2</f>
        <v>15230144.792356145</v>
      </c>
      <c r="L20">
        <f>L19/(1+Inputs!$C$5) ^'Production Cost Baseline'!L$2</f>
        <v>14233780.179772098</v>
      </c>
      <c r="M20">
        <f>M19/(1+Inputs!$C$5) ^'Production Cost Baseline'!M$2</f>
        <v>13302598.298852427</v>
      </c>
      <c r="N20">
        <f>N19/(1+Inputs!$C$5) ^'Production Cost Baseline'!N$2</f>
        <v>12432334.858740589</v>
      </c>
      <c r="O20">
        <f>O19/(1+Inputs!$C$5) ^'Production Cost Baseline'!O$2</f>
        <v>11619004.540879054</v>
      </c>
      <c r="P20">
        <f>P19/(1+Inputs!$C$5) ^'Production Cost Baseline'!P$2</f>
        <v>10858882.748485098</v>
      </c>
      <c r="Q20">
        <f>Q19/(1+Inputs!$C$5) ^'Production Cost Baseline'!Q$2</f>
        <v>10148488.54998607</v>
      </c>
      <c r="R20">
        <f>R19/(1+Inputs!$C$5) ^'Production Cost Baseline'!R$2</f>
        <v>9484568.7383047398</v>
      </c>
      <c r="S20">
        <f>S19/(1+Inputs!$C$5) ^'Production Cost Baseline'!S$2</f>
        <v>8864082.9329950847</v>
      </c>
      <c r="T20">
        <f>T19/(1+Inputs!$C$5) ^'Production Cost Baseline'!T$2</f>
        <v>8284189.6570047513</v>
      </c>
      <c r="U20">
        <f>U19/(1+Inputs!$C$5) ^'Production Cost Baseline'!U$2</f>
        <v>7742233.3243035059</v>
      </c>
      <c r="V20">
        <f>V19/(1+Inputs!$C$5) ^'Production Cost Baseline'!V$2</f>
        <v>7235732.0787883233</v>
      </c>
      <c r="W20">
        <f>W19/(1+Inputs!$C$5) ^'Production Cost Baseline'!W$2</f>
        <v>6762366.4287741343</v>
      </c>
      <c r="X20">
        <f>X19/(1+Inputs!$C$5) ^'Production Cost Baseline'!X$2</f>
        <v>6319968.6250225548</v>
      </c>
      <c r="Y20">
        <f>Y19/(1+Inputs!$C$5) ^'Production Cost Baseline'!Y$2</f>
        <v>5906512.7336659394</v>
      </c>
      <c r="Z20">
        <f>Z19/(1+Inputs!$C$5) ^'Production Cost Baseline'!Z$2</f>
        <v>5520105.3585662981</v>
      </c>
      <c r="AA20">
        <f>AA19/(1+Inputs!$C$5) ^'Production Cost Baseline'!AA$2</f>
        <v>5158976.9706227081</v>
      </c>
    </row>
    <row r="22" spans="1:27" x14ac:dyDescent="0.25">
      <c r="A22" t="s">
        <v>126</v>
      </c>
      <c r="B22">
        <f>SUM(B18:AA18) / SUM(C20:AA20)</f>
        <v>14.440809999857546</v>
      </c>
    </row>
    <row r="23" spans="1:27" x14ac:dyDescent="0.25">
      <c r="A23" t="s">
        <v>127</v>
      </c>
      <c r="B23">
        <f>B22 * Inputs!$C$15</f>
        <v>11.595970429885609</v>
      </c>
    </row>
    <row r="25" spans="1:27" x14ac:dyDescent="0.25">
      <c r="A25" s="1" t="s">
        <v>132</v>
      </c>
    </row>
    <row r="26" spans="1:27" x14ac:dyDescent="0.25">
      <c r="A26" t="s">
        <v>120</v>
      </c>
      <c r="B26">
        <f>'Cost Components'!$D$42 * 10^6</f>
        <v>887030000</v>
      </c>
      <c r="C26">
        <f>('Cost Components'!$D$43  + 'Cost Components'!$D$40 + 'Cost Components'!$D$41) * 10^6</f>
        <v>544180078.62649345</v>
      </c>
      <c r="D26">
        <f>('Cost Components'!$D$43  + 'Cost Components'!$D$40 + 'Cost Components'!$D$41) * 10^6</f>
        <v>544180078.62649345</v>
      </c>
      <c r="E26">
        <f>('Cost Components'!$D$43  + 'Cost Components'!$D$40 + 'Cost Components'!$D$41) * 10^6</f>
        <v>544180078.62649345</v>
      </c>
      <c r="F26">
        <f>('Cost Components'!$D$43  + 'Cost Components'!$D$40 + 'Cost Components'!$D$41) * 10^6</f>
        <v>544180078.62649345</v>
      </c>
      <c r="G26">
        <f>('Cost Components'!$D$43  + 'Cost Components'!$D$40 + 'Cost Components'!$D$41) * 10^6</f>
        <v>544180078.62649345</v>
      </c>
      <c r="H26">
        <f>('Cost Components'!$D$43  + 'Cost Components'!$D$40 + 'Cost Components'!$D$41) * 10^6</f>
        <v>544180078.62649345</v>
      </c>
      <c r="I26">
        <f>('Cost Components'!$D$43  + 'Cost Components'!$D$40 + 'Cost Components'!$D$41) * 10^6</f>
        <v>544180078.62649345</v>
      </c>
      <c r="J26">
        <f>('Cost Components'!$D$43  + 'Cost Components'!$D$40 + 'Cost Components'!$D$41) * 10^6</f>
        <v>544180078.62649345</v>
      </c>
      <c r="K26">
        <f>('Cost Components'!$D$43  + 'Cost Components'!$D$40 + 'Cost Components'!$D$41) * 10^6</f>
        <v>544180078.62649345</v>
      </c>
      <c r="L26">
        <f>('Cost Components'!$D$43  + 'Cost Components'!$D$40 + 'Cost Components'!$D$41) * 10^6</f>
        <v>544180078.62649345</v>
      </c>
      <c r="M26">
        <f>('Cost Components'!$D$43  + 'Cost Components'!$D$40 + 'Cost Components'!$D$41) * 10^6</f>
        <v>544180078.62649345</v>
      </c>
      <c r="N26">
        <f>('Cost Components'!$D$43  + 'Cost Components'!$D$40 + 'Cost Components'!$D$41) * 10^6</f>
        <v>544180078.62649345</v>
      </c>
      <c r="O26">
        <f>('Cost Components'!$D$43  + 'Cost Components'!$D$40 + 'Cost Components'!$D$41) * 10^6</f>
        <v>544180078.62649345</v>
      </c>
      <c r="P26">
        <f>('Cost Components'!$D$43  + 'Cost Components'!$D$40 + 'Cost Components'!$D$41) * 10^6</f>
        <v>544180078.62649345</v>
      </c>
      <c r="Q26">
        <f>('Cost Components'!$D$43  + 'Cost Components'!$D$40 + 'Cost Components'!$D$41) * 10^6</f>
        <v>544180078.62649345</v>
      </c>
      <c r="R26">
        <f>('Cost Components'!$D$43  + 'Cost Components'!$D$40 + 'Cost Components'!$D$41) * 10^6</f>
        <v>544180078.62649345</v>
      </c>
      <c r="S26">
        <f>('Cost Components'!$D$43  + 'Cost Components'!$D$40 + 'Cost Components'!$D$41) * 10^6</f>
        <v>544180078.62649345</v>
      </c>
      <c r="T26">
        <f>('Cost Components'!$D$43  + 'Cost Components'!$D$40 + 'Cost Components'!$D$41) * 10^6</f>
        <v>544180078.62649345</v>
      </c>
      <c r="U26">
        <f>('Cost Components'!$D$43  + 'Cost Components'!$D$40 + 'Cost Components'!$D$41) * 10^6</f>
        <v>544180078.62649345</v>
      </c>
      <c r="V26">
        <f>('Cost Components'!$D$43  + 'Cost Components'!$D$40 + 'Cost Components'!$D$41) * 10^6</f>
        <v>544180078.62649345</v>
      </c>
      <c r="W26">
        <f>('Cost Components'!$D$43  + 'Cost Components'!$D$40 + 'Cost Components'!$D$41) * 10^6</f>
        <v>544180078.62649345</v>
      </c>
      <c r="X26">
        <f>('Cost Components'!$D$43  + 'Cost Components'!$D$40 + 'Cost Components'!$D$41) * 10^6</f>
        <v>544180078.62649345</v>
      </c>
      <c r="Y26">
        <f>('Cost Components'!$D$43  + 'Cost Components'!$D$40 + 'Cost Components'!$D$41) * 10^6</f>
        <v>544180078.62649345</v>
      </c>
      <c r="Z26">
        <f>('Cost Components'!$D$43  + 'Cost Components'!$D$40 + 'Cost Components'!$D$41) * 10^6</f>
        <v>544180078.62649345</v>
      </c>
      <c r="AA26">
        <f>('Cost Components'!$D$43  + 'Cost Components'!$D$40 + 'Cost Components'!$D$41) * 10^6</f>
        <v>544180078.62649345</v>
      </c>
    </row>
    <row r="27" spans="1:27" x14ac:dyDescent="0.25">
      <c r="A27" t="s">
        <v>121</v>
      </c>
      <c r="B27">
        <v>0</v>
      </c>
      <c r="C27">
        <f>'Cost Components'!$D$36*10^6</f>
        <v>81000000</v>
      </c>
      <c r="D27">
        <f>'Cost Components'!$D$36*10^6</f>
        <v>81000000</v>
      </c>
      <c r="E27">
        <f>'Cost Components'!$D$36*10^6</f>
        <v>81000000</v>
      </c>
      <c r="F27">
        <f>'Cost Components'!$D$36*10^6</f>
        <v>81000000</v>
      </c>
      <c r="G27">
        <f>'Cost Components'!$D$36*10^6</f>
        <v>81000000</v>
      </c>
      <c r="H27">
        <f>'Cost Components'!$D$36*10^6</f>
        <v>81000000</v>
      </c>
      <c r="I27">
        <f>'Cost Components'!$D$36*10^6</f>
        <v>81000000</v>
      </c>
      <c r="J27">
        <f>'Cost Components'!$D$36*10^6</f>
        <v>81000000</v>
      </c>
      <c r="K27">
        <f>'Cost Components'!$D$36*10^6</f>
        <v>81000000</v>
      </c>
      <c r="L27">
        <f>'Cost Components'!$D$36*10^6</f>
        <v>81000000</v>
      </c>
      <c r="M27">
        <f>'Cost Components'!$D$36*10^6</f>
        <v>81000000</v>
      </c>
      <c r="N27">
        <f>'Cost Components'!$D$36*10^6</f>
        <v>81000000</v>
      </c>
      <c r="O27">
        <f>'Cost Components'!$D$36*10^6</f>
        <v>81000000</v>
      </c>
      <c r="P27">
        <f>'Cost Components'!$D$36*10^6</f>
        <v>81000000</v>
      </c>
      <c r="Q27">
        <f>'Cost Components'!$D$36*10^6</f>
        <v>81000000</v>
      </c>
      <c r="R27">
        <f>'Cost Components'!$D$36*10^6</f>
        <v>81000000</v>
      </c>
      <c r="S27">
        <f>'Cost Components'!$D$36*10^6</f>
        <v>81000000</v>
      </c>
      <c r="T27">
        <f>'Cost Components'!$D$36*10^6</f>
        <v>81000000</v>
      </c>
      <c r="U27">
        <f>'Cost Components'!$D$36*10^6</f>
        <v>81000000</v>
      </c>
      <c r="V27">
        <f>'Cost Components'!$D$36*10^6</f>
        <v>81000000</v>
      </c>
      <c r="W27">
        <f>'Cost Components'!$D$36*10^6</f>
        <v>81000000</v>
      </c>
      <c r="X27">
        <f>'Cost Components'!$D$36*10^6</f>
        <v>81000000</v>
      </c>
      <c r="Y27">
        <f>'Cost Components'!$D$36*10^6</f>
        <v>81000000</v>
      </c>
      <c r="Z27">
        <f>'Cost Components'!$D$36*10^6</f>
        <v>81000000</v>
      </c>
      <c r="AA27">
        <f>'Cost Components'!$D$36*10^6</f>
        <v>81000000</v>
      </c>
    </row>
    <row r="28" spans="1:27" x14ac:dyDescent="0.25">
      <c r="A28" t="s">
        <v>122</v>
      </c>
      <c r="B28">
        <f t="shared" ref="B28:AA28" si="2">B26-B27</f>
        <v>887030000</v>
      </c>
      <c r="C28">
        <f t="shared" si="2"/>
        <v>463180078.62649345</v>
      </c>
      <c r="D28">
        <f t="shared" si="2"/>
        <v>463180078.62649345</v>
      </c>
      <c r="E28">
        <f t="shared" si="2"/>
        <v>463180078.62649345</v>
      </c>
      <c r="F28">
        <f t="shared" si="2"/>
        <v>463180078.62649345</v>
      </c>
      <c r="G28">
        <f t="shared" si="2"/>
        <v>463180078.62649345</v>
      </c>
      <c r="H28">
        <f t="shared" si="2"/>
        <v>463180078.62649345</v>
      </c>
      <c r="I28">
        <f t="shared" si="2"/>
        <v>463180078.62649345</v>
      </c>
      <c r="J28">
        <f t="shared" si="2"/>
        <v>463180078.62649345</v>
      </c>
      <c r="K28">
        <f t="shared" si="2"/>
        <v>463180078.62649345</v>
      </c>
      <c r="L28">
        <f t="shared" si="2"/>
        <v>463180078.62649345</v>
      </c>
      <c r="M28">
        <f t="shared" si="2"/>
        <v>463180078.62649345</v>
      </c>
      <c r="N28">
        <f t="shared" si="2"/>
        <v>463180078.62649345</v>
      </c>
      <c r="O28">
        <f t="shared" si="2"/>
        <v>463180078.62649345</v>
      </c>
      <c r="P28">
        <f t="shared" si="2"/>
        <v>463180078.62649345</v>
      </c>
      <c r="Q28">
        <f t="shared" si="2"/>
        <v>463180078.62649345</v>
      </c>
      <c r="R28">
        <f t="shared" si="2"/>
        <v>463180078.62649345</v>
      </c>
      <c r="S28">
        <f t="shared" si="2"/>
        <v>463180078.62649345</v>
      </c>
      <c r="T28">
        <f t="shared" si="2"/>
        <v>463180078.62649345</v>
      </c>
      <c r="U28">
        <f t="shared" si="2"/>
        <v>463180078.62649345</v>
      </c>
      <c r="V28">
        <f t="shared" si="2"/>
        <v>463180078.62649345</v>
      </c>
      <c r="W28">
        <f t="shared" si="2"/>
        <v>463180078.62649345</v>
      </c>
      <c r="X28">
        <f t="shared" si="2"/>
        <v>463180078.62649345</v>
      </c>
      <c r="Y28">
        <f t="shared" si="2"/>
        <v>463180078.62649345</v>
      </c>
      <c r="Z28">
        <f t="shared" si="2"/>
        <v>463180078.62649345</v>
      </c>
      <c r="AA28">
        <f t="shared" si="2"/>
        <v>463180078.62649345</v>
      </c>
    </row>
    <row r="29" spans="1:27" x14ac:dyDescent="0.25">
      <c r="A29" t="s">
        <v>123</v>
      </c>
      <c r="B29">
        <f>B28/(1+Inputs!$C$5) ^'Production Cost Baseline'!B$2</f>
        <v>887030000</v>
      </c>
      <c r="C29">
        <f>C28/(1+Inputs!$C$5) ^'Production Cost Baseline'!C$2</f>
        <v>432878578.15560132</v>
      </c>
      <c r="D29">
        <f>D28/(1+Inputs!$C$5) ^'Production Cost Baseline'!D$2</f>
        <v>404559418.83701062</v>
      </c>
      <c r="E29">
        <f>E28/(1+Inputs!$C$5) ^'Production Cost Baseline'!E$2</f>
        <v>378092914.80094445</v>
      </c>
      <c r="F29">
        <f>F28/(1+Inputs!$C$5) ^'Production Cost Baseline'!F$2</f>
        <v>353357864.29994816</v>
      </c>
      <c r="G29">
        <f>G28/(1+Inputs!$C$5) ^'Production Cost Baseline'!G$2</f>
        <v>330240994.6728487</v>
      </c>
      <c r="H29">
        <f>H28/(1+Inputs!$C$5) ^'Production Cost Baseline'!H$2</f>
        <v>308636443.61948478</v>
      </c>
      <c r="I29">
        <f>I28/(1+Inputs!$C$5) ^'Production Cost Baseline'!I$2</f>
        <v>288445274.4107334</v>
      </c>
      <c r="J29">
        <f>J28/(1+Inputs!$C$5) ^'Production Cost Baseline'!J$2</f>
        <v>269575022.81376958</v>
      </c>
      <c r="K29">
        <f>K28/(1+Inputs!$C$5) ^'Production Cost Baseline'!K$2</f>
        <v>251939273.65772852</v>
      </c>
      <c r="L29">
        <f>L28/(1+Inputs!$C$5) ^'Production Cost Baseline'!L$2</f>
        <v>235457265.10068089</v>
      </c>
      <c r="M29">
        <f>M28/(1+Inputs!$C$5) ^'Production Cost Baseline'!M$2</f>
        <v>220053518.78568304</v>
      </c>
      <c r="N29">
        <f>N28/(1+Inputs!$C$5) ^'Production Cost Baseline'!N$2</f>
        <v>205657494.19222718</v>
      </c>
      <c r="O29">
        <f>O28/(1+Inputs!$C$5) ^'Production Cost Baseline'!O$2</f>
        <v>192203265.60021231</v>
      </c>
      <c r="P29">
        <f>P28/(1+Inputs!$C$5) ^'Production Cost Baseline'!P$2</f>
        <v>179629220.1871143</v>
      </c>
      <c r="Q29">
        <f>Q28/(1+Inputs!$C$5) ^'Production Cost Baseline'!Q$2</f>
        <v>167877775.87580773</v>
      </c>
      <c r="R29">
        <f>R28/(1+Inputs!$C$5) ^'Production Cost Baseline'!R$2</f>
        <v>156895117.64094183</v>
      </c>
      <c r="S29">
        <f>S28/(1+Inputs!$C$5) ^'Production Cost Baseline'!S$2</f>
        <v>146630951.06630078</v>
      </c>
      <c r="T29">
        <f>T28/(1+Inputs!$C$5) ^'Production Cost Baseline'!T$2</f>
        <v>137038272.02458018</v>
      </c>
      <c r="U29">
        <f>U28/(1+Inputs!$C$5) ^'Production Cost Baseline'!U$2</f>
        <v>128073151.42484127</v>
      </c>
      <c r="V29">
        <f>V28/(1+Inputs!$C$5) ^'Production Cost Baseline'!V$2</f>
        <v>119694534.04190774</v>
      </c>
      <c r="W29">
        <f>W28/(1+Inputs!$C$5) ^'Production Cost Baseline'!W$2</f>
        <v>111864050.50645582</v>
      </c>
      <c r="X29">
        <f>X28/(1+Inputs!$C$5) ^'Production Cost Baseline'!X$2</f>
        <v>104545841.59481853</v>
      </c>
      <c r="Y29">
        <f>Y28/(1+Inputs!$C$5) ^'Production Cost Baseline'!Y$2</f>
        <v>97706394.013849095</v>
      </c>
      <c r="Z29">
        <f>Z28/(1+Inputs!$C$5) ^'Production Cost Baseline'!Z$2</f>
        <v>91314386.928830922</v>
      </c>
      <c r="AA29">
        <f>AA28/(1+Inputs!$C$5) ^'Production Cost Baseline'!AA$2</f>
        <v>85340548.531617671</v>
      </c>
    </row>
    <row r="30" spans="1:27" x14ac:dyDescent="0.25">
      <c r="A30" t="s">
        <v>124</v>
      </c>
      <c r="B30">
        <v>0</v>
      </c>
      <c r="C30">
        <f>'Study Parameters'!$C$14*'Study Parameters'!$C$8 * 10^3</f>
        <v>38400000</v>
      </c>
      <c r="D30">
        <f>'Study Parameters'!$C$14*'Study Parameters'!$C$8 * 10^3</f>
        <v>38400000</v>
      </c>
      <c r="E30">
        <f>'Study Parameters'!$C$14*'Study Parameters'!$C$8 * 10^3</f>
        <v>38400000</v>
      </c>
      <c r="F30">
        <f>'Study Parameters'!$C$14*'Study Parameters'!$C$8 * 10^3</f>
        <v>38400000</v>
      </c>
      <c r="G30">
        <f>'Study Parameters'!$C$14*'Study Parameters'!$C$8 * 10^3</f>
        <v>38400000</v>
      </c>
      <c r="H30">
        <f>'Study Parameters'!$C$14*'Study Parameters'!$C$8 * 10^3</f>
        <v>38400000</v>
      </c>
      <c r="I30">
        <f>'Study Parameters'!$C$14*'Study Parameters'!$C$8 * 10^3</f>
        <v>38400000</v>
      </c>
      <c r="J30">
        <f>'Study Parameters'!$C$14*'Study Parameters'!$C$8 * 10^3</f>
        <v>38400000</v>
      </c>
      <c r="K30">
        <f>'Study Parameters'!$C$14*'Study Parameters'!$C$8 * 10^3</f>
        <v>38400000</v>
      </c>
      <c r="L30">
        <f>'Study Parameters'!$C$14*'Study Parameters'!$C$8 * 10^3</f>
        <v>38400000</v>
      </c>
      <c r="M30">
        <f>'Study Parameters'!$C$14*'Study Parameters'!$C$8 * 10^3</f>
        <v>38400000</v>
      </c>
      <c r="N30">
        <f>'Study Parameters'!$C$14*'Study Parameters'!$C$8 * 10^3</f>
        <v>38400000</v>
      </c>
      <c r="O30">
        <f>'Study Parameters'!$C$14*'Study Parameters'!$C$8 * 10^3</f>
        <v>38400000</v>
      </c>
      <c r="P30">
        <f>'Study Parameters'!$C$14*'Study Parameters'!$C$8 * 10^3</f>
        <v>38400000</v>
      </c>
      <c r="Q30">
        <f>'Study Parameters'!$C$14*'Study Parameters'!$C$8 * 10^3</f>
        <v>38400000</v>
      </c>
      <c r="R30">
        <f>'Study Parameters'!$C$14*'Study Parameters'!$C$8 * 10^3</f>
        <v>38400000</v>
      </c>
      <c r="S30">
        <f>'Study Parameters'!$C$14*'Study Parameters'!$C$8 * 10^3</f>
        <v>38400000</v>
      </c>
      <c r="T30">
        <f>'Study Parameters'!$C$14*'Study Parameters'!$C$8 * 10^3</f>
        <v>38400000</v>
      </c>
      <c r="U30">
        <f>'Study Parameters'!$C$14*'Study Parameters'!$C$8 * 10^3</f>
        <v>38400000</v>
      </c>
      <c r="V30">
        <f>'Study Parameters'!$C$14*'Study Parameters'!$C$8 * 10^3</f>
        <v>38400000</v>
      </c>
      <c r="W30">
        <f>'Study Parameters'!$C$14*'Study Parameters'!$C$8 * 10^3</f>
        <v>38400000</v>
      </c>
      <c r="X30">
        <f>'Study Parameters'!$C$14*'Study Parameters'!$C$8 * 10^3</f>
        <v>38400000</v>
      </c>
      <c r="Y30">
        <f>'Study Parameters'!$C$14*'Study Parameters'!$C$8 * 10^3</f>
        <v>38400000</v>
      </c>
      <c r="Z30">
        <f>'Study Parameters'!$C$14*'Study Parameters'!$C$8 * 10^3</f>
        <v>38400000</v>
      </c>
      <c r="AA30">
        <f>'Study Parameters'!$C$14*'Study Parameters'!$C$8 * 10^3</f>
        <v>38400000</v>
      </c>
    </row>
    <row r="31" spans="1:27" x14ac:dyDescent="0.25">
      <c r="A31" t="s">
        <v>125</v>
      </c>
      <c r="B31">
        <v>0</v>
      </c>
      <c r="C31">
        <f>C30/(1+Inputs!$C$5) ^'Production Cost Baseline'!C$2</f>
        <v>35887850.467289716</v>
      </c>
      <c r="D31">
        <f>D30/(1+Inputs!$C$5) ^'Production Cost Baseline'!D$2</f>
        <v>33540047.165691327</v>
      </c>
      <c r="E31">
        <f>E30/(1+Inputs!$C$5) ^'Production Cost Baseline'!E$2</f>
        <v>31345838.472608715</v>
      </c>
      <c r="F31">
        <f>F30/(1+Inputs!$C$5) ^'Production Cost Baseline'!F$2</f>
        <v>29295176.142624967</v>
      </c>
      <c r="G31">
        <f>G30/(1+Inputs!$C$5) ^'Production Cost Baseline'!G$2</f>
        <v>27378669.292172864</v>
      </c>
      <c r="H31">
        <f>H30/(1+Inputs!$C$5) ^'Production Cost Baseline'!H$2</f>
        <v>25587541.394554082</v>
      </c>
      <c r="I31">
        <f>I30/(1+Inputs!$C$5) ^'Production Cost Baseline'!I$2</f>
        <v>23913590.0883683</v>
      </c>
      <c r="J31">
        <f>J30/(1+Inputs!$C$5) ^'Production Cost Baseline'!J$2</f>
        <v>22349149.615297478</v>
      </c>
      <c r="K31">
        <f>K30/(1+Inputs!$C$5) ^'Production Cost Baseline'!K$2</f>
        <v>20887055.715231284</v>
      </c>
      <c r="L31">
        <f>L30/(1+Inputs!$C$5) ^'Production Cost Baseline'!L$2</f>
        <v>19520612.817973163</v>
      </c>
      <c r="M31">
        <f>M30/(1+Inputs!$C$5) ^'Production Cost Baseline'!M$2</f>
        <v>18243563.381283328</v>
      </c>
      <c r="N31">
        <f>N30/(1+Inputs!$C$5) ^'Production Cost Baseline'!N$2</f>
        <v>17050059.234844234</v>
      </c>
      <c r="O31">
        <f>O30/(1+Inputs!$C$5) ^'Production Cost Baseline'!O$2</f>
        <v>15934634.798919844</v>
      </c>
      <c r="P31">
        <f>P30/(1+Inputs!$C$5) ^'Production Cost Baseline'!P$2</f>
        <v>14892182.055065276</v>
      </c>
      <c r="Q31">
        <f>Q30/(1+Inputs!$C$5) ^'Production Cost Baseline'!Q$2</f>
        <v>13917927.154266611</v>
      </c>
      <c r="R31">
        <f>R30/(1+Inputs!$C$5) ^'Production Cost Baseline'!R$2</f>
        <v>13007408.555389358</v>
      </c>
      <c r="S31">
        <f>S30/(1+Inputs!$C$5) ^'Production Cost Baseline'!S$2</f>
        <v>12156456.593821829</v>
      </c>
      <c r="T31">
        <f>T30/(1+Inputs!$C$5) ^'Production Cost Baseline'!T$2</f>
        <v>11361174.386749374</v>
      </c>
      <c r="U31">
        <f>U30/(1+Inputs!$C$5) ^'Production Cost Baseline'!U$2</f>
        <v>10617919.987616237</v>
      </c>
      <c r="V31">
        <f>V30/(1+Inputs!$C$5) ^'Production Cost Baseline'!V$2</f>
        <v>9923289.7080525588</v>
      </c>
      <c r="W31">
        <f>W30/(1+Inputs!$C$5) ^'Production Cost Baseline'!W$2</f>
        <v>9274102.5308902413</v>
      </c>
      <c r="X31">
        <f>X30/(1+Inputs!$C$5) ^'Production Cost Baseline'!X$2</f>
        <v>8667385.5428880751</v>
      </c>
      <c r="Y31">
        <f>Y30/(1+Inputs!$C$5) ^'Production Cost Baseline'!Y$2</f>
        <v>8100360.3204561453</v>
      </c>
      <c r="Z31">
        <f>Z30/(1+Inputs!$C$5) ^'Production Cost Baseline'!Z$2</f>
        <v>7570430.2060337802</v>
      </c>
      <c r="AA31">
        <f>AA30/(1+Inputs!$C$5) ^'Production Cost Baseline'!AA$2</f>
        <v>7075168.4168539997</v>
      </c>
    </row>
    <row r="33" spans="1:27" x14ac:dyDescent="0.25">
      <c r="A33" t="s">
        <v>126</v>
      </c>
      <c r="B33">
        <f>SUM(B29:AA29) / SUM(C31:AA31)</f>
        <v>14.044181815540117</v>
      </c>
    </row>
    <row r="34" spans="1:27" x14ac:dyDescent="0.25">
      <c r="A34" t="s">
        <v>127</v>
      </c>
      <c r="B34">
        <f>B33 * Inputs!$C$15</f>
        <v>11.277477997878714</v>
      </c>
    </row>
    <row r="36" spans="1:27" x14ac:dyDescent="0.25">
      <c r="A36" s="1" t="s">
        <v>134</v>
      </c>
    </row>
    <row r="37" spans="1:27" x14ac:dyDescent="0.25">
      <c r="A37" t="s">
        <v>120</v>
      </c>
      <c r="B37">
        <f>'Cost Components'!$E$42 * 10^6</f>
        <v>844919999.99999988</v>
      </c>
      <c r="C37">
        <f>('Cost Components'!$E$43  + 'Cost Components'!$E$40 + 'Cost Components'!$E$41) * 10^6</f>
        <v>488478180.27430993</v>
      </c>
      <c r="D37">
        <f>('Cost Components'!$E$43  + 'Cost Components'!$E$40 + 'Cost Components'!$E$41) * 10^6</f>
        <v>488478180.27430993</v>
      </c>
      <c r="E37">
        <f>('Cost Components'!$E$43  + 'Cost Components'!$E$40 + 'Cost Components'!$E$41) * 10^6</f>
        <v>488478180.27430993</v>
      </c>
      <c r="F37">
        <f>('Cost Components'!$E$43  + 'Cost Components'!$E$40 + 'Cost Components'!$E$41) * 10^6</f>
        <v>488478180.27430993</v>
      </c>
      <c r="G37">
        <f>('Cost Components'!$E$43  + 'Cost Components'!$E$40 + 'Cost Components'!$E$41) * 10^6</f>
        <v>488478180.27430993</v>
      </c>
      <c r="H37">
        <f>('Cost Components'!$E$43  + 'Cost Components'!$E$40 + 'Cost Components'!$E$41) * 10^6</f>
        <v>488478180.27430993</v>
      </c>
      <c r="I37">
        <f>('Cost Components'!$E$43  + 'Cost Components'!$E$40 + 'Cost Components'!$E$41) * 10^6</f>
        <v>488478180.27430993</v>
      </c>
      <c r="J37">
        <f>('Cost Components'!$E$43  + 'Cost Components'!$E$40 + 'Cost Components'!$E$41) * 10^6</f>
        <v>488478180.27430993</v>
      </c>
      <c r="K37">
        <f>('Cost Components'!$E$43  + 'Cost Components'!$E$40 + 'Cost Components'!$E$41) * 10^6</f>
        <v>488478180.27430993</v>
      </c>
      <c r="L37">
        <f>('Cost Components'!$E$43  + 'Cost Components'!$E$40 + 'Cost Components'!$E$41) * 10^6</f>
        <v>488478180.27430993</v>
      </c>
      <c r="M37">
        <f>('Cost Components'!$E$43  + 'Cost Components'!$E$40 + 'Cost Components'!$E$41) * 10^6</f>
        <v>488478180.27430993</v>
      </c>
      <c r="N37">
        <f>('Cost Components'!$E$43  + 'Cost Components'!$E$40 + 'Cost Components'!$E$41) * 10^6</f>
        <v>488478180.27430993</v>
      </c>
      <c r="O37">
        <f>('Cost Components'!$E$43  + 'Cost Components'!$E$40 + 'Cost Components'!$E$41) * 10^6</f>
        <v>488478180.27430993</v>
      </c>
      <c r="P37">
        <f>('Cost Components'!$E$43  + 'Cost Components'!$E$40 + 'Cost Components'!$E$41) * 10^6</f>
        <v>488478180.27430993</v>
      </c>
      <c r="Q37">
        <f>('Cost Components'!$E$43  + 'Cost Components'!$E$40 + 'Cost Components'!$E$41) * 10^6</f>
        <v>488478180.27430993</v>
      </c>
      <c r="R37">
        <f>('Cost Components'!$E$43  + 'Cost Components'!$E$40 + 'Cost Components'!$E$41) * 10^6</f>
        <v>488478180.27430993</v>
      </c>
      <c r="S37">
        <f>('Cost Components'!$E$43  + 'Cost Components'!$E$40 + 'Cost Components'!$E$41) * 10^6</f>
        <v>488478180.27430993</v>
      </c>
      <c r="T37">
        <f>('Cost Components'!$E$43  + 'Cost Components'!$E$40 + 'Cost Components'!$E$41) * 10^6</f>
        <v>488478180.27430993</v>
      </c>
      <c r="U37">
        <f>('Cost Components'!$E$43  + 'Cost Components'!$E$40 + 'Cost Components'!$E$41) * 10^6</f>
        <v>488478180.27430993</v>
      </c>
      <c r="V37">
        <f>('Cost Components'!$E$43  + 'Cost Components'!$E$40 + 'Cost Components'!$E$41) * 10^6</f>
        <v>488478180.27430993</v>
      </c>
      <c r="W37">
        <f>('Cost Components'!$E$43  + 'Cost Components'!$E$40 + 'Cost Components'!$E$41) * 10^6</f>
        <v>488478180.27430993</v>
      </c>
      <c r="X37">
        <f>('Cost Components'!$E$43  + 'Cost Components'!$E$40 + 'Cost Components'!$E$41) * 10^6</f>
        <v>488478180.27430993</v>
      </c>
      <c r="Y37">
        <f>('Cost Components'!$E$43  + 'Cost Components'!$E$40 + 'Cost Components'!$E$41) * 10^6</f>
        <v>488478180.27430993</v>
      </c>
      <c r="Z37">
        <f>('Cost Components'!$E$43  + 'Cost Components'!$E$40 + 'Cost Components'!$E$41) * 10^6</f>
        <v>488478180.27430993</v>
      </c>
      <c r="AA37">
        <f>('Cost Components'!$E$43  + 'Cost Components'!$E$40 + 'Cost Components'!$E$41) * 10^6</f>
        <v>488478180.27430993</v>
      </c>
    </row>
    <row r="38" spans="1:27" x14ac:dyDescent="0.25">
      <c r="A38" t="s">
        <v>121</v>
      </c>
      <c r="B38">
        <v>0</v>
      </c>
      <c r="C38">
        <f>'Cost Components'!$E$36*10^6</f>
        <v>103200000</v>
      </c>
      <c r="D38">
        <f>'Cost Components'!$E$36*10^6</f>
        <v>103200000</v>
      </c>
      <c r="E38">
        <f>'Cost Components'!$E$36*10^6</f>
        <v>103200000</v>
      </c>
      <c r="F38">
        <f>'Cost Components'!$E$36*10^6</f>
        <v>103200000</v>
      </c>
      <c r="G38">
        <f>'Cost Components'!$E$36*10^6</f>
        <v>103200000</v>
      </c>
      <c r="H38">
        <f>'Cost Components'!$E$36*10^6</f>
        <v>103200000</v>
      </c>
      <c r="I38">
        <f>'Cost Components'!$E$36*10^6</f>
        <v>103200000</v>
      </c>
      <c r="J38">
        <f>'Cost Components'!$E$36*10^6</f>
        <v>103200000</v>
      </c>
      <c r="K38">
        <f>'Cost Components'!$E$36*10^6</f>
        <v>103200000</v>
      </c>
      <c r="L38">
        <f>'Cost Components'!$E$36*10^6</f>
        <v>103200000</v>
      </c>
      <c r="M38">
        <f>'Cost Components'!$E$36*10^6</f>
        <v>103200000</v>
      </c>
      <c r="N38">
        <f>'Cost Components'!$E$36*10^6</f>
        <v>103200000</v>
      </c>
      <c r="O38">
        <f>'Cost Components'!$E$36*10^6</f>
        <v>103200000</v>
      </c>
      <c r="P38">
        <f>'Cost Components'!$E$36*10^6</f>
        <v>103200000</v>
      </c>
      <c r="Q38">
        <f>'Cost Components'!$E$36*10^6</f>
        <v>103200000</v>
      </c>
      <c r="R38">
        <f>'Cost Components'!$E$36*10^6</f>
        <v>103200000</v>
      </c>
      <c r="S38">
        <f>'Cost Components'!$E$36*10^6</f>
        <v>103200000</v>
      </c>
      <c r="T38">
        <f>'Cost Components'!$E$36*10^6</f>
        <v>103200000</v>
      </c>
      <c r="U38">
        <f>'Cost Components'!$E$36*10^6</f>
        <v>103200000</v>
      </c>
      <c r="V38">
        <f>'Cost Components'!$E$36*10^6</f>
        <v>103200000</v>
      </c>
      <c r="W38">
        <f>'Cost Components'!$E$36*10^6</f>
        <v>103200000</v>
      </c>
      <c r="X38">
        <f>'Cost Components'!$E$36*10^6</f>
        <v>103200000</v>
      </c>
      <c r="Y38">
        <f>'Cost Components'!$E$36*10^6</f>
        <v>103200000</v>
      </c>
      <c r="Z38">
        <f>'Cost Components'!$E$36*10^6</f>
        <v>103200000</v>
      </c>
      <c r="AA38">
        <f>'Cost Components'!$E$36*10^6</f>
        <v>103200000</v>
      </c>
    </row>
    <row r="39" spans="1:27" x14ac:dyDescent="0.25">
      <c r="A39" t="s">
        <v>122</v>
      </c>
      <c r="B39">
        <f t="shared" ref="B39:AA39" si="3">B37-B38</f>
        <v>844919999.99999988</v>
      </c>
      <c r="C39">
        <f t="shared" si="3"/>
        <v>385278180.27430993</v>
      </c>
      <c r="D39">
        <f t="shared" si="3"/>
        <v>385278180.27430993</v>
      </c>
      <c r="E39">
        <f t="shared" si="3"/>
        <v>385278180.27430993</v>
      </c>
      <c r="F39">
        <f t="shared" si="3"/>
        <v>385278180.27430993</v>
      </c>
      <c r="G39">
        <f t="shared" si="3"/>
        <v>385278180.27430993</v>
      </c>
      <c r="H39">
        <f t="shared" si="3"/>
        <v>385278180.27430993</v>
      </c>
      <c r="I39">
        <f t="shared" si="3"/>
        <v>385278180.27430993</v>
      </c>
      <c r="J39">
        <f t="shared" si="3"/>
        <v>385278180.27430993</v>
      </c>
      <c r="K39">
        <f t="shared" si="3"/>
        <v>385278180.27430993</v>
      </c>
      <c r="L39">
        <f t="shared" si="3"/>
        <v>385278180.27430993</v>
      </c>
      <c r="M39">
        <f t="shared" si="3"/>
        <v>385278180.27430993</v>
      </c>
      <c r="N39">
        <f t="shared" si="3"/>
        <v>385278180.27430993</v>
      </c>
      <c r="O39">
        <f t="shared" si="3"/>
        <v>385278180.27430993</v>
      </c>
      <c r="P39">
        <f t="shared" si="3"/>
        <v>385278180.27430993</v>
      </c>
      <c r="Q39">
        <f t="shared" si="3"/>
        <v>385278180.27430993</v>
      </c>
      <c r="R39">
        <f t="shared" si="3"/>
        <v>385278180.27430993</v>
      </c>
      <c r="S39">
        <f t="shared" si="3"/>
        <v>385278180.27430993</v>
      </c>
      <c r="T39">
        <f t="shared" si="3"/>
        <v>385278180.27430993</v>
      </c>
      <c r="U39">
        <f t="shared" si="3"/>
        <v>385278180.27430993</v>
      </c>
      <c r="V39">
        <f t="shared" si="3"/>
        <v>385278180.27430993</v>
      </c>
      <c r="W39">
        <f t="shared" si="3"/>
        <v>385278180.27430993</v>
      </c>
      <c r="X39">
        <f t="shared" si="3"/>
        <v>385278180.27430993</v>
      </c>
      <c r="Y39">
        <f t="shared" si="3"/>
        <v>385278180.27430993</v>
      </c>
      <c r="Z39">
        <f t="shared" si="3"/>
        <v>385278180.27430993</v>
      </c>
      <c r="AA39">
        <f t="shared" si="3"/>
        <v>385278180.27430993</v>
      </c>
    </row>
    <row r="40" spans="1:27" x14ac:dyDescent="0.25">
      <c r="A40" t="s">
        <v>123</v>
      </c>
      <c r="B40">
        <f>B39/(1+Inputs!$C$5) ^'Production Cost Baseline'!B$2</f>
        <v>844919999.99999988</v>
      </c>
      <c r="C40">
        <f>C39/(1+Inputs!$C$5) ^'Production Cost Baseline'!C$2</f>
        <v>360073065.67692512</v>
      </c>
      <c r="D40">
        <f>D39/(1+Inputs!$C$5) ^'Production Cost Baseline'!D$2</f>
        <v>336516883.81021041</v>
      </c>
      <c r="E40">
        <f>E39/(1+Inputs!$C$5) ^'Production Cost Baseline'!E$2</f>
        <v>314501760.57029009</v>
      </c>
      <c r="F40">
        <f>F39/(1+Inputs!$C$5) ^'Production Cost Baseline'!F$2</f>
        <v>293926879.03765434</v>
      </c>
      <c r="G40">
        <f>G39/(1+Inputs!$C$5) ^'Production Cost Baseline'!G$2</f>
        <v>274698017.79220027</v>
      </c>
      <c r="H40">
        <f>H39/(1+Inputs!$C$5) ^'Production Cost Baseline'!H$2</f>
        <v>256727119.43196291</v>
      </c>
      <c r="I40">
        <f>I39/(1+Inputs!$C$5) ^'Production Cost Baseline'!I$2</f>
        <v>239931887.31959146</v>
      </c>
      <c r="J40">
        <f>J39/(1+Inputs!$C$5) ^'Production Cost Baseline'!J$2</f>
        <v>224235408.70989859</v>
      </c>
      <c r="K40">
        <f>K39/(1+Inputs!$C$5) ^'Production Cost Baseline'!K$2</f>
        <v>209565802.53261548</v>
      </c>
      <c r="L40">
        <f>L39/(1+Inputs!$C$5) ^'Production Cost Baseline'!L$2</f>
        <v>195855890.21739766</v>
      </c>
      <c r="M40">
        <f>M39/(1+Inputs!$C$5) ^'Production Cost Baseline'!M$2</f>
        <v>183042888.05364263</v>
      </c>
      <c r="N40">
        <f>N39/(1+Inputs!$C$5) ^'Production Cost Baseline'!N$2</f>
        <v>171068119.67630157</v>
      </c>
      <c r="O40">
        <f>O39/(1+Inputs!$C$5) ^'Production Cost Baseline'!O$2</f>
        <v>159876747.36102948</v>
      </c>
      <c r="P40">
        <f>P39/(1+Inputs!$C$5) ^'Production Cost Baseline'!P$2</f>
        <v>149417520.8981584</v>
      </c>
      <c r="Q40">
        <f>Q39/(1+Inputs!$C$5) ^'Production Cost Baseline'!Q$2</f>
        <v>139642542.89547512</v>
      </c>
      <c r="R40">
        <f>R39/(1+Inputs!$C$5) ^'Production Cost Baseline'!R$2</f>
        <v>130507049.4350235</v>
      </c>
      <c r="S40">
        <f>S39/(1+Inputs!$C$5) ^'Production Cost Baseline'!S$2</f>
        <v>121969205.07946122</v>
      </c>
      <c r="T40">
        <f>T39/(1+Inputs!$C$5) ^'Production Cost Baseline'!T$2</f>
        <v>113989911.28921609</v>
      </c>
      <c r="U40">
        <f>U39/(1+Inputs!$C$5) ^'Production Cost Baseline'!U$2</f>
        <v>106532627.37309913</v>
      </c>
      <c r="V40">
        <f>V39/(1+Inputs!$C$5) ^'Production Cost Baseline'!V$2</f>
        <v>99563203.152429104</v>
      </c>
      <c r="W40">
        <f>W39/(1+Inputs!$C$5) ^'Production Cost Baseline'!W$2</f>
        <v>93049722.572363645</v>
      </c>
      <c r="X40">
        <f>X39/(1+Inputs!$C$5) ^'Production Cost Baseline'!X$2</f>
        <v>86962357.544265091</v>
      </c>
      <c r="Y40">
        <f>Y39/(1+Inputs!$C$5) ^'Production Cost Baseline'!Y$2</f>
        <v>81273231.349780455</v>
      </c>
      <c r="Z40">
        <f>Z39/(1+Inputs!$C$5) ^'Production Cost Baseline'!Z$2</f>
        <v>75956290.981103227</v>
      </c>
      <c r="AA40">
        <f>AA39/(1+Inputs!$C$5) ^'Production Cost Baseline'!AA$2</f>
        <v>70987187.832806751</v>
      </c>
    </row>
    <row r="41" spans="1:27" x14ac:dyDescent="0.25">
      <c r="A41" t="s">
        <v>124</v>
      </c>
      <c r="B41">
        <v>0</v>
      </c>
      <c r="C41">
        <f>'Study Parameters'!$C$15*'Study Parameters'!$C$8 * 10^3</f>
        <v>55200000</v>
      </c>
      <c r="D41">
        <f>'Study Parameters'!$C$15*'Study Parameters'!$C$8 * 10^3</f>
        <v>55200000</v>
      </c>
      <c r="E41">
        <f>'Study Parameters'!$C$15*'Study Parameters'!$C$8 * 10^3</f>
        <v>55200000</v>
      </c>
      <c r="F41">
        <f>'Study Parameters'!$C$15*'Study Parameters'!$C$8 * 10^3</f>
        <v>55200000</v>
      </c>
      <c r="G41">
        <f>'Study Parameters'!$C$15*'Study Parameters'!$C$8 * 10^3</f>
        <v>55200000</v>
      </c>
      <c r="H41">
        <f>'Study Parameters'!$C$15*'Study Parameters'!$C$8 * 10^3</f>
        <v>55200000</v>
      </c>
      <c r="I41">
        <f>'Study Parameters'!$C$15*'Study Parameters'!$C$8 * 10^3</f>
        <v>55200000</v>
      </c>
      <c r="J41">
        <f>'Study Parameters'!$C$15*'Study Parameters'!$C$8 * 10^3</f>
        <v>55200000</v>
      </c>
      <c r="K41">
        <f>'Study Parameters'!$C$15*'Study Parameters'!$C$8 * 10^3</f>
        <v>55200000</v>
      </c>
      <c r="L41">
        <f>'Study Parameters'!$C$15*'Study Parameters'!$C$8 * 10^3</f>
        <v>55200000</v>
      </c>
      <c r="M41">
        <f>'Study Parameters'!$C$15*'Study Parameters'!$C$8 * 10^3</f>
        <v>55200000</v>
      </c>
      <c r="N41">
        <f>'Study Parameters'!$C$15*'Study Parameters'!$C$8 * 10^3</f>
        <v>55200000</v>
      </c>
      <c r="O41">
        <f>'Study Parameters'!$C$15*'Study Parameters'!$C$8 * 10^3</f>
        <v>55200000</v>
      </c>
      <c r="P41">
        <f>'Study Parameters'!$C$15*'Study Parameters'!$C$8 * 10^3</f>
        <v>55200000</v>
      </c>
      <c r="Q41">
        <f>'Study Parameters'!$C$15*'Study Parameters'!$C$8 * 10^3</f>
        <v>55200000</v>
      </c>
      <c r="R41">
        <f>'Study Parameters'!$C$15*'Study Parameters'!$C$8 * 10^3</f>
        <v>55200000</v>
      </c>
      <c r="S41">
        <f>'Study Parameters'!$C$15*'Study Parameters'!$C$8 * 10^3</f>
        <v>55200000</v>
      </c>
      <c r="T41">
        <f>'Study Parameters'!$C$15*'Study Parameters'!$C$8 * 10^3</f>
        <v>55200000</v>
      </c>
      <c r="U41">
        <f>'Study Parameters'!$C$15*'Study Parameters'!$C$8 * 10^3</f>
        <v>55200000</v>
      </c>
      <c r="V41">
        <f>'Study Parameters'!$C$15*'Study Parameters'!$C$8 * 10^3</f>
        <v>55200000</v>
      </c>
      <c r="W41">
        <f>'Study Parameters'!$C$15*'Study Parameters'!$C$8 * 10^3</f>
        <v>55200000</v>
      </c>
      <c r="X41">
        <f>'Study Parameters'!$C$15*'Study Parameters'!$C$8 * 10^3</f>
        <v>55200000</v>
      </c>
      <c r="Y41">
        <f>'Study Parameters'!$C$15*'Study Parameters'!$C$8 * 10^3</f>
        <v>55200000</v>
      </c>
      <c r="Z41">
        <f>'Study Parameters'!$C$15*'Study Parameters'!$C$8 * 10^3</f>
        <v>55200000</v>
      </c>
      <c r="AA41">
        <f>'Study Parameters'!$C$15*'Study Parameters'!$C$8 * 10^3</f>
        <v>55200000</v>
      </c>
    </row>
    <row r="42" spans="1:27" x14ac:dyDescent="0.25">
      <c r="A42" t="s">
        <v>125</v>
      </c>
      <c r="B42">
        <v>0</v>
      </c>
      <c r="C42">
        <f>C41/(1+Inputs!$C$5) ^'Production Cost Baseline'!C$2</f>
        <v>51588785.046728969</v>
      </c>
      <c r="D42">
        <f>D41/(1+Inputs!$C$5) ^'Production Cost Baseline'!D$2</f>
        <v>48213817.800681278</v>
      </c>
      <c r="E42">
        <f>E41/(1+Inputs!$C$5) ^'Production Cost Baseline'!E$2</f>
        <v>45059642.804375023</v>
      </c>
      <c r="F42">
        <f>F41/(1+Inputs!$C$5) ^'Production Cost Baseline'!F$2</f>
        <v>42111815.705023393</v>
      </c>
      <c r="G42">
        <f>G41/(1+Inputs!$C$5) ^'Production Cost Baseline'!G$2</f>
        <v>39356837.107498497</v>
      </c>
      <c r="H42">
        <f>H41/(1+Inputs!$C$5) ^'Production Cost Baseline'!H$2</f>
        <v>36782090.754671492</v>
      </c>
      <c r="I42">
        <f>I41/(1+Inputs!$C$5) ^'Production Cost Baseline'!I$2</f>
        <v>34375785.752029426</v>
      </c>
      <c r="J42">
        <f>J41/(1+Inputs!$C$5) ^'Production Cost Baseline'!J$2</f>
        <v>32126902.571990121</v>
      </c>
      <c r="K42">
        <f>K41/(1+Inputs!$C$5) ^'Production Cost Baseline'!K$2</f>
        <v>30025142.590644971</v>
      </c>
      <c r="L42">
        <f>L41/(1+Inputs!$C$5) ^'Production Cost Baseline'!L$2</f>
        <v>28060880.925836422</v>
      </c>
      <c r="M42">
        <f>M41/(1+Inputs!$C$5) ^'Production Cost Baseline'!M$2</f>
        <v>26225122.360594783</v>
      </c>
      <c r="N42">
        <f>N41/(1+Inputs!$C$5) ^'Production Cost Baseline'!N$2</f>
        <v>24509460.150088586</v>
      </c>
      <c r="O42">
        <f>O41/(1+Inputs!$C$5) ^'Production Cost Baseline'!O$2</f>
        <v>22906037.523447275</v>
      </c>
      <c r="P42">
        <f>P41/(1+Inputs!$C$5) ^'Production Cost Baseline'!P$2</f>
        <v>21407511.704156335</v>
      </c>
      <c r="Q42">
        <f>Q41/(1+Inputs!$C$5) ^'Production Cost Baseline'!Q$2</f>
        <v>20007020.284258254</v>
      </c>
      <c r="R42">
        <f>R41/(1+Inputs!$C$5) ^'Production Cost Baseline'!R$2</f>
        <v>18698149.798372202</v>
      </c>
      <c r="S42">
        <f>S41/(1+Inputs!$C$5) ^'Production Cost Baseline'!S$2</f>
        <v>17474906.353618879</v>
      </c>
      <c r="T42">
        <f>T41/(1+Inputs!$C$5) ^'Production Cost Baseline'!T$2</f>
        <v>16331688.180952225</v>
      </c>
      <c r="U42">
        <f>U41/(1+Inputs!$C$5) ^'Production Cost Baseline'!U$2</f>
        <v>15263259.982198339</v>
      </c>
      <c r="V42">
        <f>V41/(1+Inputs!$C$5) ^'Production Cost Baseline'!V$2</f>
        <v>14264728.955325551</v>
      </c>
      <c r="W42">
        <f>W41/(1+Inputs!$C$5) ^'Production Cost Baseline'!W$2</f>
        <v>13331522.388154721</v>
      </c>
      <c r="X42">
        <f>X41/(1+Inputs!$C$5) ^'Production Cost Baseline'!X$2</f>
        <v>12459366.717901608</v>
      </c>
      <c r="Y42">
        <f>Y41/(1+Inputs!$C$5) ^'Production Cost Baseline'!Y$2</f>
        <v>11644267.960655708</v>
      </c>
      <c r="Z42">
        <f>Z41/(1+Inputs!$C$5) ^'Production Cost Baseline'!Z$2</f>
        <v>10882493.42117356</v>
      </c>
      <c r="AA42">
        <f>AA41/(1+Inputs!$C$5) ^'Production Cost Baseline'!AA$2</f>
        <v>10170554.599227624</v>
      </c>
    </row>
    <row r="44" spans="1:27" x14ac:dyDescent="0.25">
      <c r="A44" t="s">
        <v>126</v>
      </c>
      <c r="B44">
        <f>SUM(B40:AA40) / SUM(C42:AA42)</f>
        <v>8.2931377261665684</v>
      </c>
    </row>
    <row r="45" spans="1:27" x14ac:dyDescent="0.25">
      <c r="A45" t="s">
        <v>127</v>
      </c>
      <c r="B45">
        <f>B44 * Inputs!$C$15</f>
        <v>6.6593895941117545</v>
      </c>
    </row>
    <row r="47" spans="1:27" x14ac:dyDescent="0.25">
      <c r="A47" s="1" t="s">
        <v>136</v>
      </c>
    </row>
    <row r="48" spans="1:27" x14ac:dyDescent="0.25">
      <c r="A48" t="s">
        <v>120</v>
      </c>
      <c r="B48">
        <f>'Cost Components'!$F$42 * 10^6</f>
        <v>947660000.00000012</v>
      </c>
      <c r="C48">
        <f>('Cost Components'!$F$43  + 'Cost Components'!$F$40 + 'Cost Components'!$F$41) * 10^6</f>
        <v>529178143.97323197</v>
      </c>
      <c r="D48">
        <f>('Cost Components'!$F$43  + 'Cost Components'!$F$40 + 'Cost Components'!$F$41) * 10^6</f>
        <v>529178143.97323197</v>
      </c>
      <c r="E48">
        <f>('Cost Components'!$F$43  + 'Cost Components'!$F$40 + 'Cost Components'!$F$41) * 10^6</f>
        <v>529178143.97323197</v>
      </c>
      <c r="F48">
        <f>('Cost Components'!$F$43  + 'Cost Components'!$F$40 + 'Cost Components'!$F$41) * 10^6</f>
        <v>529178143.97323197</v>
      </c>
      <c r="G48">
        <f>('Cost Components'!$F$43  + 'Cost Components'!$F$40 + 'Cost Components'!$F$41) * 10^6</f>
        <v>529178143.97323197</v>
      </c>
      <c r="H48">
        <f>('Cost Components'!$F$43  + 'Cost Components'!$F$40 + 'Cost Components'!$F$41) * 10^6</f>
        <v>529178143.97323197</v>
      </c>
      <c r="I48">
        <f>('Cost Components'!$F$43  + 'Cost Components'!$F$40 + 'Cost Components'!$F$41) * 10^6</f>
        <v>529178143.97323197</v>
      </c>
      <c r="J48">
        <f>('Cost Components'!$F$43  + 'Cost Components'!$F$40 + 'Cost Components'!$F$41) * 10^6</f>
        <v>529178143.97323197</v>
      </c>
      <c r="K48">
        <f>('Cost Components'!$F$43  + 'Cost Components'!$F$40 + 'Cost Components'!$F$41) * 10^6</f>
        <v>529178143.97323197</v>
      </c>
      <c r="L48">
        <f>('Cost Components'!$F$43  + 'Cost Components'!$F$40 + 'Cost Components'!$F$41) * 10^6</f>
        <v>529178143.97323197</v>
      </c>
      <c r="M48">
        <f>('Cost Components'!$F$43  + 'Cost Components'!$F$40 + 'Cost Components'!$F$41) * 10^6</f>
        <v>529178143.97323197</v>
      </c>
      <c r="N48">
        <f>('Cost Components'!$F$43  + 'Cost Components'!$F$40 + 'Cost Components'!$F$41) * 10^6</f>
        <v>529178143.97323197</v>
      </c>
      <c r="O48">
        <f>('Cost Components'!$F$43  + 'Cost Components'!$F$40 + 'Cost Components'!$F$41) * 10^6</f>
        <v>529178143.97323197</v>
      </c>
      <c r="P48">
        <f>('Cost Components'!$F$43  + 'Cost Components'!$F$40 + 'Cost Components'!$F$41) * 10^6</f>
        <v>529178143.97323197</v>
      </c>
      <c r="Q48">
        <f>('Cost Components'!$F$43  + 'Cost Components'!$F$40 + 'Cost Components'!$F$41) * 10^6</f>
        <v>529178143.97323197</v>
      </c>
      <c r="R48">
        <f>('Cost Components'!$F$43  + 'Cost Components'!$F$40 + 'Cost Components'!$F$41) * 10^6</f>
        <v>529178143.97323197</v>
      </c>
      <c r="S48">
        <f>('Cost Components'!$F$43  + 'Cost Components'!$F$40 + 'Cost Components'!$F$41) * 10^6</f>
        <v>529178143.97323197</v>
      </c>
      <c r="T48">
        <f>('Cost Components'!$F$43  + 'Cost Components'!$F$40 + 'Cost Components'!$F$41) * 10^6</f>
        <v>529178143.97323197</v>
      </c>
      <c r="U48">
        <f>('Cost Components'!$F$43  + 'Cost Components'!$F$40 + 'Cost Components'!$F$41) * 10^6</f>
        <v>529178143.97323197</v>
      </c>
      <c r="V48">
        <f>('Cost Components'!$F$43  + 'Cost Components'!$F$40 + 'Cost Components'!$F$41) * 10^6</f>
        <v>529178143.97323197</v>
      </c>
      <c r="W48">
        <f>('Cost Components'!$F$43  + 'Cost Components'!$F$40 + 'Cost Components'!$F$41) * 10^6</f>
        <v>529178143.97323197</v>
      </c>
      <c r="X48">
        <f>('Cost Components'!$F$43  + 'Cost Components'!$F$40 + 'Cost Components'!$F$41) * 10^6</f>
        <v>529178143.97323197</v>
      </c>
      <c r="Y48">
        <f>('Cost Components'!$F$43  + 'Cost Components'!$F$40 + 'Cost Components'!$F$41) * 10^6</f>
        <v>529178143.97323197</v>
      </c>
      <c r="Z48">
        <f>('Cost Components'!$F$43  + 'Cost Components'!$F$40 + 'Cost Components'!$F$41) * 10^6</f>
        <v>529178143.97323197</v>
      </c>
      <c r="AA48">
        <f>('Cost Components'!$F$43  + 'Cost Components'!$F$40 + 'Cost Components'!$F$41) * 10^6</f>
        <v>529178143.97323197</v>
      </c>
    </row>
    <row r="49" spans="1:27" x14ac:dyDescent="0.25">
      <c r="A49" t="s">
        <v>121</v>
      </c>
      <c r="B49">
        <v>0</v>
      </c>
      <c r="C49">
        <f>'Cost Components'!$F$36*10^6</f>
        <v>135200000</v>
      </c>
      <c r="D49">
        <f>'Cost Components'!$F$36*10^6</f>
        <v>135200000</v>
      </c>
      <c r="E49">
        <f>'Cost Components'!$F$36*10^6</f>
        <v>135200000</v>
      </c>
      <c r="F49">
        <f>'Cost Components'!$F$36*10^6</f>
        <v>135200000</v>
      </c>
      <c r="G49">
        <f>'Cost Components'!$F$36*10^6</f>
        <v>135200000</v>
      </c>
      <c r="H49">
        <f>'Cost Components'!$F$36*10^6</f>
        <v>135200000</v>
      </c>
      <c r="I49">
        <f>'Cost Components'!$F$36*10^6</f>
        <v>135200000</v>
      </c>
      <c r="J49">
        <f>'Cost Components'!$F$36*10^6</f>
        <v>135200000</v>
      </c>
      <c r="K49">
        <f>'Cost Components'!$F$36*10^6</f>
        <v>135200000</v>
      </c>
      <c r="L49">
        <f>'Cost Components'!$F$36*10^6</f>
        <v>135200000</v>
      </c>
      <c r="M49">
        <f>'Cost Components'!$F$36*10^6</f>
        <v>135200000</v>
      </c>
      <c r="N49">
        <f>'Cost Components'!$F$36*10^6</f>
        <v>135200000</v>
      </c>
      <c r="O49">
        <f>'Cost Components'!$F$36*10^6</f>
        <v>135200000</v>
      </c>
      <c r="P49">
        <f>'Cost Components'!$F$36*10^6</f>
        <v>135200000</v>
      </c>
      <c r="Q49">
        <f>'Cost Components'!$F$36*10^6</f>
        <v>135200000</v>
      </c>
      <c r="R49">
        <f>'Cost Components'!$F$36*10^6</f>
        <v>135200000</v>
      </c>
      <c r="S49">
        <f>'Cost Components'!$F$36*10^6</f>
        <v>135200000</v>
      </c>
      <c r="T49">
        <f>'Cost Components'!$F$36*10^6</f>
        <v>135200000</v>
      </c>
      <c r="U49">
        <f>'Cost Components'!$F$36*10^6</f>
        <v>135200000</v>
      </c>
      <c r="V49">
        <f>'Cost Components'!$F$36*10^6</f>
        <v>135200000</v>
      </c>
      <c r="W49">
        <f>'Cost Components'!$F$36*10^6</f>
        <v>135200000</v>
      </c>
      <c r="X49">
        <f>'Cost Components'!$F$36*10^6</f>
        <v>135200000</v>
      </c>
      <c r="Y49">
        <f>'Cost Components'!$F$36*10^6</f>
        <v>135200000</v>
      </c>
      <c r="Z49">
        <f>'Cost Components'!$F$36*10^6</f>
        <v>135200000</v>
      </c>
      <c r="AA49">
        <f>'Cost Components'!$F$36*10^6</f>
        <v>135200000</v>
      </c>
    </row>
    <row r="50" spans="1:27" x14ac:dyDescent="0.25">
      <c r="A50" t="s">
        <v>122</v>
      </c>
      <c r="B50">
        <f t="shared" ref="B50:AA50" si="4">B48-B49</f>
        <v>947660000.00000012</v>
      </c>
      <c r="C50">
        <f t="shared" si="4"/>
        <v>393978143.97323197</v>
      </c>
      <c r="D50">
        <f t="shared" si="4"/>
        <v>393978143.97323197</v>
      </c>
      <c r="E50">
        <f t="shared" si="4"/>
        <v>393978143.97323197</v>
      </c>
      <c r="F50">
        <f t="shared" si="4"/>
        <v>393978143.97323197</v>
      </c>
      <c r="G50">
        <f t="shared" si="4"/>
        <v>393978143.97323197</v>
      </c>
      <c r="H50">
        <f t="shared" si="4"/>
        <v>393978143.97323197</v>
      </c>
      <c r="I50">
        <f t="shared" si="4"/>
        <v>393978143.97323197</v>
      </c>
      <c r="J50">
        <f t="shared" si="4"/>
        <v>393978143.97323197</v>
      </c>
      <c r="K50">
        <f t="shared" si="4"/>
        <v>393978143.97323197</v>
      </c>
      <c r="L50">
        <f t="shared" si="4"/>
        <v>393978143.97323197</v>
      </c>
      <c r="M50">
        <f t="shared" si="4"/>
        <v>393978143.97323197</v>
      </c>
      <c r="N50">
        <f t="shared" si="4"/>
        <v>393978143.97323197</v>
      </c>
      <c r="O50">
        <f t="shared" si="4"/>
        <v>393978143.97323197</v>
      </c>
      <c r="P50">
        <f t="shared" si="4"/>
        <v>393978143.97323197</v>
      </c>
      <c r="Q50">
        <f t="shared" si="4"/>
        <v>393978143.97323197</v>
      </c>
      <c r="R50">
        <f t="shared" si="4"/>
        <v>393978143.97323197</v>
      </c>
      <c r="S50">
        <f t="shared" si="4"/>
        <v>393978143.97323197</v>
      </c>
      <c r="T50">
        <f t="shared" si="4"/>
        <v>393978143.97323197</v>
      </c>
      <c r="U50">
        <f t="shared" si="4"/>
        <v>393978143.97323197</v>
      </c>
      <c r="V50">
        <f t="shared" si="4"/>
        <v>393978143.97323197</v>
      </c>
      <c r="W50">
        <f t="shared" si="4"/>
        <v>393978143.97323197</v>
      </c>
      <c r="X50">
        <f t="shared" si="4"/>
        <v>393978143.97323197</v>
      </c>
      <c r="Y50">
        <f t="shared" si="4"/>
        <v>393978143.97323197</v>
      </c>
      <c r="Z50">
        <f t="shared" si="4"/>
        <v>393978143.97323197</v>
      </c>
      <c r="AA50">
        <f t="shared" si="4"/>
        <v>393978143.97323197</v>
      </c>
    </row>
    <row r="51" spans="1:27" x14ac:dyDescent="0.25">
      <c r="A51" t="s">
        <v>123</v>
      </c>
      <c r="B51">
        <f>B50/(1+Inputs!$C$5) ^'Production Cost Baseline'!B$2</f>
        <v>947660000.00000012</v>
      </c>
      <c r="C51">
        <f>C50/(1+Inputs!$C$5) ^'Production Cost Baseline'!C$2</f>
        <v>368203872.87217939</v>
      </c>
      <c r="D51">
        <f>D50/(1+Inputs!$C$5) ^'Production Cost Baseline'!D$2</f>
        <v>344115769.03942001</v>
      </c>
      <c r="E51">
        <f>E50/(1+Inputs!$C$5) ^'Production Cost Baseline'!E$2</f>
        <v>321603522.46674764</v>
      </c>
      <c r="F51">
        <f>F50/(1+Inputs!$C$5) ^'Production Cost Baseline'!F$2</f>
        <v>300564039.68854922</v>
      </c>
      <c r="G51">
        <f>G50/(1+Inputs!$C$5) ^'Production Cost Baseline'!G$2</f>
        <v>280900971.67154127</v>
      </c>
      <c r="H51">
        <f>H50/(1+Inputs!$C$5) ^'Production Cost Baseline'!H$2</f>
        <v>262524272.59022555</v>
      </c>
      <c r="I51">
        <f>I50/(1+Inputs!$C$5) ^'Production Cost Baseline'!I$2</f>
        <v>245349787.46750048</v>
      </c>
      <c r="J51">
        <f>J50/(1+Inputs!$C$5) ^'Production Cost Baseline'!J$2</f>
        <v>229298866.79205653</v>
      </c>
      <c r="K51">
        <f>K50/(1+Inputs!$C$5) ^'Production Cost Baseline'!K$2</f>
        <v>214298006.34771636</v>
      </c>
      <c r="L51">
        <f>L50/(1+Inputs!$C$5) ^'Production Cost Baseline'!L$2</f>
        <v>200278510.60534242</v>
      </c>
      <c r="M51">
        <f>M50/(1+Inputs!$C$5) ^'Production Cost Baseline'!M$2</f>
        <v>187176178.13583401</v>
      </c>
      <c r="N51">
        <f>N50/(1+Inputs!$C$5) ^'Production Cost Baseline'!N$2</f>
        <v>174931007.60358322</v>
      </c>
      <c r="O51">
        <f>O50/(1+Inputs!$C$5) ^'Production Cost Baseline'!O$2</f>
        <v>163486922.994003</v>
      </c>
      <c r="P51">
        <f>P50/(1+Inputs!$C$5) ^'Production Cost Baseline'!P$2</f>
        <v>152791516.81682524</v>
      </c>
      <c r="Q51">
        <f>Q50/(1+Inputs!$C$5) ^'Production Cost Baseline'!Q$2</f>
        <v>142795810.10918245</v>
      </c>
      <c r="R51">
        <f>R50/(1+Inputs!$C$5) ^'Production Cost Baseline'!R$2</f>
        <v>133454028.13942286</v>
      </c>
      <c r="S51">
        <f>S50/(1+Inputs!$C$5) ^'Production Cost Baseline'!S$2</f>
        <v>124723390.78450735</v>
      </c>
      <c r="T51">
        <f>T50/(1+Inputs!$C$5) ^'Production Cost Baseline'!T$2</f>
        <v>116563916.62103491</v>
      </c>
      <c r="U51">
        <f>U50/(1+Inputs!$C$5) ^'Production Cost Baseline'!U$2</f>
        <v>108938239.83274288</v>
      </c>
      <c r="V51">
        <f>V50/(1+Inputs!$C$5) ^'Production Cost Baseline'!V$2</f>
        <v>101811439.0960214</v>
      </c>
      <c r="W51">
        <f>W50/(1+Inputs!$C$5) ^'Production Cost Baseline'!W$2</f>
        <v>95150877.659833074</v>
      </c>
      <c r="X51">
        <f>X50/(1+Inputs!$C$5) ^'Production Cost Baseline'!X$2</f>
        <v>88926053.887694463</v>
      </c>
      <c r="Y51">
        <f>Y50/(1+Inputs!$C$5) ^'Production Cost Baseline'!Y$2</f>
        <v>83108461.577284545</v>
      </c>
      <c r="Z51">
        <f>Z50/(1+Inputs!$C$5) ^'Production Cost Baseline'!Z$2</f>
        <v>77671459.418022946</v>
      </c>
      <c r="AA51">
        <f>AA50/(1+Inputs!$C$5) ^'Production Cost Baseline'!AA$2</f>
        <v>72590148.988806486</v>
      </c>
    </row>
    <row r="52" spans="1:27" x14ac:dyDescent="0.25">
      <c r="A52" t="s">
        <v>124</v>
      </c>
      <c r="B52">
        <v>0</v>
      </c>
      <c r="C52">
        <f>'Study Parameters'!$C$16*'Study Parameters'!$C$8 * 10^3</f>
        <v>54400000</v>
      </c>
      <c r="D52">
        <f>'Study Parameters'!$C$16*'Study Parameters'!$C$8 * 10^3</f>
        <v>54400000</v>
      </c>
      <c r="E52">
        <f>'Study Parameters'!$C$16*'Study Parameters'!$C$8 * 10^3</f>
        <v>54400000</v>
      </c>
      <c r="F52">
        <f>'Study Parameters'!$C$16*'Study Parameters'!$C$8 * 10^3</f>
        <v>54400000</v>
      </c>
      <c r="G52">
        <f>'Study Parameters'!$C$16*'Study Parameters'!$C$8 * 10^3</f>
        <v>54400000</v>
      </c>
      <c r="H52">
        <f>'Study Parameters'!$C$16*'Study Parameters'!$C$8 * 10^3</f>
        <v>54400000</v>
      </c>
      <c r="I52">
        <f>'Study Parameters'!$C$16*'Study Parameters'!$C$8 * 10^3</f>
        <v>54400000</v>
      </c>
      <c r="J52">
        <f>'Study Parameters'!$C$16*'Study Parameters'!$C$8 * 10^3</f>
        <v>54400000</v>
      </c>
      <c r="K52">
        <f>'Study Parameters'!$C$16*'Study Parameters'!$C$8 * 10^3</f>
        <v>54400000</v>
      </c>
      <c r="L52">
        <f>'Study Parameters'!$C$16*'Study Parameters'!$C$8 * 10^3</f>
        <v>54400000</v>
      </c>
      <c r="M52">
        <f>'Study Parameters'!$C$16*'Study Parameters'!$C$8 * 10^3</f>
        <v>54400000</v>
      </c>
      <c r="N52">
        <f>'Study Parameters'!$C$16*'Study Parameters'!$C$8 * 10^3</f>
        <v>54400000</v>
      </c>
      <c r="O52">
        <f>'Study Parameters'!$C$16*'Study Parameters'!$C$8 * 10^3</f>
        <v>54400000</v>
      </c>
      <c r="P52">
        <f>'Study Parameters'!$C$16*'Study Parameters'!$C$8 * 10^3</f>
        <v>54400000</v>
      </c>
      <c r="Q52">
        <f>'Study Parameters'!$C$16*'Study Parameters'!$C$8 * 10^3</f>
        <v>54400000</v>
      </c>
      <c r="R52">
        <f>'Study Parameters'!$C$16*'Study Parameters'!$C$8 * 10^3</f>
        <v>54400000</v>
      </c>
      <c r="S52">
        <f>'Study Parameters'!$C$16*'Study Parameters'!$C$8 * 10^3</f>
        <v>54400000</v>
      </c>
      <c r="T52">
        <f>'Study Parameters'!$C$16*'Study Parameters'!$C$8 * 10^3</f>
        <v>54400000</v>
      </c>
      <c r="U52">
        <f>'Study Parameters'!$C$16*'Study Parameters'!$C$8 * 10^3</f>
        <v>54400000</v>
      </c>
      <c r="V52">
        <f>'Study Parameters'!$C$16*'Study Parameters'!$C$8 * 10^3</f>
        <v>54400000</v>
      </c>
      <c r="W52">
        <f>'Study Parameters'!$C$16*'Study Parameters'!$C$8 * 10^3</f>
        <v>54400000</v>
      </c>
      <c r="X52">
        <f>'Study Parameters'!$C$16*'Study Parameters'!$C$8 * 10^3</f>
        <v>54400000</v>
      </c>
      <c r="Y52">
        <f>'Study Parameters'!$C$16*'Study Parameters'!$C$8 * 10^3</f>
        <v>54400000</v>
      </c>
      <c r="Z52">
        <f>'Study Parameters'!$C$16*'Study Parameters'!$C$8 * 10^3</f>
        <v>54400000</v>
      </c>
      <c r="AA52">
        <f>'Study Parameters'!$C$16*'Study Parameters'!$C$8 * 10^3</f>
        <v>54400000</v>
      </c>
    </row>
    <row r="53" spans="1:27" x14ac:dyDescent="0.25">
      <c r="A53" t="s">
        <v>125</v>
      </c>
      <c r="B53">
        <v>0</v>
      </c>
      <c r="C53">
        <f>C52/(1+Inputs!$C$5) ^'Production Cost Baseline'!C$2</f>
        <v>50841121.4953271</v>
      </c>
      <c r="D53">
        <f>D52/(1+Inputs!$C$5) ^'Production Cost Baseline'!D$2</f>
        <v>47515066.818062715</v>
      </c>
      <c r="E53">
        <f>E52/(1+Inputs!$C$5) ^'Production Cost Baseline'!E$2</f>
        <v>44406604.502862342</v>
      </c>
      <c r="F53">
        <f>F52/(1+Inputs!$C$5) ^'Production Cost Baseline'!F$2</f>
        <v>41501499.53538537</v>
      </c>
      <c r="G53">
        <f>G52/(1+Inputs!$C$5) ^'Production Cost Baseline'!G$2</f>
        <v>38786448.163911559</v>
      </c>
      <c r="H53">
        <f>H52/(1+Inputs!$C$5) ^'Production Cost Baseline'!H$2</f>
        <v>36249016.97561828</v>
      </c>
      <c r="I53">
        <f>I52/(1+Inputs!$C$5) ^'Production Cost Baseline'!I$2</f>
        <v>33877585.958521754</v>
      </c>
      <c r="J53">
        <f>J52/(1+Inputs!$C$5) ^'Production Cost Baseline'!J$2</f>
        <v>31661295.288338091</v>
      </c>
      <c r="K53">
        <f>K52/(1+Inputs!$C$5) ^'Production Cost Baseline'!K$2</f>
        <v>29589995.596577652</v>
      </c>
      <c r="L53">
        <f>L52/(1+Inputs!$C$5) ^'Production Cost Baseline'!L$2</f>
        <v>27654201.492128648</v>
      </c>
      <c r="M53">
        <f>M52/(1+Inputs!$C$5) ^'Production Cost Baseline'!M$2</f>
        <v>25845048.123484716</v>
      </c>
      <c r="N53">
        <f>N52/(1+Inputs!$C$5) ^'Production Cost Baseline'!N$2</f>
        <v>24154250.582695998</v>
      </c>
      <c r="O53">
        <f>O52/(1+Inputs!$C$5) ^'Production Cost Baseline'!O$2</f>
        <v>22574065.965136446</v>
      </c>
      <c r="P53">
        <f>P52/(1+Inputs!$C$5) ^'Production Cost Baseline'!P$2</f>
        <v>21097257.911342476</v>
      </c>
      <c r="Q53">
        <f>Q52/(1+Inputs!$C$5) ^'Production Cost Baseline'!Q$2</f>
        <v>19717063.468544368</v>
      </c>
      <c r="R53">
        <f>R52/(1+Inputs!$C$5) ^'Production Cost Baseline'!R$2</f>
        <v>18427162.120134924</v>
      </c>
      <c r="S53">
        <f>S52/(1+Inputs!$C$5) ^'Production Cost Baseline'!S$2</f>
        <v>17221646.841247592</v>
      </c>
      <c r="T53">
        <f>T52/(1+Inputs!$C$5) ^'Production Cost Baseline'!T$2</f>
        <v>16094997.047894945</v>
      </c>
      <c r="U53">
        <f>U52/(1+Inputs!$C$5) ^'Production Cost Baseline'!U$2</f>
        <v>15042053.315789668</v>
      </c>
      <c r="V53">
        <f>V52/(1+Inputs!$C$5) ^'Production Cost Baseline'!V$2</f>
        <v>14057993.753074458</v>
      </c>
      <c r="W53">
        <f>W52/(1+Inputs!$C$5) ^'Production Cost Baseline'!W$2</f>
        <v>13138311.918761175</v>
      </c>
      <c r="X53">
        <f>X52/(1+Inputs!$C$5) ^'Production Cost Baseline'!X$2</f>
        <v>12278796.185758106</v>
      </c>
      <c r="Y53">
        <f>Y52/(1+Inputs!$C$5) ^'Production Cost Baseline'!Y$2</f>
        <v>11475510.453979539</v>
      </c>
      <c r="Z53">
        <f>Z52/(1+Inputs!$C$5) ^'Production Cost Baseline'!Z$2</f>
        <v>10724776.125214523</v>
      </c>
      <c r="AA53">
        <f>AA52/(1+Inputs!$C$5) ^'Production Cost Baseline'!AA$2</f>
        <v>10023155.257209834</v>
      </c>
    </row>
    <row r="55" spans="1:27" x14ac:dyDescent="0.25">
      <c r="A55" t="s">
        <v>126</v>
      </c>
      <c r="B55">
        <f>SUM(B51:AA51) / SUM(C53:AA53)</f>
        <v>8.7370834324001478</v>
      </c>
    </row>
    <row r="56" spans="1:27" x14ac:dyDescent="0.25">
      <c r="A56" t="s">
        <v>127</v>
      </c>
      <c r="B56">
        <f>B55 * Inputs!$C$15</f>
        <v>7.015877996217319</v>
      </c>
    </row>
    <row r="58" spans="1:27" x14ac:dyDescent="0.25">
      <c r="A58" s="11">
        <v>2050</v>
      </c>
    </row>
    <row r="59" spans="1:27" x14ac:dyDescent="0.25">
      <c r="A59" s="1" t="s">
        <v>128</v>
      </c>
    </row>
    <row r="60" spans="1:27" x14ac:dyDescent="0.25">
      <c r="A60" t="s">
        <v>120</v>
      </c>
      <c r="B60">
        <f>'Cost Components'!$M$43 * 10^6</f>
        <v>428200000</v>
      </c>
      <c r="C60" s="15">
        <f>('Cost Components'!$M$44 + 'Cost Components'!$M$42)*10^6</f>
        <v>268701747.37606341</v>
      </c>
      <c r="D60" s="15">
        <f>('Cost Components'!$M$44 + 'Cost Components'!$M$42)*10^6</f>
        <v>268701747.37606341</v>
      </c>
      <c r="E60" s="15">
        <f>('Cost Components'!$M$44 + 'Cost Components'!$M$42)*10^6</f>
        <v>268701747.37606341</v>
      </c>
      <c r="F60" s="15">
        <f>('Cost Components'!$M$44 + 'Cost Components'!$M$42)*10^6</f>
        <v>268701747.37606341</v>
      </c>
      <c r="G60" s="15">
        <f>('Cost Components'!$M$44 + 'Cost Components'!$M$42)*10^6</f>
        <v>268701747.37606341</v>
      </c>
      <c r="H60" s="15">
        <f>('Cost Components'!$M$44 + 'Cost Components'!$M$42)*10^6</f>
        <v>268701747.37606341</v>
      </c>
      <c r="I60" s="15">
        <f>('Cost Components'!$M$44 + 'Cost Components'!$M$42)*10^6</f>
        <v>268701747.37606341</v>
      </c>
      <c r="J60" s="15">
        <f>('Cost Components'!$M$44 + 'Cost Components'!$M$42)*10^6</f>
        <v>268701747.37606341</v>
      </c>
      <c r="K60" s="15">
        <f>('Cost Components'!$M$44 + 'Cost Components'!$M$42)*10^6</f>
        <v>268701747.37606341</v>
      </c>
      <c r="L60" s="15">
        <f>('Cost Components'!$M$44 + 'Cost Components'!$M$42)*10^6</f>
        <v>268701747.37606341</v>
      </c>
      <c r="M60" s="15">
        <f>('Cost Components'!$M$44 + 'Cost Components'!$M$42)*10^6</f>
        <v>268701747.37606341</v>
      </c>
      <c r="N60" s="15">
        <f>('Cost Components'!$M$44 + 'Cost Components'!$M$42)*10^6</f>
        <v>268701747.37606341</v>
      </c>
      <c r="O60" s="15">
        <f>('Cost Components'!$M$44 + 'Cost Components'!$M$42)*10^6</f>
        <v>268701747.37606341</v>
      </c>
      <c r="P60" s="15">
        <f>('Cost Components'!$M$44 + 'Cost Components'!$M$42)*10^6</f>
        <v>268701747.37606341</v>
      </c>
      <c r="Q60" s="15">
        <f>('Cost Components'!$M$44 + 'Cost Components'!$M$42)*10^6</f>
        <v>268701747.37606341</v>
      </c>
      <c r="R60" s="15">
        <f>('Cost Components'!$M$44 + 'Cost Components'!$M$42)*10^6</f>
        <v>268701747.37606341</v>
      </c>
      <c r="S60" s="15">
        <f>('Cost Components'!$M$44 + 'Cost Components'!$M$42)*10^6</f>
        <v>268701747.37606341</v>
      </c>
      <c r="T60" s="15">
        <f>('Cost Components'!$M$44 + 'Cost Components'!$M$42)*10^6</f>
        <v>268701747.37606341</v>
      </c>
      <c r="U60" s="15">
        <f>('Cost Components'!$M$44 + 'Cost Components'!$M$42)*10^6</f>
        <v>268701747.37606341</v>
      </c>
      <c r="V60" s="15">
        <f>('Cost Components'!$M$44 + 'Cost Components'!$M$42)*10^6</f>
        <v>268701747.37606341</v>
      </c>
      <c r="W60" s="15">
        <f>('Cost Components'!$M$44 + 'Cost Components'!$M$42)*10^6</f>
        <v>268701747.37606341</v>
      </c>
      <c r="X60" s="15">
        <f>('Cost Components'!$M$44 + 'Cost Components'!$M$42)*10^6</f>
        <v>268701747.37606341</v>
      </c>
      <c r="Y60" s="15">
        <f>('Cost Components'!$M$44 + 'Cost Components'!$M$42)*10^6</f>
        <v>268701747.37606341</v>
      </c>
      <c r="Z60" s="15">
        <f>('Cost Components'!$M$44 + 'Cost Components'!$M$42)*10^6</f>
        <v>268701747.37606341</v>
      </c>
      <c r="AA60" s="15">
        <f>('Cost Components'!$M$44 + 'Cost Components'!$M$42)*10^6</f>
        <v>268701747.37606341</v>
      </c>
    </row>
    <row r="61" spans="1:27" x14ac:dyDescent="0.25">
      <c r="A61" t="s">
        <v>121</v>
      </c>
      <c r="B61">
        <v>0</v>
      </c>
      <c r="C61">
        <f>'Cost Components'!$M$36 * 10^6</f>
        <v>149900000</v>
      </c>
      <c r="D61">
        <f>'Cost Components'!$M$36 * 10^6</f>
        <v>149900000</v>
      </c>
      <c r="E61">
        <f>'Cost Components'!$M$36 * 10^6</f>
        <v>149900000</v>
      </c>
      <c r="F61">
        <f>'Cost Components'!$M$36 * 10^6</f>
        <v>149900000</v>
      </c>
      <c r="G61">
        <f>'Cost Components'!$M$36 * 10^6</f>
        <v>149900000</v>
      </c>
      <c r="H61">
        <f>'Cost Components'!$M$36 * 10^6</f>
        <v>149900000</v>
      </c>
      <c r="I61">
        <f>'Cost Components'!$M$36 * 10^6</f>
        <v>149900000</v>
      </c>
      <c r="J61">
        <f>'Cost Components'!$M$36 * 10^6</f>
        <v>149900000</v>
      </c>
      <c r="K61">
        <f>'Cost Components'!$M$36 * 10^6</f>
        <v>149900000</v>
      </c>
      <c r="L61">
        <f>'Cost Components'!$M$36 * 10^6</f>
        <v>149900000</v>
      </c>
      <c r="M61">
        <f>'Cost Components'!$M$36 * 10^6</f>
        <v>149900000</v>
      </c>
      <c r="N61">
        <f>'Cost Components'!$M$36 * 10^6</f>
        <v>149900000</v>
      </c>
      <c r="O61">
        <f>'Cost Components'!$M$36 * 10^6</f>
        <v>149900000</v>
      </c>
      <c r="P61">
        <f>'Cost Components'!$M$36 * 10^6</f>
        <v>149900000</v>
      </c>
      <c r="Q61">
        <f>'Cost Components'!$M$36 * 10^6</f>
        <v>149900000</v>
      </c>
      <c r="R61">
        <f>'Cost Components'!$M$36 * 10^6</f>
        <v>149900000</v>
      </c>
      <c r="S61">
        <f>'Cost Components'!$M$36 * 10^6</f>
        <v>149900000</v>
      </c>
      <c r="T61">
        <f>'Cost Components'!$M$36 * 10^6</f>
        <v>149900000</v>
      </c>
      <c r="U61">
        <f>'Cost Components'!$M$36 * 10^6</f>
        <v>149900000</v>
      </c>
      <c r="V61">
        <f>'Cost Components'!$M$36 * 10^6</f>
        <v>149900000</v>
      </c>
      <c r="W61">
        <f>'Cost Components'!$M$36 * 10^6</f>
        <v>149900000</v>
      </c>
      <c r="X61">
        <f>'Cost Components'!$M$36 * 10^6</f>
        <v>149900000</v>
      </c>
      <c r="Y61">
        <f>'Cost Components'!$M$36 * 10^6</f>
        <v>149900000</v>
      </c>
      <c r="Z61">
        <f>'Cost Components'!$M$36 * 10^6</f>
        <v>149900000</v>
      </c>
      <c r="AA61">
        <f>'Cost Components'!$M$36 * 10^6</f>
        <v>149900000</v>
      </c>
    </row>
    <row r="62" spans="1:27" x14ac:dyDescent="0.25">
      <c r="A62" t="s">
        <v>122</v>
      </c>
      <c r="B62">
        <f t="shared" ref="B62:AA62" si="5">B60-B61</f>
        <v>428200000</v>
      </c>
      <c r="C62">
        <f t="shared" si="5"/>
        <v>118801747.37606341</v>
      </c>
      <c r="D62">
        <f t="shared" si="5"/>
        <v>118801747.37606341</v>
      </c>
      <c r="E62">
        <f t="shared" si="5"/>
        <v>118801747.37606341</v>
      </c>
      <c r="F62">
        <f t="shared" si="5"/>
        <v>118801747.37606341</v>
      </c>
      <c r="G62">
        <f t="shared" si="5"/>
        <v>118801747.37606341</v>
      </c>
      <c r="H62">
        <f t="shared" si="5"/>
        <v>118801747.37606341</v>
      </c>
      <c r="I62">
        <f t="shared" si="5"/>
        <v>118801747.37606341</v>
      </c>
      <c r="J62">
        <f t="shared" si="5"/>
        <v>118801747.37606341</v>
      </c>
      <c r="K62">
        <f t="shared" si="5"/>
        <v>118801747.37606341</v>
      </c>
      <c r="L62">
        <f t="shared" si="5"/>
        <v>118801747.37606341</v>
      </c>
      <c r="M62">
        <f t="shared" si="5"/>
        <v>118801747.37606341</v>
      </c>
      <c r="N62">
        <f t="shared" si="5"/>
        <v>118801747.37606341</v>
      </c>
      <c r="O62">
        <f t="shared" si="5"/>
        <v>118801747.37606341</v>
      </c>
      <c r="P62">
        <f t="shared" si="5"/>
        <v>118801747.37606341</v>
      </c>
      <c r="Q62">
        <f t="shared" si="5"/>
        <v>118801747.37606341</v>
      </c>
      <c r="R62">
        <f t="shared" si="5"/>
        <v>118801747.37606341</v>
      </c>
      <c r="S62">
        <f t="shared" si="5"/>
        <v>118801747.37606341</v>
      </c>
      <c r="T62">
        <f t="shared" si="5"/>
        <v>118801747.37606341</v>
      </c>
      <c r="U62">
        <f t="shared" si="5"/>
        <v>118801747.37606341</v>
      </c>
      <c r="V62">
        <f t="shared" si="5"/>
        <v>118801747.37606341</v>
      </c>
      <c r="W62">
        <f t="shared" si="5"/>
        <v>118801747.37606341</v>
      </c>
      <c r="X62">
        <f t="shared" si="5"/>
        <v>118801747.37606341</v>
      </c>
      <c r="Y62">
        <f t="shared" si="5"/>
        <v>118801747.37606341</v>
      </c>
      <c r="Z62">
        <f t="shared" si="5"/>
        <v>118801747.37606341</v>
      </c>
      <c r="AA62">
        <f t="shared" si="5"/>
        <v>118801747.37606341</v>
      </c>
    </row>
    <row r="63" spans="1:27" x14ac:dyDescent="0.25">
      <c r="A63" t="s">
        <v>123</v>
      </c>
      <c r="B63">
        <f>B62/(1+Inputs!$C$5) ^'Production Cost Baseline'!B$2</f>
        <v>428200000</v>
      </c>
      <c r="C63">
        <f>C62/(1+Inputs!$C$5) ^'Production Cost Baseline'!C$2</f>
        <v>111029670.44491906</v>
      </c>
      <c r="D63">
        <f>D62/(1+Inputs!$C$5) ^'Production Cost Baseline'!D$2</f>
        <v>103766047.14478418</v>
      </c>
      <c r="E63">
        <f>E62/(1+Inputs!$C$5) ^'Production Cost Baseline'!E$2</f>
        <v>96977614.154003903</v>
      </c>
      <c r="F63">
        <f>F62/(1+Inputs!$C$5) ^'Production Cost Baseline'!F$2</f>
        <v>90633284.256078422</v>
      </c>
      <c r="G63">
        <f>G62/(1+Inputs!$C$5) ^'Production Cost Baseline'!G$2</f>
        <v>84704003.977643371</v>
      </c>
      <c r="H63">
        <f>H62/(1+Inputs!$C$5) ^'Production Cost Baseline'!H$2</f>
        <v>79162620.539853618</v>
      </c>
      <c r="I63">
        <f>I62/(1+Inputs!$C$5) ^'Production Cost Baseline'!I$2</f>
        <v>73983757.513881892</v>
      </c>
      <c r="J63">
        <f>J62/(1+Inputs!$C$5) ^'Production Cost Baseline'!J$2</f>
        <v>69143698.611104563</v>
      </c>
      <c r="K63">
        <f>K62/(1+Inputs!$C$5) ^'Production Cost Baseline'!K$2</f>
        <v>64620279.075798653</v>
      </c>
      <c r="L63">
        <f>L62/(1+Inputs!$C$5) ^'Production Cost Baseline'!L$2</f>
        <v>60392784.182989404</v>
      </c>
      <c r="M63">
        <f>M62/(1+Inputs!$C$5) ^'Production Cost Baseline'!M$2</f>
        <v>56441854.376625597</v>
      </c>
      <c r="N63">
        <f>N62/(1+Inputs!$C$5) ^'Production Cost Baseline'!N$2</f>
        <v>52749396.613668792</v>
      </c>
      <c r="O63">
        <f>O62/(1+Inputs!$C$5) ^'Production Cost Baseline'!O$2</f>
        <v>49298501.508101672</v>
      </c>
      <c r="P63">
        <f>P62/(1+Inputs!$C$5) ^'Production Cost Baseline'!P$2</f>
        <v>46073365.895422131</v>
      </c>
      <c r="Q63">
        <f>Q62/(1+Inputs!$C$5) ^'Production Cost Baseline'!Q$2</f>
        <v>43059220.463011332</v>
      </c>
      <c r="R63">
        <f>R62/(1+Inputs!$C$5) ^'Production Cost Baseline'!R$2</f>
        <v>40242262.114963867</v>
      </c>
      <c r="S63">
        <f>S62/(1+Inputs!$C$5) ^'Production Cost Baseline'!S$2</f>
        <v>37609590.761648469</v>
      </c>
      <c r="T63">
        <f>T62/(1+Inputs!$C$5) ^'Production Cost Baseline'!T$2</f>
        <v>35149150.244531281</v>
      </c>
      <c r="U63">
        <f>U62/(1+Inputs!$C$5) ^'Production Cost Baseline'!U$2</f>
        <v>32849673.125730168</v>
      </c>
      <c r="V63">
        <f>V62/(1+Inputs!$C$5) ^'Production Cost Baseline'!V$2</f>
        <v>30700629.089467447</v>
      </c>
      <c r="W63">
        <f>W62/(1+Inputs!$C$5) ^'Production Cost Baseline'!W$2</f>
        <v>28692176.719128456</v>
      </c>
      <c r="X63">
        <f>X62/(1+Inputs!$C$5) ^'Production Cost Baseline'!X$2</f>
        <v>26815118.429092012</v>
      </c>
      <c r="Y63">
        <f>Y62/(1+Inputs!$C$5) ^'Production Cost Baseline'!Y$2</f>
        <v>25060858.344945807</v>
      </c>
      <c r="Z63">
        <f>Z62/(1+Inputs!$C$5) ^'Production Cost Baseline'!Z$2</f>
        <v>23421362.939201687</v>
      </c>
      <c r="AA63">
        <f>AA62/(1+Inputs!$C$5) ^'Production Cost Baseline'!AA$2</f>
        <v>21889124.242244568</v>
      </c>
    </row>
    <row r="64" spans="1:27" x14ac:dyDescent="0.25">
      <c r="A64" t="s">
        <v>124</v>
      </c>
      <c r="B64">
        <v>0</v>
      </c>
      <c r="C64">
        <f>'Study Parameters'!$C$12*'Study Parameters'!$C$8 * 10^3</f>
        <v>69600000</v>
      </c>
      <c r="D64">
        <f>'Study Parameters'!$C$12*'Study Parameters'!$C$8 * 10^3</f>
        <v>69600000</v>
      </c>
      <c r="E64">
        <f>'Study Parameters'!$C$12*'Study Parameters'!$C$8 * 10^3</f>
        <v>69600000</v>
      </c>
      <c r="F64">
        <f>'Study Parameters'!$C$12*'Study Parameters'!$C$8 * 10^3</f>
        <v>69600000</v>
      </c>
      <c r="G64">
        <f>'Study Parameters'!$C$12*'Study Parameters'!$C$8 * 10^3</f>
        <v>69600000</v>
      </c>
      <c r="H64">
        <f>'Study Parameters'!$C$12*'Study Parameters'!$C$8 * 10^3</f>
        <v>69600000</v>
      </c>
      <c r="I64">
        <f>'Study Parameters'!$C$12*'Study Parameters'!$C$8 * 10^3</f>
        <v>69600000</v>
      </c>
      <c r="J64">
        <f>'Study Parameters'!$C$12*'Study Parameters'!$C$8 * 10^3</f>
        <v>69600000</v>
      </c>
      <c r="K64">
        <f>'Study Parameters'!$C$12*'Study Parameters'!$C$8 * 10^3</f>
        <v>69600000</v>
      </c>
      <c r="L64">
        <f>'Study Parameters'!$C$12*'Study Parameters'!$C$8 * 10^3</f>
        <v>69600000</v>
      </c>
      <c r="M64">
        <f>'Study Parameters'!$C$12*'Study Parameters'!$C$8 * 10^3</f>
        <v>69600000</v>
      </c>
      <c r="N64">
        <f>'Study Parameters'!$C$12*'Study Parameters'!$C$8 * 10^3</f>
        <v>69600000</v>
      </c>
      <c r="O64">
        <f>'Study Parameters'!$C$12*'Study Parameters'!$C$8 * 10^3</f>
        <v>69600000</v>
      </c>
      <c r="P64">
        <f>'Study Parameters'!$C$12*'Study Parameters'!$C$8 * 10^3</f>
        <v>69600000</v>
      </c>
      <c r="Q64">
        <f>'Study Parameters'!$C$12*'Study Parameters'!$C$8 * 10^3</f>
        <v>69600000</v>
      </c>
      <c r="R64">
        <f>'Study Parameters'!$C$12*'Study Parameters'!$C$8 * 10^3</f>
        <v>69600000</v>
      </c>
      <c r="S64">
        <f>'Study Parameters'!$C$12*'Study Parameters'!$C$8 * 10^3</f>
        <v>69600000</v>
      </c>
      <c r="T64">
        <f>'Study Parameters'!$C$12*'Study Parameters'!$C$8 * 10^3</f>
        <v>69600000</v>
      </c>
      <c r="U64">
        <f>'Study Parameters'!$C$12*'Study Parameters'!$C$8 * 10^3</f>
        <v>69600000</v>
      </c>
      <c r="V64">
        <f>'Study Parameters'!$C$12*'Study Parameters'!$C$8 * 10^3</f>
        <v>69600000</v>
      </c>
      <c r="W64">
        <f>'Study Parameters'!$C$12*'Study Parameters'!$C$8 * 10^3</f>
        <v>69600000</v>
      </c>
      <c r="X64">
        <f>'Study Parameters'!$C$12*'Study Parameters'!$C$8 * 10^3</f>
        <v>69600000</v>
      </c>
      <c r="Y64">
        <f>'Study Parameters'!$C$12*'Study Parameters'!$C$8 * 10^3</f>
        <v>69600000</v>
      </c>
      <c r="Z64">
        <f>'Study Parameters'!$C$12*'Study Parameters'!$C$8 * 10^3</f>
        <v>69600000</v>
      </c>
      <c r="AA64">
        <f>'Study Parameters'!$C$12*'Study Parameters'!$C$8 * 10^3</f>
        <v>69600000</v>
      </c>
    </row>
    <row r="65" spans="1:27" x14ac:dyDescent="0.25">
      <c r="A65" t="s">
        <v>125</v>
      </c>
      <c r="B65">
        <f>B64/(1+Inputs!$C$5) ^'Production Cost Baseline'!B$2</f>
        <v>0</v>
      </c>
      <c r="C65">
        <f>C64/(1+Inputs!$C$5) ^'Production Cost Baseline'!C$2</f>
        <v>65046728.971962616</v>
      </c>
      <c r="D65">
        <f>D64/(1+Inputs!$C$5) ^'Production Cost Baseline'!D$2</f>
        <v>60791335.487815529</v>
      </c>
      <c r="E65">
        <f>E64/(1+Inputs!$C$5) ^'Production Cost Baseline'!E$2</f>
        <v>56814332.231603295</v>
      </c>
      <c r="F65">
        <f>F64/(1+Inputs!$C$5) ^'Production Cost Baseline'!F$2</f>
        <v>53097506.758507758</v>
      </c>
      <c r="G65">
        <f>G64/(1+Inputs!$C$5) ^'Production Cost Baseline'!G$2</f>
        <v>49623838.092063315</v>
      </c>
      <c r="H65">
        <f>H64/(1+Inputs!$C$5) ^'Production Cost Baseline'!H$2</f>
        <v>46377418.777629271</v>
      </c>
      <c r="I65">
        <f>I64/(1+Inputs!$C$5) ^'Production Cost Baseline'!I$2</f>
        <v>43343382.035167538</v>
      </c>
      <c r="J65">
        <f>J64/(1+Inputs!$C$5) ^'Production Cost Baseline'!J$2</f>
        <v>40507833.677726679</v>
      </c>
      <c r="K65">
        <f>K64/(1+Inputs!$C$5) ^'Production Cost Baseline'!K$2</f>
        <v>37857788.4838567</v>
      </c>
      <c r="L65">
        <f>L64/(1+Inputs!$C$5) ^'Production Cost Baseline'!L$2</f>
        <v>35381110.732576355</v>
      </c>
      <c r="M65">
        <f>M64/(1+Inputs!$C$5) ^'Production Cost Baseline'!M$2</f>
        <v>33066458.628576033</v>
      </c>
      <c r="N65">
        <f>N64/(1+Inputs!$C$5) ^'Production Cost Baseline'!N$2</f>
        <v>30903232.363155175</v>
      </c>
      <c r="O65">
        <f>O64/(1+Inputs!$C$5) ^'Production Cost Baseline'!O$2</f>
        <v>28881525.573042218</v>
      </c>
      <c r="P65">
        <f>P64/(1+Inputs!$C$5) ^'Production Cost Baseline'!P$2</f>
        <v>26992079.974805813</v>
      </c>
      <c r="Q65">
        <f>Q64/(1+Inputs!$C$5) ^'Production Cost Baseline'!Q$2</f>
        <v>25226242.967108235</v>
      </c>
      <c r="R65">
        <f>R64/(1+Inputs!$C$5) ^'Production Cost Baseline'!R$2</f>
        <v>23575928.006643213</v>
      </c>
      <c r="S65">
        <f>S64/(1+Inputs!$C$5) ^'Production Cost Baseline'!S$2</f>
        <v>22033577.576302066</v>
      </c>
      <c r="T65">
        <f>T64/(1+Inputs!$C$5) ^'Production Cost Baseline'!T$2</f>
        <v>20592128.575983241</v>
      </c>
      <c r="U65">
        <f>U64/(1+Inputs!$C$5) ^'Production Cost Baseline'!U$2</f>
        <v>19244979.977554429</v>
      </c>
      <c r="V65">
        <f>V64/(1+Inputs!$C$5) ^'Production Cost Baseline'!V$2</f>
        <v>17985962.59584526</v>
      </c>
      <c r="W65">
        <f>W64/(1+Inputs!$C$5) ^'Production Cost Baseline'!W$2</f>
        <v>16809310.837238561</v>
      </c>
      <c r="X65">
        <f>X64/(1+Inputs!$C$5) ^'Production Cost Baseline'!X$2</f>
        <v>15709636.296484636</v>
      </c>
      <c r="Y65">
        <f>Y64/(1+Inputs!$C$5) ^'Production Cost Baseline'!Y$2</f>
        <v>14681903.080826763</v>
      </c>
      <c r="Z65">
        <f>Z64/(1+Inputs!$C$5) ^'Production Cost Baseline'!Z$2</f>
        <v>13721404.748436227</v>
      </c>
      <c r="AA65">
        <f>AA64/(1+Inputs!$C$5) ^'Production Cost Baseline'!AA$2</f>
        <v>12823742.755547874</v>
      </c>
    </row>
    <row r="67" spans="1:27" x14ac:dyDescent="0.25">
      <c r="A67" t="s">
        <v>126</v>
      </c>
      <c r="B67">
        <f>SUM(B63:AA63) / SUM(C65:AA65)</f>
        <v>2.2348536041659832</v>
      </c>
    </row>
    <row r="68" spans="1:27" x14ac:dyDescent="0.25">
      <c r="A68" t="s">
        <v>127</v>
      </c>
      <c r="B68">
        <f>B67 * Inputs!$C$15</f>
        <v>1.7945874441452847</v>
      </c>
    </row>
    <row r="70" spans="1:27" x14ac:dyDescent="0.25">
      <c r="A70" s="1" t="s">
        <v>130</v>
      </c>
    </row>
    <row r="71" spans="1:27" x14ac:dyDescent="0.25">
      <c r="A71" t="s">
        <v>120</v>
      </c>
      <c r="B71">
        <f>'Cost Components'!$N$43 * 10^6</f>
        <v>309400000</v>
      </c>
      <c r="C71" s="15">
        <f>('Cost Components'!$N$44 + 'Cost Components'!$N$42)*10^6</f>
        <v>232919631.97020155</v>
      </c>
      <c r="D71" s="15">
        <f>('Cost Components'!$N$44 + 'Cost Components'!$N$42)*10^6</f>
        <v>232919631.97020155</v>
      </c>
      <c r="E71" s="15">
        <f>('Cost Components'!$N$44 + 'Cost Components'!$N$42)*10^6</f>
        <v>232919631.97020155</v>
      </c>
      <c r="F71" s="15">
        <f>('Cost Components'!$N$44 + 'Cost Components'!$N$42)*10^6</f>
        <v>232919631.97020155</v>
      </c>
      <c r="G71" s="15">
        <f>('Cost Components'!$N$44 + 'Cost Components'!$N$42)*10^6</f>
        <v>232919631.97020155</v>
      </c>
      <c r="H71" s="15">
        <f>('Cost Components'!$N$44 + 'Cost Components'!$N$42)*10^6</f>
        <v>232919631.97020155</v>
      </c>
      <c r="I71" s="15">
        <f>('Cost Components'!$N$44 + 'Cost Components'!$N$42)*10^6</f>
        <v>232919631.97020155</v>
      </c>
      <c r="J71" s="15">
        <f>('Cost Components'!$N$44 + 'Cost Components'!$N$42)*10^6</f>
        <v>232919631.97020155</v>
      </c>
      <c r="K71" s="15">
        <f>('Cost Components'!$N$44 + 'Cost Components'!$N$42)*10^6</f>
        <v>232919631.97020155</v>
      </c>
      <c r="L71" s="15">
        <f>('Cost Components'!$N$44 + 'Cost Components'!$N$42)*10^6</f>
        <v>232919631.97020155</v>
      </c>
      <c r="M71" s="15">
        <f>('Cost Components'!$N$44 + 'Cost Components'!$N$42)*10^6</f>
        <v>232919631.97020155</v>
      </c>
      <c r="N71" s="15">
        <f>('Cost Components'!$N$44 + 'Cost Components'!$N$42)*10^6</f>
        <v>232919631.97020155</v>
      </c>
      <c r="O71" s="15">
        <f>('Cost Components'!$N$44 + 'Cost Components'!$N$42)*10^6</f>
        <v>232919631.97020155</v>
      </c>
      <c r="P71" s="15">
        <f>('Cost Components'!$N$44 + 'Cost Components'!$N$42)*10^6</f>
        <v>232919631.97020155</v>
      </c>
      <c r="Q71" s="15">
        <f>('Cost Components'!$N$44 + 'Cost Components'!$N$42)*10^6</f>
        <v>232919631.97020155</v>
      </c>
      <c r="R71" s="15">
        <f>('Cost Components'!$N$44 + 'Cost Components'!$N$42)*10^6</f>
        <v>232919631.97020155</v>
      </c>
      <c r="S71" s="15">
        <f>('Cost Components'!$N$44 + 'Cost Components'!$N$42)*10^6</f>
        <v>232919631.97020155</v>
      </c>
      <c r="T71" s="15">
        <f>('Cost Components'!$N$44 + 'Cost Components'!$N$42)*10^6</f>
        <v>232919631.97020155</v>
      </c>
      <c r="U71" s="15">
        <f>('Cost Components'!$N$44 + 'Cost Components'!$N$42)*10^6</f>
        <v>232919631.97020155</v>
      </c>
      <c r="V71" s="15">
        <f>('Cost Components'!$N$44 + 'Cost Components'!$N$42)*10^6</f>
        <v>232919631.97020155</v>
      </c>
      <c r="W71" s="15">
        <f>('Cost Components'!$N$44 + 'Cost Components'!$N$42)*10^6</f>
        <v>232919631.97020155</v>
      </c>
      <c r="X71" s="15">
        <f>('Cost Components'!$N$44 + 'Cost Components'!$N$42)*10^6</f>
        <v>232919631.97020155</v>
      </c>
      <c r="Y71" s="15">
        <f>('Cost Components'!$N$44 + 'Cost Components'!$N$42)*10^6</f>
        <v>232919631.97020155</v>
      </c>
      <c r="Z71" s="15">
        <f>('Cost Components'!$N$44 + 'Cost Components'!$N$42)*10^6</f>
        <v>232919631.97020155</v>
      </c>
      <c r="AA71" s="15">
        <f>('Cost Components'!$N$44 + 'Cost Components'!$N$42)*10^6</f>
        <v>232919631.97020155</v>
      </c>
    </row>
    <row r="72" spans="1:27" x14ac:dyDescent="0.25">
      <c r="A72" t="s">
        <v>121</v>
      </c>
      <c r="B72">
        <v>0</v>
      </c>
      <c r="C72">
        <f>'Cost Components'!$N$36 * 10^6</f>
        <v>81000000</v>
      </c>
      <c r="D72">
        <f>'Cost Components'!$N$36 * 10^6</f>
        <v>81000000</v>
      </c>
      <c r="E72">
        <f>'Cost Components'!$N$36 * 10^6</f>
        <v>81000000</v>
      </c>
      <c r="F72">
        <f>'Cost Components'!$N$36 * 10^6</f>
        <v>81000000</v>
      </c>
      <c r="G72">
        <f>'Cost Components'!$N$36 * 10^6</f>
        <v>81000000</v>
      </c>
      <c r="H72">
        <f>'Cost Components'!$N$36 * 10^6</f>
        <v>81000000</v>
      </c>
      <c r="I72">
        <f>'Cost Components'!$N$36 * 10^6</f>
        <v>81000000</v>
      </c>
      <c r="J72">
        <f>'Cost Components'!$N$36 * 10^6</f>
        <v>81000000</v>
      </c>
      <c r="K72">
        <f>'Cost Components'!$N$36 * 10^6</f>
        <v>81000000</v>
      </c>
      <c r="L72">
        <f>'Cost Components'!$N$36 * 10^6</f>
        <v>81000000</v>
      </c>
      <c r="M72">
        <f>'Cost Components'!$N$36 * 10^6</f>
        <v>81000000</v>
      </c>
      <c r="N72">
        <f>'Cost Components'!$N$36 * 10^6</f>
        <v>81000000</v>
      </c>
      <c r="O72">
        <f>'Cost Components'!$N$36 * 10^6</f>
        <v>81000000</v>
      </c>
      <c r="P72">
        <f>'Cost Components'!$N$36 * 10^6</f>
        <v>81000000</v>
      </c>
      <c r="Q72">
        <f>'Cost Components'!$N$36 * 10^6</f>
        <v>81000000</v>
      </c>
      <c r="R72">
        <f>'Cost Components'!$N$36 * 10^6</f>
        <v>81000000</v>
      </c>
      <c r="S72">
        <f>'Cost Components'!$N$36 * 10^6</f>
        <v>81000000</v>
      </c>
      <c r="T72">
        <f>'Cost Components'!$N$36 * 10^6</f>
        <v>81000000</v>
      </c>
      <c r="U72">
        <f>'Cost Components'!$N$36 * 10^6</f>
        <v>81000000</v>
      </c>
      <c r="V72">
        <f>'Cost Components'!$N$36 * 10^6</f>
        <v>81000000</v>
      </c>
      <c r="W72">
        <f>'Cost Components'!$N$36 * 10^6</f>
        <v>81000000</v>
      </c>
      <c r="X72">
        <f>'Cost Components'!$N$36 * 10^6</f>
        <v>81000000</v>
      </c>
      <c r="Y72">
        <f>'Cost Components'!$N$36 * 10^6</f>
        <v>81000000</v>
      </c>
      <c r="Z72">
        <f>'Cost Components'!$N$36 * 10^6</f>
        <v>81000000</v>
      </c>
      <c r="AA72">
        <f>'Cost Components'!$N$36 * 10^6</f>
        <v>81000000</v>
      </c>
    </row>
    <row r="73" spans="1:27" x14ac:dyDescent="0.25">
      <c r="A73" t="s">
        <v>122</v>
      </c>
      <c r="B73">
        <f t="shared" ref="B73:AA73" si="6">B71-B72</f>
        <v>309400000</v>
      </c>
      <c r="C73">
        <f t="shared" si="6"/>
        <v>151919631.97020155</v>
      </c>
      <c r="D73">
        <f t="shared" si="6"/>
        <v>151919631.97020155</v>
      </c>
      <c r="E73">
        <f t="shared" si="6"/>
        <v>151919631.97020155</v>
      </c>
      <c r="F73">
        <f t="shared" si="6"/>
        <v>151919631.97020155</v>
      </c>
      <c r="G73">
        <f t="shared" si="6"/>
        <v>151919631.97020155</v>
      </c>
      <c r="H73">
        <f t="shared" si="6"/>
        <v>151919631.97020155</v>
      </c>
      <c r="I73">
        <f t="shared" si="6"/>
        <v>151919631.97020155</v>
      </c>
      <c r="J73">
        <f t="shared" si="6"/>
        <v>151919631.97020155</v>
      </c>
      <c r="K73">
        <f t="shared" si="6"/>
        <v>151919631.97020155</v>
      </c>
      <c r="L73">
        <f t="shared" si="6"/>
        <v>151919631.97020155</v>
      </c>
      <c r="M73">
        <f t="shared" si="6"/>
        <v>151919631.97020155</v>
      </c>
      <c r="N73">
        <f t="shared" si="6"/>
        <v>151919631.97020155</v>
      </c>
      <c r="O73">
        <f t="shared" si="6"/>
        <v>151919631.97020155</v>
      </c>
      <c r="P73">
        <f t="shared" si="6"/>
        <v>151919631.97020155</v>
      </c>
      <c r="Q73">
        <f t="shared" si="6"/>
        <v>151919631.97020155</v>
      </c>
      <c r="R73">
        <f t="shared" si="6"/>
        <v>151919631.97020155</v>
      </c>
      <c r="S73">
        <f t="shared" si="6"/>
        <v>151919631.97020155</v>
      </c>
      <c r="T73">
        <f t="shared" si="6"/>
        <v>151919631.97020155</v>
      </c>
      <c r="U73">
        <f t="shared" si="6"/>
        <v>151919631.97020155</v>
      </c>
      <c r="V73">
        <f t="shared" si="6"/>
        <v>151919631.97020155</v>
      </c>
      <c r="W73">
        <f t="shared" si="6"/>
        <v>151919631.97020155</v>
      </c>
      <c r="X73">
        <f t="shared" si="6"/>
        <v>151919631.97020155</v>
      </c>
      <c r="Y73">
        <f t="shared" si="6"/>
        <v>151919631.97020155</v>
      </c>
      <c r="Z73">
        <f t="shared" si="6"/>
        <v>151919631.97020155</v>
      </c>
      <c r="AA73">
        <f t="shared" si="6"/>
        <v>151919631.97020155</v>
      </c>
    </row>
    <row r="74" spans="1:27" x14ac:dyDescent="0.25">
      <c r="A74" t="s">
        <v>123</v>
      </c>
      <c r="B74">
        <f>B73/(1+Inputs!$C$5) ^'Production Cost Baseline'!B$2</f>
        <v>309400000</v>
      </c>
      <c r="C74">
        <f>C73/(1+Inputs!$C$5) ^'Production Cost Baseline'!C$2</f>
        <v>141980964.4581323</v>
      </c>
      <c r="D74">
        <f>D73/(1+Inputs!$C$5) ^'Production Cost Baseline'!D$2</f>
        <v>132692490.14778718</v>
      </c>
      <c r="E74">
        <f>E73/(1+Inputs!$C$5) ^'Production Cost Baseline'!E$2</f>
        <v>124011673.03531513</v>
      </c>
      <c r="F74">
        <f>F73/(1+Inputs!$C$5) ^'Production Cost Baseline'!F$2</f>
        <v>115898759.8460889</v>
      </c>
      <c r="G74">
        <f>G73/(1+Inputs!$C$5) ^'Production Cost Baseline'!G$2</f>
        <v>108316597.98699896</v>
      </c>
      <c r="H74">
        <f>H73/(1+Inputs!$C$5) ^'Production Cost Baseline'!H$2</f>
        <v>101230465.40841025</v>
      </c>
      <c r="I74">
        <f>I73/(1+Inputs!$C$5) ^'Production Cost Baseline'!I$2</f>
        <v>94607911.596645087</v>
      </c>
      <c r="J74">
        <f>J73/(1+Inputs!$C$5) ^'Production Cost Baseline'!J$2</f>
        <v>88418608.968827188</v>
      </c>
      <c r="K74">
        <f>K73/(1+Inputs!$C$5) ^'Production Cost Baseline'!K$2</f>
        <v>82634213.989558116</v>
      </c>
      <c r="L74">
        <f>L73/(1+Inputs!$C$5) ^'Production Cost Baseline'!L$2</f>
        <v>77228237.373418808</v>
      </c>
      <c r="M74">
        <f>M73/(1+Inputs!$C$5) ^'Production Cost Baseline'!M$2</f>
        <v>72175922.778896064</v>
      </c>
      <c r="N74">
        <f>N73/(1+Inputs!$C$5) ^'Production Cost Baseline'!N$2</f>
        <v>67454133.438220635</v>
      </c>
      <c r="O74">
        <f>O73/(1+Inputs!$C$5) ^'Production Cost Baseline'!O$2</f>
        <v>63041246.203944512</v>
      </c>
      <c r="P74">
        <f>P73/(1+Inputs!$C$5) ^'Production Cost Baseline'!P$2</f>
        <v>58917052.52705095</v>
      </c>
      <c r="Q74">
        <f>Q73/(1+Inputs!$C$5) ^'Production Cost Baseline'!Q$2</f>
        <v>55062665.913131721</v>
      </c>
      <c r="R74">
        <f>R73/(1+Inputs!$C$5) ^'Production Cost Baseline'!R$2</f>
        <v>51460435.432833396</v>
      </c>
      <c r="S74">
        <f>S73/(1+Inputs!$C$5) ^'Production Cost Baseline'!S$2</f>
        <v>48093864.890498497</v>
      </c>
      <c r="T74">
        <f>T73/(1+Inputs!$C$5) ^'Production Cost Baseline'!T$2</f>
        <v>44947537.280839719</v>
      </c>
      <c r="U74">
        <f>U73/(1+Inputs!$C$5) ^'Production Cost Baseline'!U$2</f>
        <v>42007044.187700666</v>
      </c>
      <c r="V74">
        <f>V73/(1+Inputs!$C$5) ^'Production Cost Baseline'!V$2</f>
        <v>39258919.801589414</v>
      </c>
      <c r="W74">
        <f>W73/(1+Inputs!$C$5) ^'Production Cost Baseline'!W$2</f>
        <v>36690579.25382188</v>
      </c>
      <c r="X74">
        <f>X73/(1+Inputs!$C$5) ^'Production Cost Baseline'!X$2</f>
        <v>34290260.984880261</v>
      </c>
      <c r="Y74">
        <f>Y73/(1+Inputs!$C$5) ^'Production Cost Baseline'!Y$2</f>
        <v>32046972.883065663</v>
      </c>
      <c r="Z74">
        <f>Z73/(1+Inputs!$C$5) ^'Production Cost Baseline'!Z$2</f>
        <v>29950441.946790338</v>
      </c>
      <c r="AA74">
        <f>AA73/(1+Inputs!$C$5) ^'Production Cost Baseline'!AA$2</f>
        <v>27991067.239990968</v>
      </c>
    </row>
    <row r="75" spans="1:27" x14ac:dyDescent="0.25">
      <c r="A75" t="s">
        <v>124</v>
      </c>
      <c r="B75">
        <v>0</v>
      </c>
      <c r="C75">
        <f>'Study Parameters'!$C$13*'Study Parameters'!$C$8 * 10^3</f>
        <v>28000000</v>
      </c>
      <c r="D75">
        <f>'Study Parameters'!$C$13*'Study Parameters'!$C$8 * 10^3</f>
        <v>28000000</v>
      </c>
      <c r="E75">
        <f>'Study Parameters'!$C$13*'Study Parameters'!$C$8 * 10^3</f>
        <v>28000000</v>
      </c>
      <c r="F75">
        <f>'Study Parameters'!$C$13*'Study Parameters'!$C$8 * 10^3</f>
        <v>28000000</v>
      </c>
      <c r="G75">
        <f>'Study Parameters'!$C$13*'Study Parameters'!$C$8 * 10^3</f>
        <v>28000000</v>
      </c>
      <c r="H75">
        <f>'Study Parameters'!$C$13*'Study Parameters'!$C$8 * 10^3</f>
        <v>28000000</v>
      </c>
      <c r="I75">
        <f>'Study Parameters'!$C$13*'Study Parameters'!$C$8 * 10^3</f>
        <v>28000000</v>
      </c>
      <c r="J75">
        <f>'Study Parameters'!$C$13*'Study Parameters'!$C$8 * 10^3</f>
        <v>28000000</v>
      </c>
      <c r="K75">
        <f>'Study Parameters'!$C$13*'Study Parameters'!$C$8 * 10^3</f>
        <v>28000000</v>
      </c>
      <c r="L75">
        <f>'Study Parameters'!$C$13*'Study Parameters'!$C$8 * 10^3</f>
        <v>28000000</v>
      </c>
      <c r="M75">
        <f>'Study Parameters'!$C$13*'Study Parameters'!$C$8 * 10^3</f>
        <v>28000000</v>
      </c>
      <c r="N75">
        <f>'Study Parameters'!$C$13*'Study Parameters'!$C$8 * 10^3</f>
        <v>28000000</v>
      </c>
      <c r="O75">
        <f>'Study Parameters'!$C$13*'Study Parameters'!$C$8 * 10^3</f>
        <v>28000000</v>
      </c>
      <c r="P75">
        <f>'Study Parameters'!$C$13*'Study Parameters'!$C$8 * 10^3</f>
        <v>28000000</v>
      </c>
      <c r="Q75">
        <f>'Study Parameters'!$C$13*'Study Parameters'!$C$8 * 10^3</f>
        <v>28000000</v>
      </c>
      <c r="R75">
        <f>'Study Parameters'!$C$13*'Study Parameters'!$C$8 * 10^3</f>
        <v>28000000</v>
      </c>
      <c r="S75">
        <f>'Study Parameters'!$C$13*'Study Parameters'!$C$8 * 10^3</f>
        <v>28000000</v>
      </c>
      <c r="T75">
        <f>'Study Parameters'!$C$13*'Study Parameters'!$C$8 * 10^3</f>
        <v>28000000</v>
      </c>
      <c r="U75">
        <f>'Study Parameters'!$C$13*'Study Parameters'!$C$8 * 10^3</f>
        <v>28000000</v>
      </c>
      <c r="V75">
        <f>'Study Parameters'!$C$13*'Study Parameters'!$C$8 * 10^3</f>
        <v>28000000</v>
      </c>
      <c r="W75">
        <f>'Study Parameters'!$C$13*'Study Parameters'!$C$8 * 10^3</f>
        <v>28000000</v>
      </c>
      <c r="X75">
        <f>'Study Parameters'!$C$13*'Study Parameters'!$C$8 * 10^3</f>
        <v>28000000</v>
      </c>
      <c r="Y75">
        <f>'Study Parameters'!$C$13*'Study Parameters'!$C$8 * 10^3</f>
        <v>28000000</v>
      </c>
      <c r="Z75">
        <f>'Study Parameters'!$C$13*'Study Parameters'!$C$8 * 10^3</f>
        <v>28000000</v>
      </c>
      <c r="AA75">
        <f>'Study Parameters'!$C$13*'Study Parameters'!$C$8 * 10^3</f>
        <v>28000000</v>
      </c>
    </row>
    <row r="76" spans="1:27" x14ac:dyDescent="0.25">
      <c r="A76" t="s">
        <v>125</v>
      </c>
      <c r="B76">
        <f>B75/(1+Inputs!$C$5) ^'Production Cost Baseline'!B$2</f>
        <v>0</v>
      </c>
      <c r="C76">
        <f>C75/(1+Inputs!$C$5) ^'Production Cost Baseline'!C$2</f>
        <v>26168224.299065419</v>
      </c>
      <c r="D76">
        <f>D75/(1+Inputs!$C$5) ^'Production Cost Baseline'!D$2</f>
        <v>24456284.391649924</v>
      </c>
      <c r="E76">
        <f>E75/(1+Inputs!$C$5) ^'Production Cost Baseline'!E$2</f>
        <v>22856340.552943856</v>
      </c>
      <c r="F76">
        <f>F75/(1+Inputs!$C$5) ^'Production Cost Baseline'!F$2</f>
        <v>21361065.937330708</v>
      </c>
      <c r="G76">
        <f>G75/(1+Inputs!$C$5) ^'Production Cost Baseline'!G$2</f>
        <v>19963613.025542714</v>
      </c>
      <c r="H76">
        <f>H75/(1+Inputs!$C$5) ^'Production Cost Baseline'!H$2</f>
        <v>18657582.266862351</v>
      </c>
      <c r="I76">
        <f>I75/(1+Inputs!$C$5) ^'Production Cost Baseline'!I$2</f>
        <v>17436992.77276855</v>
      </c>
      <c r="J76">
        <f>J75/(1+Inputs!$C$5) ^'Production Cost Baseline'!J$2</f>
        <v>16296254.927821076</v>
      </c>
      <c r="K76">
        <f>K75/(1+Inputs!$C$5) ^'Production Cost Baseline'!K$2</f>
        <v>15230144.792356145</v>
      </c>
      <c r="L76">
        <f>L75/(1+Inputs!$C$5) ^'Production Cost Baseline'!L$2</f>
        <v>14233780.179772098</v>
      </c>
      <c r="M76">
        <f>M75/(1+Inputs!$C$5) ^'Production Cost Baseline'!M$2</f>
        <v>13302598.298852427</v>
      </c>
      <c r="N76">
        <f>N75/(1+Inputs!$C$5) ^'Production Cost Baseline'!N$2</f>
        <v>12432334.858740589</v>
      </c>
      <c r="O76">
        <f>O75/(1+Inputs!$C$5) ^'Production Cost Baseline'!O$2</f>
        <v>11619004.540879054</v>
      </c>
      <c r="P76">
        <f>P75/(1+Inputs!$C$5) ^'Production Cost Baseline'!P$2</f>
        <v>10858882.748485098</v>
      </c>
      <c r="Q76">
        <f>Q75/(1+Inputs!$C$5) ^'Production Cost Baseline'!Q$2</f>
        <v>10148488.54998607</v>
      </c>
      <c r="R76">
        <f>R75/(1+Inputs!$C$5) ^'Production Cost Baseline'!R$2</f>
        <v>9484568.7383047398</v>
      </c>
      <c r="S76">
        <f>S75/(1+Inputs!$C$5) ^'Production Cost Baseline'!S$2</f>
        <v>8864082.9329950847</v>
      </c>
      <c r="T76">
        <f>T75/(1+Inputs!$C$5) ^'Production Cost Baseline'!T$2</f>
        <v>8284189.6570047513</v>
      </c>
      <c r="U76">
        <f>U75/(1+Inputs!$C$5) ^'Production Cost Baseline'!U$2</f>
        <v>7742233.3243035059</v>
      </c>
      <c r="V76">
        <f>V75/(1+Inputs!$C$5) ^'Production Cost Baseline'!V$2</f>
        <v>7235732.0787883233</v>
      </c>
      <c r="W76">
        <f>W75/(1+Inputs!$C$5) ^'Production Cost Baseline'!W$2</f>
        <v>6762366.4287741343</v>
      </c>
      <c r="X76">
        <f>X75/(1+Inputs!$C$5) ^'Production Cost Baseline'!X$2</f>
        <v>6319968.6250225548</v>
      </c>
      <c r="Y76">
        <f>Y75/(1+Inputs!$C$5) ^'Production Cost Baseline'!Y$2</f>
        <v>5906512.7336659394</v>
      </c>
      <c r="Z76">
        <f>Z75/(1+Inputs!$C$5) ^'Production Cost Baseline'!Z$2</f>
        <v>5520105.3585662981</v>
      </c>
      <c r="AA76">
        <f>AA75/(1+Inputs!$C$5) ^'Production Cost Baseline'!AA$2</f>
        <v>5158976.9706227081</v>
      </c>
    </row>
    <row r="78" spans="1:27" x14ac:dyDescent="0.25">
      <c r="A78" t="s">
        <v>126</v>
      </c>
      <c r="B78">
        <f>SUM(B74:AA74) / SUM(C76:AA76)</f>
        <v>6.3739073570812694</v>
      </c>
    </row>
    <row r="79" spans="1:27" x14ac:dyDescent="0.25">
      <c r="A79" t="s">
        <v>127</v>
      </c>
      <c r="B79">
        <f>B78 * Inputs!$C$15</f>
        <v>5.1182476077362598</v>
      </c>
    </row>
    <row r="81" spans="1:27" x14ac:dyDescent="0.25">
      <c r="A81" s="1" t="s">
        <v>132</v>
      </c>
    </row>
    <row r="82" spans="1:27" x14ac:dyDescent="0.25">
      <c r="A82" t="s">
        <v>120</v>
      </c>
      <c r="B82">
        <f>'Cost Components'!$O$43 * 10^6</f>
        <v>321600000</v>
      </c>
      <c r="C82" s="15">
        <f>('Cost Components'!$O$44 + 'Cost Components'!$O$42)*10^6</f>
        <v>245676082.51392856</v>
      </c>
      <c r="D82" s="15">
        <f>('Cost Components'!$O$44 + 'Cost Components'!$O$42)*10^6</f>
        <v>245676082.51392856</v>
      </c>
      <c r="E82" s="15">
        <f>('Cost Components'!$O$44 + 'Cost Components'!$O$42)*10^6</f>
        <v>245676082.51392856</v>
      </c>
      <c r="F82" s="15">
        <f>('Cost Components'!$O$44 + 'Cost Components'!$O$42)*10^6</f>
        <v>245676082.51392856</v>
      </c>
      <c r="G82" s="15">
        <f>('Cost Components'!$O$44 + 'Cost Components'!$O$42)*10^6</f>
        <v>245676082.51392856</v>
      </c>
      <c r="H82" s="15">
        <f>('Cost Components'!$O$44 + 'Cost Components'!$O$42)*10^6</f>
        <v>245676082.51392856</v>
      </c>
      <c r="I82" s="15">
        <f>('Cost Components'!$O$44 + 'Cost Components'!$O$42)*10^6</f>
        <v>245676082.51392856</v>
      </c>
      <c r="J82" s="15">
        <f>('Cost Components'!$O$44 + 'Cost Components'!$O$42)*10^6</f>
        <v>245676082.51392856</v>
      </c>
      <c r="K82" s="15">
        <f>('Cost Components'!$O$44 + 'Cost Components'!$O$42)*10^6</f>
        <v>245676082.51392856</v>
      </c>
      <c r="L82" s="15">
        <f>('Cost Components'!$O$44 + 'Cost Components'!$O$42)*10^6</f>
        <v>245676082.51392856</v>
      </c>
      <c r="M82" s="15">
        <f>('Cost Components'!$O$44 + 'Cost Components'!$O$42)*10^6</f>
        <v>245676082.51392856</v>
      </c>
      <c r="N82" s="15">
        <f>('Cost Components'!$O$44 + 'Cost Components'!$O$42)*10^6</f>
        <v>245676082.51392856</v>
      </c>
      <c r="O82" s="15">
        <f>('Cost Components'!$O$44 + 'Cost Components'!$O$42)*10^6</f>
        <v>245676082.51392856</v>
      </c>
      <c r="P82" s="15">
        <f>('Cost Components'!$O$44 + 'Cost Components'!$O$42)*10^6</f>
        <v>245676082.51392856</v>
      </c>
      <c r="Q82" s="15">
        <f>('Cost Components'!$O$44 + 'Cost Components'!$O$42)*10^6</f>
        <v>245676082.51392856</v>
      </c>
      <c r="R82" s="15">
        <f>('Cost Components'!$O$44 + 'Cost Components'!$O$42)*10^6</f>
        <v>245676082.51392856</v>
      </c>
      <c r="S82" s="15">
        <f>('Cost Components'!$O$44 + 'Cost Components'!$O$42)*10^6</f>
        <v>245676082.51392856</v>
      </c>
      <c r="T82" s="15">
        <f>('Cost Components'!$O$44 + 'Cost Components'!$O$42)*10^6</f>
        <v>245676082.51392856</v>
      </c>
      <c r="U82" s="15">
        <f>('Cost Components'!$O$44 + 'Cost Components'!$O$42)*10^6</f>
        <v>245676082.51392856</v>
      </c>
      <c r="V82" s="15">
        <f>('Cost Components'!$O$44 + 'Cost Components'!$O$42)*10^6</f>
        <v>245676082.51392856</v>
      </c>
      <c r="W82" s="15">
        <f>('Cost Components'!$O$44 + 'Cost Components'!$O$42)*10^6</f>
        <v>245676082.51392856</v>
      </c>
      <c r="X82" s="15">
        <f>('Cost Components'!$O$44 + 'Cost Components'!$O$42)*10^6</f>
        <v>245676082.51392856</v>
      </c>
      <c r="Y82" s="15">
        <f>('Cost Components'!$O$44 + 'Cost Components'!$O$42)*10^6</f>
        <v>245676082.51392856</v>
      </c>
      <c r="Z82" s="15">
        <f>('Cost Components'!$O$44 + 'Cost Components'!$O$42)*10^6</f>
        <v>245676082.51392856</v>
      </c>
      <c r="AA82" s="15">
        <f>('Cost Components'!$O$44 + 'Cost Components'!$O$42)*10^6</f>
        <v>245676082.51392856</v>
      </c>
    </row>
    <row r="83" spans="1:27" x14ac:dyDescent="0.25">
      <c r="A83" t="s">
        <v>121</v>
      </c>
      <c r="B83">
        <v>0</v>
      </c>
      <c r="C83">
        <f>'Cost Components'!$O$36 * 10^6</f>
        <v>103200000</v>
      </c>
      <c r="D83">
        <f>'Cost Components'!$O$36 * 10^6</f>
        <v>103200000</v>
      </c>
      <c r="E83">
        <f>'Cost Components'!$O$36 * 10^6</f>
        <v>103200000</v>
      </c>
      <c r="F83">
        <f>'Cost Components'!$O$36 * 10^6</f>
        <v>103200000</v>
      </c>
      <c r="G83">
        <f>'Cost Components'!$O$36 * 10^6</f>
        <v>103200000</v>
      </c>
      <c r="H83">
        <f>'Cost Components'!$O$36 * 10^6</f>
        <v>103200000</v>
      </c>
      <c r="I83">
        <f>'Cost Components'!$O$36 * 10^6</f>
        <v>103200000</v>
      </c>
      <c r="J83">
        <f>'Cost Components'!$O$36 * 10^6</f>
        <v>103200000</v>
      </c>
      <c r="K83">
        <f>'Cost Components'!$O$36 * 10^6</f>
        <v>103200000</v>
      </c>
      <c r="L83">
        <f>'Cost Components'!$O$36 * 10^6</f>
        <v>103200000</v>
      </c>
      <c r="M83">
        <f>'Cost Components'!$O$36 * 10^6</f>
        <v>103200000</v>
      </c>
      <c r="N83">
        <f>'Cost Components'!$O$36 * 10^6</f>
        <v>103200000</v>
      </c>
      <c r="O83">
        <f>'Cost Components'!$O$36 * 10^6</f>
        <v>103200000</v>
      </c>
      <c r="P83">
        <f>'Cost Components'!$O$36 * 10^6</f>
        <v>103200000</v>
      </c>
      <c r="Q83">
        <f>'Cost Components'!$O$36 * 10^6</f>
        <v>103200000</v>
      </c>
      <c r="R83">
        <f>'Cost Components'!$O$36 * 10^6</f>
        <v>103200000</v>
      </c>
      <c r="S83">
        <f>'Cost Components'!$O$36 * 10^6</f>
        <v>103200000</v>
      </c>
      <c r="T83">
        <f>'Cost Components'!$O$36 * 10^6</f>
        <v>103200000</v>
      </c>
      <c r="U83">
        <f>'Cost Components'!$O$36 * 10^6</f>
        <v>103200000</v>
      </c>
      <c r="V83">
        <f>'Cost Components'!$O$36 * 10^6</f>
        <v>103200000</v>
      </c>
      <c r="W83">
        <f>'Cost Components'!$O$36 * 10^6</f>
        <v>103200000</v>
      </c>
      <c r="X83">
        <f>'Cost Components'!$O$36 * 10^6</f>
        <v>103200000</v>
      </c>
      <c r="Y83">
        <f>'Cost Components'!$O$36 * 10^6</f>
        <v>103200000</v>
      </c>
      <c r="Z83">
        <f>'Cost Components'!$O$36 * 10^6</f>
        <v>103200000</v>
      </c>
      <c r="AA83">
        <f>'Cost Components'!$O$36 * 10^6</f>
        <v>103200000</v>
      </c>
    </row>
    <row r="84" spans="1:27" x14ac:dyDescent="0.25">
      <c r="A84" t="s">
        <v>122</v>
      </c>
      <c r="B84">
        <f t="shared" ref="B84:AA84" si="7">B82-B83</f>
        <v>321600000</v>
      </c>
      <c r="C84">
        <f t="shared" si="7"/>
        <v>142476082.51392856</v>
      </c>
      <c r="D84">
        <f t="shared" si="7"/>
        <v>142476082.51392856</v>
      </c>
      <c r="E84">
        <f t="shared" si="7"/>
        <v>142476082.51392856</v>
      </c>
      <c r="F84">
        <f t="shared" si="7"/>
        <v>142476082.51392856</v>
      </c>
      <c r="G84">
        <f t="shared" si="7"/>
        <v>142476082.51392856</v>
      </c>
      <c r="H84">
        <f t="shared" si="7"/>
        <v>142476082.51392856</v>
      </c>
      <c r="I84">
        <f t="shared" si="7"/>
        <v>142476082.51392856</v>
      </c>
      <c r="J84">
        <f t="shared" si="7"/>
        <v>142476082.51392856</v>
      </c>
      <c r="K84">
        <f t="shared" si="7"/>
        <v>142476082.51392856</v>
      </c>
      <c r="L84">
        <f t="shared" si="7"/>
        <v>142476082.51392856</v>
      </c>
      <c r="M84">
        <f t="shared" si="7"/>
        <v>142476082.51392856</v>
      </c>
      <c r="N84">
        <f t="shared" si="7"/>
        <v>142476082.51392856</v>
      </c>
      <c r="O84">
        <f t="shared" si="7"/>
        <v>142476082.51392856</v>
      </c>
      <c r="P84">
        <f t="shared" si="7"/>
        <v>142476082.51392856</v>
      </c>
      <c r="Q84">
        <f t="shared" si="7"/>
        <v>142476082.51392856</v>
      </c>
      <c r="R84">
        <f t="shared" si="7"/>
        <v>142476082.51392856</v>
      </c>
      <c r="S84">
        <f t="shared" si="7"/>
        <v>142476082.51392856</v>
      </c>
      <c r="T84">
        <f t="shared" si="7"/>
        <v>142476082.51392856</v>
      </c>
      <c r="U84">
        <f t="shared" si="7"/>
        <v>142476082.51392856</v>
      </c>
      <c r="V84">
        <f t="shared" si="7"/>
        <v>142476082.51392856</v>
      </c>
      <c r="W84">
        <f t="shared" si="7"/>
        <v>142476082.51392856</v>
      </c>
      <c r="X84">
        <f t="shared" si="7"/>
        <v>142476082.51392856</v>
      </c>
      <c r="Y84">
        <f t="shared" si="7"/>
        <v>142476082.51392856</v>
      </c>
      <c r="Z84">
        <f t="shared" si="7"/>
        <v>142476082.51392856</v>
      </c>
      <c r="AA84">
        <f t="shared" si="7"/>
        <v>142476082.51392856</v>
      </c>
    </row>
    <row r="85" spans="1:27" x14ac:dyDescent="0.25">
      <c r="A85" t="s">
        <v>123</v>
      </c>
      <c r="B85">
        <f>B84/(1+Inputs!$C$5) ^'Production Cost Baseline'!B$2</f>
        <v>321600000</v>
      </c>
      <c r="C85">
        <f>C84/(1+Inputs!$C$5) ^'Production Cost Baseline'!C$2</f>
        <v>133155217.30273697</v>
      </c>
      <c r="D85">
        <f>D84/(1+Inputs!$C$5) ^'Production Cost Baseline'!D$2</f>
        <v>124444128.32031493</v>
      </c>
      <c r="E85">
        <f>E84/(1+Inputs!$C$5) ^'Production Cost Baseline'!E$2</f>
        <v>116302923.66384572</v>
      </c>
      <c r="F85">
        <f>F84/(1+Inputs!$C$5) ^'Production Cost Baseline'!F$2</f>
        <v>108694321.18116423</v>
      </c>
      <c r="G85">
        <f>G84/(1+Inputs!$C$5) ^'Production Cost Baseline'!G$2</f>
        <v>101583477.73940581</v>
      </c>
      <c r="H85">
        <f>H84/(1+Inputs!$C$5) ^'Production Cost Baseline'!H$2</f>
        <v>94937829.662996098</v>
      </c>
      <c r="I85">
        <f>I84/(1+Inputs!$C$5) ^'Production Cost Baseline'!I$2</f>
        <v>88726943.610276714</v>
      </c>
      <c r="J85">
        <f>J84/(1+Inputs!$C$5) ^'Production Cost Baseline'!J$2</f>
        <v>82922377.205866098</v>
      </c>
      <c r="K85">
        <f>K84/(1+Inputs!$C$5) ^'Production Cost Baseline'!K$2</f>
        <v>77497548.790529057</v>
      </c>
      <c r="L85">
        <f>L84/(1+Inputs!$C$5) ^'Production Cost Baseline'!L$2</f>
        <v>72427615.692083225</v>
      </c>
      <c r="M85">
        <f>M84/(1+Inputs!$C$5) ^'Production Cost Baseline'!M$2</f>
        <v>67689360.459890857</v>
      </c>
      <c r="N85">
        <f>N84/(1+Inputs!$C$5) ^'Production Cost Baseline'!N$2</f>
        <v>63261084.541954085</v>
      </c>
      <c r="O85">
        <f>O84/(1+Inputs!$C$5) ^'Production Cost Baseline'!O$2</f>
        <v>59122508.917714097</v>
      </c>
      <c r="P85">
        <f>P84/(1+Inputs!$C$5) ^'Production Cost Baseline'!P$2</f>
        <v>55254681.231508501</v>
      </c>
      <c r="Q85">
        <f>Q84/(1+Inputs!$C$5) ^'Production Cost Baseline'!Q$2</f>
        <v>51639889.001409806</v>
      </c>
      <c r="R85">
        <f>R84/(1+Inputs!$C$5) ^'Production Cost Baseline'!R$2</f>
        <v>48261578.505990483</v>
      </c>
      <c r="S85">
        <f>S84/(1+Inputs!$C$5) ^'Production Cost Baseline'!S$2</f>
        <v>45104278.977561198</v>
      </c>
      <c r="T85">
        <f>T84/(1+Inputs!$C$5) ^'Production Cost Baseline'!T$2</f>
        <v>42153531.75473009</v>
      </c>
      <c r="U85">
        <f>U84/(1+Inputs!$C$5) ^'Production Cost Baseline'!U$2</f>
        <v>39395824.069841206</v>
      </c>
      <c r="V85">
        <f>V84/(1+Inputs!$C$5) ^'Production Cost Baseline'!V$2</f>
        <v>36818527.168075897</v>
      </c>
      <c r="W85">
        <f>W84/(1+Inputs!$C$5) ^'Production Cost Baseline'!W$2</f>
        <v>34409838.474837281</v>
      </c>
      <c r="X85">
        <f>X84/(1+Inputs!$C$5) ^'Production Cost Baseline'!X$2</f>
        <v>32158727.546576899</v>
      </c>
      <c r="Y85">
        <f>Y84/(1+Inputs!$C$5) ^'Production Cost Baseline'!Y$2</f>
        <v>30054885.557548504</v>
      </c>
      <c r="Z85">
        <f>Z84/(1+Inputs!$C$5) ^'Production Cost Baseline'!Z$2</f>
        <v>28088678.091166824</v>
      </c>
      <c r="AA85">
        <f>AA84/(1+Inputs!$C$5) ^'Production Cost Baseline'!AA$2</f>
        <v>26251101.019782078</v>
      </c>
    </row>
    <row r="86" spans="1:27" x14ac:dyDescent="0.25">
      <c r="A86" t="s">
        <v>124</v>
      </c>
      <c r="B86">
        <v>0</v>
      </c>
      <c r="C86">
        <f>'Study Parameters'!$C$14*'Study Parameters'!$C$8 * 10^3</f>
        <v>38400000</v>
      </c>
      <c r="D86">
        <f>'Study Parameters'!$C$14*'Study Parameters'!$C$8 * 10^3</f>
        <v>38400000</v>
      </c>
      <c r="E86">
        <f>'Study Parameters'!$C$14*'Study Parameters'!$C$8 * 10^3</f>
        <v>38400000</v>
      </c>
      <c r="F86">
        <f>'Study Parameters'!$C$14*'Study Parameters'!$C$8 * 10^3</f>
        <v>38400000</v>
      </c>
      <c r="G86">
        <f>'Study Parameters'!$C$14*'Study Parameters'!$C$8 * 10^3</f>
        <v>38400000</v>
      </c>
      <c r="H86">
        <f>'Study Parameters'!$C$14*'Study Parameters'!$C$8 * 10^3</f>
        <v>38400000</v>
      </c>
      <c r="I86">
        <f>'Study Parameters'!$C$14*'Study Parameters'!$C$8 * 10^3</f>
        <v>38400000</v>
      </c>
      <c r="J86">
        <f>'Study Parameters'!$C$14*'Study Parameters'!$C$8 * 10^3</f>
        <v>38400000</v>
      </c>
      <c r="K86">
        <f>'Study Parameters'!$C$14*'Study Parameters'!$C$8 * 10^3</f>
        <v>38400000</v>
      </c>
      <c r="L86">
        <f>'Study Parameters'!$C$14*'Study Parameters'!$C$8 * 10^3</f>
        <v>38400000</v>
      </c>
      <c r="M86">
        <f>'Study Parameters'!$C$14*'Study Parameters'!$C$8 * 10^3</f>
        <v>38400000</v>
      </c>
      <c r="N86">
        <f>'Study Parameters'!$C$14*'Study Parameters'!$C$8 * 10^3</f>
        <v>38400000</v>
      </c>
      <c r="O86">
        <f>'Study Parameters'!$C$14*'Study Parameters'!$C$8 * 10^3</f>
        <v>38400000</v>
      </c>
      <c r="P86">
        <f>'Study Parameters'!$C$14*'Study Parameters'!$C$8 * 10^3</f>
        <v>38400000</v>
      </c>
      <c r="Q86">
        <f>'Study Parameters'!$C$14*'Study Parameters'!$C$8 * 10^3</f>
        <v>38400000</v>
      </c>
      <c r="R86">
        <f>'Study Parameters'!$C$14*'Study Parameters'!$C$8 * 10^3</f>
        <v>38400000</v>
      </c>
      <c r="S86">
        <f>'Study Parameters'!$C$14*'Study Parameters'!$C$8 * 10^3</f>
        <v>38400000</v>
      </c>
      <c r="T86">
        <f>'Study Parameters'!$C$14*'Study Parameters'!$C$8 * 10^3</f>
        <v>38400000</v>
      </c>
      <c r="U86">
        <f>'Study Parameters'!$C$14*'Study Parameters'!$C$8 * 10^3</f>
        <v>38400000</v>
      </c>
      <c r="V86">
        <f>'Study Parameters'!$C$14*'Study Parameters'!$C$8 * 10^3</f>
        <v>38400000</v>
      </c>
      <c r="W86">
        <f>'Study Parameters'!$C$14*'Study Parameters'!$C$8 * 10^3</f>
        <v>38400000</v>
      </c>
      <c r="X86">
        <f>'Study Parameters'!$C$14*'Study Parameters'!$C$8 * 10^3</f>
        <v>38400000</v>
      </c>
      <c r="Y86">
        <f>'Study Parameters'!$C$14*'Study Parameters'!$C$8 * 10^3</f>
        <v>38400000</v>
      </c>
      <c r="Z86">
        <f>'Study Parameters'!$C$14*'Study Parameters'!$C$8 * 10^3</f>
        <v>38400000</v>
      </c>
      <c r="AA86">
        <f>'Study Parameters'!$C$14*'Study Parameters'!$C$8 * 10^3</f>
        <v>38400000</v>
      </c>
    </row>
    <row r="87" spans="1:27" x14ac:dyDescent="0.25">
      <c r="A87" t="s">
        <v>125</v>
      </c>
      <c r="B87">
        <f>B86/(1+Inputs!$C$5) ^'Production Cost Baseline'!B$2</f>
        <v>0</v>
      </c>
      <c r="C87">
        <f>C86/(1+Inputs!$C$5) ^'Production Cost Baseline'!C$2</f>
        <v>35887850.467289716</v>
      </c>
      <c r="D87">
        <f>D86/(1+Inputs!$C$5) ^'Production Cost Baseline'!D$2</f>
        <v>33540047.165691327</v>
      </c>
      <c r="E87">
        <f>E86/(1+Inputs!$C$5) ^'Production Cost Baseline'!E$2</f>
        <v>31345838.472608715</v>
      </c>
      <c r="F87">
        <f>F86/(1+Inputs!$C$5) ^'Production Cost Baseline'!F$2</f>
        <v>29295176.142624967</v>
      </c>
      <c r="G87">
        <f>G86/(1+Inputs!$C$5) ^'Production Cost Baseline'!G$2</f>
        <v>27378669.292172864</v>
      </c>
      <c r="H87">
        <f>H86/(1+Inputs!$C$5) ^'Production Cost Baseline'!H$2</f>
        <v>25587541.394554082</v>
      </c>
      <c r="I87">
        <f>I86/(1+Inputs!$C$5) ^'Production Cost Baseline'!I$2</f>
        <v>23913590.0883683</v>
      </c>
      <c r="J87">
        <f>J86/(1+Inputs!$C$5) ^'Production Cost Baseline'!J$2</f>
        <v>22349149.615297478</v>
      </c>
      <c r="K87">
        <f>K86/(1+Inputs!$C$5) ^'Production Cost Baseline'!K$2</f>
        <v>20887055.715231284</v>
      </c>
      <c r="L87">
        <f>L86/(1+Inputs!$C$5) ^'Production Cost Baseline'!L$2</f>
        <v>19520612.817973163</v>
      </c>
      <c r="M87">
        <f>M86/(1+Inputs!$C$5) ^'Production Cost Baseline'!M$2</f>
        <v>18243563.381283328</v>
      </c>
      <c r="N87">
        <f>N86/(1+Inputs!$C$5) ^'Production Cost Baseline'!N$2</f>
        <v>17050059.234844234</v>
      </c>
      <c r="O87">
        <f>O86/(1+Inputs!$C$5) ^'Production Cost Baseline'!O$2</f>
        <v>15934634.798919844</v>
      </c>
      <c r="P87">
        <f>P86/(1+Inputs!$C$5) ^'Production Cost Baseline'!P$2</f>
        <v>14892182.055065276</v>
      </c>
      <c r="Q87">
        <f>Q86/(1+Inputs!$C$5) ^'Production Cost Baseline'!Q$2</f>
        <v>13917927.154266611</v>
      </c>
      <c r="R87">
        <f>R86/(1+Inputs!$C$5) ^'Production Cost Baseline'!R$2</f>
        <v>13007408.555389358</v>
      </c>
      <c r="S87">
        <f>S86/(1+Inputs!$C$5) ^'Production Cost Baseline'!S$2</f>
        <v>12156456.593821829</v>
      </c>
      <c r="T87">
        <f>T86/(1+Inputs!$C$5) ^'Production Cost Baseline'!T$2</f>
        <v>11361174.386749374</v>
      </c>
      <c r="U87">
        <f>U86/(1+Inputs!$C$5) ^'Production Cost Baseline'!U$2</f>
        <v>10617919.987616237</v>
      </c>
      <c r="V87">
        <f>V86/(1+Inputs!$C$5) ^'Production Cost Baseline'!V$2</f>
        <v>9923289.7080525588</v>
      </c>
      <c r="W87">
        <f>W86/(1+Inputs!$C$5) ^'Production Cost Baseline'!W$2</f>
        <v>9274102.5308902413</v>
      </c>
      <c r="X87">
        <f>X86/(1+Inputs!$C$5) ^'Production Cost Baseline'!X$2</f>
        <v>8667385.5428880751</v>
      </c>
      <c r="Y87">
        <f>Y86/(1+Inputs!$C$5) ^'Production Cost Baseline'!Y$2</f>
        <v>8100360.3204561453</v>
      </c>
      <c r="Z87">
        <f>Z86/(1+Inputs!$C$5) ^'Production Cost Baseline'!Z$2</f>
        <v>7570430.2060337802</v>
      </c>
      <c r="AA87">
        <f>AA86/(1+Inputs!$C$5) ^'Production Cost Baseline'!AA$2</f>
        <v>7075168.4168539997</v>
      </c>
    </row>
    <row r="89" spans="1:27" x14ac:dyDescent="0.25">
      <c r="A89" t="s">
        <v>126</v>
      </c>
      <c r="B89">
        <f>SUM(B85:AA85) / SUM(C87:AA87)</f>
        <v>4.4289777305232976</v>
      </c>
    </row>
    <row r="90" spans="1:27" x14ac:dyDescent="0.25">
      <c r="A90" t="s">
        <v>127</v>
      </c>
      <c r="B90">
        <f>B89 * Inputs!$C$15</f>
        <v>3.5564691176102081</v>
      </c>
    </row>
    <row r="92" spans="1:27" x14ac:dyDescent="0.25">
      <c r="A92" s="1" t="s">
        <v>134</v>
      </c>
    </row>
    <row r="93" spans="1:27" x14ac:dyDescent="0.25">
      <c r="A93" t="s">
        <v>120</v>
      </c>
      <c r="B93">
        <f>'Cost Components'!$P$43 * 10^6</f>
        <v>339000000</v>
      </c>
      <c r="C93" s="15">
        <f>('Cost Components'!$P$44 + 'Cost Components'!$P$42)*10^6</f>
        <v>221311187.23464698</v>
      </c>
      <c r="D93" s="15">
        <f>('Cost Components'!$P$44 + 'Cost Components'!$P$42)*10^6</f>
        <v>221311187.23464698</v>
      </c>
      <c r="E93" s="15">
        <f>('Cost Components'!$P$44 + 'Cost Components'!$P$42)*10^6</f>
        <v>221311187.23464698</v>
      </c>
      <c r="F93" s="15">
        <f>('Cost Components'!$P$44 + 'Cost Components'!$P$42)*10^6</f>
        <v>221311187.23464698</v>
      </c>
      <c r="G93" s="15">
        <f>('Cost Components'!$P$44 + 'Cost Components'!$P$42)*10^6</f>
        <v>221311187.23464698</v>
      </c>
      <c r="H93" s="15">
        <f>('Cost Components'!$P$44 + 'Cost Components'!$P$42)*10^6</f>
        <v>221311187.23464698</v>
      </c>
      <c r="I93" s="15">
        <f>('Cost Components'!$P$44 + 'Cost Components'!$P$42)*10^6</f>
        <v>221311187.23464698</v>
      </c>
      <c r="J93" s="15">
        <f>('Cost Components'!$P$44 + 'Cost Components'!$P$42)*10^6</f>
        <v>221311187.23464698</v>
      </c>
      <c r="K93" s="15">
        <f>('Cost Components'!$P$44 + 'Cost Components'!$P$42)*10^6</f>
        <v>221311187.23464698</v>
      </c>
      <c r="L93" s="15">
        <f>('Cost Components'!$P$44 + 'Cost Components'!$P$42)*10^6</f>
        <v>221311187.23464698</v>
      </c>
      <c r="M93" s="15">
        <f>('Cost Components'!$P$44 + 'Cost Components'!$P$42)*10^6</f>
        <v>221311187.23464698</v>
      </c>
      <c r="N93" s="15">
        <f>('Cost Components'!$P$44 + 'Cost Components'!$P$42)*10^6</f>
        <v>221311187.23464698</v>
      </c>
      <c r="O93" s="15">
        <f>('Cost Components'!$P$44 + 'Cost Components'!$P$42)*10^6</f>
        <v>221311187.23464698</v>
      </c>
      <c r="P93" s="15">
        <f>('Cost Components'!$P$44 + 'Cost Components'!$P$42)*10^6</f>
        <v>221311187.23464698</v>
      </c>
      <c r="Q93" s="15">
        <f>('Cost Components'!$P$44 + 'Cost Components'!$P$42)*10^6</f>
        <v>221311187.23464698</v>
      </c>
      <c r="R93" s="15">
        <f>('Cost Components'!$P$44 + 'Cost Components'!$P$42)*10^6</f>
        <v>221311187.23464698</v>
      </c>
      <c r="S93" s="15">
        <f>('Cost Components'!$P$44 + 'Cost Components'!$P$42)*10^6</f>
        <v>221311187.23464698</v>
      </c>
      <c r="T93" s="15">
        <f>('Cost Components'!$P$44 + 'Cost Components'!$P$42)*10^6</f>
        <v>221311187.23464698</v>
      </c>
      <c r="U93" s="15">
        <f>('Cost Components'!$P$44 + 'Cost Components'!$P$42)*10^6</f>
        <v>221311187.23464698</v>
      </c>
      <c r="V93" s="15">
        <f>('Cost Components'!$P$44 + 'Cost Components'!$P$42)*10^6</f>
        <v>221311187.23464698</v>
      </c>
      <c r="W93" s="15">
        <f>('Cost Components'!$P$44 + 'Cost Components'!$P$42)*10^6</f>
        <v>221311187.23464698</v>
      </c>
      <c r="X93" s="15">
        <f>('Cost Components'!$P$44 + 'Cost Components'!$P$42)*10^6</f>
        <v>221311187.23464698</v>
      </c>
      <c r="Y93" s="15">
        <f>('Cost Components'!$P$44 + 'Cost Components'!$P$42)*10^6</f>
        <v>221311187.23464698</v>
      </c>
      <c r="Z93" s="15">
        <f>('Cost Components'!$P$44 + 'Cost Components'!$P$42)*10^6</f>
        <v>221311187.23464698</v>
      </c>
      <c r="AA93" s="15">
        <f>('Cost Components'!$P$44 + 'Cost Components'!$P$42)*10^6</f>
        <v>221311187.23464698</v>
      </c>
    </row>
    <row r="94" spans="1:27" x14ac:dyDescent="0.25">
      <c r="A94" t="s">
        <v>121</v>
      </c>
      <c r="B94">
        <v>0</v>
      </c>
      <c r="C94">
        <f>'Cost Components'!$P$36 * 10^6</f>
        <v>135200000</v>
      </c>
      <c r="D94">
        <f>'Cost Components'!$P$36 * 10^6</f>
        <v>135200000</v>
      </c>
      <c r="E94">
        <f>'Cost Components'!$P$36 * 10^6</f>
        <v>135200000</v>
      </c>
      <c r="F94">
        <f>'Cost Components'!$P$36 * 10^6</f>
        <v>135200000</v>
      </c>
      <c r="G94">
        <f>'Cost Components'!$P$36 * 10^6</f>
        <v>135200000</v>
      </c>
      <c r="H94">
        <f>'Cost Components'!$P$36 * 10^6</f>
        <v>135200000</v>
      </c>
      <c r="I94">
        <f>'Cost Components'!$P$36 * 10^6</f>
        <v>135200000</v>
      </c>
      <c r="J94">
        <f>'Cost Components'!$P$36 * 10^6</f>
        <v>135200000</v>
      </c>
      <c r="K94">
        <f>'Cost Components'!$P$36 * 10^6</f>
        <v>135200000</v>
      </c>
      <c r="L94">
        <f>'Cost Components'!$P$36 * 10^6</f>
        <v>135200000</v>
      </c>
      <c r="M94">
        <f>'Cost Components'!$P$36 * 10^6</f>
        <v>135200000</v>
      </c>
      <c r="N94">
        <f>'Cost Components'!$P$36 * 10^6</f>
        <v>135200000</v>
      </c>
      <c r="O94">
        <f>'Cost Components'!$P$36 * 10^6</f>
        <v>135200000</v>
      </c>
      <c r="P94">
        <f>'Cost Components'!$P$36 * 10^6</f>
        <v>135200000</v>
      </c>
      <c r="Q94">
        <f>'Cost Components'!$P$36 * 10^6</f>
        <v>135200000</v>
      </c>
      <c r="R94">
        <f>'Cost Components'!$P$36 * 10^6</f>
        <v>135200000</v>
      </c>
      <c r="S94">
        <f>'Cost Components'!$P$36 * 10^6</f>
        <v>135200000</v>
      </c>
      <c r="T94">
        <f>'Cost Components'!$P$36 * 10^6</f>
        <v>135200000</v>
      </c>
      <c r="U94">
        <f>'Cost Components'!$P$36 * 10^6</f>
        <v>135200000</v>
      </c>
      <c r="V94">
        <f>'Cost Components'!$P$36 * 10^6</f>
        <v>135200000</v>
      </c>
      <c r="W94">
        <f>'Cost Components'!$P$36 * 10^6</f>
        <v>135200000</v>
      </c>
      <c r="X94">
        <f>'Cost Components'!$P$36 * 10^6</f>
        <v>135200000</v>
      </c>
      <c r="Y94">
        <f>'Cost Components'!$P$36 * 10^6</f>
        <v>135200000</v>
      </c>
      <c r="Z94">
        <f>'Cost Components'!$P$36 * 10^6</f>
        <v>135200000</v>
      </c>
      <c r="AA94">
        <f>'Cost Components'!$P$36 * 10^6</f>
        <v>135200000</v>
      </c>
    </row>
    <row r="95" spans="1:27" x14ac:dyDescent="0.25">
      <c r="A95" t="s">
        <v>122</v>
      </c>
      <c r="B95">
        <f t="shared" ref="B95:AA95" si="8">B93-B94</f>
        <v>339000000</v>
      </c>
      <c r="C95">
        <f t="shared" si="8"/>
        <v>86111187.234646976</v>
      </c>
      <c r="D95">
        <f t="shared" si="8"/>
        <v>86111187.234646976</v>
      </c>
      <c r="E95">
        <f t="shared" si="8"/>
        <v>86111187.234646976</v>
      </c>
      <c r="F95">
        <f t="shared" si="8"/>
        <v>86111187.234646976</v>
      </c>
      <c r="G95">
        <f t="shared" si="8"/>
        <v>86111187.234646976</v>
      </c>
      <c r="H95">
        <f t="shared" si="8"/>
        <v>86111187.234646976</v>
      </c>
      <c r="I95">
        <f t="shared" si="8"/>
        <v>86111187.234646976</v>
      </c>
      <c r="J95">
        <f t="shared" si="8"/>
        <v>86111187.234646976</v>
      </c>
      <c r="K95">
        <f t="shared" si="8"/>
        <v>86111187.234646976</v>
      </c>
      <c r="L95">
        <f t="shared" si="8"/>
        <v>86111187.234646976</v>
      </c>
      <c r="M95">
        <f t="shared" si="8"/>
        <v>86111187.234646976</v>
      </c>
      <c r="N95">
        <f t="shared" si="8"/>
        <v>86111187.234646976</v>
      </c>
      <c r="O95">
        <f t="shared" si="8"/>
        <v>86111187.234646976</v>
      </c>
      <c r="P95">
        <f t="shared" si="8"/>
        <v>86111187.234646976</v>
      </c>
      <c r="Q95">
        <f t="shared" si="8"/>
        <v>86111187.234646976</v>
      </c>
      <c r="R95">
        <f t="shared" si="8"/>
        <v>86111187.234646976</v>
      </c>
      <c r="S95">
        <f t="shared" si="8"/>
        <v>86111187.234646976</v>
      </c>
      <c r="T95">
        <f t="shared" si="8"/>
        <v>86111187.234646976</v>
      </c>
      <c r="U95">
        <f t="shared" si="8"/>
        <v>86111187.234646976</v>
      </c>
      <c r="V95">
        <f t="shared" si="8"/>
        <v>86111187.234646976</v>
      </c>
      <c r="W95">
        <f t="shared" si="8"/>
        <v>86111187.234646976</v>
      </c>
      <c r="X95">
        <f t="shared" si="8"/>
        <v>86111187.234646976</v>
      </c>
      <c r="Y95">
        <f t="shared" si="8"/>
        <v>86111187.234646976</v>
      </c>
      <c r="Z95">
        <f t="shared" si="8"/>
        <v>86111187.234646976</v>
      </c>
      <c r="AA95">
        <f t="shared" si="8"/>
        <v>86111187.234646976</v>
      </c>
    </row>
    <row r="96" spans="1:27" x14ac:dyDescent="0.25">
      <c r="A96" t="s">
        <v>123</v>
      </c>
      <c r="B96">
        <f>B95/(1+Inputs!$C$5) ^'Production Cost Baseline'!B$2</f>
        <v>339000000</v>
      </c>
      <c r="C96">
        <f>C95/(1+Inputs!$C$5) ^'Production Cost Baseline'!C$2</f>
        <v>80477745.079109326</v>
      </c>
      <c r="D96">
        <f>D95/(1+Inputs!$C$5) ^'Production Cost Baseline'!D$2</f>
        <v>75212845.86832647</v>
      </c>
      <c r="E96">
        <f>E95/(1+Inputs!$C$5) ^'Production Cost Baseline'!E$2</f>
        <v>70292379.316192955</v>
      </c>
      <c r="F96">
        <f>F95/(1+Inputs!$C$5) ^'Production Cost Baseline'!F$2</f>
        <v>65693812.445040151</v>
      </c>
      <c r="G96">
        <f>G95/(1+Inputs!$C$5) ^'Production Cost Baseline'!G$2</f>
        <v>61396086.397233777</v>
      </c>
      <c r="H96">
        <f>H95/(1+Inputs!$C$5) ^'Production Cost Baseline'!H$2</f>
        <v>57379519.997414753</v>
      </c>
      <c r="I96">
        <f>I95/(1+Inputs!$C$5) ^'Production Cost Baseline'!I$2</f>
        <v>53625719.623752102</v>
      </c>
      <c r="J96">
        <f>J95/(1+Inputs!$C$5) ^'Production Cost Baseline'!J$2</f>
        <v>50117494.975469254</v>
      </c>
      <c r="K96">
        <f>K95/(1+Inputs!$C$5) ^'Production Cost Baseline'!K$2</f>
        <v>46838780.350905843</v>
      </c>
      <c r="L96">
        <f>L95/(1+Inputs!$C$5) ^'Production Cost Baseline'!L$2</f>
        <v>43774561.07561294</v>
      </c>
      <c r="M96">
        <f>M95/(1+Inputs!$C$5) ^'Production Cost Baseline'!M$2</f>
        <v>40910804.743563488</v>
      </c>
      <c r="N96">
        <f>N95/(1+Inputs!$C$5) ^'Production Cost Baseline'!N$2</f>
        <v>38234396.956601396</v>
      </c>
      <c r="O96">
        <f>O95/(1+Inputs!$C$5) ^'Production Cost Baseline'!O$2</f>
        <v>35733081.26785177</v>
      </c>
      <c r="P96">
        <f>P95/(1+Inputs!$C$5) ^'Production Cost Baseline'!P$2</f>
        <v>33395403.054067079</v>
      </c>
      <c r="Q96">
        <f>Q95/(1+Inputs!$C$5) ^'Production Cost Baseline'!Q$2</f>
        <v>31210657.059875768</v>
      </c>
      <c r="R96">
        <f>R95/(1+Inputs!$C$5) ^'Production Cost Baseline'!R$2</f>
        <v>29168838.373715676</v>
      </c>
      <c r="S96">
        <f>S95/(1+Inputs!$C$5) ^'Production Cost Baseline'!S$2</f>
        <v>27260596.610949229</v>
      </c>
      <c r="T96">
        <f>T95/(1+Inputs!$C$5) ^'Production Cost Baseline'!T$2</f>
        <v>25477193.094345074</v>
      </c>
      <c r="U96">
        <f>U95/(1+Inputs!$C$5) ^'Production Cost Baseline'!U$2</f>
        <v>23810460.835836515</v>
      </c>
      <c r="V96">
        <f>V95/(1+Inputs!$C$5) ^'Production Cost Baseline'!V$2</f>
        <v>22252767.13629581</v>
      </c>
      <c r="W96">
        <f>W95/(1+Inputs!$C$5) ^'Production Cost Baseline'!W$2</f>
        <v>20796978.632052157</v>
      </c>
      <c r="X96">
        <f>X95/(1+Inputs!$C$5) ^'Production Cost Baseline'!X$2</f>
        <v>19436428.628086131</v>
      </c>
      <c r="Y96">
        <f>Y95/(1+Inputs!$C$5) ^'Production Cost Baseline'!Y$2</f>
        <v>18164886.568304796</v>
      </c>
      <c r="Z96">
        <f>Z95/(1+Inputs!$C$5) ^'Production Cost Baseline'!Z$2</f>
        <v>16976529.503088593</v>
      </c>
      <c r="AA96">
        <f>AA95/(1+Inputs!$C$5) ^'Production Cost Baseline'!AA$2</f>
        <v>15865915.423447281</v>
      </c>
    </row>
    <row r="97" spans="1:27" x14ac:dyDescent="0.25">
      <c r="A97" t="s">
        <v>124</v>
      </c>
      <c r="B97">
        <v>0</v>
      </c>
      <c r="C97">
        <f>'Study Parameters'!$C$15*'Study Parameters'!$C$8 * 10^3</f>
        <v>55200000</v>
      </c>
      <c r="D97">
        <f>'Study Parameters'!$C$15*'Study Parameters'!$C$8 * 10^3</f>
        <v>55200000</v>
      </c>
      <c r="E97">
        <f>'Study Parameters'!$C$15*'Study Parameters'!$C$8 * 10^3</f>
        <v>55200000</v>
      </c>
      <c r="F97">
        <f>'Study Parameters'!$C$15*'Study Parameters'!$C$8 * 10^3</f>
        <v>55200000</v>
      </c>
      <c r="G97">
        <f>'Study Parameters'!$C$15*'Study Parameters'!$C$8 * 10^3</f>
        <v>55200000</v>
      </c>
      <c r="H97">
        <f>'Study Parameters'!$C$15*'Study Parameters'!$C$8 * 10^3</f>
        <v>55200000</v>
      </c>
      <c r="I97">
        <f>'Study Parameters'!$C$15*'Study Parameters'!$C$8 * 10^3</f>
        <v>55200000</v>
      </c>
      <c r="J97">
        <f>'Study Parameters'!$C$15*'Study Parameters'!$C$8 * 10^3</f>
        <v>55200000</v>
      </c>
      <c r="K97">
        <f>'Study Parameters'!$C$15*'Study Parameters'!$C$8 * 10^3</f>
        <v>55200000</v>
      </c>
      <c r="L97">
        <f>'Study Parameters'!$C$15*'Study Parameters'!$C$8 * 10^3</f>
        <v>55200000</v>
      </c>
      <c r="M97">
        <f>'Study Parameters'!$C$15*'Study Parameters'!$C$8 * 10^3</f>
        <v>55200000</v>
      </c>
      <c r="N97">
        <f>'Study Parameters'!$C$15*'Study Parameters'!$C$8 * 10^3</f>
        <v>55200000</v>
      </c>
      <c r="O97">
        <f>'Study Parameters'!$C$15*'Study Parameters'!$C$8 * 10^3</f>
        <v>55200000</v>
      </c>
      <c r="P97">
        <f>'Study Parameters'!$C$15*'Study Parameters'!$C$8 * 10^3</f>
        <v>55200000</v>
      </c>
      <c r="Q97">
        <f>'Study Parameters'!$C$15*'Study Parameters'!$C$8 * 10^3</f>
        <v>55200000</v>
      </c>
      <c r="R97">
        <f>'Study Parameters'!$C$15*'Study Parameters'!$C$8 * 10^3</f>
        <v>55200000</v>
      </c>
      <c r="S97">
        <f>'Study Parameters'!$C$15*'Study Parameters'!$C$8 * 10^3</f>
        <v>55200000</v>
      </c>
      <c r="T97">
        <f>'Study Parameters'!$C$15*'Study Parameters'!$C$8 * 10^3</f>
        <v>55200000</v>
      </c>
      <c r="U97">
        <f>'Study Parameters'!$C$15*'Study Parameters'!$C$8 * 10^3</f>
        <v>55200000</v>
      </c>
      <c r="V97">
        <f>'Study Parameters'!$C$15*'Study Parameters'!$C$8 * 10^3</f>
        <v>55200000</v>
      </c>
      <c r="W97">
        <f>'Study Parameters'!$C$15*'Study Parameters'!$C$8 * 10^3</f>
        <v>55200000</v>
      </c>
      <c r="X97">
        <f>'Study Parameters'!$C$15*'Study Parameters'!$C$8 * 10^3</f>
        <v>55200000</v>
      </c>
      <c r="Y97">
        <f>'Study Parameters'!$C$15*'Study Parameters'!$C$8 * 10^3</f>
        <v>55200000</v>
      </c>
      <c r="Z97">
        <f>'Study Parameters'!$C$15*'Study Parameters'!$C$8 * 10^3</f>
        <v>55200000</v>
      </c>
      <c r="AA97">
        <f>'Study Parameters'!$C$15*'Study Parameters'!$C$8 * 10^3</f>
        <v>55200000</v>
      </c>
    </row>
    <row r="98" spans="1:27" x14ac:dyDescent="0.25">
      <c r="A98" t="s">
        <v>125</v>
      </c>
      <c r="B98">
        <f>B97/(1+Inputs!$C$5) ^'Production Cost Baseline'!B$2</f>
        <v>0</v>
      </c>
      <c r="C98">
        <f>C97/(1+Inputs!$C$5) ^'Production Cost Baseline'!C$2</f>
        <v>51588785.046728969</v>
      </c>
      <c r="D98">
        <f>D97/(1+Inputs!$C$5) ^'Production Cost Baseline'!D$2</f>
        <v>48213817.800681278</v>
      </c>
      <c r="E98">
        <f>E97/(1+Inputs!$C$5) ^'Production Cost Baseline'!E$2</f>
        <v>45059642.804375023</v>
      </c>
      <c r="F98">
        <f>F97/(1+Inputs!$C$5) ^'Production Cost Baseline'!F$2</f>
        <v>42111815.705023393</v>
      </c>
      <c r="G98">
        <f>G97/(1+Inputs!$C$5) ^'Production Cost Baseline'!G$2</f>
        <v>39356837.107498497</v>
      </c>
      <c r="H98">
        <f>H97/(1+Inputs!$C$5) ^'Production Cost Baseline'!H$2</f>
        <v>36782090.754671492</v>
      </c>
      <c r="I98">
        <f>I97/(1+Inputs!$C$5) ^'Production Cost Baseline'!I$2</f>
        <v>34375785.752029426</v>
      </c>
      <c r="J98">
        <f>J97/(1+Inputs!$C$5) ^'Production Cost Baseline'!J$2</f>
        <v>32126902.571990121</v>
      </c>
      <c r="K98">
        <f>K97/(1+Inputs!$C$5) ^'Production Cost Baseline'!K$2</f>
        <v>30025142.590644971</v>
      </c>
      <c r="L98">
        <f>L97/(1+Inputs!$C$5) ^'Production Cost Baseline'!L$2</f>
        <v>28060880.925836422</v>
      </c>
      <c r="M98">
        <f>M97/(1+Inputs!$C$5) ^'Production Cost Baseline'!M$2</f>
        <v>26225122.360594783</v>
      </c>
      <c r="N98">
        <f>N97/(1+Inputs!$C$5) ^'Production Cost Baseline'!N$2</f>
        <v>24509460.150088586</v>
      </c>
      <c r="O98">
        <f>O97/(1+Inputs!$C$5) ^'Production Cost Baseline'!O$2</f>
        <v>22906037.523447275</v>
      </c>
      <c r="P98">
        <f>P97/(1+Inputs!$C$5) ^'Production Cost Baseline'!P$2</f>
        <v>21407511.704156335</v>
      </c>
      <c r="Q98">
        <f>Q97/(1+Inputs!$C$5) ^'Production Cost Baseline'!Q$2</f>
        <v>20007020.284258254</v>
      </c>
      <c r="R98">
        <f>R97/(1+Inputs!$C$5) ^'Production Cost Baseline'!R$2</f>
        <v>18698149.798372202</v>
      </c>
      <c r="S98">
        <f>S97/(1+Inputs!$C$5) ^'Production Cost Baseline'!S$2</f>
        <v>17474906.353618879</v>
      </c>
      <c r="T98">
        <f>T97/(1+Inputs!$C$5) ^'Production Cost Baseline'!T$2</f>
        <v>16331688.180952225</v>
      </c>
      <c r="U98">
        <f>U97/(1+Inputs!$C$5) ^'Production Cost Baseline'!U$2</f>
        <v>15263259.982198339</v>
      </c>
      <c r="V98">
        <f>V97/(1+Inputs!$C$5) ^'Production Cost Baseline'!V$2</f>
        <v>14264728.955325551</v>
      </c>
      <c r="W98">
        <f>W97/(1+Inputs!$C$5) ^'Production Cost Baseline'!W$2</f>
        <v>13331522.388154721</v>
      </c>
      <c r="X98">
        <f>X97/(1+Inputs!$C$5) ^'Production Cost Baseline'!X$2</f>
        <v>12459366.717901608</v>
      </c>
      <c r="Y98">
        <f>Y97/(1+Inputs!$C$5) ^'Production Cost Baseline'!Y$2</f>
        <v>11644267.960655708</v>
      </c>
      <c r="Z98">
        <f>Z97/(1+Inputs!$C$5) ^'Production Cost Baseline'!Z$2</f>
        <v>10882493.42117356</v>
      </c>
      <c r="AA98">
        <f>AA97/(1+Inputs!$C$5) ^'Production Cost Baseline'!AA$2</f>
        <v>10170554.599227624</v>
      </c>
    </row>
    <row r="100" spans="1:27" x14ac:dyDescent="0.25">
      <c r="A100" t="s">
        <v>126</v>
      </c>
      <c r="B100">
        <f>SUM(B96:AA96) / SUM(C98:AA98)</f>
        <v>2.0869737784864602</v>
      </c>
    </row>
    <row r="101" spans="1:27" x14ac:dyDescent="0.25">
      <c r="A101" t="s">
        <v>127</v>
      </c>
      <c r="B101">
        <f>B100 * Inputs!$C$15</f>
        <v>1.6758399441246277</v>
      </c>
    </row>
    <row r="103" spans="1:27" x14ac:dyDescent="0.25">
      <c r="A103" s="1" t="s">
        <v>136</v>
      </c>
    </row>
    <row r="104" spans="1:27" x14ac:dyDescent="0.25">
      <c r="A104" t="s">
        <v>120</v>
      </c>
      <c r="B104">
        <f>'Cost Components'!$Q$43 * 10^6</f>
        <v>347000000</v>
      </c>
      <c r="C104" s="15">
        <f>('Cost Components'!$Q$44 + 'Cost Components'!$Q$42)*10^6</f>
        <v>237415868.49539927</v>
      </c>
      <c r="D104" s="15">
        <f>('Cost Components'!$Q$44 + 'Cost Components'!$Q$42)*10^6</f>
        <v>237415868.49539927</v>
      </c>
      <c r="E104" s="15">
        <f>('Cost Components'!$Q$44 + 'Cost Components'!$Q$42)*10^6</f>
        <v>237415868.49539927</v>
      </c>
      <c r="F104" s="15">
        <f>('Cost Components'!$Q$44 + 'Cost Components'!$Q$42)*10^6</f>
        <v>237415868.49539927</v>
      </c>
      <c r="G104" s="15">
        <f>('Cost Components'!$Q$44 + 'Cost Components'!$Q$42)*10^6</f>
        <v>237415868.49539927</v>
      </c>
      <c r="H104" s="15">
        <f>('Cost Components'!$Q$44 + 'Cost Components'!$Q$42)*10^6</f>
        <v>237415868.49539927</v>
      </c>
      <c r="I104" s="15">
        <f>('Cost Components'!$Q$44 + 'Cost Components'!$Q$42)*10^6</f>
        <v>237415868.49539927</v>
      </c>
      <c r="J104" s="15">
        <f>('Cost Components'!$Q$44 + 'Cost Components'!$Q$42)*10^6</f>
        <v>237415868.49539927</v>
      </c>
      <c r="K104" s="15">
        <f>('Cost Components'!$Q$44 + 'Cost Components'!$Q$42)*10^6</f>
        <v>237415868.49539927</v>
      </c>
      <c r="L104" s="15">
        <f>('Cost Components'!$Q$44 + 'Cost Components'!$Q$42)*10^6</f>
        <v>237415868.49539927</v>
      </c>
      <c r="M104" s="15">
        <f>('Cost Components'!$Q$44 + 'Cost Components'!$Q$42)*10^6</f>
        <v>237415868.49539927</v>
      </c>
      <c r="N104" s="15">
        <f>('Cost Components'!$Q$44 + 'Cost Components'!$Q$42)*10^6</f>
        <v>237415868.49539927</v>
      </c>
      <c r="O104" s="15">
        <f>('Cost Components'!$Q$44 + 'Cost Components'!$Q$42)*10^6</f>
        <v>237415868.49539927</v>
      </c>
      <c r="P104" s="15">
        <f>('Cost Components'!$Q$44 + 'Cost Components'!$Q$42)*10^6</f>
        <v>237415868.49539927</v>
      </c>
      <c r="Q104" s="15">
        <f>('Cost Components'!$Q$44 + 'Cost Components'!$Q$42)*10^6</f>
        <v>237415868.49539927</v>
      </c>
      <c r="R104" s="15">
        <f>('Cost Components'!$Q$44 + 'Cost Components'!$Q$42)*10^6</f>
        <v>237415868.49539927</v>
      </c>
      <c r="S104" s="15">
        <f>('Cost Components'!$Q$44 + 'Cost Components'!$Q$42)*10^6</f>
        <v>237415868.49539927</v>
      </c>
      <c r="T104" s="15">
        <f>('Cost Components'!$Q$44 + 'Cost Components'!$Q$42)*10^6</f>
        <v>237415868.49539927</v>
      </c>
      <c r="U104" s="15">
        <f>('Cost Components'!$Q$44 + 'Cost Components'!$Q$42)*10^6</f>
        <v>237415868.49539927</v>
      </c>
      <c r="V104" s="15">
        <f>('Cost Components'!$Q$44 + 'Cost Components'!$Q$42)*10^6</f>
        <v>237415868.49539927</v>
      </c>
      <c r="W104" s="15">
        <f>('Cost Components'!$Q$44 + 'Cost Components'!$Q$42)*10^6</f>
        <v>237415868.49539927</v>
      </c>
      <c r="X104" s="15">
        <f>('Cost Components'!$Q$44 + 'Cost Components'!$Q$42)*10^6</f>
        <v>237415868.49539927</v>
      </c>
      <c r="Y104" s="15">
        <f>('Cost Components'!$Q$44 + 'Cost Components'!$Q$42)*10^6</f>
        <v>237415868.49539927</v>
      </c>
      <c r="Z104" s="15">
        <f>('Cost Components'!$Q$44 + 'Cost Components'!$Q$42)*10^6</f>
        <v>237415868.49539927</v>
      </c>
      <c r="AA104" s="15">
        <f>('Cost Components'!$Q$44 + 'Cost Components'!$Q$42)*10^6</f>
        <v>237415868.49539927</v>
      </c>
    </row>
    <row r="105" spans="1:27" x14ac:dyDescent="0.25">
      <c r="A105" t="s">
        <v>121</v>
      </c>
      <c r="B105">
        <v>0</v>
      </c>
      <c r="C105">
        <f>'Cost Components'!$Q$36 * 10^6</f>
        <v>133699999.99999999</v>
      </c>
      <c r="D105">
        <f>'Cost Components'!$Q$36 * 10^6</f>
        <v>133699999.99999999</v>
      </c>
      <c r="E105">
        <f>'Cost Components'!$Q$36 * 10^6</f>
        <v>133699999.99999999</v>
      </c>
      <c r="F105">
        <f>'Cost Components'!$Q$36 * 10^6</f>
        <v>133699999.99999999</v>
      </c>
      <c r="G105">
        <f>'Cost Components'!$Q$36 * 10^6</f>
        <v>133699999.99999999</v>
      </c>
      <c r="H105">
        <f>'Cost Components'!$Q$36 * 10^6</f>
        <v>133699999.99999999</v>
      </c>
      <c r="I105">
        <f>'Cost Components'!$Q$36 * 10^6</f>
        <v>133699999.99999999</v>
      </c>
      <c r="J105">
        <f>'Cost Components'!$Q$36 * 10^6</f>
        <v>133699999.99999999</v>
      </c>
      <c r="K105">
        <f>'Cost Components'!$Q$36 * 10^6</f>
        <v>133699999.99999999</v>
      </c>
      <c r="L105">
        <f>'Cost Components'!$Q$36 * 10^6</f>
        <v>133699999.99999999</v>
      </c>
      <c r="M105">
        <f>'Cost Components'!$Q$36 * 10^6</f>
        <v>133699999.99999999</v>
      </c>
      <c r="N105">
        <f>'Cost Components'!$Q$36 * 10^6</f>
        <v>133699999.99999999</v>
      </c>
      <c r="O105">
        <f>'Cost Components'!$Q$36 * 10^6</f>
        <v>133699999.99999999</v>
      </c>
      <c r="P105">
        <f>'Cost Components'!$Q$36 * 10^6</f>
        <v>133699999.99999999</v>
      </c>
      <c r="Q105">
        <f>'Cost Components'!$Q$36 * 10^6</f>
        <v>133699999.99999999</v>
      </c>
      <c r="R105">
        <f>'Cost Components'!$Q$36 * 10^6</f>
        <v>133699999.99999999</v>
      </c>
      <c r="S105">
        <f>'Cost Components'!$Q$36 * 10^6</f>
        <v>133699999.99999999</v>
      </c>
      <c r="T105">
        <f>'Cost Components'!$Q$36 * 10^6</f>
        <v>133699999.99999999</v>
      </c>
      <c r="U105">
        <f>'Cost Components'!$Q$36 * 10^6</f>
        <v>133699999.99999999</v>
      </c>
      <c r="V105">
        <f>'Cost Components'!$Q$36 * 10^6</f>
        <v>133699999.99999999</v>
      </c>
      <c r="W105">
        <f>'Cost Components'!$Q$36 * 10^6</f>
        <v>133699999.99999999</v>
      </c>
      <c r="X105">
        <f>'Cost Components'!$Q$36 * 10^6</f>
        <v>133699999.99999999</v>
      </c>
      <c r="Y105">
        <f>'Cost Components'!$Q$36 * 10^6</f>
        <v>133699999.99999999</v>
      </c>
      <c r="Z105">
        <f>'Cost Components'!$Q$36 * 10^6</f>
        <v>133699999.99999999</v>
      </c>
      <c r="AA105">
        <f>'Cost Components'!$Q$36 * 10^6</f>
        <v>133699999.99999999</v>
      </c>
    </row>
    <row r="106" spans="1:27" x14ac:dyDescent="0.25">
      <c r="A106" t="s">
        <v>122</v>
      </c>
      <c r="B106">
        <f t="shared" ref="B106:AA106" si="9">B104-B105</f>
        <v>347000000</v>
      </c>
      <c r="C106">
        <f t="shared" si="9"/>
        <v>103715868.49539928</v>
      </c>
      <c r="D106">
        <f t="shared" si="9"/>
        <v>103715868.49539928</v>
      </c>
      <c r="E106">
        <f t="shared" si="9"/>
        <v>103715868.49539928</v>
      </c>
      <c r="F106">
        <f t="shared" si="9"/>
        <v>103715868.49539928</v>
      </c>
      <c r="G106">
        <f t="shared" si="9"/>
        <v>103715868.49539928</v>
      </c>
      <c r="H106">
        <f t="shared" si="9"/>
        <v>103715868.49539928</v>
      </c>
      <c r="I106">
        <f t="shared" si="9"/>
        <v>103715868.49539928</v>
      </c>
      <c r="J106">
        <f t="shared" si="9"/>
        <v>103715868.49539928</v>
      </c>
      <c r="K106">
        <f t="shared" si="9"/>
        <v>103715868.49539928</v>
      </c>
      <c r="L106">
        <f t="shared" si="9"/>
        <v>103715868.49539928</v>
      </c>
      <c r="M106">
        <f t="shared" si="9"/>
        <v>103715868.49539928</v>
      </c>
      <c r="N106">
        <f t="shared" si="9"/>
        <v>103715868.49539928</v>
      </c>
      <c r="O106">
        <f t="shared" si="9"/>
        <v>103715868.49539928</v>
      </c>
      <c r="P106">
        <f t="shared" si="9"/>
        <v>103715868.49539928</v>
      </c>
      <c r="Q106">
        <f t="shared" si="9"/>
        <v>103715868.49539928</v>
      </c>
      <c r="R106">
        <f t="shared" si="9"/>
        <v>103715868.49539928</v>
      </c>
      <c r="S106">
        <f t="shared" si="9"/>
        <v>103715868.49539928</v>
      </c>
      <c r="T106">
        <f t="shared" si="9"/>
        <v>103715868.49539928</v>
      </c>
      <c r="U106">
        <f t="shared" si="9"/>
        <v>103715868.49539928</v>
      </c>
      <c r="V106">
        <f t="shared" si="9"/>
        <v>103715868.49539928</v>
      </c>
      <c r="W106">
        <f t="shared" si="9"/>
        <v>103715868.49539928</v>
      </c>
      <c r="X106">
        <f t="shared" si="9"/>
        <v>103715868.49539928</v>
      </c>
      <c r="Y106">
        <f t="shared" si="9"/>
        <v>103715868.49539928</v>
      </c>
      <c r="Z106">
        <f t="shared" si="9"/>
        <v>103715868.49539928</v>
      </c>
      <c r="AA106">
        <f t="shared" si="9"/>
        <v>103715868.49539928</v>
      </c>
    </row>
    <row r="107" spans="1:27" x14ac:dyDescent="0.25">
      <c r="A107" t="s">
        <v>123</v>
      </c>
      <c r="B107">
        <f>B106/(1+Inputs!$C$5) ^'Production Cost Baseline'!B$2</f>
        <v>347000000</v>
      </c>
      <c r="C107">
        <f>C106/(1+Inputs!$C$5) ^'Production Cost Baseline'!C$2</f>
        <v>96930718.219999328</v>
      </c>
      <c r="D107">
        <f>D106/(1+Inputs!$C$5) ^'Production Cost Baseline'!D$2</f>
        <v>90589456.280373201</v>
      </c>
      <c r="E107">
        <f>E106/(1+Inputs!$C$5) ^'Production Cost Baseline'!E$2</f>
        <v>84663043.252685234</v>
      </c>
      <c r="F107">
        <f>F106/(1+Inputs!$C$5) ^'Production Cost Baseline'!F$2</f>
        <v>79124339.48849088</v>
      </c>
      <c r="G107">
        <f>G106/(1+Inputs!$C$5) ^'Production Cost Baseline'!G$2</f>
        <v>73947980.8303653</v>
      </c>
      <c r="H107">
        <f>H106/(1+Inputs!$C$5) ^'Production Cost Baseline'!H$2</f>
        <v>69110262.458285332</v>
      </c>
      <c r="I107">
        <f>I106/(1+Inputs!$C$5) ^'Production Cost Baseline'!I$2</f>
        <v>64589030.334846094</v>
      </c>
      <c r="J107">
        <f>J106/(1+Inputs!$C$5) ^'Production Cost Baseline'!J$2</f>
        <v>60363579.752192616</v>
      </c>
      <c r="K107">
        <f>K106/(1+Inputs!$C$5) ^'Production Cost Baseline'!K$2</f>
        <v>56414560.516067863</v>
      </c>
      <c r="L107">
        <f>L106/(1+Inputs!$C$5) ^'Production Cost Baseline'!L$2</f>
        <v>52723888.3327737</v>
      </c>
      <c r="M107">
        <f>M106/(1+Inputs!$C$5) ^'Production Cost Baseline'!M$2</f>
        <v>49274661.993246444</v>
      </c>
      <c r="N107">
        <f>N106/(1+Inputs!$C$5) ^'Production Cost Baseline'!N$2</f>
        <v>46051085.974996686</v>
      </c>
      <c r="O107">
        <f>O106/(1+Inputs!$C$5) ^'Production Cost Baseline'!O$2</f>
        <v>43038398.107473537</v>
      </c>
      <c r="P107">
        <f>P106/(1+Inputs!$C$5) ^'Production Cost Baseline'!P$2</f>
        <v>40222801.969601437</v>
      </c>
      <c r="Q107">
        <f>Q106/(1+Inputs!$C$5) ^'Production Cost Baseline'!Q$2</f>
        <v>37591403.709907882</v>
      </c>
      <c r="R107">
        <f>R106/(1+Inputs!$C$5) ^'Production Cost Baseline'!R$2</f>
        <v>35132152.999913909</v>
      </c>
      <c r="S107">
        <f>S106/(1+Inputs!$C$5) ^'Production Cost Baseline'!S$2</f>
        <v>32833787.850386832</v>
      </c>
      <c r="T107">
        <f>T106/(1+Inputs!$C$5) ^'Production Cost Baseline'!T$2</f>
        <v>30685783.037744705</v>
      </c>
      <c r="U107">
        <f>U106/(1+Inputs!$C$5) ^'Production Cost Baseline'!U$2</f>
        <v>28678301.904434301</v>
      </c>
      <c r="V107">
        <f>V106/(1+Inputs!$C$5) ^'Production Cost Baseline'!V$2</f>
        <v>26802151.312555421</v>
      </c>
      <c r="W107">
        <f>W106/(1+Inputs!$C$5) ^'Production Cost Baseline'!W$2</f>
        <v>25048739.544444319</v>
      </c>
      <c r="X107">
        <f>X106/(1+Inputs!$C$5) ^'Production Cost Baseline'!X$2</f>
        <v>23410036.957424596</v>
      </c>
      <c r="Y107">
        <f>Y106/(1+Inputs!$C$5) ^'Production Cost Baseline'!Y$2</f>
        <v>21878539.212546352</v>
      </c>
      <c r="Z107">
        <f>Z106/(1+Inputs!$C$5) ^'Production Cost Baseline'!Z$2</f>
        <v>20447232.908921823</v>
      </c>
      <c r="AA107">
        <f>AA106/(1+Inputs!$C$5) ^'Production Cost Baseline'!AA$2</f>
        <v>19109563.466282077</v>
      </c>
    </row>
    <row r="108" spans="1:27" x14ac:dyDescent="0.25">
      <c r="A108" t="s">
        <v>124</v>
      </c>
      <c r="B108">
        <v>0</v>
      </c>
      <c r="C108">
        <f>'Study Parameters'!$C$16*'Study Parameters'!$C$8 * 10^3</f>
        <v>54400000</v>
      </c>
      <c r="D108">
        <f>'Study Parameters'!$C$16*'Study Parameters'!$C$8 * 10^3</f>
        <v>54400000</v>
      </c>
      <c r="E108">
        <f>'Study Parameters'!$C$16*'Study Parameters'!$C$8 * 10^3</f>
        <v>54400000</v>
      </c>
      <c r="F108">
        <f>'Study Parameters'!$C$16*'Study Parameters'!$C$8 * 10^3</f>
        <v>54400000</v>
      </c>
      <c r="G108">
        <f>'Study Parameters'!$C$16*'Study Parameters'!$C$8 * 10^3</f>
        <v>54400000</v>
      </c>
      <c r="H108">
        <f>'Study Parameters'!$C$16*'Study Parameters'!$C$8 * 10^3</f>
        <v>54400000</v>
      </c>
      <c r="I108">
        <f>'Study Parameters'!$C$16*'Study Parameters'!$C$8 * 10^3</f>
        <v>54400000</v>
      </c>
      <c r="J108">
        <f>'Study Parameters'!$C$16*'Study Parameters'!$C$8 * 10^3</f>
        <v>54400000</v>
      </c>
      <c r="K108">
        <f>'Study Parameters'!$C$16*'Study Parameters'!$C$8 * 10^3</f>
        <v>54400000</v>
      </c>
      <c r="L108">
        <f>'Study Parameters'!$C$16*'Study Parameters'!$C$8 * 10^3</f>
        <v>54400000</v>
      </c>
      <c r="M108">
        <f>'Study Parameters'!$C$16*'Study Parameters'!$C$8 * 10^3</f>
        <v>54400000</v>
      </c>
      <c r="N108">
        <f>'Study Parameters'!$C$16*'Study Parameters'!$C$8 * 10^3</f>
        <v>54400000</v>
      </c>
      <c r="O108">
        <f>'Study Parameters'!$C$16*'Study Parameters'!$C$8 * 10^3</f>
        <v>54400000</v>
      </c>
      <c r="P108">
        <f>'Study Parameters'!$C$16*'Study Parameters'!$C$8 * 10^3</f>
        <v>54400000</v>
      </c>
      <c r="Q108">
        <f>'Study Parameters'!$C$16*'Study Parameters'!$C$8 * 10^3</f>
        <v>54400000</v>
      </c>
      <c r="R108">
        <f>'Study Parameters'!$C$16*'Study Parameters'!$C$8 * 10^3</f>
        <v>54400000</v>
      </c>
      <c r="S108">
        <f>'Study Parameters'!$C$16*'Study Parameters'!$C$8 * 10^3</f>
        <v>54400000</v>
      </c>
      <c r="T108">
        <f>'Study Parameters'!$C$16*'Study Parameters'!$C$8 * 10^3</f>
        <v>54400000</v>
      </c>
      <c r="U108">
        <f>'Study Parameters'!$C$16*'Study Parameters'!$C$8 * 10^3</f>
        <v>54400000</v>
      </c>
      <c r="V108">
        <f>'Study Parameters'!$C$16*'Study Parameters'!$C$8 * 10^3</f>
        <v>54400000</v>
      </c>
      <c r="W108">
        <f>'Study Parameters'!$C$16*'Study Parameters'!$C$8 * 10^3</f>
        <v>54400000</v>
      </c>
      <c r="X108">
        <f>'Study Parameters'!$C$16*'Study Parameters'!$C$8 * 10^3</f>
        <v>54400000</v>
      </c>
      <c r="Y108">
        <f>'Study Parameters'!$C$16*'Study Parameters'!$C$8 * 10^3</f>
        <v>54400000</v>
      </c>
      <c r="Z108">
        <f>'Study Parameters'!$C$16*'Study Parameters'!$C$8 * 10^3</f>
        <v>54400000</v>
      </c>
      <c r="AA108">
        <f>'Study Parameters'!$C$16*'Study Parameters'!$C$8 * 10^3</f>
        <v>54400000</v>
      </c>
    </row>
    <row r="109" spans="1:27" x14ac:dyDescent="0.25">
      <c r="A109" t="s">
        <v>125</v>
      </c>
      <c r="B109">
        <f>B108/(1+Inputs!$C$5) ^'Production Cost Baseline'!B$2</f>
        <v>0</v>
      </c>
      <c r="C109">
        <f>C108/(1+Inputs!$C$5) ^'Production Cost Baseline'!C$2</f>
        <v>50841121.4953271</v>
      </c>
      <c r="D109">
        <f>D108/(1+Inputs!$C$5) ^'Production Cost Baseline'!D$2</f>
        <v>47515066.818062715</v>
      </c>
      <c r="E109">
        <f>E108/(1+Inputs!$C$5) ^'Production Cost Baseline'!E$2</f>
        <v>44406604.502862342</v>
      </c>
      <c r="F109">
        <f>F108/(1+Inputs!$C$5) ^'Production Cost Baseline'!F$2</f>
        <v>41501499.53538537</v>
      </c>
      <c r="G109">
        <f>G108/(1+Inputs!$C$5) ^'Production Cost Baseline'!G$2</f>
        <v>38786448.163911559</v>
      </c>
      <c r="H109">
        <f>H108/(1+Inputs!$C$5) ^'Production Cost Baseline'!H$2</f>
        <v>36249016.97561828</v>
      </c>
      <c r="I109">
        <f>I108/(1+Inputs!$C$5) ^'Production Cost Baseline'!I$2</f>
        <v>33877585.958521754</v>
      </c>
      <c r="J109">
        <f>J108/(1+Inputs!$C$5) ^'Production Cost Baseline'!J$2</f>
        <v>31661295.288338091</v>
      </c>
      <c r="K109">
        <f>K108/(1+Inputs!$C$5) ^'Production Cost Baseline'!K$2</f>
        <v>29589995.596577652</v>
      </c>
      <c r="L109">
        <f>L108/(1+Inputs!$C$5) ^'Production Cost Baseline'!L$2</f>
        <v>27654201.492128648</v>
      </c>
      <c r="M109">
        <f>M108/(1+Inputs!$C$5) ^'Production Cost Baseline'!M$2</f>
        <v>25845048.123484716</v>
      </c>
      <c r="N109">
        <f>N108/(1+Inputs!$C$5) ^'Production Cost Baseline'!N$2</f>
        <v>24154250.582695998</v>
      </c>
      <c r="O109">
        <f>O108/(1+Inputs!$C$5) ^'Production Cost Baseline'!O$2</f>
        <v>22574065.965136446</v>
      </c>
      <c r="P109">
        <f>P108/(1+Inputs!$C$5) ^'Production Cost Baseline'!P$2</f>
        <v>21097257.911342476</v>
      </c>
      <c r="Q109">
        <f>Q108/(1+Inputs!$C$5) ^'Production Cost Baseline'!Q$2</f>
        <v>19717063.468544368</v>
      </c>
      <c r="R109">
        <f>R108/(1+Inputs!$C$5) ^'Production Cost Baseline'!R$2</f>
        <v>18427162.120134924</v>
      </c>
      <c r="S109">
        <f>S108/(1+Inputs!$C$5) ^'Production Cost Baseline'!S$2</f>
        <v>17221646.841247592</v>
      </c>
      <c r="T109">
        <f>T108/(1+Inputs!$C$5) ^'Production Cost Baseline'!T$2</f>
        <v>16094997.047894945</v>
      </c>
      <c r="U109">
        <f>U108/(1+Inputs!$C$5) ^'Production Cost Baseline'!U$2</f>
        <v>15042053.315789668</v>
      </c>
      <c r="V109">
        <f>V108/(1+Inputs!$C$5) ^'Production Cost Baseline'!V$2</f>
        <v>14057993.753074458</v>
      </c>
      <c r="W109">
        <f>W108/(1+Inputs!$C$5) ^'Production Cost Baseline'!W$2</f>
        <v>13138311.918761175</v>
      </c>
      <c r="X109">
        <f>X108/(1+Inputs!$C$5) ^'Production Cost Baseline'!X$2</f>
        <v>12278796.185758106</v>
      </c>
      <c r="Y109">
        <f>Y108/(1+Inputs!$C$5) ^'Production Cost Baseline'!Y$2</f>
        <v>11475510.453979539</v>
      </c>
      <c r="Z109">
        <f>Z108/(1+Inputs!$C$5) ^'Production Cost Baseline'!Z$2</f>
        <v>10724776.125214523</v>
      </c>
      <c r="AA109">
        <f>AA108/(1+Inputs!$C$5) ^'Production Cost Baseline'!AA$2</f>
        <v>10023155.257209834</v>
      </c>
    </row>
    <row r="111" spans="1:27" x14ac:dyDescent="0.25">
      <c r="A111" t="s">
        <v>126</v>
      </c>
      <c r="B111">
        <f>SUM(B107:AA107) / SUM(C109:AA109)</f>
        <v>2.4538992274075415</v>
      </c>
    </row>
    <row r="112" spans="1:27" x14ac:dyDescent="0.25">
      <c r="A112" t="s">
        <v>127</v>
      </c>
      <c r="B112">
        <f>B111 * Inputs!$C$15</f>
        <v>1.9704810796082559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0A8B-634A-6442-9417-F0F1FBDE8D91}">
  <dimension ref="A1:AA24"/>
  <sheetViews>
    <sheetView workbookViewId="0">
      <selection activeCell="E22" sqref="E22"/>
    </sheetView>
  </sheetViews>
  <sheetFormatPr defaultColWidth="11" defaultRowHeight="15.75" x14ac:dyDescent="0.25"/>
  <sheetData>
    <row r="1" spans="1:27" x14ac:dyDescent="0.25">
      <c r="A1" t="s">
        <v>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</row>
    <row r="2" spans="1:27" x14ac:dyDescent="0.25">
      <c r="A2">
        <v>2024</v>
      </c>
    </row>
    <row r="3" spans="1:27" x14ac:dyDescent="0.25">
      <c r="A3" t="s">
        <v>137</v>
      </c>
      <c r="B3">
        <v>0</v>
      </c>
      <c r="C3">
        <f>('Cost Components'!$B$41) / (1+Inputs!$C$5)^'Cost Breakdown'!C1</f>
        <v>276.76261682242989</v>
      </c>
      <c r="D3">
        <f>('Cost Components'!$B$41) / (1+Inputs!$C$5)^'Cost Breakdown'!D1</f>
        <v>258.65665123591583</v>
      </c>
      <c r="E3">
        <f>('Cost Components'!$B$41) / (1+Inputs!$C$5)^'Cost Breakdown'!E1</f>
        <v>241.73518807094933</v>
      </c>
      <c r="F3">
        <f>('Cost Components'!$B$41) / (1+Inputs!$C$5)^'Cost Breakdown'!F1</f>
        <v>225.92073651490594</v>
      </c>
      <c r="G3">
        <f>('Cost Components'!$B$41) / (1+Inputs!$C$5)^'Cost Breakdown'!G1</f>
        <v>211.14087524757562</v>
      </c>
      <c r="H3">
        <f>('Cost Components'!$B$41) / (1+Inputs!$C$5)^'Cost Breakdown'!H1</f>
        <v>197.32792079212678</v>
      </c>
      <c r="I3">
        <f>('Cost Components'!$B$41) / (1+Inputs!$C$5)^'Cost Breakdown'!I1</f>
        <v>184.41861756273528</v>
      </c>
      <c r="J3">
        <f>('Cost Components'!$B$41) / (1+Inputs!$C$5)^'Cost Breakdown'!J1</f>
        <v>172.35384818947225</v>
      </c>
      <c r="K3">
        <f>('Cost Components'!$B$41) / (1+Inputs!$C$5)^'Cost Breakdown'!K1</f>
        <v>161.07836279389926</v>
      </c>
      <c r="L3">
        <f>('Cost Components'!$B$41) / (1+Inputs!$C$5)^'Cost Breakdown'!L1</f>
        <v>150.54052597560681</v>
      </c>
      <c r="M3">
        <f>('Cost Components'!$B$41) / (1+Inputs!$C$5)^'Cost Breakdown'!M1</f>
        <v>140.69208035103438</v>
      </c>
      <c r="N3">
        <f>('Cost Components'!$B$41) / (1+Inputs!$C$5)^'Cost Breakdown'!N1</f>
        <v>131.48792556171441</v>
      </c>
      <c r="O3">
        <f>('Cost Components'!$B$41) / (1+Inputs!$C$5)^'Cost Breakdown'!O1</f>
        <v>122.88591173991999</v>
      </c>
      <c r="P3">
        <f>('Cost Components'!$B$41) / (1+Inputs!$C$5)^'Cost Breakdown'!P1</f>
        <v>114.84664648590653</v>
      </c>
      <c r="Q3">
        <f>('Cost Components'!$B$41) / (1+Inputs!$C$5)^'Cost Breakdown'!Q1</f>
        <v>107.33331447280983</v>
      </c>
      <c r="R3">
        <f>('Cost Components'!$B$41) / (1+Inputs!$C$5)^'Cost Breakdown'!R1</f>
        <v>100.31150885309331</v>
      </c>
      <c r="S3">
        <f>('Cost Components'!$B$41) / (1+Inputs!$C$5)^'Cost Breakdown'!S1</f>
        <v>93.749073694479733</v>
      </c>
      <c r="T3">
        <f>('Cost Components'!$B$41) / (1+Inputs!$C$5)^'Cost Breakdown'!T1</f>
        <v>87.615956723812829</v>
      </c>
      <c r="U3">
        <f>('Cost Components'!$B$41) / (1+Inputs!$C$5)^'Cost Breakdown'!U1</f>
        <v>81.88407170449797</v>
      </c>
      <c r="V3">
        <f>('Cost Components'!$B$41) / (1+Inputs!$C$5)^'Cost Breakdown'!V1</f>
        <v>76.527169817287827</v>
      </c>
      <c r="W3">
        <f>('Cost Components'!$B$41) / (1+Inputs!$C$5)^'Cost Breakdown'!W1</f>
        <v>71.520719455409179</v>
      </c>
      <c r="X3">
        <f>('Cost Components'!$B$41) / (1+Inputs!$C$5)^'Cost Breakdown'!X1</f>
        <v>66.841793883559987</v>
      </c>
      <c r="Y3">
        <f>('Cost Components'!$B$41) / (1+Inputs!$C$5)^'Cost Breakdown'!Y1</f>
        <v>62.468966246317741</v>
      </c>
      <c r="Z3">
        <f>('Cost Components'!$B$41) / (1+Inputs!$C$5)^'Cost Breakdown'!Z1</f>
        <v>58.382211445156763</v>
      </c>
      <c r="AA3">
        <f>('Cost Components'!$B$41) / (1+Inputs!$C$5)^'Cost Breakdown'!AA1</f>
        <v>54.562814434725944</v>
      </c>
    </row>
    <row r="4" spans="1:27" x14ac:dyDescent="0.25">
      <c r="A4" t="s">
        <v>98</v>
      </c>
      <c r="B4">
        <v>0</v>
      </c>
      <c r="C4">
        <f>('Cost Components'!$B$40) / (1+Inputs!$C$5)^'Cost Breakdown'!C1</f>
        <v>133.68117383755794</v>
      </c>
      <c r="D4">
        <f>('Cost Components'!$B$40) / (1+Inputs!$C$5)^'Cost Breakdown'!D1</f>
        <v>124.935676483699</v>
      </c>
      <c r="E4">
        <f>('Cost Components'!$B$40) / (1+Inputs!$C$5)^'Cost Breakdown'!E1</f>
        <v>116.76231447074672</v>
      </c>
      <c r="F4">
        <f>('Cost Components'!$B$40) / (1+Inputs!$C$5)^'Cost Breakdown'!F1</f>
        <v>109.12365838387545</v>
      </c>
      <c r="G4">
        <f>('Cost Components'!$B$40) / (1+Inputs!$C$5)^'Cost Breakdown'!G1</f>
        <v>101.98472746156583</v>
      </c>
      <c r="H4">
        <f>('Cost Components'!$B$40) / (1+Inputs!$C$5)^'Cost Breakdown'!H1</f>
        <v>95.312829403332557</v>
      </c>
      <c r="I4">
        <f>('Cost Components'!$B$40) / (1+Inputs!$C$5)^'Cost Breakdown'!I1</f>
        <v>89.077410657320144</v>
      </c>
      <c r="J4">
        <f>('Cost Components'!$B$40) / (1+Inputs!$C$5)^'Cost Breakdown'!J1</f>
        <v>83.249916502168361</v>
      </c>
      <c r="K4">
        <f>('Cost Components'!$B$40) / (1+Inputs!$C$5)^'Cost Breakdown'!K1</f>
        <v>77.80366028240033</v>
      </c>
      <c r="L4">
        <f>('Cost Components'!$B$40) / (1+Inputs!$C$5)^'Cost Breakdown'!L1</f>
        <v>72.713701198504978</v>
      </c>
      <c r="M4">
        <f>('Cost Components'!$B$40) / (1+Inputs!$C$5)^'Cost Breakdown'!M1</f>
        <v>67.956730092060724</v>
      </c>
      <c r="N4">
        <f>('Cost Components'!$B$40) / (1+Inputs!$C$5)^'Cost Breakdown'!N1</f>
        <v>63.510962702860503</v>
      </c>
      <c r="O4">
        <f>('Cost Components'!$B$40) / (1+Inputs!$C$5)^'Cost Breakdown'!O1</f>
        <v>59.356039909215419</v>
      </c>
      <c r="P4">
        <f>('Cost Components'!$B$40) / (1+Inputs!$C$5)^'Cost Breakdown'!P1</f>
        <v>55.472934494593851</v>
      </c>
      <c r="Q4">
        <f>('Cost Components'!$B$40) / (1+Inputs!$C$5)^'Cost Breakdown'!Q1</f>
        <v>51.843864013639106</v>
      </c>
      <c r="R4">
        <f>('Cost Components'!$B$40) / (1+Inputs!$C$5)^'Cost Breakdown'!R1</f>
        <v>48.452209358541225</v>
      </c>
      <c r="S4">
        <f>('Cost Components'!$B$40) / (1+Inputs!$C$5)^'Cost Breakdown'!S1</f>
        <v>45.282438652842266</v>
      </c>
      <c r="T4">
        <f>('Cost Components'!$B$40) / (1+Inputs!$C$5)^'Cost Breakdown'!T1</f>
        <v>42.320036124151649</v>
      </c>
      <c r="U4">
        <f>('Cost Components'!$B$40) / (1+Inputs!$C$5)^'Cost Breakdown'!U1</f>
        <v>39.551435630048267</v>
      </c>
      <c r="V4">
        <f>('Cost Components'!$B$40) / (1+Inputs!$C$5)^'Cost Breakdown'!V1</f>
        <v>36.963958532755399</v>
      </c>
      <c r="W4">
        <f>('Cost Components'!$B$40) / (1+Inputs!$C$5)^'Cost Breakdown'!W1</f>
        <v>34.545755638089155</v>
      </c>
      <c r="X4">
        <f>('Cost Components'!$B$40) / (1+Inputs!$C$5)^'Cost Breakdown'!X1</f>
        <v>32.285752932793599</v>
      </c>
      <c r="Y4">
        <f>('Cost Components'!$B$40) / (1+Inputs!$C$5)^'Cost Breakdown'!Y1</f>
        <v>30.173600871769722</v>
      </c>
      <c r="Z4">
        <f>('Cost Components'!$B$40) / (1+Inputs!$C$5)^'Cost Breakdown'!Z1</f>
        <v>28.199626982962354</v>
      </c>
      <c r="AA4">
        <f>('Cost Components'!$B$40) / (1+Inputs!$C$5)^'Cost Breakdown'!AA1</f>
        <v>26.354791572862013</v>
      </c>
    </row>
    <row r="5" spans="1:27" x14ac:dyDescent="0.25">
      <c r="A5" t="s">
        <v>76</v>
      </c>
      <c r="B5">
        <f>'Cost Components'!B12</f>
        <v>1870.76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95</v>
      </c>
      <c r="B6">
        <v>0</v>
      </c>
      <c r="C6">
        <f>('Cost Components'!$B$21)/ (1+Inputs!$C$5)^'Cost Breakdown'!C1</f>
        <v>121.02803738317756</v>
      </c>
      <c r="D6">
        <f>('Cost Components'!$B$21)/ (1+Inputs!$C$5)^'Cost Breakdown'!D1</f>
        <v>113.1103153113809</v>
      </c>
      <c r="E6">
        <f>('Cost Components'!$B$21)/ (1+Inputs!$C$5)^'Cost Breakdown'!E1</f>
        <v>105.71057505736532</v>
      </c>
      <c r="F6">
        <f>('Cost Components'!$B$21)/ (1+Inputs!$C$5)^'Cost Breakdown'!F1</f>
        <v>98.794929960154519</v>
      </c>
      <c r="G6">
        <f>('Cost Components'!$B$21)/ (1+Inputs!$C$5)^'Cost Breakdown'!G1</f>
        <v>92.331710243135049</v>
      </c>
      <c r="H6">
        <f>('Cost Components'!$B$21)/ (1+Inputs!$C$5)^'Cost Breakdown'!H1</f>
        <v>86.291317984238376</v>
      </c>
      <c r="I6">
        <f>('Cost Components'!$B$21)/ (1+Inputs!$C$5)^'Cost Breakdown'!I1</f>
        <v>80.646091574054552</v>
      </c>
      <c r="J6">
        <f>('Cost Components'!$B$21)/ (1+Inputs!$C$5)^'Cost Breakdown'!J1</f>
        <v>75.370179041172477</v>
      </c>
      <c r="K6">
        <f>('Cost Components'!$B$21)/ (1+Inputs!$C$5)^'Cost Breakdown'!K1</f>
        <v>70.439419664647161</v>
      </c>
      <c r="L6">
        <f>('Cost Components'!$B$21)/ (1+Inputs!$C$5)^'Cost Breakdown'!L1</f>
        <v>65.831233331445958</v>
      </c>
      <c r="M6">
        <f>('Cost Components'!$B$21)/ (1+Inputs!$C$5)^'Cost Breakdown'!M1</f>
        <v>61.524517132192472</v>
      </c>
      <c r="N6">
        <f>('Cost Components'!$B$21)/ (1+Inputs!$C$5)^'Cost Breakdown'!N1</f>
        <v>57.499548721675218</v>
      </c>
      <c r="O6">
        <f>('Cost Components'!$B$21)/ (1+Inputs!$C$5)^'Cost Breakdown'!O1</f>
        <v>53.737896001565623</v>
      </c>
      <c r="P6">
        <f>('Cost Components'!$B$21)/ (1+Inputs!$C$5)^'Cost Breakdown'!P1</f>
        <v>50.222332711743576</v>
      </c>
      <c r="Q6">
        <f>('Cost Components'!$B$21)/ (1+Inputs!$C$5)^'Cost Breakdown'!Q1</f>
        <v>46.936759543685575</v>
      </c>
      <c r="R6">
        <f>('Cost Components'!$B$21)/ (1+Inputs!$C$5)^'Cost Breakdown'!R1</f>
        <v>43.866130414659423</v>
      </c>
      <c r="S6">
        <f>('Cost Components'!$B$21)/ (1+Inputs!$C$5)^'Cost Breakdown'!S1</f>
        <v>40.996383565102263</v>
      </c>
      <c r="T6">
        <f>('Cost Components'!$B$21)/ (1+Inputs!$C$5)^'Cost Breakdown'!T1</f>
        <v>38.314377163646974</v>
      </c>
      <c r="U6">
        <f>('Cost Components'!$B$21)/ (1+Inputs!$C$5)^'Cost Breakdown'!U1</f>
        <v>35.807829124903712</v>
      </c>
      <c r="V6">
        <f>('Cost Components'!$B$21)/ (1+Inputs!$C$5)^'Cost Breakdown'!V1</f>
        <v>33.465260864395994</v>
      </c>
      <c r="W6">
        <f>('Cost Components'!$B$21)/ (1+Inputs!$C$5)^'Cost Breakdown'!W1</f>
        <v>31.275944733080369</v>
      </c>
      <c r="X6">
        <f>('Cost Components'!$B$21)/ (1+Inputs!$C$5)^'Cost Breakdown'!X1</f>
        <v>29.229854890729317</v>
      </c>
      <c r="Y6">
        <f>('Cost Components'!$B$21)/ (1+Inputs!$C$5)^'Cost Breakdown'!Y1</f>
        <v>27.31762139320497</v>
      </c>
      <c r="Z6">
        <f>('Cost Components'!$B$21)/ (1+Inputs!$C$5)^'Cost Breakdown'!Z1</f>
        <v>25.53048728336913</v>
      </c>
      <c r="AA6">
        <f>('Cost Components'!$B$21)/ (1+Inputs!$C$5)^'Cost Breakdown'!AA1</f>
        <v>23.860268489130025</v>
      </c>
    </row>
    <row r="8" spans="1:27" x14ac:dyDescent="0.25">
      <c r="A8" t="s">
        <v>138</v>
      </c>
    </row>
    <row r="9" spans="1:27" x14ac:dyDescent="0.25">
      <c r="A9" t="s">
        <v>137</v>
      </c>
      <c r="B9" s="17">
        <f>SUM(B3:AA3) / SUM($B$3:$AA$6)</f>
        <v>0.40610761007463636</v>
      </c>
    </row>
    <row r="10" spans="1:27" x14ac:dyDescent="0.25">
      <c r="A10" t="s">
        <v>98</v>
      </c>
      <c r="B10" s="17">
        <f t="shared" ref="B10:B12" si="0">SUM(B4:AA4) / SUM($B$3:$AA$6)</f>
        <v>0.19615706283762402</v>
      </c>
    </row>
    <row r="11" spans="1:27" x14ac:dyDescent="0.25">
      <c r="A11" t="s">
        <v>76</v>
      </c>
      <c r="B11" s="17">
        <f t="shared" si="0"/>
        <v>0.22014484330776898</v>
      </c>
    </row>
    <row r="12" spans="1:27" x14ac:dyDescent="0.25">
      <c r="A12" t="s">
        <v>95</v>
      </c>
      <c r="B12" s="17">
        <f t="shared" si="0"/>
        <v>0.17759048377997066</v>
      </c>
    </row>
    <row r="14" spans="1:27" x14ac:dyDescent="0.25">
      <c r="A14">
        <v>2050</v>
      </c>
    </row>
    <row r="15" spans="1:27" x14ac:dyDescent="0.25">
      <c r="A15" t="s">
        <v>137</v>
      </c>
      <c r="B15">
        <v>0</v>
      </c>
      <c r="C15" s="8">
        <f>('Cost Components'!$M$42) / (1+Inputs!$C$5)^'Cost Breakdown'!C1</f>
        <v>105.57757009345794</v>
      </c>
      <c r="D15" s="8">
        <f>('Cost Components'!$M$42) / (1+Inputs!$C$5)^'Cost Breakdown'!D1</f>
        <v>98.670626255568166</v>
      </c>
      <c r="E15" s="8">
        <f>('Cost Components'!$M$42) / (1+Inputs!$C$5)^'Cost Breakdown'!E1</f>
        <v>92.215538556605765</v>
      </c>
      <c r="F15" s="8">
        <f>('Cost Components'!$M$42) / (1+Inputs!$C$5)^'Cost Breakdown'!F1</f>
        <v>86.182746314584833</v>
      </c>
      <c r="G15" s="8">
        <f>('Cost Components'!$M$42) / (1+Inputs!$C$5)^'Cost Breakdown'!G1</f>
        <v>80.544622723911047</v>
      </c>
      <c r="H15" s="8">
        <f>('Cost Components'!$M$42) / (1+Inputs!$C$5)^'Cost Breakdown'!H1</f>
        <v>75.27534834010379</v>
      </c>
      <c r="I15" s="8">
        <f>('Cost Components'!$M$42) / (1+Inputs!$C$5)^'Cost Breakdown'!I1</f>
        <v>70.350792841218492</v>
      </c>
      <c r="J15" s="8">
        <f>('Cost Components'!$M$42) / (1+Inputs!$C$5)^'Cost Breakdown'!J1</f>
        <v>65.748404524503258</v>
      </c>
      <c r="K15" s="8">
        <f>('Cost Components'!$M$42) / (1+Inputs!$C$5)^'Cost Breakdown'!K1</f>
        <v>61.447107032246031</v>
      </c>
      <c r="L15" s="8">
        <f>('Cost Components'!$M$42) / (1+Inputs!$C$5)^'Cost Breakdown'!L1</f>
        <v>57.427202833874802</v>
      </c>
      <c r="M15" s="8">
        <f>('Cost Components'!$M$42) / (1+Inputs!$C$5)^'Cost Breakdown'!M1</f>
        <v>53.670283022312894</v>
      </c>
      <c r="N15" s="8">
        <f>('Cost Components'!$M$42) / (1+Inputs!$C$5)^'Cost Breakdown'!N1</f>
        <v>50.159143011507382</v>
      </c>
      <c r="O15" s="8">
        <f>('Cost Components'!$M$42) / (1+Inputs!$C$5)^'Cost Breakdown'!O1</f>
        <v>46.877703749072317</v>
      </c>
      <c r="P15" s="8">
        <f>('Cost Components'!$M$42) / (1+Inputs!$C$5)^'Cost Breakdown'!P1</f>
        <v>43.810938083245162</v>
      </c>
      <c r="Q15" s="8">
        <f>('Cost Components'!$M$42) / (1+Inputs!$C$5)^'Cost Breakdown'!Q1</f>
        <v>40.944801946958087</v>
      </c>
      <c r="R15" s="8">
        <f>('Cost Components'!$M$42) / (1+Inputs!$C$5)^'Cost Breakdown'!R1</f>
        <v>38.266170043886071</v>
      </c>
      <c r="S15" s="8">
        <f>('Cost Components'!$M$42) / (1+Inputs!$C$5)^'Cost Breakdown'!S1</f>
        <v>35.762775741949596</v>
      </c>
      <c r="T15" s="8">
        <f>('Cost Components'!$M$42) / (1+Inputs!$C$5)^'Cost Breakdown'!T1</f>
        <v>33.423154899018314</v>
      </c>
      <c r="U15" s="8">
        <f>('Cost Components'!$M$42) / (1+Inputs!$C$5)^'Cost Breakdown'!U1</f>
        <v>31.236593363568517</v>
      </c>
      <c r="V15" s="8">
        <f>('Cost Components'!$M$42) / (1+Inputs!$C$5)^'Cost Breakdown'!V1</f>
        <v>29.193077909877122</v>
      </c>
      <c r="W15" s="8">
        <f>('Cost Components'!$M$42) / (1+Inputs!$C$5)^'Cost Breakdown'!W1</f>
        <v>27.283250383062729</v>
      </c>
      <c r="X15" s="8">
        <f>('Cost Components'!$M$42) / (1+Inputs!$C$5)^'Cost Breakdown'!X1</f>
        <v>25.498364843983857</v>
      </c>
      <c r="Y15" s="8">
        <f>('Cost Components'!$M$42) / (1+Inputs!$C$5)^'Cost Breakdown'!Y1</f>
        <v>23.830247517741924</v>
      </c>
      <c r="Z15" s="8">
        <f>('Cost Components'!$M$42) / (1+Inputs!$C$5)^'Cost Breakdown'!Z1</f>
        <v>22.271259362375627</v>
      </c>
      <c r="AA15" s="8">
        <f>('Cost Components'!$M$42) / (1+Inputs!$C$5)^'Cost Breakdown'!AA1</f>
        <v>20.814261086332362</v>
      </c>
    </row>
    <row r="16" spans="1:27" x14ac:dyDescent="0.25">
      <c r="A16" t="s">
        <v>98</v>
      </c>
      <c r="B16">
        <v>0</v>
      </c>
      <c r="C16">
        <f>('Cost Components'!$M$40) / (1+Inputs!$C$5)^'Cost Breakdown'!C1</f>
        <v>24.517520912208774</v>
      </c>
      <c r="D16">
        <f>('Cost Components'!$M$40) / (1+Inputs!$C$5)^'Cost Breakdown'!D1</f>
        <v>22.913570945989509</v>
      </c>
      <c r="E16">
        <f>('Cost Components'!$M$40) / (1+Inputs!$C$5)^'Cost Breakdown'!E1</f>
        <v>21.414552285971499</v>
      </c>
      <c r="F16">
        <f>('Cost Components'!$M$40) / (1+Inputs!$C$5)^'Cost Breakdown'!F1</f>
        <v>20.013600267263087</v>
      </c>
      <c r="G16">
        <f>('Cost Components'!$M$40) / (1+Inputs!$C$5)^'Cost Breakdown'!G1</f>
        <v>18.704299315199144</v>
      </c>
      <c r="H16">
        <f>('Cost Components'!$M$40) / (1+Inputs!$C$5)^'Cost Breakdown'!H1</f>
        <v>17.48065356560668</v>
      </c>
      <c r="I16">
        <f>('Cost Components'!$M$40) / (1+Inputs!$C$5)^'Cost Breakdown'!I1</f>
        <v>16.337059407109045</v>
      </c>
      <c r="J16">
        <f>('Cost Components'!$M$40) / (1+Inputs!$C$5)^'Cost Breakdown'!J1</f>
        <v>15.268279819728079</v>
      </c>
      <c r="K16">
        <f>('Cost Components'!$M$40) / (1+Inputs!$C$5)^'Cost Breakdown'!K1</f>
        <v>14.269420392269231</v>
      </c>
      <c r="L16">
        <f>('Cost Components'!$M$40) / (1+Inputs!$C$5)^'Cost Breakdown'!L1</f>
        <v>13.335906908662833</v>
      </c>
      <c r="M16">
        <f>('Cost Components'!$M$40) / (1+Inputs!$C$5)^'Cost Breakdown'!M1</f>
        <v>12.463464400619468</v>
      </c>
      <c r="N16">
        <f>('Cost Components'!$M$40) / (1+Inputs!$C$5)^'Cost Breakdown'!N1</f>
        <v>11.648097570672403</v>
      </c>
      <c r="O16">
        <f>('Cost Components'!$M$40) / (1+Inputs!$C$5)^'Cost Breakdown'!O1</f>
        <v>10.886072495955515</v>
      </c>
      <c r="P16">
        <f>('Cost Components'!$M$40) / (1+Inputs!$C$5)^'Cost Breakdown'!P1</f>
        <v>10.17389952893039</v>
      </c>
      <c r="Q16">
        <f>('Cost Components'!$M$40) / (1+Inputs!$C$5)^'Cost Breakdown'!Q1</f>
        <v>9.5083173167573722</v>
      </c>
      <c r="R16">
        <f>('Cost Components'!$M$40) / (1+Inputs!$C$5)^'Cost Breakdown'!R1</f>
        <v>8.8862778661283865</v>
      </c>
      <c r="S16">
        <f>('Cost Components'!$M$40) / (1+Inputs!$C$5)^'Cost Breakdown'!S1</f>
        <v>8.304932585166716</v>
      </c>
      <c r="T16">
        <f>('Cost Components'!$M$40) / (1+Inputs!$C$5)^'Cost Breakdown'!T1</f>
        <v>7.7616192384735667</v>
      </c>
      <c r="U16">
        <f>('Cost Components'!$M$40) / (1+Inputs!$C$5)^'Cost Breakdown'!U1</f>
        <v>7.2538497555827721</v>
      </c>
      <c r="V16">
        <f>('Cost Components'!$M$40) / (1+Inputs!$C$5)^'Cost Breakdown'!V1</f>
        <v>6.7792988369932452</v>
      </c>
      <c r="W16">
        <f>('Cost Components'!$M$40) / (1+Inputs!$C$5)^'Cost Breakdown'!W1</f>
        <v>6.3357933056011637</v>
      </c>
      <c r="X16">
        <f>('Cost Components'!$M$40) / (1+Inputs!$C$5)^'Cost Breakdown'!X1</f>
        <v>5.9213021547674423</v>
      </c>
      <c r="Y16">
        <f>('Cost Components'!$M$40) / (1+Inputs!$C$5)^'Cost Breakdown'!Y1</f>
        <v>5.5339272474462078</v>
      </c>
      <c r="Z16">
        <f>('Cost Components'!$M$40) / (1+Inputs!$C$5)^'Cost Breakdown'!Z1</f>
        <v>5.171894623781502</v>
      </c>
      <c r="AA16">
        <f>('Cost Components'!$M$40) / (1+Inputs!$C$5)^'Cost Breakdown'!AA1</f>
        <v>4.8335463773658898</v>
      </c>
    </row>
    <row r="17" spans="1:27" x14ac:dyDescent="0.25">
      <c r="A17" t="s">
        <v>76</v>
      </c>
      <c r="B17">
        <f>'Cost Components'!M12</f>
        <v>575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95</v>
      </c>
      <c r="B18">
        <v>0</v>
      </c>
      <c r="C18">
        <f>('Cost Components'!$M$18)/ (1+Inputs!$C$5)^'Cost Breakdown'!C1</f>
        <v>121.02803738317756</v>
      </c>
      <c r="D18">
        <f>('Cost Components'!$M$18)/ (1+Inputs!$C$5)^'Cost Breakdown'!D1</f>
        <v>113.1103153113809</v>
      </c>
      <c r="E18">
        <f>('Cost Components'!$M$18)/ (1+Inputs!$C$5)^'Cost Breakdown'!E1</f>
        <v>105.71057505736532</v>
      </c>
      <c r="F18">
        <f>('Cost Components'!$M$18)/ (1+Inputs!$C$5)^'Cost Breakdown'!F1</f>
        <v>98.794929960154519</v>
      </c>
      <c r="G18">
        <f>('Cost Components'!$M$18)/ (1+Inputs!$C$5)^'Cost Breakdown'!G1</f>
        <v>92.331710243135049</v>
      </c>
      <c r="H18">
        <f>('Cost Components'!$M$18)/ (1+Inputs!$C$5)^'Cost Breakdown'!H1</f>
        <v>86.291317984238376</v>
      </c>
      <c r="I18">
        <f>('Cost Components'!$M$18)/ (1+Inputs!$C$5)^'Cost Breakdown'!I1</f>
        <v>80.646091574054552</v>
      </c>
      <c r="J18">
        <f>('Cost Components'!$M$18)/ (1+Inputs!$C$5)^'Cost Breakdown'!J1</f>
        <v>75.370179041172477</v>
      </c>
      <c r="K18">
        <f>('Cost Components'!$M$18)/ (1+Inputs!$C$5)^'Cost Breakdown'!K1</f>
        <v>70.439419664647161</v>
      </c>
      <c r="L18">
        <f>('Cost Components'!$M$18)/ (1+Inputs!$C$5)^'Cost Breakdown'!L1</f>
        <v>65.831233331445958</v>
      </c>
      <c r="M18">
        <f>('Cost Components'!$M$18)/ (1+Inputs!$C$5)^'Cost Breakdown'!M1</f>
        <v>61.524517132192472</v>
      </c>
      <c r="N18">
        <f>('Cost Components'!$M$18)/ (1+Inputs!$C$5)^'Cost Breakdown'!N1</f>
        <v>57.499548721675218</v>
      </c>
      <c r="O18">
        <f>('Cost Components'!$M$18)/ (1+Inputs!$C$5)^'Cost Breakdown'!O1</f>
        <v>53.737896001565623</v>
      </c>
      <c r="P18">
        <f>('Cost Components'!$M$18)/ (1+Inputs!$C$5)^'Cost Breakdown'!P1</f>
        <v>50.222332711743576</v>
      </c>
      <c r="Q18">
        <f>('Cost Components'!$M$18)/ (1+Inputs!$C$5)^'Cost Breakdown'!Q1</f>
        <v>46.936759543685575</v>
      </c>
      <c r="R18">
        <f>('Cost Components'!$M$18)/ (1+Inputs!$C$5)^'Cost Breakdown'!R1</f>
        <v>43.866130414659423</v>
      </c>
      <c r="S18">
        <f>('Cost Components'!$M$18)/ (1+Inputs!$C$5)^'Cost Breakdown'!S1</f>
        <v>40.996383565102263</v>
      </c>
      <c r="T18">
        <f>('Cost Components'!$M$18)/ (1+Inputs!$C$5)^'Cost Breakdown'!T1</f>
        <v>38.314377163646974</v>
      </c>
      <c r="U18">
        <f>('Cost Components'!$M$18)/ (1+Inputs!$C$5)^'Cost Breakdown'!U1</f>
        <v>35.807829124903712</v>
      </c>
      <c r="V18">
        <f>('Cost Components'!$M$18)/ (1+Inputs!$C$5)^'Cost Breakdown'!V1</f>
        <v>33.465260864395994</v>
      </c>
      <c r="W18">
        <f>('Cost Components'!$M$18)/ (1+Inputs!$C$5)^'Cost Breakdown'!W1</f>
        <v>31.275944733080369</v>
      </c>
      <c r="X18">
        <f>('Cost Components'!$M$18)/ (1+Inputs!$C$5)^'Cost Breakdown'!X1</f>
        <v>29.229854890729317</v>
      </c>
      <c r="Y18">
        <f>('Cost Components'!$M$18)/ (1+Inputs!$C$5)^'Cost Breakdown'!Y1</f>
        <v>27.31762139320497</v>
      </c>
      <c r="Z18">
        <f>('Cost Components'!$M$18)/ (1+Inputs!$C$5)^'Cost Breakdown'!Z1</f>
        <v>25.53048728336913</v>
      </c>
      <c r="AA18">
        <f>('Cost Components'!$M$18)/ (1+Inputs!$C$5)^'Cost Breakdown'!AA1</f>
        <v>23.860268489130025</v>
      </c>
    </row>
    <row r="20" spans="1:27" x14ac:dyDescent="0.25">
      <c r="A20" t="s">
        <v>138</v>
      </c>
    </row>
    <row r="21" spans="1:27" x14ac:dyDescent="0.25">
      <c r="A21" t="s">
        <v>137</v>
      </c>
      <c r="B21" s="17">
        <f>SUM(B15:AA15) / SUM($B$15:$AA$18)</f>
        <v>0.35519748239815635</v>
      </c>
    </row>
    <row r="22" spans="1:27" x14ac:dyDescent="0.25">
      <c r="A22" t="s">
        <v>98</v>
      </c>
      <c r="B22" s="17">
        <f t="shared" ref="B22:B24" si="1">SUM(B16:AA16) / SUM($B$15:$AA$18)</f>
        <v>8.2484960536142585E-2</v>
      </c>
    </row>
    <row r="23" spans="1:27" x14ac:dyDescent="0.25">
      <c r="A23" t="s">
        <v>76</v>
      </c>
      <c r="B23" s="17">
        <f t="shared" si="1"/>
        <v>0.15513964853796511</v>
      </c>
    </row>
    <row r="24" spans="1:27" x14ac:dyDescent="0.25">
      <c r="A24" t="s">
        <v>95</v>
      </c>
      <c r="B24" s="17">
        <f t="shared" si="1"/>
        <v>0.40717790852773578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21"/>
  <sheetViews>
    <sheetView workbookViewId="0">
      <selection activeCell="C11" sqref="C11"/>
    </sheetView>
  </sheetViews>
  <sheetFormatPr defaultColWidth="11" defaultRowHeight="15.75" x14ac:dyDescent="0.25"/>
  <cols>
    <col min="6" max="6" width="15.125" bestFit="1" customWidth="1"/>
    <col min="34" max="34" width="15.125" bestFit="1" customWidth="1"/>
  </cols>
  <sheetData>
    <row r="1" spans="1:34" x14ac:dyDescent="0.25">
      <c r="A1" s="21" t="s">
        <v>139</v>
      </c>
      <c r="B1" s="22"/>
      <c r="C1" s="22"/>
      <c r="D1" s="22"/>
      <c r="E1" s="22"/>
      <c r="F1" s="22"/>
      <c r="H1" s="21" t="s">
        <v>140</v>
      </c>
      <c r="I1" s="22"/>
      <c r="J1" s="22"/>
      <c r="K1" s="22"/>
      <c r="L1" s="22"/>
      <c r="M1" s="22"/>
      <c r="O1" s="21" t="s">
        <v>141</v>
      </c>
      <c r="P1" s="22"/>
      <c r="Q1" s="22"/>
      <c r="R1" s="22"/>
      <c r="S1" s="22"/>
      <c r="T1" s="22"/>
      <c r="V1" s="21" t="s">
        <v>142</v>
      </c>
      <c r="W1" s="22"/>
      <c r="X1" s="22"/>
      <c r="Y1" s="22"/>
      <c r="Z1" s="22"/>
      <c r="AA1" s="22"/>
      <c r="AC1" s="21" t="s">
        <v>143</v>
      </c>
      <c r="AD1" s="22"/>
      <c r="AE1" s="22"/>
      <c r="AF1" s="22"/>
      <c r="AG1" s="22"/>
      <c r="AH1" s="22"/>
    </row>
    <row r="2" spans="1:34" x14ac:dyDescent="0.25">
      <c r="A2" s="12" t="s">
        <v>0</v>
      </c>
      <c r="B2" s="12" t="s">
        <v>3</v>
      </c>
      <c r="C2" s="13" t="s">
        <v>144</v>
      </c>
      <c r="D2" s="13" t="s">
        <v>145</v>
      </c>
      <c r="E2" s="13" t="s">
        <v>146</v>
      </c>
      <c r="F2" s="13" t="s">
        <v>147</v>
      </c>
      <c r="H2" s="12" t="s">
        <v>0</v>
      </c>
      <c r="I2" s="12" t="s">
        <v>3</v>
      </c>
      <c r="J2" s="13" t="s">
        <v>144</v>
      </c>
      <c r="K2" s="13" t="s">
        <v>145</v>
      </c>
      <c r="L2" s="13" t="s">
        <v>146</v>
      </c>
      <c r="M2" s="13" t="s">
        <v>147</v>
      </c>
      <c r="O2" s="12" t="s">
        <v>0</v>
      </c>
      <c r="P2" s="12" t="s">
        <v>3</v>
      </c>
      <c r="Q2" s="13" t="s">
        <v>144</v>
      </c>
      <c r="R2" s="13" t="s">
        <v>145</v>
      </c>
      <c r="S2" s="13" t="s">
        <v>146</v>
      </c>
      <c r="T2" s="13" t="s">
        <v>147</v>
      </c>
      <c r="V2" s="12" t="s">
        <v>0</v>
      </c>
      <c r="W2" s="12" t="s">
        <v>3</v>
      </c>
      <c r="X2" s="13" t="s">
        <v>144</v>
      </c>
      <c r="Y2" s="13" t="s">
        <v>145</v>
      </c>
      <c r="Z2" s="13" t="s">
        <v>146</v>
      </c>
      <c r="AA2" s="13" t="s">
        <v>147</v>
      </c>
      <c r="AC2" s="12" t="s">
        <v>0</v>
      </c>
      <c r="AD2" s="12" t="s">
        <v>3</v>
      </c>
      <c r="AE2" s="13" t="s">
        <v>144</v>
      </c>
      <c r="AF2" s="13" t="s">
        <v>145</v>
      </c>
      <c r="AG2" s="13" t="s">
        <v>146</v>
      </c>
      <c r="AH2" s="13" t="s">
        <v>147</v>
      </c>
    </row>
    <row r="3" spans="1:34" x14ac:dyDescent="0.25">
      <c r="A3" s="12" t="s">
        <v>148</v>
      </c>
      <c r="B3" s="12" t="s">
        <v>149</v>
      </c>
      <c r="C3" s="13">
        <f>'Production Cost Baseline'!B12</f>
        <v>6.9852593431640226</v>
      </c>
      <c r="D3" s="13">
        <f>'LCOE Corrected Production Cost '!B12</f>
        <v>4.4253375238101151</v>
      </c>
      <c r="E3" s="13">
        <f>'CO2 Corrected Production Cost'!B12</f>
        <v>6.9368857811157802</v>
      </c>
      <c r="F3" s="13">
        <f>'WACC Corrected Production Cost'!B12</f>
        <v>6.8857344555782563</v>
      </c>
      <c r="H3" s="12" t="s">
        <v>148</v>
      </c>
      <c r="I3" s="12" t="s">
        <v>149</v>
      </c>
      <c r="J3" s="13">
        <f>'Production Cost Baseline'!B34</f>
        <v>9.7861520369970734</v>
      </c>
      <c r="K3" s="13">
        <f>'LCOE Corrected Production Cost '!B23</f>
        <v>5.2984041154535682</v>
      </c>
      <c r="L3" s="13">
        <f>'CO2 Corrected Production Cost'!B23</f>
        <v>11.688504644186299</v>
      </c>
      <c r="M3" s="13">
        <f>'WACC Corrected Production Cost'!B23</f>
        <v>11.595970429885609</v>
      </c>
      <c r="O3" s="12" t="s">
        <v>148</v>
      </c>
      <c r="P3" s="12" t="s">
        <v>149</v>
      </c>
      <c r="Q3" s="13">
        <f>'Production Cost Baseline'!B56</f>
        <v>9.6151199491999648</v>
      </c>
      <c r="R3" s="13">
        <f>'LCOE Corrected Production Cost '!B34</f>
        <v>6.7030755517279417</v>
      </c>
      <c r="S3" s="13">
        <f>'CO2 Corrected Production Cost'!B34</f>
        <v>11.349822316845287</v>
      </c>
      <c r="T3" s="13">
        <f>'WACC Corrected Production Cost'!B34</f>
        <v>11.277477997878714</v>
      </c>
      <c r="V3" s="12" t="s">
        <v>148</v>
      </c>
      <c r="W3" s="12" t="s">
        <v>149</v>
      </c>
      <c r="X3" s="13">
        <f>'Production Cost Baseline'!B78</f>
        <v>5.5871953048575786</v>
      </c>
      <c r="Y3" s="13">
        <f>'LCOE Corrected Production Cost '!B45</f>
        <v>3.309732818630601</v>
      </c>
      <c r="Z3" s="13">
        <f>'CO2 Corrected Production Cost'!B45</f>
        <v>6.7073269263474566</v>
      </c>
      <c r="AA3" s="13">
        <f>'WACC Corrected Production Cost'!B45</f>
        <v>6.6593895941117545</v>
      </c>
      <c r="AC3" s="12" t="s">
        <v>148</v>
      </c>
      <c r="AD3" s="12" t="s">
        <v>149</v>
      </c>
      <c r="AE3" s="13">
        <f>'Production Cost Baseline'!B100</f>
        <v>6.4640086546965954</v>
      </c>
      <c r="AF3" s="13">
        <f>'LCOE Corrected Production Cost '!B56</f>
        <v>3.5434230225367673</v>
      </c>
      <c r="AG3" s="13">
        <f>'CO2 Corrected Production Cost'!B56</f>
        <v>7.0704350612507527</v>
      </c>
      <c r="AH3" s="13">
        <f>'WACC Corrected Production Cost'!B56</f>
        <v>7.015877996217319</v>
      </c>
    </row>
    <row r="4" spans="1:34" x14ac:dyDescent="0.25">
      <c r="A4" s="12" t="s">
        <v>148</v>
      </c>
      <c r="B4" s="12" t="s">
        <v>21</v>
      </c>
      <c r="C4" s="16">
        <f>C3*Inputs!$C$6</f>
        <v>6.2867334088476206</v>
      </c>
      <c r="D4" s="16">
        <f>D3*Inputs!$C$6</f>
        <v>3.9828037714291038</v>
      </c>
      <c r="E4" s="16">
        <f>E3*Inputs!$C$6</f>
        <v>6.2431972030042022</v>
      </c>
      <c r="F4" s="16">
        <f>F3*Inputs!$C$6</f>
        <v>6.1971610100204311</v>
      </c>
      <c r="H4" s="12" t="s">
        <v>148</v>
      </c>
      <c r="I4" s="12" t="s">
        <v>21</v>
      </c>
      <c r="J4" s="16">
        <f>J3*Inputs!$C$6</f>
        <v>8.807536833297366</v>
      </c>
      <c r="K4" s="16">
        <f>K3*Inputs!$C$6</f>
        <v>4.7685637039082112</v>
      </c>
      <c r="L4" s="16">
        <f>L3*Inputs!$C$6</f>
        <v>10.51965417976767</v>
      </c>
      <c r="M4" s="16">
        <f>M3*Inputs!$C$6</f>
        <v>10.436373386897049</v>
      </c>
      <c r="O4" s="12" t="s">
        <v>148</v>
      </c>
      <c r="P4" s="12" t="s">
        <v>21</v>
      </c>
      <c r="Q4" s="16">
        <f>Q3*Inputs!$C$6</f>
        <v>8.653607954279968</v>
      </c>
      <c r="R4" s="16">
        <f>R3*Inputs!$C$6</f>
        <v>6.0327679965551475</v>
      </c>
      <c r="S4" s="16">
        <f>S3*Inputs!$C$6</f>
        <v>10.214840085160759</v>
      </c>
      <c r="T4" s="16">
        <f>T3*Inputs!$C$6</f>
        <v>10.149730198090843</v>
      </c>
      <c r="V4" s="12" t="s">
        <v>148</v>
      </c>
      <c r="W4" s="12" t="s">
        <v>21</v>
      </c>
      <c r="X4" s="16">
        <f>X3*Inputs!$C$6</f>
        <v>5.0284757743718211</v>
      </c>
      <c r="Y4" s="16">
        <f>Y3*Inputs!$C$6</f>
        <v>2.9787595367675408</v>
      </c>
      <c r="Z4" s="16">
        <f>Z3*Inputs!$C$6</f>
        <v>6.0365942337127114</v>
      </c>
      <c r="AA4" s="16">
        <f>AA3*Inputs!$C$6</f>
        <v>5.9934506347005794</v>
      </c>
      <c r="AC4" s="12" t="s">
        <v>148</v>
      </c>
      <c r="AD4" s="12" t="s">
        <v>21</v>
      </c>
      <c r="AE4" s="16">
        <f>AE3*Inputs!$C$6</f>
        <v>5.817607789226936</v>
      </c>
      <c r="AF4" s="16">
        <f>AF3*Inputs!$C$6</f>
        <v>3.1890807202830906</v>
      </c>
      <c r="AG4" s="16">
        <f>AG3*Inputs!$C$6</f>
        <v>6.3633915551256779</v>
      </c>
      <c r="AH4" s="16">
        <f>AH3*Inputs!$C$6</f>
        <v>6.3142901965955875</v>
      </c>
    </row>
    <row r="5" spans="1:34" x14ac:dyDescent="0.25">
      <c r="A5" s="12" t="s">
        <v>150</v>
      </c>
      <c r="B5" s="12" t="s">
        <v>21</v>
      </c>
      <c r="C5" s="16">
        <f>Inputs!$C$16</f>
        <v>0.8</v>
      </c>
      <c r="D5" s="16">
        <f>Inputs!$C$16</f>
        <v>0.8</v>
      </c>
      <c r="E5" s="16">
        <f>Inputs!$C$16</f>
        <v>0.8</v>
      </c>
      <c r="F5" s="16">
        <f>Inputs!$C$16</f>
        <v>0.8</v>
      </c>
      <c r="H5" s="12" t="s">
        <v>150</v>
      </c>
      <c r="I5" s="12" t="s">
        <v>21</v>
      </c>
      <c r="J5" s="16">
        <f>Inputs!$C$16</f>
        <v>0.8</v>
      </c>
      <c r="K5" s="16">
        <f>Inputs!$C$16</f>
        <v>0.8</v>
      </c>
      <c r="L5" s="16">
        <f>Inputs!$C$16</f>
        <v>0.8</v>
      </c>
      <c r="M5" s="16">
        <f>Inputs!$C$16</f>
        <v>0.8</v>
      </c>
      <c r="O5" s="12" t="s">
        <v>150</v>
      </c>
      <c r="P5" s="12" t="s">
        <v>21</v>
      </c>
      <c r="Q5" s="16">
        <f>Inputs!$C$16</f>
        <v>0.8</v>
      </c>
      <c r="R5" s="16">
        <f>Inputs!$C$16</f>
        <v>0.8</v>
      </c>
      <c r="S5" s="16">
        <f>Inputs!$C$16</f>
        <v>0.8</v>
      </c>
      <c r="T5" s="16">
        <f>Inputs!$C$16</f>
        <v>0.8</v>
      </c>
      <c r="V5" s="12" t="s">
        <v>150</v>
      </c>
      <c r="W5" s="12" t="s">
        <v>21</v>
      </c>
      <c r="X5" s="16">
        <f>Inputs!$C$16</f>
        <v>0.8</v>
      </c>
      <c r="Y5" s="16">
        <f>Inputs!$C$16</f>
        <v>0.8</v>
      </c>
      <c r="Z5" s="16">
        <f>Inputs!$C$16</f>
        <v>0.8</v>
      </c>
      <c r="AA5" s="16">
        <f>Inputs!$C$16</f>
        <v>0.8</v>
      </c>
      <c r="AC5" s="12" t="s">
        <v>150</v>
      </c>
      <c r="AD5" s="12" t="s">
        <v>21</v>
      </c>
      <c r="AE5" s="16">
        <f>Inputs!$C$16</f>
        <v>0.8</v>
      </c>
      <c r="AF5" s="16">
        <f>Inputs!$C$16</f>
        <v>0.8</v>
      </c>
      <c r="AG5" s="16">
        <f>Inputs!$C$16</f>
        <v>0.8</v>
      </c>
      <c r="AH5" s="16">
        <f>Inputs!$C$16</f>
        <v>0.8</v>
      </c>
    </row>
    <row r="6" spans="1:34" x14ac:dyDescent="0.25">
      <c r="A6" s="12" t="s">
        <v>151</v>
      </c>
      <c r="B6" s="12" t="s">
        <v>152</v>
      </c>
      <c r="C6" s="13">
        <f>'Study Parameters'!$C$40</f>
        <v>0</v>
      </c>
      <c r="D6" s="13">
        <f>'Study Parameters'!$C$40</f>
        <v>0</v>
      </c>
      <c r="E6" s="13">
        <f>'Study Parameters'!$C$40</f>
        <v>0</v>
      </c>
      <c r="F6" s="13">
        <f>'Study Parameters'!$C$40</f>
        <v>0</v>
      </c>
      <c r="H6" s="12" t="s">
        <v>151</v>
      </c>
      <c r="I6" s="12" t="s">
        <v>152</v>
      </c>
      <c r="J6" s="13">
        <f>'Study Parameters'!$C$40</f>
        <v>0</v>
      </c>
      <c r="K6" s="13">
        <f>'Study Parameters'!$C$40</f>
        <v>0</v>
      </c>
      <c r="L6" s="13">
        <f>'Study Parameters'!$C$40</f>
        <v>0</v>
      </c>
      <c r="M6" s="13">
        <f>'Study Parameters'!$C$40</f>
        <v>0</v>
      </c>
      <c r="O6" s="12" t="s">
        <v>151</v>
      </c>
      <c r="P6" s="12" t="s">
        <v>152</v>
      </c>
      <c r="Q6" s="13">
        <f>'Study Parameters'!$C$40</f>
        <v>0</v>
      </c>
      <c r="R6" s="13">
        <f>'Study Parameters'!$C$40</f>
        <v>0</v>
      </c>
      <c r="S6" s="13">
        <f>'Study Parameters'!$C$40</f>
        <v>0</v>
      </c>
      <c r="T6" s="13">
        <f>'Study Parameters'!$C$40</f>
        <v>0</v>
      </c>
      <c r="V6" s="12" t="s">
        <v>151</v>
      </c>
      <c r="W6" s="12" t="s">
        <v>152</v>
      </c>
      <c r="X6" s="13">
        <f>'Study Parameters'!$C$40</f>
        <v>0</v>
      </c>
      <c r="Y6" s="13">
        <f>'Study Parameters'!$C$40</f>
        <v>0</v>
      </c>
      <c r="Z6" s="13">
        <f>'Study Parameters'!$C$40</f>
        <v>0</v>
      </c>
      <c r="AA6" s="13">
        <f>'Study Parameters'!$C$40</f>
        <v>0</v>
      </c>
      <c r="AC6" s="12" t="s">
        <v>151</v>
      </c>
      <c r="AD6" s="12" t="s">
        <v>152</v>
      </c>
      <c r="AE6" s="13">
        <f>'Study Parameters'!$C$40</f>
        <v>0</v>
      </c>
      <c r="AF6" s="13">
        <f>'Study Parameters'!$C$40</f>
        <v>0</v>
      </c>
      <c r="AG6" s="13">
        <f>'Study Parameters'!$C$40</f>
        <v>0</v>
      </c>
      <c r="AH6" s="13">
        <f>'Study Parameters'!$C$40</f>
        <v>0</v>
      </c>
    </row>
    <row r="7" spans="1:34" x14ac:dyDescent="0.25">
      <c r="A7" s="12" t="s">
        <v>153</v>
      </c>
      <c r="B7" s="12" t="s">
        <v>152</v>
      </c>
      <c r="C7" s="13">
        <f>Inputs!$C$11</f>
        <v>88.7</v>
      </c>
      <c r="D7" s="13">
        <f>Inputs!$C$11</f>
        <v>88.7</v>
      </c>
      <c r="E7" s="13">
        <f>Inputs!$C$11</f>
        <v>88.7</v>
      </c>
      <c r="F7" s="13">
        <f>Inputs!$C$11</f>
        <v>88.7</v>
      </c>
      <c r="H7" s="12" t="s">
        <v>153</v>
      </c>
      <c r="I7" s="12" t="s">
        <v>152</v>
      </c>
      <c r="J7" s="13">
        <f>Inputs!$C$11</f>
        <v>88.7</v>
      </c>
      <c r="K7" s="13">
        <f>Inputs!$C$11</f>
        <v>88.7</v>
      </c>
      <c r="L7" s="13">
        <f>Inputs!$C$11</f>
        <v>88.7</v>
      </c>
      <c r="M7" s="13">
        <f>Inputs!$C$11</f>
        <v>88.7</v>
      </c>
      <c r="O7" s="12" t="s">
        <v>153</v>
      </c>
      <c r="P7" s="12" t="s">
        <v>152</v>
      </c>
      <c r="Q7" s="13">
        <f>Inputs!$C$11</f>
        <v>88.7</v>
      </c>
      <c r="R7" s="13">
        <f>Inputs!$C$11</f>
        <v>88.7</v>
      </c>
      <c r="S7" s="13">
        <f>Inputs!$C$11</f>
        <v>88.7</v>
      </c>
      <c r="T7" s="13">
        <f>Inputs!$C$11</f>
        <v>88.7</v>
      </c>
      <c r="V7" s="12" t="s">
        <v>153</v>
      </c>
      <c r="W7" s="12" t="s">
        <v>152</v>
      </c>
      <c r="X7" s="13">
        <f>Inputs!$C$11</f>
        <v>88.7</v>
      </c>
      <c r="Y7" s="13">
        <f>Inputs!$C$11</f>
        <v>88.7</v>
      </c>
      <c r="Z7" s="13">
        <f>Inputs!$C$11</f>
        <v>88.7</v>
      </c>
      <c r="AA7" s="13">
        <f>Inputs!$C$11</f>
        <v>88.7</v>
      </c>
      <c r="AC7" s="12" t="s">
        <v>153</v>
      </c>
      <c r="AD7" s="12" t="s">
        <v>152</v>
      </c>
      <c r="AE7" s="13">
        <f>Inputs!$C$11</f>
        <v>88.7</v>
      </c>
      <c r="AF7" s="13">
        <f>Inputs!$C$11</f>
        <v>88.7</v>
      </c>
      <c r="AG7" s="13">
        <f>Inputs!$C$11</f>
        <v>88.7</v>
      </c>
      <c r="AH7" s="13">
        <f>Inputs!$C$11</f>
        <v>88.7</v>
      </c>
    </row>
    <row r="8" spans="1:34" x14ac:dyDescent="0.25">
      <c r="A8" s="12" t="s">
        <v>154</v>
      </c>
      <c r="B8" s="12" t="s">
        <v>152</v>
      </c>
      <c r="C8" s="13">
        <f>C7-C6</f>
        <v>88.7</v>
      </c>
      <c r="D8" s="13">
        <f>D7-D6</f>
        <v>88.7</v>
      </c>
      <c r="E8" s="13">
        <f>E7-E6</f>
        <v>88.7</v>
      </c>
      <c r="F8" s="13">
        <f>F7-F6</f>
        <v>88.7</v>
      </c>
      <c r="H8" s="12" t="s">
        <v>154</v>
      </c>
      <c r="I8" s="12" t="s">
        <v>152</v>
      </c>
      <c r="J8" s="13">
        <f>J7-J6</f>
        <v>88.7</v>
      </c>
      <c r="K8" s="13">
        <f>K7-K6</f>
        <v>88.7</v>
      </c>
      <c r="L8" s="13">
        <f>L7-L6</f>
        <v>88.7</v>
      </c>
      <c r="M8" s="13">
        <f>M7-M6</f>
        <v>88.7</v>
      </c>
      <c r="O8" s="12" t="s">
        <v>154</v>
      </c>
      <c r="P8" s="12" t="s">
        <v>152</v>
      </c>
      <c r="Q8" s="13">
        <f>Q7-Q6</f>
        <v>88.7</v>
      </c>
      <c r="R8" s="13">
        <f>R7-R6</f>
        <v>88.7</v>
      </c>
      <c r="S8" s="13">
        <f>S7-S6</f>
        <v>88.7</v>
      </c>
      <c r="T8" s="13">
        <f>T7-T6</f>
        <v>88.7</v>
      </c>
      <c r="V8" s="12" t="s">
        <v>154</v>
      </c>
      <c r="W8" s="12" t="s">
        <v>152</v>
      </c>
      <c r="X8" s="13">
        <f>X7-X6</f>
        <v>88.7</v>
      </c>
      <c r="Y8" s="13">
        <f>Y7-Y6</f>
        <v>88.7</v>
      </c>
      <c r="Z8" s="13">
        <f>Z7-Z6</f>
        <v>88.7</v>
      </c>
      <c r="AA8" s="13">
        <f>AA7-AA6</f>
        <v>88.7</v>
      </c>
      <c r="AC8" s="12" t="s">
        <v>154</v>
      </c>
      <c r="AD8" s="12" t="s">
        <v>152</v>
      </c>
      <c r="AE8" s="13">
        <f>AE7-AE6</f>
        <v>88.7</v>
      </c>
      <c r="AF8" s="13">
        <f>AF7-AF6</f>
        <v>88.7</v>
      </c>
      <c r="AG8" s="13">
        <f>AG7-AG6</f>
        <v>88.7</v>
      </c>
      <c r="AH8" s="13">
        <f>AH7-AH6</f>
        <v>88.7</v>
      </c>
    </row>
    <row r="9" spans="1:34" x14ac:dyDescent="0.25">
      <c r="A9" s="12" t="s">
        <v>154</v>
      </c>
      <c r="B9" s="12" t="s">
        <v>155</v>
      </c>
      <c r="C9" s="13">
        <f>C8*Inputs!$C$14</f>
        <v>3076.9675200000006</v>
      </c>
      <c r="D9" s="13">
        <f>D8*Inputs!$C$14</f>
        <v>3076.9675200000006</v>
      </c>
      <c r="E9" s="13">
        <f>E8*Inputs!$C$14</f>
        <v>3076.9675200000006</v>
      </c>
      <c r="F9" s="13">
        <f>F8*Inputs!$C$14</f>
        <v>3076.9675200000006</v>
      </c>
      <c r="H9" s="12" t="s">
        <v>154</v>
      </c>
      <c r="I9" s="12" t="s">
        <v>155</v>
      </c>
      <c r="J9" s="13">
        <f>J8*Inputs!$C$14</f>
        <v>3076.9675200000006</v>
      </c>
      <c r="K9" s="13">
        <f>K8*Inputs!$C$14</f>
        <v>3076.9675200000006</v>
      </c>
      <c r="L9" s="13">
        <f>L8*Inputs!$C$14</f>
        <v>3076.9675200000006</v>
      </c>
      <c r="M9" s="13">
        <f>M8*Inputs!$C$14</f>
        <v>3076.9675200000006</v>
      </c>
      <c r="O9" s="12" t="s">
        <v>154</v>
      </c>
      <c r="P9" s="12" t="s">
        <v>155</v>
      </c>
      <c r="Q9" s="13">
        <f>Q8*Inputs!$C$14</f>
        <v>3076.9675200000006</v>
      </c>
      <c r="R9" s="13">
        <f>R8*Inputs!$C$14</f>
        <v>3076.9675200000006</v>
      </c>
      <c r="S9" s="13">
        <f>S8*Inputs!$C$14</f>
        <v>3076.9675200000006</v>
      </c>
      <c r="T9" s="13">
        <f>T8*Inputs!$C$14</f>
        <v>3076.9675200000006</v>
      </c>
      <c r="V9" s="12" t="s">
        <v>154</v>
      </c>
      <c r="W9" s="12" t="s">
        <v>155</v>
      </c>
      <c r="X9" s="13">
        <f>X8*Inputs!$C$14</f>
        <v>3076.9675200000006</v>
      </c>
      <c r="Y9" s="13">
        <f>Y8*Inputs!$C$14</f>
        <v>3076.9675200000006</v>
      </c>
      <c r="Z9" s="13">
        <f>Z8*Inputs!$C$14</f>
        <v>3076.9675200000006</v>
      </c>
      <c r="AA9" s="13">
        <f>AA8*Inputs!$C$14</f>
        <v>3076.9675200000006</v>
      </c>
      <c r="AC9" s="12" t="s">
        <v>154</v>
      </c>
      <c r="AD9" s="12" t="s">
        <v>155</v>
      </c>
      <c r="AE9" s="13">
        <f>AE8*Inputs!$C$14</f>
        <v>3076.9675200000006</v>
      </c>
      <c r="AF9" s="13">
        <f>AF8*Inputs!$C$14</f>
        <v>3076.9675200000006</v>
      </c>
      <c r="AG9" s="13">
        <f>AG8*Inputs!$C$14</f>
        <v>3076.9675200000006</v>
      </c>
      <c r="AH9" s="13">
        <f>AH8*Inputs!$C$14</f>
        <v>3076.9675200000006</v>
      </c>
    </row>
    <row r="10" spans="1:34" x14ac:dyDescent="0.25">
      <c r="A10" s="12" t="s">
        <v>156</v>
      </c>
      <c r="B10" s="12" t="s">
        <v>29</v>
      </c>
      <c r="C10" s="13">
        <f>(C4-C5) / C9 * 10^6</f>
        <v>1783.162601874855</v>
      </c>
      <c r="D10" s="13">
        <f>(D4-D5) / D9 * 10^6</f>
        <v>1034.3962848945193</v>
      </c>
      <c r="E10" s="13">
        <f>(E4-E5) / E9 * 10^6</f>
        <v>1769.0135393448031</v>
      </c>
      <c r="F10" s="13">
        <f>(F4-F5) / F9 * 10^6</f>
        <v>1754.0519927296568</v>
      </c>
      <c r="H10" s="12" t="s">
        <v>156</v>
      </c>
      <c r="I10" s="12" t="s">
        <v>29</v>
      </c>
      <c r="J10" s="13">
        <f>(J4-J5) / J9 * 10^6</f>
        <v>2602.4118815844254</v>
      </c>
      <c r="K10" s="13">
        <f>(K4-K5) / K9 * 10^6</f>
        <v>1289.7645744106555</v>
      </c>
      <c r="L10" s="13">
        <f>(L4-L5) / L9 * 10^6</f>
        <v>3158.8419821109023</v>
      </c>
      <c r="M10" s="13">
        <f>(M4-M5) / M9 * 10^6</f>
        <v>3131.7761153673296</v>
      </c>
      <c r="O10" s="12" t="s">
        <v>156</v>
      </c>
      <c r="P10" s="12" t="s">
        <v>29</v>
      </c>
      <c r="Q10" s="13">
        <f>(Q4-Q5) / Q9 * 10^6</f>
        <v>2552.3857184816711</v>
      </c>
      <c r="R10" s="13">
        <f>(R4-R5) / R9 * 10^6</f>
        <v>1700.6250350524163</v>
      </c>
      <c r="S10" s="13">
        <f>(S4-S5) / S9 * 10^6</f>
        <v>3059.7788322317929</v>
      </c>
      <c r="T10" s="13">
        <f>(T4-T5) / T9 * 10^6</f>
        <v>3038.6184245749987</v>
      </c>
      <c r="V10" s="12" t="s">
        <v>156</v>
      </c>
      <c r="W10" s="12" t="s">
        <v>29</v>
      </c>
      <c r="X10" s="13">
        <f>(X4-X5) / X9 * 10^6</f>
        <v>1374.2347772237194</v>
      </c>
      <c r="Y10" s="13">
        <f>(Y4-Y5) / Y9 * 10^6</f>
        <v>708.08662184628474</v>
      </c>
      <c r="Z10" s="13">
        <f>(Z4-Z5) / Z9 * 10^6</f>
        <v>1701.868544167379</v>
      </c>
      <c r="AA10" s="13">
        <f>(AA4-AA5) / AA9 * 10^6</f>
        <v>1687.8470770145075</v>
      </c>
      <c r="AC10" s="12" t="s">
        <v>156</v>
      </c>
      <c r="AD10" s="12" t="s">
        <v>29</v>
      </c>
      <c r="AE10" s="13">
        <f>(AE4-AE5) / AE9 * 10^6</f>
        <v>1630.6989776827202</v>
      </c>
      <c r="AF10" s="13">
        <f>(AF4-AF5) / AF9 * 10^6</f>
        <v>776.44001919236723</v>
      </c>
      <c r="AG10" s="13">
        <f>(AG4-AG5) / AG9 * 10^6</f>
        <v>1808.0761395640852</v>
      </c>
      <c r="AH10" s="13">
        <f>(AH4-AH5) / AH9 * 10^6</f>
        <v>1792.1184285349839</v>
      </c>
    </row>
    <row r="12" spans="1:34" x14ac:dyDescent="0.25">
      <c r="A12" s="21" t="s">
        <v>157</v>
      </c>
      <c r="B12" s="22"/>
      <c r="C12" s="22"/>
      <c r="D12" s="22"/>
      <c r="E12" s="22"/>
      <c r="F12" s="22"/>
      <c r="H12" s="21" t="s">
        <v>158</v>
      </c>
      <c r="I12" s="22"/>
      <c r="J12" s="22"/>
      <c r="K12" s="22"/>
      <c r="L12" s="22"/>
      <c r="M12" s="22"/>
      <c r="O12" s="21" t="s">
        <v>159</v>
      </c>
      <c r="P12" s="22"/>
      <c r="Q12" s="22"/>
      <c r="R12" s="22"/>
      <c r="S12" s="22"/>
      <c r="T12" s="22"/>
      <c r="V12" s="21" t="s">
        <v>160</v>
      </c>
      <c r="W12" s="22"/>
      <c r="X12" s="22"/>
      <c r="Y12" s="22"/>
      <c r="Z12" s="22"/>
      <c r="AA12" s="22"/>
      <c r="AC12" s="21" t="s">
        <v>161</v>
      </c>
      <c r="AD12" s="22"/>
      <c r="AE12" s="22"/>
      <c r="AF12" s="22"/>
      <c r="AG12" s="22"/>
      <c r="AH12" s="22"/>
    </row>
    <row r="13" spans="1:34" x14ac:dyDescent="0.25">
      <c r="A13" s="12" t="s">
        <v>0</v>
      </c>
      <c r="B13" s="12" t="s">
        <v>3</v>
      </c>
      <c r="C13" s="13" t="s">
        <v>144</v>
      </c>
      <c r="D13" s="13" t="s">
        <v>145</v>
      </c>
      <c r="E13" s="13" t="s">
        <v>146</v>
      </c>
      <c r="F13" s="13" t="s">
        <v>147</v>
      </c>
      <c r="H13" s="12" t="s">
        <v>0</v>
      </c>
      <c r="I13" s="12" t="s">
        <v>3</v>
      </c>
      <c r="J13" s="13" t="s">
        <v>144</v>
      </c>
      <c r="K13" s="13" t="s">
        <v>145</v>
      </c>
      <c r="L13" s="13" t="s">
        <v>146</v>
      </c>
      <c r="M13" s="13" t="s">
        <v>147</v>
      </c>
      <c r="O13" s="12" t="s">
        <v>0</v>
      </c>
      <c r="P13" s="12" t="s">
        <v>3</v>
      </c>
      <c r="Q13" s="13" t="s">
        <v>144</v>
      </c>
      <c r="R13" s="13" t="s">
        <v>145</v>
      </c>
      <c r="S13" s="13" t="s">
        <v>146</v>
      </c>
      <c r="T13" s="13" t="s">
        <v>147</v>
      </c>
      <c r="V13" s="12" t="s">
        <v>0</v>
      </c>
      <c r="W13" s="12" t="s">
        <v>3</v>
      </c>
      <c r="X13" s="13" t="s">
        <v>144</v>
      </c>
      <c r="Y13" s="13" t="s">
        <v>145</v>
      </c>
      <c r="Z13" s="13" t="s">
        <v>146</v>
      </c>
      <c r="AA13" s="13" t="s">
        <v>147</v>
      </c>
      <c r="AC13" s="12" t="s">
        <v>0</v>
      </c>
      <c r="AD13" s="12" t="s">
        <v>3</v>
      </c>
      <c r="AE13" s="13" t="s">
        <v>144</v>
      </c>
      <c r="AF13" s="13" t="s">
        <v>145</v>
      </c>
      <c r="AG13" s="13" t="s">
        <v>146</v>
      </c>
      <c r="AH13" s="13" t="s">
        <v>147</v>
      </c>
    </row>
    <row r="14" spans="1:34" x14ac:dyDescent="0.25">
      <c r="A14" s="12" t="s">
        <v>148</v>
      </c>
      <c r="B14" s="12" t="s">
        <v>149</v>
      </c>
      <c r="C14" s="13">
        <f>'Production Cost Baseline'!B123</f>
        <v>2.0397677208979479</v>
      </c>
      <c r="D14" s="13">
        <f>'LCOE Corrected Production Cost '!B68</f>
        <v>0.69151895129767837</v>
      </c>
      <c r="E14" s="13">
        <f>'CO2 Corrected Production Cost'!B68</f>
        <v>1.8138553613795019</v>
      </c>
      <c r="F14" s="13">
        <f>'WACC Corrected Production Cost'!B68</f>
        <v>1.7945874441452847</v>
      </c>
      <c r="H14" s="12" t="s">
        <v>148</v>
      </c>
      <c r="I14" s="12" t="s">
        <v>149</v>
      </c>
      <c r="J14" s="13">
        <f>'Production Cost Baseline'!B134</f>
        <v>4.6524957700240996</v>
      </c>
      <c r="K14" s="13">
        <f>'LCOE Corrected Production Cost '!B79</f>
        <v>2.3336247858308541</v>
      </c>
      <c r="L14" s="13">
        <f>'CO2 Corrected Production Cost'!B79</f>
        <v>5.1528542630059722</v>
      </c>
      <c r="M14" s="13">
        <f>'WACC Corrected Production Cost'!B79</f>
        <v>5.1182476077362598</v>
      </c>
      <c r="O14" s="12" t="s">
        <v>148</v>
      </c>
      <c r="P14" s="12" t="s">
        <v>149</v>
      </c>
      <c r="Q14" s="13">
        <f>'Production Cost Baseline'!B145</f>
        <v>4.1478474560646434</v>
      </c>
      <c r="R14" s="13">
        <f>'LCOE Corrected Production Cost '!B90</f>
        <v>1.529550290639577</v>
      </c>
      <c r="S14" s="13">
        <f>'CO2 Corrected Production Cost'!B90</f>
        <v>3.5826981436630465</v>
      </c>
      <c r="T14" s="13">
        <f>'WACC Corrected Production Cost'!B90</f>
        <v>3.5564691176102081</v>
      </c>
      <c r="V14" s="12" t="s">
        <v>148</v>
      </c>
      <c r="W14" s="12" t="s">
        <v>149</v>
      </c>
      <c r="X14" s="13">
        <f>'Production Cost Baseline'!B156</f>
        <v>1.4872342870100821</v>
      </c>
      <c r="Y14" s="13">
        <f>'LCOE Corrected Production Cost '!B101</f>
        <v>0.23378173740261143</v>
      </c>
      <c r="Z14" s="13">
        <f>'CO2 Corrected Production Cost'!B101</f>
        <v>1.6950734285111995</v>
      </c>
      <c r="AA14" s="13">
        <f>'WACC Corrected Production Cost'!B101</f>
        <v>1.6758399441246277</v>
      </c>
      <c r="AC14" s="12" t="s">
        <v>148</v>
      </c>
      <c r="AD14" s="12" t="s">
        <v>149</v>
      </c>
      <c r="AE14" s="13">
        <f>'Production Cost Baseline'!B167</f>
        <v>2.0993232699947288</v>
      </c>
      <c r="AF14" s="13">
        <f>'LCOE Corrected Production Cost '!B112</f>
        <v>0.49178603455276099</v>
      </c>
      <c r="AG14" s="13">
        <f>'CO2 Corrected Production Cost'!B112</f>
        <v>1.9904579717073221</v>
      </c>
      <c r="AH14" s="13">
        <f>'WACC Corrected Production Cost'!B112</f>
        <v>1.9704810796082559</v>
      </c>
    </row>
    <row r="15" spans="1:34" x14ac:dyDescent="0.25">
      <c r="A15" s="12" t="s">
        <v>148</v>
      </c>
      <c r="B15" s="12" t="s">
        <v>21</v>
      </c>
      <c r="C15" s="16">
        <f>C14*Inputs!$C$6</f>
        <v>1.8357909488081532</v>
      </c>
      <c r="D15" s="16">
        <f>D14*Inputs!$C$6</f>
        <v>0.62236705616791055</v>
      </c>
      <c r="E15" s="16">
        <f>E14*Inputs!$C$6</f>
        <v>1.6324698252415517</v>
      </c>
      <c r="F15" s="16">
        <f>F14*Inputs!$C$6</f>
        <v>1.6151286997307563</v>
      </c>
      <c r="H15" s="12" t="s">
        <v>148</v>
      </c>
      <c r="I15" s="12" t="s">
        <v>21</v>
      </c>
      <c r="J15" s="16">
        <f>J14*Inputs!$C$6</f>
        <v>4.1872461930216902</v>
      </c>
      <c r="K15" s="16">
        <f>K14*Inputs!$C$6</f>
        <v>2.1002623072477689</v>
      </c>
      <c r="L15" s="16">
        <f>L14*Inputs!$C$6</f>
        <v>4.6375688367053751</v>
      </c>
      <c r="M15" s="16">
        <f>M14*Inputs!$C$6</f>
        <v>4.6064228469626336</v>
      </c>
      <c r="O15" s="12" t="s">
        <v>148</v>
      </c>
      <c r="P15" s="12" t="s">
        <v>21</v>
      </c>
      <c r="Q15" s="16">
        <f>Q14*Inputs!$C$6</f>
        <v>3.7330627104581793</v>
      </c>
      <c r="R15" s="16">
        <f>R14*Inputs!$C$6</f>
        <v>1.3765952615756194</v>
      </c>
      <c r="S15" s="16">
        <f>S14*Inputs!$C$6</f>
        <v>3.2244283292967419</v>
      </c>
      <c r="T15" s="16">
        <f>T14*Inputs!$C$6</f>
        <v>3.2008222058491875</v>
      </c>
      <c r="V15" s="12" t="s">
        <v>148</v>
      </c>
      <c r="W15" s="12" t="s">
        <v>21</v>
      </c>
      <c r="X15" s="16">
        <f>X14*Inputs!$C$6</f>
        <v>1.3385108583090739</v>
      </c>
      <c r="Y15" s="16">
        <f>Y14*Inputs!$C$6</f>
        <v>0.2104035636623503</v>
      </c>
      <c r="Z15" s="16">
        <f>Z14*Inputs!$C$6</f>
        <v>1.5255660856600795</v>
      </c>
      <c r="AA15" s="16">
        <f>AA14*Inputs!$C$6</f>
        <v>1.508255949712165</v>
      </c>
      <c r="AC15" s="12" t="s">
        <v>148</v>
      </c>
      <c r="AD15" s="12" t="s">
        <v>21</v>
      </c>
      <c r="AE15" s="16">
        <f>AE14*Inputs!$C$6</f>
        <v>1.889390942995256</v>
      </c>
      <c r="AF15" s="16">
        <f>AF14*Inputs!$C$6</f>
        <v>0.4426074310974849</v>
      </c>
      <c r="AG15" s="16">
        <f>AG14*Inputs!$C$6</f>
        <v>1.7914121745365899</v>
      </c>
      <c r="AH15" s="16">
        <f>AH14*Inputs!$C$6</f>
        <v>1.7734329716474304</v>
      </c>
    </row>
    <row r="16" spans="1:34" x14ac:dyDescent="0.25">
      <c r="A16" s="12" t="s">
        <v>150</v>
      </c>
      <c r="B16" s="12" t="s">
        <v>21</v>
      </c>
      <c r="C16" s="16">
        <f>Inputs!$C$18</f>
        <v>1.7</v>
      </c>
      <c r="D16" s="16">
        <f>Inputs!$C$18</f>
        <v>1.7</v>
      </c>
      <c r="E16" s="16">
        <f>Inputs!$C$18</f>
        <v>1.7</v>
      </c>
      <c r="F16" s="16">
        <f>Inputs!$C$18</f>
        <v>1.7</v>
      </c>
      <c r="H16" s="12" t="s">
        <v>150</v>
      </c>
      <c r="I16" s="12" t="s">
        <v>21</v>
      </c>
      <c r="J16" s="16">
        <f>Inputs!$C$18</f>
        <v>1.7</v>
      </c>
      <c r="K16" s="16">
        <f>Inputs!$C$18</f>
        <v>1.7</v>
      </c>
      <c r="L16" s="16">
        <f>Inputs!$C$18</f>
        <v>1.7</v>
      </c>
      <c r="M16" s="16">
        <f>Inputs!$C$18</f>
        <v>1.7</v>
      </c>
      <c r="O16" s="12" t="s">
        <v>150</v>
      </c>
      <c r="P16" s="12" t="s">
        <v>21</v>
      </c>
      <c r="Q16" s="16">
        <f>Inputs!$C$18</f>
        <v>1.7</v>
      </c>
      <c r="R16" s="16">
        <f>Inputs!$C$18</f>
        <v>1.7</v>
      </c>
      <c r="S16" s="16">
        <f>Inputs!$C$18</f>
        <v>1.7</v>
      </c>
      <c r="T16" s="16">
        <f>Inputs!$C$18</f>
        <v>1.7</v>
      </c>
      <c r="V16" s="12" t="s">
        <v>150</v>
      </c>
      <c r="W16" s="12" t="s">
        <v>21</v>
      </c>
      <c r="X16" s="16">
        <f>Inputs!$C$18</f>
        <v>1.7</v>
      </c>
      <c r="Y16" s="16">
        <f>Inputs!$C$18</f>
        <v>1.7</v>
      </c>
      <c r="Z16" s="16">
        <f>Inputs!$C$18</f>
        <v>1.7</v>
      </c>
      <c r="AA16" s="16">
        <f>Inputs!$C$18</f>
        <v>1.7</v>
      </c>
      <c r="AC16" s="12" t="s">
        <v>150</v>
      </c>
      <c r="AD16" s="12" t="s">
        <v>21</v>
      </c>
      <c r="AE16" s="16">
        <f>Inputs!$C$16</f>
        <v>0.8</v>
      </c>
      <c r="AF16" s="16">
        <f>Inputs!$C$16</f>
        <v>0.8</v>
      </c>
      <c r="AG16" s="16">
        <f>Inputs!$C$18</f>
        <v>1.7</v>
      </c>
      <c r="AH16" s="16">
        <f>Inputs!$C$18</f>
        <v>1.7</v>
      </c>
    </row>
    <row r="17" spans="1:34" x14ac:dyDescent="0.25">
      <c r="A17" s="12" t="s">
        <v>151</v>
      </c>
      <c r="B17" s="12" t="s">
        <v>152</v>
      </c>
      <c r="C17" s="13">
        <f>'Study Parameters'!$C$51</f>
        <v>0</v>
      </c>
      <c r="D17" s="13">
        <f>'Study Parameters'!$C$51</f>
        <v>0</v>
      </c>
      <c r="E17" s="13">
        <f>'Study Parameters'!$C$51</f>
        <v>0</v>
      </c>
      <c r="F17" s="13">
        <f>'Study Parameters'!$C$51</f>
        <v>0</v>
      </c>
      <c r="H17" s="12" t="s">
        <v>151</v>
      </c>
      <c r="I17" s="12" t="s">
        <v>152</v>
      </c>
      <c r="J17" s="13">
        <f>'Study Parameters'!$C$51</f>
        <v>0</v>
      </c>
      <c r="K17" s="13">
        <f>'Study Parameters'!$C$51</f>
        <v>0</v>
      </c>
      <c r="L17" s="13">
        <f>'Study Parameters'!$C$51</f>
        <v>0</v>
      </c>
      <c r="M17" s="13">
        <f>'Study Parameters'!$C$51</f>
        <v>0</v>
      </c>
      <c r="O17" s="12" t="s">
        <v>151</v>
      </c>
      <c r="P17" s="12" t="s">
        <v>152</v>
      </c>
      <c r="Q17" s="13">
        <f>'Study Parameters'!$C$51</f>
        <v>0</v>
      </c>
      <c r="R17" s="13">
        <f>'Study Parameters'!$C$51</f>
        <v>0</v>
      </c>
      <c r="S17" s="13">
        <f>'Study Parameters'!$C$51</f>
        <v>0</v>
      </c>
      <c r="T17" s="13">
        <f>'Study Parameters'!$C$51</f>
        <v>0</v>
      </c>
      <c r="V17" s="12" t="s">
        <v>151</v>
      </c>
      <c r="W17" s="12" t="s">
        <v>152</v>
      </c>
      <c r="X17" s="13">
        <f>'Study Parameters'!$C$51</f>
        <v>0</v>
      </c>
      <c r="Y17" s="13">
        <f>'Study Parameters'!$C$51</f>
        <v>0</v>
      </c>
      <c r="Z17" s="13">
        <f>'Study Parameters'!$C$51</f>
        <v>0</v>
      </c>
      <c r="AA17" s="13">
        <f>'Study Parameters'!$C$51</f>
        <v>0</v>
      </c>
      <c r="AC17" s="12" t="s">
        <v>151</v>
      </c>
      <c r="AD17" s="12" t="s">
        <v>152</v>
      </c>
      <c r="AE17" s="13">
        <f>'Study Parameters'!AE51</f>
        <v>0</v>
      </c>
      <c r="AF17" s="13">
        <f>'Study Parameters'!AF51</f>
        <v>0</v>
      </c>
      <c r="AG17" s="13">
        <f>'Study Parameters'!$C$51</f>
        <v>0</v>
      </c>
      <c r="AH17" s="13">
        <f>'Study Parameters'!$C$51</f>
        <v>0</v>
      </c>
    </row>
    <row r="18" spans="1:34" x14ac:dyDescent="0.25">
      <c r="A18" s="12" t="s">
        <v>153</v>
      </c>
      <c r="B18" s="12" t="s">
        <v>152</v>
      </c>
      <c r="C18" s="13">
        <f>Inputs!$C$11</f>
        <v>88.7</v>
      </c>
      <c r="D18" s="13">
        <f>Inputs!$C$11</f>
        <v>88.7</v>
      </c>
      <c r="E18" s="13">
        <f>Inputs!$C$11</f>
        <v>88.7</v>
      </c>
      <c r="F18" s="13">
        <f>Inputs!$C$11</f>
        <v>88.7</v>
      </c>
      <c r="H18" s="12" t="s">
        <v>153</v>
      </c>
      <c r="I18" s="12" t="s">
        <v>152</v>
      </c>
      <c r="J18" s="13">
        <f>Inputs!$C$11</f>
        <v>88.7</v>
      </c>
      <c r="K18" s="13">
        <f>Inputs!$C$11</f>
        <v>88.7</v>
      </c>
      <c r="L18" s="13">
        <f>Inputs!$C$11</f>
        <v>88.7</v>
      </c>
      <c r="M18" s="13">
        <f>Inputs!$C$11</f>
        <v>88.7</v>
      </c>
      <c r="O18" s="12" t="s">
        <v>153</v>
      </c>
      <c r="P18" s="12" t="s">
        <v>152</v>
      </c>
      <c r="Q18" s="13">
        <f>Inputs!$C$11</f>
        <v>88.7</v>
      </c>
      <c r="R18" s="13">
        <f>Inputs!$C$11</f>
        <v>88.7</v>
      </c>
      <c r="S18" s="13">
        <f>Inputs!$C$11</f>
        <v>88.7</v>
      </c>
      <c r="T18" s="13">
        <f>Inputs!$C$11</f>
        <v>88.7</v>
      </c>
      <c r="V18" s="12" t="s">
        <v>153</v>
      </c>
      <c r="W18" s="12" t="s">
        <v>152</v>
      </c>
      <c r="X18" s="13">
        <f>Inputs!$C$11</f>
        <v>88.7</v>
      </c>
      <c r="Y18" s="13">
        <f>Inputs!$C$11</f>
        <v>88.7</v>
      </c>
      <c r="Z18" s="13">
        <f>Inputs!$C$11</f>
        <v>88.7</v>
      </c>
      <c r="AA18" s="13">
        <f>Inputs!$C$11</f>
        <v>88.7</v>
      </c>
      <c r="AC18" s="12" t="s">
        <v>153</v>
      </c>
      <c r="AD18" s="12" t="s">
        <v>152</v>
      </c>
      <c r="AE18" s="13">
        <f>Inputs!$C$11</f>
        <v>88.7</v>
      </c>
      <c r="AF18" s="13">
        <f>Inputs!$C$11</f>
        <v>88.7</v>
      </c>
      <c r="AG18" s="13">
        <f>Inputs!$C$11</f>
        <v>88.7</v>
      </c>
      <c r="AH18" s="13">
        <f>Inputs!$C$11</f>
        <v>88.7</v>
      </c>
    </row>
    <row r="19" spans="1:34" x14ac:dyDescent="0.25">
      <c r="A19" s="12" t="s">
        <v>154</v>
      </c>
      <c r="B19" s="12" t="s">
        <v>152</v>
      </c>
      <c r="C19" s="13">
        <f>C18-C17</f>
        <v>88.7</v>
      </c>
      <c r="D19" s="13">
        <f>D18-D17</f>
        <v>88.7</v>
      </c>
      <c r="E19" s="13">
        <f>E18-E17</f>
        <v>88.7</v>
      </c>
      <c r="F19" s="13">
        <f>F18-F17</f>
        <v>88.7</v>
      </c>
      <c r="H19" s="12" t="s">
        <v>154</v>
      </c>
      <c r="I19" s="12" t="s">
        <v>152</v>
      </c>
      <c r="J19" s="13">
        <f>J18-J17</f>
        <v>88.7</v>
      </c>
      <c r="K19" s="13">
        <f>K18-K17</f>
        <v>88.7</v>
      </c>
      <c r="L19" s="13">
        <f>L18-L17</f>
        <v>88.7</v>
      </c>
      <c r="M19" s="13">
        <f>M18-M17</f>
        <v>88.7</v>
      </c>
      <c r="O19" s="12" t="s">
        <v>154</v>
      </c>
      <c r="P19" s="12" t="s">
        <v>152</v>
      </c>
      <c r="Q19" s="13">
        <f>Q18-Q17</f>
        <v>88.7</v>
      </c>
      <c r="R19" s="13">
        <f>R18-R17</f>
        <v>88.7</v>
      </c>
      <c r="S19" s="13">
        <f>S18-S17</f>
        <v>88.7</v>
      </c>
      <c r="T19" s="13">
        <f>T18-T17</f>
        <v>88.7</v>
      </c>
      <c r="V19" s="12" t="s">
        <v>154</v>
      </c>
      <c r="W19" s="12" t="s">
        <v>152</v>
      </c>
      <c r="X19" s="13">
        <f>X18-X17</f>
        <v>88.7</v>
      </c>
      <c r="Y19" s="13">
        <f>Y18-Y17</f>
        <v>88.7</v>
      </c>
      <c r="Z19" s="13">
        <f>Z18-Z17</f>
        <v>88.7</v>
      </c>
      <c r="AA19" s="13">
        <f>AA18-AA17</f>
        <v>88.7</v>
      </c>
      <c r="AC19" s="12" t="s">
        <v>154</v>
      </c>
      <c r="AD19" s="12" t="s">
        <v>152</v>
      </c>
      <c r="AE19" s="13">
        <f>AE18-AE17</f>
        <v>88.7</v>
      </c>
      <c r="AF19" s="13">
        <f>AF18-AF17</f>
        <v>88.7</v>
      </c>
      <c r="AG19" s="13">
        <f>AG18-AG17</f>
        <v>88.7</v>
      </c>
      <c r="AH19" s="13">
        <f>AH18-AH17</f>
        <v>88.7</v>
      </c>
    </row>
    <row r="20" spans="1:34" x14ac:dyDescent="0.25">
      <c r="A20" s="12" t="s">
        <v>154</v>
      </c>
      <c r="B20" s="12" t="s">
        <v>155</v>
      </c>
      <c r="C20" s="13">
        <f>C19*Inputs!$C$14</f>
        <v>3076.9675200000006</v>
      </c>
      <c r="D20" s="13">
        <f>D19*Inputs!$C$14</f>
        <v>3076.9675200000006</v>
      </c>
      <c r="E20" s="13">
        <f>E19*Inputs!$C$14</f>
        <v>3076.9675200000006</v>
      </c>
      <c r="F20" s="13">
        <f>F19*Inputs!$C$14</f>
        <v>3076.9675200000006</v>
      </c>
      <c r="H20" s="12" t="s">
        <v>154</v>
      </c>
      <c r="I20" s="12" t="s">
        <v>155</v>
      </c>
      <c r="J20" s="13">
        <f>J19*Inputs!$C$14</f>
        <v>3076.9675200000006</v>
      </c>
      <c r="K20" s="13">
        <f>K19*Inputs!$C$14</f>
        <v>3076.9675200000006</v>
      </c>
      <c r="L20" s="13">
        <f>L19*Inputs!$C$14</f>
        <v>3076.9675200000006</v>
      </c>
      <c r="M20" s="13">
        <f>M19*Inputs!$C$14</f>
        <v>3076.9675200000006</v>
      </c>
      <c r="O20" s="12" t="s">
        <v>154</v>
      </c>
      <c r="P20" s="12" t="s">
        <v>155</v>
      </c>
      <c r="Q20" s="13">
        <f>Q19*Inputs!$C$14</f>
        <v>3076.9675200000006</v>
      </c>
      <c r="R20" s="13">
        <f>R19*Inputs!$C$14</f>
        <v>3076.9675200000006</v>
      </c>
      <c r="S20" s="13">
        <f>S19*Inputs!$C$14</f>
        <v>3076.9675200000006</v>
      </c>
      <c r="T20" s="13">
        <f>T19*Inputs!$C$14</f>
        <v>3076.9675200000006</v>
      </c>
      <c r="V20" s="12" t="s">
        <v>154</v>
      </c>
      <c r="W20" s="12" t="s">
        <v>155</v>
      </c>
      <c r="X20" s="13">
        <f>X19*Inputs!$C$14</f>
        <v>3076.9675200000006</v>
      </c>
      <c r="Y20" s="13">
        <f>Y19*Inputs!$C$14</f>
        <v>3076.9675200000006</v>
      </c>
      <c r="Z20" s="13">
        <f>Z19*Inputs!$C$14</f>
        <v>3076.9675200000006</v>
      </c>
      <c r="AA20" s="13">
        <f>AA19*Inputs!$C$14</f>
        <v>3076.9675200000006</v>
      </c>
      <c r="AC20" s="12" t="s">
        <v>154</v>
      </c>
      <c r="AD20" s="12" t="s">
        <v>155</v>
      </c>
      <c r="AE20" s="13">
        <f>AE19*Inputs!$C$14</f>
        <v>3076.9675200000006</v>
      </c>
      <c r="AF20" s="13">
        <f>AF19*Inputs!$C$14</f>
        <v>3076.9675200000006</v>
      </c>
      <c r="AG20" s="13">
        <f>AG19*Inputs!$C$14</f>
        <v>3076.9675200000006</v>
      </c>
      <c r="AH20" s="13">
        <f>AH19*Inputs!$C$14</f>
        <v>3076.9675200000006</v>
      </c>
    </row>
    <row r="21" spans="1:34" x14ac:dyDescent="0.25">
      <c r="A21" s="12" t="s">
        <v>156</v>
      </c>
      <c r="B21" s="12" t="s">
        <v>29</v>
      </c>
      <c r="C21" s="13">
        <f>(C15-C16) / C20 * 10^6</f>
        <v>44.131420928405902</v>
      </c>
      <c r="D21" s="13">
        <f>(D15-D16) / D20 * 10^6</f>
        <v>-350.22564808616795</v>
      </c>
      <c r="E21" s="13">
        <f>(E15-E16) / E20 * 10^6</f>
        <v>-21.946989794175089</v>
      </c>
      <c r="F21" s="13">
        <f>(F15-F16) / F20 * 10^6</f>
        <v>-27.582774181913884</v>
      </c>
      <c r="H21" s="12" t="s">
        <v>156</v>
      </c>
      <c r="I21" s="12" t="s">
        <v>29</v>
      </c>
      <c r="J21" s="13">
        <f>(J15-J16) / J20 * 10^6</f>
        <v>808.34333702088918</v>
      </c>
      <c r="K21" s="13">
        <f>(K15-K16) / K20 * 10^6</f>
        <v>130.08337093131516</v>
      </c>
      <c r="L21" s="13">
        <f>(L15-L16) / L20 * 10^6</f>
        <v>954.69608229903395</v>
      </c>
      <c r="M21" s="13">
        <f>(M15-M16) / M20 * 10^6</f>
        <v>944.5737818391508</v>
      </c>
      <c r="O21" s="12" t="s">
        <v>156</v>
      </c>
      <c r="P21" s="12" t="s">
        <v>29</v>
      </c>
      <c r="Q21" s="13">
        <f>(Q15-Q16) / Q20 * 10^6</f>
        <v>660.73583723047523</v>
      </c>
      <c r="R21" s="13">
        <f>(R15-R16) / R20 * 10^6</f>
        <v>-105.10502185098805</v>
      </c>
      <c r="S21" s="13">
        <f>(S15-S16) / S20 * 10^6</f>
        <v>495.43205100089642</v>
      </c>
      <c r="T21" s="13">
        <f>(T15-T16) / T20 * 10^6</f>
        <v>487.7601716930659</v>
      </c>
      <c r="V21" s="12" t="s">
        <v>156</v>
      </c>
      <c r="W21" s="12" t="s">
        <v>29</v>
      </c>
      <c r="X21" s="13">
        <f>(X15-X16) / X20 * 10^6</f>
        <v>-117.48227413558332</v>
      </c>
      <c r="Y21" s="13">
        <f>(Y15-Y16) / Y20 * 10^6</f>
        <v>-484.11184929818478</v>
      </c>
      <c r="Z21" s="13">
        <f>(Z15-Z16) / Z20 * 10^6</f>
        <v>-56.690203327177294</v>
      </c>
      <c r="AA21" s="13">
        <f>(AA15-AA16) / AA20 * 10^6</f>
        <v>-62.315916252451991</v>
      </c>
      <c r="AC21" s="12" t="s">
        <v>156</v>
      </c>
      <c r="AD21" s="12" t="s">
        <v>29</v>
      </c>
      <c r="AE21" s="13">
        <f>(AE15-AE16) / AE20 * 10^6</f>
        <v>354.04694261941893</v>
      </c>
      <c r="AF21" s="13">
        <f>(AF15-AF16) / AF20 * 10^6</f>
        <v>-116.15090720961366</v>
      </c>
      <c r="AG21" s="13">
        <f>(AG15-AG16) / AG20 * 10^6</f>
        <v>29.708527614418848</v>
      </c>
      <c r="AH21" s="13">
        <f>(AH15-AH16) / AH20 * 10^6</f>
        <v>23.865371073995103</v>
      </c>
    </row>
  </sheetData>
  <mergeCells count="10">
    <mergeCell ref="V1:AA1"/>
    <mergeCell ref="H1:M1"/>
    <mergeCell ref="AC1:AH1"/>
    <mergeCell ref="O1:T1"/>
    <mergeCell ref="A1:F1"/>
    <mergeCell ref="O12:T12"/>
    <mergeCell ref="A12:F12"/>
    <mergeCell ref="V12:AA12"/>
    <mergeCell ref="H12:M12"/>
    <mergeCell ref="AC12:A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Inputs</vt:lpstr>
      <vt:lpstr>Study Parameters</vt:lpstr>
      <vt:lpstr>Cost Components</vt:lpstr>
      <vt:lpstr>Production Cost Baseline</vt:lpstr>
      <vt:lpstr>LCOE Corrected Production Cost </vt:lpstr>
      <vt:lpstr>CO2 Corrected Production Cost</vt:lpstr>
      <vt:lpstr>WACC Corrected Production Cost</vt:lpstr>
      <vt:lpstr>Cost Breakdown</vt:lpstr>
      <vt:lpstr>Outputs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Dubey</dc:creator>
  <cp:keywords/>
  <dc:description/>
  <cp:lastModifiedBy>Dubey  Yash</cp:lastModifiedBy>
  <cp:revision/>
  <dcterms:created xsi:type="dcterms:W3CDTF">2024-07-08T17:50:42Z</dcterms:created>
  <dcterms:modified xsi:type="dcterms:W3CDTF">2025-05-05T16:03:02Z</dcterms:modified>
  <cp:category/>
  <cp:contentStatus/>
</cp:coreProperties>
</file>
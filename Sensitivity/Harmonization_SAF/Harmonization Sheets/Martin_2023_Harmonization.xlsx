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always"/>
  <mc:AlternateContent xmlns:mc="http://schemas.openxmlformats.org/markup-compatibility/2006">
    <mc:Choice Requires="x15">
      <x15ac:absPath xmlns:x15ac="http://schemas.microsoft.com/office/spreadsheetml/2010/11/ac" url="https://ethz-my.sharepoint.com/personal/ydubey_ethz_ch/Documents/Documents/GitHub/DACCSvDACCU/Sensitivity/Harmonization_SAF/Harmonization Sheets/"/>
    </mc:Choice>
  </mc:AlternateContent>
  <xr:revisionPtr revIDLastSave="97" documentId="13_ncr:1_{BF05914F-91D3-8145-AA4E-915C6176DF6E}" xr6:coauthVersionLast="47" xr6:coauthVersionMax="47" xr10:uidLastSave="{B391C84F-4E16-4CAF-ACBF-856D1AE88AB3}"/>
  <bookViews>
    <workbookView xWindow="1950" yWindow="1950" windowWidth="28800" windowHeight="15345" xr2:uid="{00000000-000D-0000-FFFF-FFFF00000000}"/>
  </bookViews>
  <sheets>
    <sheet name="Inputs" sheetId="1" r:id="rId1"/>
    <sheet name="Base LCOF" sheetId="2" r:id="rId2"/>
    <sheet name="LCOE Corrected LCOF" sheetId="3" r:id="rId3"/>
    <sheet name="CO2 Price Corrected LCOF" sheetId="4" r:id="rId4"/>
    <sheet name="WACC Corrected LCOF" sheetId="5" r:id="rId5"/>
    <sheet name="Outputs" sheetId="6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0" i="1"/>
  <c r="C29" i="1"/>
  <c r="C27" i="1"/>
  <c r="C26" i="1"/>
  <c r="C24" i="1"/>
  <c r="C23" i="1"/>
  <c r="C21" i="1"/>
  <c r="C20" i="1"/>
  <c r="C18" i="1"/>
  <c r="C16" i="1"/>
  <c r="C15" i="1"/>
  <c r="C14" i="1"/>
  <c r="J14" i="6" s="1"/>
  <c r="C13" i="1"/>
  <c r="C12" i="1"/>
  <c r="C11" i="1"/>
  <c r="F7" i="6" s="1"/>
  <c r="F8" i="6" s="1"/>
  <c r="C9" i="1"/>
  <c r="C8" i="1"/>
  <c r="C6" i="1"/>
  <c r="C5" i="1"/>
  <c r="I2" i="5" s="1"/>
  <c r="C4" i="1"/>
  <c r="C3" i="1"/>
  <c r="G109" i="5"/>
  <c r="F109" i="5"/>
  <c r="E109" i="5"/>
  <c r="G106" i="5"/>
  <c r="J103" i="5"/>
  <c r="I103" i="5"/>
  <c r="H103" i="5"/>
  <c r="G103" i="5"/>
  <c r="F103" i="5"/>
  <c r="E103" i="5"/>
  <c r="D103" i="5"/>
  <c r="C103" i="5"/>
  <c r="B103" i="5"/>
  <c r="J100" i="5"/>
  <c r="I100" i="5"/>
  <c r="H100" i="5"/>
  <c r="G100" i="5"/>
  <c r="J98" i="5"/>
  <c r="I98" i="5"/>
  <c r="H98" i="5"/>
  <c r="G98" i="5"/>
  <c r="F98" i="5"/>
  <c r="E98" i="5"/>
  <c r="D98" i="5"/>
  <c r="C98" i="5"/>
  <c r="B98" i="5"/>
  <c r="N76" i="5"/>
  <c r="J75" i="5"/>
  <c r="I75" i="5"/>
  <c r="H75" i="5"/>
  <c r="G75" i="5"/>
  <c r="F75" i="5"/>
  <c r="E75" i="5"/>
  <c r="D75" i="5"/>
  <c r="C75" i="5"/>
  <c r="B75" i="5"/>
  <c r="N74" i="5"/>
  <c r="J72" i="5"/>
  <c r="I72" i="5"/>
  <c r="H72" i="5"/>
  <c r="G72" i="5"/>
  <c r="G78" i="5" s="1"/>
  <c r="J70" i="5"/>
  <c r="I70" i="5"/>
  <c r="H70" i="5"/>
  <c r="G70" i="5"/>
  <c r="F70" i="5"/>
  <c r="E70" i="5"/>
  <c r="D70" i="5"/>
  <c r="C70" i="5"/>
  <c r="B70" i="5"/>
  <c r="J48" i="5"/>
  <c r="I48" i="5"/>
  <c r="H48" i="5"/>
  <c r="G48" i="5"/>
  <c r="F48" i="5"/>
  <c r="E48" i="5"/>
  <c r="D48" i="5"/>
  <c r="C48" i="5"/>
  <c r="B48" i="5"/>
  <c r="I45" i="5"/>
  <c r="H45" i="5"/>
  <c r="G45" i="5"/>
  <c r="G51" i="5" s="1"/>
  <c r="F45" i="5"/>
  <c r="F51" i="5" s="1"/>
  <c r="E45" i="5"/>
  <c r="E51" i="5" s="1"/>
  <c r="D45" i="5"/>
  <c r="J43" i="5"/>
  <c r="I43" i="5"/>
  <c r="H43" i="5"/>
  <c r="G43" i="5"/>
  <c r="F43" i="5"/>
  <c r="E43" i="5"/>
  <c r="D43" i="5"/>
  <c r="C43" i="5"/>
  <c r="B43" i="5"/>
  <c r="J23" i="5"/>
  <c r="I23" i="5"/>
  <c r="H23" i="5"/>
  <c r="G23" i="5"/>
  <c r="F23" i="5"/>
  <c r="E23" i="5"/>
  <c r="D23" i="5"/>
  <c r="C23" i="5"/>
  <c r="O14" i="5" s="1"/>
  <c r="O15" i="5" s="1"/>
  <c r="B23" i="5"/>
  <c r="H20" i="5"/>
  <c r="G20" i="5"/>
  <c r="F20" i="5"/>
  <c r="E20" i="5"/>
  <c r="D20" i="5"/>
  <c r="J19" i="5"/>
  <c r="J20" i="5" s="1"/>
  <c r="I19" i="5"/>
  <c r="H19" i="5"/>
  <c r="G19" i="5"/>
  <c r="F19" i="5"/>
  <c r="E19" i="5"/>
  <c r="E72" i="5" s="1"/>
  <c r="E78" i="5" s="1"/>
  <c r="D19" i="5"/>
  <c r="C19" i="5"/>
  <c r="B19" i="5"/>
  <c r="O16" i="5"/>
  <c r="N14" i="5"/>
  <c r="N15" i="5" s="1"/>
  <c r="N16" i="5" s="1"/>
  <c r="G109" i="4"/>
  <c r="F109" i="4"/>
  <c r="E109" i="4"/>
  <c r="J107" i="4"/>
  <c r="I107" i="4"/>
  <c r="G107" i="4"/>
  <c r="J105" i="4"/>
  <c r="I105" i="4"/>
  <c r="H105" i="4"/>
  <c r="H107" i="4" s="1"/>
  <c r="G105" i="4"/>
  <c r="F105" i="4"/>
  <c r="E105" i="4"/>
  <c r="D105" i="4"/>
  <c r="C105" i="4"/>
  <c r="B105" i="4"/>
  <c r="J103" i="4"/>
  <c r="I103" i="4"/>
  <c r="H103" i="4"/>
  <c r="G103" i="4"/>
  <c r="F103" i="4"/>
  <c r="F107" i="4" s="1"/>
  <c r="E103" i="4"/>
  <c r="E107" i="4" s="1"/>
  <c r="D103" i="4"/>
  <c r="D107" i="4" s="1"/>
  <c r="C103" i="4"/>
  <c r="C107" i="4" s="1"/>
  <c r="B103" i="4"/>
  <c r="B107" i="4" s="1"/>
  <c r="J100" i="4"/>
  <c r="I100" i="4"/>
  <c r="D100" i="4"/>
  <c r="B100" i="4"/>
  <c r="J98" i="4"/>
  <c r="I98" i="4"/>
  <c r="H98" i="4"/>
  <c r="G98" i="4"/>
  <c r="F98" i="4"/>
  <c r="E98" i="4"/>
  <c r="D98" i="4"/>
  <c r="C98" i="4"/>
  <c r="B98" i="4"/>
  <c r="I79" i="4"/>
  <c r="H79" i="4"/>
  <c r="G79" i="4"/>
  <c r="G80" i="4" s="1"/>
  <c r="F79" i="4"/>
  <c r="J77" i="4"/>
  <c r="I77" i="4"/>
  <c r="H77" i="4"/>
  <c r="G77" i="4"/>
  <c r="F77" i="4"/>
  <c r="E77" i="4"/>
  <c r="E79" i="4" s="1"/>
  <c r="D77" i="4"/>
  <c r="C77" i="4"/>
  <c r="B77" i="4"/>
  <c r="N76" i="4"/>
  <c r="J75" i="4"/>
  <c r="J79" i="4" s="1"/>
  <c r="I75" i="4"/>
  <c r="H75" i="4"/>
  <c r="G75" i="4"/>
  <c r="F75" i="4"/>
  <c r="E75" i="4"/>
  <c r="D75" i="4"/>
  <c r="D79" i="4" s="1"/>
  <c r="C75" i="4"/>
  <c r="B75" i="4"/>
  <c r="B79" i="4" s="1"/>
  <c r="N74" i="4"/>
  <c r="J72" i="4"/>
  <c r="I72" i="4"/>
  <c r="C72" i="4"/>
  <c r="B72" i="4"/>
  <c r="J70" i="4"/>
  <c r="I70" i="4"/>
  <c r="H70" i="4"/>
  <c r="G70" i="4"/>
  <c r="F70" i="4"/>
  <c r="E70" i="4"/>
  <c r="D70" i="4"/>
  <c r="C70" i="4"/>
  <c r="B70" i="4"/>
  <c r="G53" i="4"/>
  <c r="H52" i="4"/>
  <c r="G52" i="4"/>
  <c r="F52" i="4"/>
  <c r="E52" i="4"/>
  <c r="C52" i="4"/>
  <c r="J50" i="4"/>
  <c r="I50" i="4"/>
  <c r="H50" i="4"/>
  <c r="G50" i="4"/>
  <c r="F50" i="4"/>
  <c r="E50" i="4"/>
  <c r="D50" i="4"/>
  <c r="D52" i="4" s="1"/>
  <c r="C50" i="4"/>
  <c r="B50" i="4"/>
  <c r="J48" i="4"/>
  <c r="J52" i="4" s="1"/>
  <c r="I48" i="4"/>
  <c r="I52" i="4" s="1"/>
  <c r="H48" i="4"/>
  <c r="G48" i="4"/>
  <c r="F48" i="4"/>
  <c r="E48" i="4"/>
  <c r="D48" i="4"/>
  <c r="C48" i="4"/>
  <c r="B48" i="4"/>
  <c r="J45" i="4"/>
  <c r="I45" i="4"/>
  <c r="H45" i="4"/>
  <c r="G45" i="4"/>
  <c r="G51" i="4" s="1"/>
  <c r="J43" i="4"/>
  <c r="I43" i="4"/>
  <c r="H43" i="4"/>
  <c r="G43" i="4"/>
  <c r="F43" i="4"/>
  <c r="E43" i="4"/>
  <c r="D43" i="4"/>
  <c r="C43" i="4"/>
  <c r="B43" i="4"/>
  <c r="E26" i="4"/>
  <c r="D26" i="4"/>
  <c r="C26" i="4"/>
  <c r="B26" i="4"/>
  <c r="B27" i="4" s="1"/>
  <c r="J25" i="4"/>
  <c r="I25" i="4"/>
  <c r="H25" i="4"/>
  <c r="G25" i="4"/>
  <c r="F25" i="4"/>
  <c r="E25" i="4"/>
  <c r="D25" i="4"/>
  <c r="C25" i="4"/>
  <c r="B25" i="4"/>
  <c r="J23" i="4"/>
  <c r="I23" i="4"/>
  <c r="I26" i="4" s="1"/>
  <c r="H23" i="4"/>
  <c r="H26" i="4" s="1"/>
  <c r="G23" i="4"/>
  <c r="G26" i="4" s="1"/>
  <c r="G27" i="4" s="1"/>
  <c r="F23" i="4"/>
  <c r="F26" i="4" s="1"/>
  <c r="E23" i="4"/>
  <c r="D23" i="4"/>
  <c r="C23" i="4"/>
  <c r="B23" i="4"/>
  <c r="J20" i="4"/>
  <c r="I20" i="4"/>
  <c r="H20" i="4"/>
  <c r="G20" i="4"/>
  <c r="F20" i="4"/>
  <c r="E20" i="4"/>
  <c r="J19" i="4"/>
  <c r="I19" i="4"/>
  <c r="H19" i="4"/>
  <c r="G19" i="4"/>
  <c r="G72" i="4" s="1"/>
  <c r="G78" i="4" s="1"/>
  <c r="F19" i="4"/>
  <c r="E19" i="4"/>
  <c r="D19" i="4"/>
  <c r="C19" i="4"/>
  <c r="B19" i="4"/>
  <c r="B20" i="4" s="1"/>
  <c r="O14" i="4"/>
  <c r="O15" i="4" s="1"/>
  <c r="O16" i="4" s="1"/>
  <c r="N14" i="4"/>
  <c r="N15" i="4" s="1"/>
  <c r="N16" i="4" s="1"/>
  <c r="J109" i="3"/>
  <c r="I109" i="3"/>
  <c r="H109" i="3"/>
  <c r="G109" i="3"/>
  <c r="F109" i="3"/>
  <c r="E109" i="3"/>
  <c r="D109" i="3"/>
  <c r="C109" i="3"/>
  <c r="B109" i="3"/>
  <c r="D107" i="3"/>
  <c r="C107" i="3"/>
  <c r="B107" i="3"/>
  <c r="J105" i="3"/>
  <c r="I105" i="3"/>
  <c r="H105" i="3"/>
  <c r="G105" i="3"/>
  <c r="F105" i="3"/>
  <c r="E105" i="3"/>
  <c r="D105" i="3"/>
  <c r="C105" i="3"/>
  <c r="B105" i="3"/>
  <c r="J103" i="3"/>
  <c r="I103" i="3"/>
  <c r="H103" i="3"/>
  <c r="H107" i="3" s="1"/>
  <c r="G103" i="3"/>
  <c r="G107" i="3" s="1"/>
  <c r="F103" i="3"/>
  <c r="F107" i="3" s="1"/>
  <c r="E103" i="3"/>
  <c r="E107" i="3" s="1"/>
  <c r="D103" i="3"/>
  <c r="C103" i="3"/>
  <c r="B103" i="3"/>
  <c r="H100" i="3"/>
  <c r="F100" i="3"/>
  <c r="F106" i="3" s="1"/>
  <c r="E100" i="3"/>
  <c r="E106" i="3" s="1"/>
  <c r="D100" i="3"/>
  <c r="C100" i="3"/>
  <c r="B100" i="3"/>
  <c r="J98" i="3"/>
  <c r="I98" i="3"/>
  <c r="H98" i="3"/>
  <c r="G98" i="3"/>
  <c r="F98" i="3"/>
  <c r="F111" i="3" s="1"/>
  <c r="F112" i="3" s="1"/>
  <c r="E98" i="3"/>
  <c r="E111" i="3" s="1"/>
  <c r="E112" i="3" s="1"/>
  <c r="D98" i="3"/>
  <c r="C98" i="3"/>
  <c r="B98" i="3"/>
  <c r="J79" i="3"/>
  <c r="I79" i="3"/>
  <c r="H79" i="3"/>
  <c r="B79" i="3"/>
  <c r="J77" i="3"/>
  <c r="I77" i="3"/>
  <c r="H77" i="3"/>
  <c r="G77" i="3"/>
  <c r="F77" i="3"/>
  <c r="E77" i="3"/>
  <c r="D77" i="3"/>
  <c r="C77" i="3"/>
  <c r="B77" i="3"/>
  <c r="N76" i="3"/>
  <c r="J75" i="3"/>
  <c r="I75" i="3"/>
  <c r="H75" i="3"/>
  <c r="G75" i="3"/>
  <c r="F75" i="3"/>
  <c r="F79" i="3" s="1"/>
  <c r="E75" i="3"/>
  <c r="E79" i="3" s="1"/>
  <c r="D75" i="3"/>
  <c r="D79" i="3" s="1"/>
  <c r="C75" i="3"/>
  <c r="C79" i="3" s="1"/>
  <c r="B75" i="3"/>
  <c r="N74" i="3"/>
  <c r="G72" i="3"/>
  <c r="G78" i="3" s="1"/>
  <c r="F72" i="3"/>
  <c r="F78" i="3" s="1"/>
  <c r="E72" i="3"/>
  <c r="E78" i="3" s="1"/>
  <c r="D72" i="3"/>
  <c r="C72" i="3"/>
  <c r="B72" i="3"/>
  <c r="J70" i="3"/>
  <c r="I70" i="3"/>
  <c r="H70" i="3"/>
  <c r="G70" i="3"/>
  <c r="F70" i="3"/>
  <c r="E70" i="3"/>
  <c r="D70" i="3"/>
  <c r="C70" i="3"/>
  <c r="B70" i="3"/>
  <c r="J52" i="3"/>
  <c r="I52" i="3"/>
  <c r="H52" i="3"/>
  <c r="G52" i="3"/>
  <c r="E51" i="3"/>
  <c r="J50" i="3"/>
  <c r="I50" i="3"/>
  <c r="H50" i="3"/>
  <c r="G50" i="3"/>
  <c r="F50" i="3"/>
  <c r="E50" i="3"/>
  <c r="D50" i="3"/>
  <c r="C50" i="3"/>
  <c r="B50" i="3"/>
  <c r="J48" i="3"/>
  <c r="I48" i="3"/>
  <c r="H48" i="3"/>
  <c r="G48" i="3"/>
  <c r="F48" i="3"/>
  <c r="E48" i="3"/>
  <c r="E52" i="3" s="1"/>
  <c r="D48" i="3"/>
  <c r="D52" i="3" s="1"/>
  <c r="C48" i="3"/>
  <c r="B48" i="3"/>
  <c r="B52" i="3" s="1"/>
  <c r="D45" i="3"/>
  <c r="C45" i="3"/>
  <c r="B45" i="3"/>
  <c r="J43" i="3"/>
  <c r="I43" i="3"/>
  <c r="H43" i="3"/>
  <c r="G43" i="3"/>
  <c r="F43" i="3"/>
  <c r="E43" i="3"/>
  <c r="D43" i="3"/>
  <c r="C43" i="3"/>
  <c r="B43" i="3"/>
  <c r="J27" i="3"/>
  <c r="I27" i="3"/>
  <c r="I26" i="3"/>
  <c r="H26" i="3"/>
  <c r="H27" i="3" s="1"/>
  <c r="G26" i="3"/>
  <c r="F26" i="3"/>
  <c r="F27" i="3" s="1"/>
  <c r="E26" i="3"/>
  <c r="E27" i="3" s="1"/>
  <c r="D26" i="3"/>
  <c r="J25" i="3"/>
  <c r="I25" i="3"/>
  <c r="H25" i="3"/>
  <c r="G25" i="3"/>
  <c r="F25" i="3"/>
  <c r="E25" i="3"/>
  <c r="D25" i="3"/>
  <c r="C25" i="3"/>
  <c r="B25" i="3"/>
  <c r="J23" i="3"/>
  <c r="J26" i="3" s="1"/>
  <c r="I23" i="3"/>
  <c r="H23" i="3"/>
  <c r="G23" i="3"/>
  <c r="F23" i="3"/>
  <c r="E23" i="3"/>
  <c r="D23" i="3"/>
  <c r="C23" i="3"/>
  <c r="C26" i="3" s="1"/>
  <c r="B23" i="3"/>
  <c r="B26" i="3" s="1"/>
  <c r="I20" i="3"/>
  <c r="E20" i="3"/>
  <c r="C20" i="3"/>
  <c r="B20" i="3"/>
  <c r="J19" i="3"/>
  <c r="I19" i="3"/>
  <c r="H19" i="3"/>
  <c r="G19" i="3"/>
  <c r="G100" i="3" s="1"/>
  <c r="G106" i="3" s="1"/>
  <c r="G111" i="3" s="1"/>
  <c r="G112" i="3" s="1"/>
  <c r="F19" i="3"/>
  <c r="F20" i="3" s="1"/>
  <c r="E19" i="3"/>
  <c r="E45" i="3" s="1"/>
  <c r="D19" i="3"/>
  <c r="C19" i="3"/>
  <c r="B19" i="3"/>
  <c r="B27" i="3" s="1"/>
  <c r="B111" i="2"/>
  <c r="B112" i="2" s="1"/>
  <c r="J109" i="2"/>
  <c r="I109" i="2"/>
  <c r="H109" i="2"/>
  <c r="G109" i="2"/>
  <c r="F109" i="2"/>
  <c r="E109" i="2"/>
  <c r="D109" i="2"/>
  <c r="C109" i="2"/>
  <c r="B109" i="2"/>
  <c r="J107" i="2"/>
  <c r="I107" i="2"/>
  <c r="B107" i="2"/>
  <c r="J105" i="2"/>
  <c r="I105" i="2"/>
  <c r="H105" i="2"/>
  <c r="G105" i="2"/>
  <c r="F105" i="2"/>
  <c r="E105" i="2"/>
  <c r="D105" i="2"/>
  <c r="C105" i="2"/>
  <c r="B105" i="2"/>
  <c r="J103" i="2"/>
  <c r="I103" i="2"/>
  <c r="H103" i="2"/>
  <c r="G103" i="2"/>
  <c r="F103" i="2"/>
  <c r="E103" i="2"/>
  <c r="E107" i="2" s="1"/>
  <c r="D103" i="2"/>
  <c r="D107" i="2" s="1"/>
  <c r="D111" i="2" s="1"/>
  <c r="D112" i="2" s="1"/>
  <c r="C103" i="2"/>
  <c r="C107" i="2" s="1"/>
  <c r="C111" i="2" s="1"/>
  <c r="C112" i="2" s="1"/>
  <c r="B103" i="2"/>
  <c r="D100" i="2"/>
  <c r="D106" i="2" s="1"/>
  <c r="C100" i="2"/>
  <c r="C106" i="2" s="1"/>
  <c r="B100" i="2"/>
  <c r="B106" i="2" s="1"/>
  <c r="J98" i="2"/>
  <c r="I98" i="2"/>
  <c r="H98" i="2"/>
  <c r="G98" i="2"/>
  <c r="F98" i="2"/>
  <c r="E98" i="2"/>
  <c r="D98" i="2"/>
  <c r="C98" i="2"/>
  <c r="B98" i="2"/>
  <c r="J79" i="2"/>
  <c r="I79" i="2"/>
  <c r="H79" i="2"/>
  <c r="D78" i="2"/>
  <c r="J77" i="2"/>
  <c r="I77" i="2"/>
  <c r="H77" i="2"/>
  <c r="G77" i="2"/>
  <c r="G79" i="2" s="1"/>
  <c r="F77" i="2"/>
  <c r="E77" i="2"/>
  <c r="D77" i="2"/>
  <c r="C77" i="2"/>
  <c r="B77" i="2"/>
  <c r="J75" i="2"/>
  <c r="I75" i="2"/>
  <c r="H75" i="2"/>
  <c r="G75" i="2"/>
  <c r="F75" i="2"/>
  <c r="F79" i="2" s="1"/>
  <c r="E75" i="2"/>
  <c r="D75" i="2"/>
  <c r="C75" i="2"/>
  <c r="C79" i="2" s="1"/>
  <c r="B75" i="2"/>
  <c r="B79" i="2" s="1"/>
  <c r="N74" i="2"/>
  <c r="N76" i="2" s="1"/>
  <c r="D72" i="2"/>
  <c r="C72" i="2"/>
  <c r="C78" i="2" s="1"/>
  <c r="B72" i="2"/>
  <c r="B78" i="2" s="1"/>
  <c r="B80" i="2" s="1"/>
  <c r="J70" i="2"/>
  <c r="I70" i="2"/>
  <c r="H70" i="2"/>
  <c r="G70" i="2"/>
  <c r="F70" i="2"/>
  <c r="E70" i="2"/>
  <c r="D70" i="2"/>
  <c r="C70" i="2"/>
  <c r="B70" i="2"/>
  <c r="I53" i="2"/>
  <c r="I52" i="2"/>
  <c r="H52" i="2"/>
  <c r="G52" i="2"/>
  <c r="C51" i="2"/>
  <c r="J50" i="2"/>
  <c r="I50" i="2"/>
  <c r="H50" i="2"/>
  <c r="G50" i="2"/>
  <c r="F50" i="2"/>
  <c r="F52" i="2" s="1"/>
  <c r="E50" i="2"/>
  <c r="E52" i="2" s="1"/>
  <c r="D50" i="2"/>
  <c r="C50" i="2"/>
  <c r="B50" i="2"/>
  <c r="J48" i="2"/>
  <c r="J52" i="2" s="1"/>
  <c r="J53" i="2" s="1"/>
  <c r="I48" i="2"/>
  <c r="H48" i="2"/>
  <c r="G48" i="2"/>
  <c r="F48" i="2"/>
  <c r="E48" i="2"/>
  <c r="D48" i="2"/>
  <c r="C48" i="2"/>
  <c r="B48" i="2"/>
  <c r="J45" i="2"/>
  <c r="J51" i="2" s="1"/>
  <c r="I45" i="2"/>
  <c r="I51" i="2" s="1"/>
  <c r="C45" i="2"/>
  <c r="B45" i="2"/>
  <c r="B51" i="2" s="1"/>
  <c r="J43" i="2"/>
  <c r="I43" i="2"/>
  <c r="H43" i="2"/>
  <c r="G43" i="2"/>
  <c r="F43" i="2"/>
  <c r="E43" i="2"/>
  <c r="D43" i="2"/>
  <c r="C43" i="2"/>
  <c r="B43" i="2"/>
  <c r="G26" i="2"/>
  <c r="G27" i="2" s="1"/>
  <c r="F26" i="2"/>
  <c r="E26" i="2"/>
  <c r="D26" i="2"/>
  <c r="D27" i="2" s="1"/>
  <c r="J25" i="2"/>
  <c r="I25" i="2"/>
  <c r="H25" i="2"/>
  <c r="G25" i="2"/>
  <c r="F25" i="2"/>
  <c r="E25" i="2"/>
  <c r="D25" i="2"/>
  <c r="C25" i="2"/>
  <c r="B25" i="2"/>
  <c r="J23" i="2"/>
  <c r="J26" i="2" s="1"/>
  <c r="I23" i="2"/>
  <c r="I26" i="2" s="1"/>
  <c r="H23" i="2"/>
  <c r="H26" i="2" s="1"/>
  <c r="G23" i="2"/>
  <c r="F23" i="2"/>
  <c r="E23" i="2"/>
  <c r="D23" i="2"/>
  <c r="C23" i="2"/>
  <c r="O14" i="2" s="1"/>
  <c r="O15" i="2" s="1"/>
  <c r="O16" i="2" s="1"/>
  <c r="B23" i="2"/>
  <c r="B26" i="2" s="1"/>
  <c r="J20" i="2"/>
  <c r="I20" i="2"/>
  <c r="C20" i="2"/>
  <c r="J19" i="2"/>
  <c r="I19" i="2"/>
  <c r="H19" i="2"/>
  <c r="H45" i="2" s="1"/>
  <c r="H51" i="2" s="1"/>
  <c r="H53" i="2" s="1"/>
  <c r="G19" i="2"/>
  <c r="F19" i="2"/>
  <c r="E19" i="2"/>
  <c r="D19" i="2"/>
  <c r="D20" i="2" s="1"/>
  <c r="C19" i="2"/>
  <c r="B19" i="2"/>
  <c r="C14" i="6" l="1"/>
  <c r="C15" i="6" s="1"/>
  <c r="J15" i="6"/>
  <c r="J3" i="3"/>
  <c r="K7" i="6"/>
  <c r="K8" i="6" s="1"/>
  <c r="K9" i="6" s="1"/>
  <c r="D6" i="4"/>
  <c r="D109" i="4" s="1"/>
  <c r="I6" i="5"/>
  <c r="I109" i="5" s="1"/>
  <c r="B3" i="3"/>
  <c r="B106" i="3" s="1"/>
  <c r="B111" i="3" s="1"/>
  <c r="B112" i="3" s="1"/>
  <c r="B113" i="3" s="1"/>
  <c r="D3" i="6" s="1"/>
  <c r="D4" i="6" s="1"/>
  <c r="F9" i="6"/>
  <c r="E7" i="6"/>
  <c r="E8" i="6" s="1"/>
  <c r="E9" i="6" s="1"/>
  <c r="I3" i="5"/>
  <c r="I51" i="5" s="1"/>
  <c r="G2" i="5"/>
  <c r="G25" i="5" s="1"/>
  <c r="G26" i="5" s="1"/>
  <c r="G27" i="5" s="1"/>
  <c r="M7" i="6"/>
  <c r="M8" i="6" s="1"/>
  <c r="M9" i="6" s="1"/>
  <c r="H2" i="5"/>
  <c r="H105" i="5" s="1"/>
  <c r="H107" i="5" s="1"/>
  <c r="D3" i="4"/>
  <c r="D106" i="4" s="1"/>
  <c r="C7" i="6"/>
  <c r="C8" i="6" s="1"/>
  <c r="C9" i="6" s="1"/>
  <c r="I105" i="5"/>
  <c r="I107" i="5" s="1"/>
  <c r="I77" i="5"/>
  <c r="I79" i="5" s="1"/>
  <c r="F2" i="5"/>
  <c r="F105" i="5" s="1"/>
  <c r="F107" i="5" s="1"/>
  <c r="F111" i="5" s="1"/>
  <c r="F112" i="5" s="1"/>
  <c r="F113" i="5" s="1"/>
  <c r="E113" i="3"/>
  <c r="B113" i="2"/>
  <c r="F113" i="3"/>
  <c r="D7" i="6"/>
  <c r="D8" i="6" s="1"/>
  <c r="D9" i="6" s="1"/>
  <c r="D113" i="2"/>
  <c r="G113" i="3"/>
  <c r="C113" i="2"/>
  <c r="E80" i="4"/>
  <c r="B52" i="2"/>
  <c r="B53" i="2" s="1"/>
  <c r="C52" i="2"/>
  <c r="I72" i="2"/>
  <c r="I78" i="2" s="1"/>
  <c r="I80" i="2" s="1"/>
  <c r="I100" i="2"/>
  <c r="I106" i="2" s="1"/>
  <c r="I111" i="2" s="1"/>
  <c r="I112" i="2" s="1"/>
  <c r="I113" i="2" s="1"/>
  <c r="E80" i="3"/>
  <c r="J100" i="2"/>
  <c r="J106" i="2" s="1"/>
  <c r="J27" i="2"/>
  <c r="J72" i="2"/>
  <c r="J78" i="2" s="1"/>
  <c r="J80" i="2" s="1"/>
  <c r="G53" i="3"/>
  <c r="F80" i="3"/>
  <c r="D3" i="5"/>
  <c r="D51" i="5" s="1"/>
  <c r="D3" i="3"/>
  <c r="D51" i="3" s="1"/>
  <c r="D53" i="3" s="1"/>
  <c r="C3" i="5"/>
  <c r="C3" i="3"/>
  <c r="C106" i="3" s="1"/>
  <c r="C111" i="3" s="1"/>
  <c r="C112" i="3" s="1"/>
  <c r="C113" i="3" s="1"/>
  <c r="C3" i="4"/>
  <c r="C78" i="4" s="1"/>
  <c r="B27" i="2"/>
  <c r="H20" i="2"/>
  <c r="C26" i="2"/>
  <c r="C27" i="2" s="1"/>
  <c r="I72" i="3"/>
  <c r="I100" i="3"/>
  <c r="I45" i="3"/>
  <c r="J6" i="4"/>
  <c r="J109" i="4" s="1"/>
  <c r="C20" i="5"/>
  <c r="C53" i="2"/>
  <c r="J72" i="3"/>
  <c r="J100" i="3"/>
  <c r="F111" i="4"/>
  <c r="F112" i="4" s="1"/>
  <c r="F113" i="4" s="1"/>
  <c r="B45" i="5"/>
  <c r="B72" i="5"/>
  <c r="B20" i="5"/>
  <c r="E20" i="2"/>
  <c r="E45" i="2"/>
  <c r="E51" i="2" s="1"/>
  <c r="E53" i="2" s="1"/>
  <c r="F107" i="2"/>
  <c r="F45" i="2"/>
  <c r="F51" i="2" s="1"/>
  <c r="F53" i="2" s="1"/>
  <c r="F72" i="2"/>
  <c r="F78" i="2" s="1"/>
  <c r="F80" i="2" s="1"/>
  <c r="F20" i="2"/>
  <c r="G107" i="2"/>
  <c r="J45" i="3"/>
  <c r="J26" i="4"/>
  <c r="J27" i="4" s="1"/>
  <c r="B52" i="4"/>
  <c r="D72" i="5"/>
  <c r="D100" i="5"/>
  <c r="B100" i="5"/>
  <c r="G72" i="2"/>
  <c r="G78" i="2" s="1"/>
  <c r="G80" i="2" s="1"/>
  <c r="G100" i="2"/>
  <c r="G106" i="2" s="1"/>
  <c r="G111" i="2" s="1"/>
  <c r="G112" i="2" s="1"/>
  <c r="G113" i="2" s="1"/>
  <c r="G45" i="2"/>
  <c r="G51" i="2" s="1"/>
  <c r="G53" i="2" s="1"/>
  <c r="D52" i="2"/>
  <c r="C80" i="2"/>
  <c r="E72" i="2"/>
  <c r="E78" i="2" s="1"/>
  <c r="H107" i="2"/>
  <c r="C27" i="3"/>
  <c r="D45" i="4"/>
  <c r="D72" i="4"/>
  <c r="D20" i="4"/>
  <c r="B3" i="5"/>
  <c r="C20" i="4"/>
  <c r="C45" i="4"/>
  <c r="C100" i="4"/>
  <c r="B6" i="4"/>
  <c r="B109" i="4" s="1"/>
  <c r="C6" i="4"/>
  <c r="C109" i="4" s="1"/>
  <c r="E5" i="6"/>
  <c r="F5" i="6"/>
  <c r="D5" i="6"/>
  <c r="H72" i="2"/>
  <c r="H78" i="2" s="1"/>
  <c r="H80" i="2" s="1"/>
  <c r="H100" i="2"/>
  <c r="H106" i="2" s="1"/>
  <c r="E27" i="2"/>
  <c r="D27" i="3"/>
  <c r="J20" i="3"/>
  <c r="E53" i="3"/>
  <c r="C52" i="3"/>
  <c r="B3" i="4"/>
  <c r="B78" i="4" s="1"/>
  <c r="B80" i="4" s="1"/>
  <c r="E72" i="4"/>
  <c r="E78" i="4" s="1"/>
  <c r="E100" i="4"/>
  <c r="E106" i="4" s="1"/>
  <c r="E111" i="4" s="1"/>
  <c r="E112" i="4" s="1"/>
  <c r="E113" i="4" s="1"/>
  <c r="E45" i="4"/>
  <c r="E51" i="4" s="1"/>
  <c r="E53" i="4" s="1"/>
  <c r="B6" i="5"/>
  <c r="B109" i="5" s="1"/>
  <c r="F100" i="5"/>
  <c r="F106" i="5" s="1"/>
  <c r="F72" i="5"/>
  <c r="F78" i="5" s="1"/>
  <c r="I25" i="5"/>
  <c r="I26" i="5" s="1"/>
  <c r="I27" i="5" s="1"/>
  <c r="C6" i="5"/>
  <c r="C109" i="5" s="1"/>
  <c r="I50" i="5"/>
  <c r="I52" i="5" s="1"/>
  <c r="D6" i="5"/>
  <c r="D109" i="5" s="1"/>
  <c r="C5" i="6"/>
  <c r="H27" i="2"/>
  <c r="N14" i="3"/>
  <c r="N15" i="3" s="1"/>
  <c r="N16" i="3" s="1"/>
  <c r="G20" i="3"/>
  <c r="G45" i="3"/>
  <c r="G51" i="3" s="1"/>
  <c r="F52" i="3"/>
  <c r="F53" i="3" s="1"/>
  <c r="I107" i="3"/>
  <c r="H6" i="4"/>
  <c r="H109" i="4" s="1"/>
  <c r="H100" i="4"/>
  <c r="H27" i="4"/>
  <c r="H72" i="4"/>
  <c r="D27" i="4"/>
  <c r="H6" i="5"/>
  <c r="H109" i="5" s="1"/>
  <c r="G79" i="3"/>
  <c r="G80" i="3" s="1"/>
  <c r="C72" i="5"/>
  <c r="C100" i="5"/>
  <c r="C45" i="5"/>
  <c r="J111" i="2"/>
  <c r="J112" i="2" s="1"/>
  <c r="J113" i="2" s="1"/>
  <c r="L5" i="6"/>
  <c r="K5" i="6"/>
  <c r="J5" i="6"/>
  <c r="M5" i="6"/>
  <c r="N14" i="2"/>
  <c r="N15" i="2" s="1"/>
  <c r="N16" i="2" s="1"/>
  <c r="F27" i="2"/>
  <c r="F72" i="4"/>
  <c r="F78" i="4" s="1"/>
  <c r="F80" i="4" s="1"/>
  <c r="F100" i="4"/>
  <c r="F106" i="4" s="1"/>
  <c r="F27" i="4"/>
  <c r="E100" i="2"/>
  <c r="E106" i="2" s="1"/>
  <c r="E111" i="2" s="1"/>
  <c r="E112" i="2" s="1"/>
  <c r="E113" i="2" s="1"/>
  <c r="C27" i="4"/>
  <c r="C79" i="4"/>
  <c r="D79" i="2"/>
  <c r="D80" i="2" s="1"/>
  <c r="F100" i="2"/>
  <c r="F106" i="2" s="1"/>
  <c r="D2" i="5"/>
  <c r="C2" i="5"/>
  <c r="B2" i="5"/>
  <c r="J2" i="5"/>
  <c r="E2" i="5"/>
  <c r="G20" i="2"/>
  <c r="I27" i="2"/>
  <c r="E79" i="2"/>
  <c r="O14" i="3"/>
  <c r="O15" i="3" s="1"/>
  <c r="O16" i="3" s="1"/>
  <c r="H45" i="3"/>
  <c r="H72" i="3"/>
  <c r="H20" i="3"/>
  <c r="G27" i="3"/>
  <c r="J107" i="3"/>
  <c r="I6" i="4"/>
  <c r="I109" i="4" s="1"/>
  <c r="I27" i="4"/>
  <c r="E27" i="4"/>
  <c r="F45" i="4"/>
  <c r="F51" i="4" s="1"/>
  <c r="F53" i="4" s="1"/>
  <c r="J6" i="5"/>
  <c r="J109" i="5" s="1"/>
  <c r="J3" i="5"/>
  <c r="J106" i="5" s="1"/>
  <c r="J7" i="6"/>
  <c r="J8" i="6" s="1"/>
  <c r="J9" i="6" s="1"/>
  <c r="D20" i="3"/>
  <c r="H3" i="4"/>
  <c r="H51" i="4" s="1"/>
  <c r="H53" i="4" s="1"/>
  <c r="I20" i="5"/>
  <c r="J45" i="5"/>
  <c r="L7" i="6"/>
  <c r="L8" i="6" s="1"/>
  <c r="L9" i="6" s="1"/>
  <c r="B20" i="2"/>
  <c r="D45" i="2"/>
  <c r="D51" i="2" s="1"/>
  <c r="F45" i="3"/>
  <c r="F51" i="3" s="1"/>
  <c r="I3" i="4"/>
  <c r="I106" i="4" s="1"/>
  <c r="B45" i="4"/>
  <c r="H3" i="3"/>
  <c r="H106" i="3" s="1"/>
  <c r="H111" i="3" s="1"/>
  <c r="H112" i="3" s="1"/>
  <c r="H113" i="3" s="1"/>
  <c r="J3" i="4"/>
  <c r="J78" i="4" s="1"/>
  <c r="J80" i="4" s="1"/>
  <c r="G100" i="4"/>
  <c r="G106" i="4" s="1"/>
  <c r="G111" i="4" s="1"/>
  <c r="G112" i="4" s="1"/>
  <c r="G113" i="4" s="1"/>
  <c r="H3" i="5"/>
  <c r="H78" i="5" s="1"/>
  <c r="E100" i="5"/>
  <c r="E106" i="5" s="1"/>
  <c r="I3" i="3"/>
  <c r="J106" i="3" l="1"/>
  <c r="J111" i="3" s="1"/>
  <c r="J112" i="3" s="1"/>
  <c r="J113" i="3" s="1"/>
  <c r="J78" i="3"/>
  <c r="J80" i="3" s="1"/>
  <c r="J51" i="3"/>
  <c r="J53" i="3" s="1"/>
  <c r="D111" i="4"/>
  <c r="D112" i="4" s="1"/>
  <c r="D113" i="4" s="1"/>
  <c r="B51" i="3"/>
  <c r="B53" i="3" s="1"/>
  <c r="I106" i="5"/>
  <c r="I111" i="5" s="1"/>
  <c r="I112" i="5" s="1"/>
  <c r="I113" i="5" s="1"/>
  <c r="B78" i="3"/>
  <c r="B80" i="3" s="1"/>
  <c r="G50" i="5"/>
  <c r="G52" i="5" s="1"/>
  <c r="G53" i="5" s="1"/>
  <c r="G77" i="5"/>
  <c r="G79" i="5" s="1"/>
  <c r="G80" i="5" s="1"/>
  <c r="G105" i="5"/>
  <c r="G107" i="5" s="1"/>
  <c r="G111" i="5" s="1"/>
  <c r="G112" i="5" s="1"/>
  <c r="G113" i="5" s="1"/>
  <c r="I78" i="5"/>
  <c r="I80" i="5" s="1"/>
  <c r="C3" i="6"/>
  <c r="C4" i="6" s="1"/>
  <c r="C10" i="6" s="1"/>
  <c r="C51" i="3"/>
  <c r="C53" i="3" s="1"/>
  <c r="H50" i="5"/>
  <c r="H52" i="5" s="1"/>
  <c r="H25" i="5"/>
  <c r="H26" i="5" s="1"/>
  <c r="H27" i="5" s="1"/>
  <c r="I111" i="4"/>
  <c r="I112" i="4" s="1"/>
  <c r="I113" i="4" s="1"/>
  <c r="D51" i="4"/>
  <c r="D53" i="4" s="1"/>
  <c r="D106" i="5"/>
  <c r="H77" i="5"/>
  <c r="H79" i="5" s="1"/>
  <c r="H80" i="5" s="1"/>
  <c r="D106" i="3"/>
  <c r="D111" i="3" s="1"/>
  <c r="D112" i="3" s="1"/>
  <c r="D113" i="3" s="1"/>
  <c r="D78" i="4"/>
  <c r="D80" i="4" s="1"/>
  <c r="F50" i="5"/>
  <c r="F52" i="5" s="1"/>
  <c r="F53" i="5" s="1"/>
  <c r="C78" i="3"/>
  <c r="C80" i="3" s="1"/>
  <c r="J78" i="5"/>
  <c r="F25" i="5"/>
  <c r="F26" i="5" s="1"/>
  <c r="F27" i="5" s="1"/>
  <c r="F77" i="5"/>
  <c r="F79" i="5" s="1"/>
  <c r="F80" i="5" s="1"/>
  <c r="J51" i="5"/>
  <c r="J51" i="4"/>
  <c r="J53" i="4" s="1"/>
  <c r="D10" i="6"/>
  <c r="H51" i="5"/>
  <c r="B51" i="5"/>
  <c r="C51" i="5"/>
  <c r="D78" i="3"/>
  <c r="D80" i="3" s="1"/>
  <c r="C106" i="5"/>
  <c r="H106" i="5"/>
  <c r="H111" i="5" s="1"/>
  <c r="H112" i="5" s="1"/>
  <c r="H113" i="5" s="1"/>
  <c r="D78" i="5"/>
  <c r="I53" i="5"/>
  <c r="H78" i="3"/>
  <c r="H80" i="3" s="1"/>
  <c r="H51" i="3"/>
  <c r="H53" i="3" s="1"/>
  <c r="C80" i="4"/>
  <c r="I106" i="3"/>
  <c r="I111" i="3" s="1"/>
  <c r="I112" i="3" s="1"/>
  <c r="I113" i="3" s="1"/>
  <c r="E25" i="5"/>
  <c r="E26" i="5" s="1"/>
  <c r="E27" i="5" s="1"/>
  <c r="E50" i="5"/>
  <c r="E52" i="5" s="1"/>
  <c r="E53" i="5" s="1"/>
  <c r="E77" i="5"/>
  <c r="E79" i="5" s="1"/>
  <c r="E80" i="5" s="1"/>
  <c r="E105" i="5"/>
  <c r="E107" i="5" s="1"/>
  <c r="E111" i="5" s="1"/>
  <c r="E112" i="5" s="1"/>
  <c r="E113" i="5" s="1"/>
  <c r="I78" i="3"/>
  <c r="I80" i="3" s="1"/>
  <c r="B25" i="5"/>
  <c r="B26" i="5" s="1"/>
  <c r="B27" i="5" s="1"/>
  <c r="B77" i="5"/>
  <c r="B79" i="5" s="1"/>
  <c r="B105" i="5"/>
  <c r="B107" i="5" s="1"/>
  <c r="B50" i="5"/>
  <c r="B52" i="5" s="1"/>
  <c r="J106" i="4"/>
  <c r="J111" i="4" s="1"/>
  <c r="J112" i="4" s="1"/>
  <c r="J113" i="4" s="1"/>
  <c r="D25" i="5"/>
  <c r="D26" i="5" s="1"/>
  <c r="D27" i="5" s="1"/>
  <c r="D50" i="5"/>
  <c r="D52" i="5" s="1"/>
  <c r="D53" i="5" s="1"/>
  <c r="D77" i="5"/>
  <c r="D79" i="5" s="1"/>
  <c r="D105" i="5"/>
  <c r="D107" i="5" s="1"/>
  <c r="D53" i="2"/>
  <c r="I51" i="4"/>
  <c r="I53" i="4" s="1"/>
  <c r="C78" i="5"/>
  <c r="I78" i="4"/>
  <c r="I80" i="4" s="1"/>
  <c r="F111" i="2"/>
  <c r="F112" i="2" s="1"/>
  <c r="F113" i="2" s="1"/>
  <c r="H78" i="4"/>
  <c r="H80" i="4" s="1"/>
  <c r="C106" i="4"/>
  <c r="C111" i="4" s="1"/>
  <c r="C112" i="4" s="1"/>
  <c r="C113" i="4" s="1"/>
  <c r="B106" i="4"/>
  <c r="B111" i="4" s="1"/>
  <c r="B112" i="4" s="1"/>
  <c r="B113" i="4" s="1"/>
  <c r="C51" i="4"/>
  <c r="C53" i="4" s="1"/>
  <c r="B106" i="5"/>
  <c r="J105" i="5"/>
  <c r="J107" i="5" s="1"/>
  <c r="J111" i="5" s="1"/>
  <c r="J112" i="5" s="1"/>
  <c r="J113" i="5" s="1"/>
  <c r="J50" i="5"/>
  <c r="J52" i="5" s="1"/>
  <c r="J25" i="5"/>
  <c r="J26" i="5" s="1"/>
  <c r="J27" i="5" s="1"/>
  <c r="J77" i="5"/>
  <c r="J79" i="5" s="1"/>
  <c r="C25" i="5"/>
  <c r="C26" i="5" s="1"/>
  <c r="C27" i="5" s="1"/>
  <c r="C50" i="5"/>
  <c r="C52" i="5" s="1"/>
  <c r="C105" i="5"/>
  <c r="C107" i="5" s="1"/>
  <c r="C77" i="5"/>
  <c r="C79" i="5" s="1"/>
  <c r="E80" i="2"/>
  <c r="B51" i="4"/>
  <c r="B53" i="4" s="1"/>
  <c r="H106" i="4"/>
  <c r="H111" i="4" s="1"/>
  <c r="H112" i="4" s="1"/>
  <c r="H113" i="4" s="1"/>
  <c r="H111" i="2"/>
  <c r="H112" i="2" s="1"/>
  <c r="H113" i="2" s="1"/>
  <c r="J3" i="6" s="1"/>
  <c r="J4" i="6" s="1"/>
  <c r="J10" i="6" s="1"/>
  <c r="B78" i="5"/>
  <c r="I51" i="3"/>
  <c r="I53" i="3" s="1"/>
  <c r="H53" i="5" l="1"/>
  <c r="K3" i="6"/>
  <c r="K4" i="6" s="1"/>
  <c r="K10" i="6" s="1"/>
  <c r="B53" i="5"/>
  <c r="J80" i="5"/>
  <c r="D111" i="5"/>
  <c r="D112" i="5" s="1"/>
  <c r="D113" i="5" s="1"/>
  <c r="E3" i="6"/>
  <c r="E4" i="6" s="1"/>
  <c r="E10" i="6" s="1"/>
  <c r="L3" i="6"/>
  <c r="L4" i="6" s="1"/>
  <c r="L10" i="6" s="1"/>
  <c r="M3" i="6"/>
  <c r="M4" i="6" s="1"/>
  <c r="J53" i="5"/>
  <c r="C80" i="5"/>
  <c r="B111" i="5"/>
  <c r="B112" i="5" s="1"/>
  <c r="B113" i="5" s="1"/>
  <c r="D80" i="5"/>
  <c r="C111" i="5"/>
  <c r="C112" i="5" s="1"/>
  <c r="C113" i="5" s="1"/>
  <c r="C53" i="5"/>
  <c r="B80" i="5"/>
  <c r="M10" i="6" l="1"/>
  <c r="J16" i="6"/>
  <c r="J17" i="6" s="1"/>
  <c r="F3" i="6"/>
  <c r="F4" i="6" s="1"/>
  <c r="F10" i="6" l="1"/>
  <c r="C16" i="6"/>
  <c r="C17" i="6" s="1"/>
</calcChain>
</file>

<file path=xl/sharedStrings.xml><?xml version="1.0" encoding="utf-8"?>
<sst xmlns="http://schemas.openxmlformats.org/spreadsheetml/2006/main" count="987" uniqueCount="113">
  <si>
    <t>Parameter</t>
  </si>
  <si>
    <t>Year</t>
  </si>
  <si>
    <t>Value</t>
  </si>
  <si>
    <t>Unit</t>
  </si>
  <si>
    <t>Standard Values</t>
  </si>
  <si>
    <t>Current Year</t>
  </si>
  <si>
    <t>Inflation</t>
  </si>
  <si>
    <t>WACC</t>
  </si>
  <si>
    <t>USD to EUR</t>
  </si>
  <si>
    <t xml:space="preserve">Electricity </t>
  </si>
  <si>
    <t>LCOE</t>
  </si>
  <si>
    <t>$/MWh</t>
  </si>
  <si>
    <t>Jet Fuel A-1 Characteristics</t>
  </si>
  <si>
    <t>Emissions Intensity</t>
  </si>
  <si>
    <t>gCO2/MJ</t>
  </si>
  <si>
    <t>Energy Density</t>
  </si>
  <si>
    <t>MJ/kg</t>
  </si>
  <si>
    <t>MJ/l</t>
  </si>
  <si>
    <t>Volumetric Density</t>
  </si>
  <si>
    <t>kg/l</t>
  </si>
  <si>
    <t>Jet Fuel A-1 Price</t>
  </si>
  <si>
    <t>$/l</t>
  </si>
  <si>
    <t>Scenario Specific Values</t>
  </si>
  <si>
    <t>IEA Reference</t>
  </si>
  <si>
    <t>EIA Reference</t>
  </si>
  <si>
    <t>EIA Low Oil Price Scenario</t>
  </si>
  <si>
    <t>EIA High Scenario</t>
  </si>
  <si>
    <t>Direct Air Capture</t>
  </si>
  <si>
    <t>LCOR</t>
  </si>
  <si>
    <t>$/tCO2</t>
  </si>
  <si>
    <t>WACC_source</t>
  </si>
  <si>
    <t>-</t>
  </si>
  <si>
    <t>WACC_alternative</t>
  </si>
  <si>
    <t>LCOE_alternative</t>
  </si>
  <si>
    <t>ct/kWh</t>
  </si>
  <si>
    <t>Note: this is the standard LCOE curve</t>
  </si>
  <si>
    <t>DAC_source</t>
  </si>
  <si>
    <t>€/tCO2</t>
  </si>
  <si>
    <t>DAC_alternative</t>
  </si>
  <si>
    <t>Average between SS and LS DAC</t>
  </si>
  <si>
    <t>Note: this is modelled DAC cost</t>
  </si>
  <si>
    <t>Levelized cost of electricity [ct/kWh]</t>
  </si>
  <si>
    <t>Offshore</t>
  </si>
  <si>
    <t>Onshore</t>
  </si>
  <si>
    <t>Hydro</t>
  </si>
  <si>
    <t>2020 Offshore</t>
  </si>
  <si>
    <t>2020 Onshore</t>
  </si>
  <si>
    <t>Capex generation</t>
  </si>
  <si>
    <t>CAPEX</t>
  </si>
  <si>
    <t>Opex generation</t>
  </si>
  <si>
    <t>Loadhours</t>
  </si>
  <si>
    <t>Offshore grid fee</t>
  </si>
  <si>
    <t>UCRF</t>
  </si>
  <si>
    <t>Annualized CAPEX</t>
  </si>
  <si>
    <t>€/kWh</t>
  </si>
  <si>
    <t>BC</t>
  </si>
  <si>
    <t>WC</t>
  </si>
  <si>
    <t>€/MWh</t>
  </si>
  <si>
    <t>Lifetime</t>
  </si>
  <si>
    <t>years</t>
  </si>
  <si>
    <t>UCRF_alternative</t>
  </si>
  <si>
    <t>Capex generation_alternative</t>
  </si>
  <si>
    <t>Levelized cost of hydrogen [ct/kWh]</t>
  </si>
  <si>
    <t>Capex electrolysis</t>
  </si>
  <si>
    <t>Opex electrolysis</t>
  </si>
  <si>
    <t>Electricity cost</t>
  </si>
  <si>
    <t>Storage cost</t>
  </si>
  <si>
    <t>Liquefaction cost</t>
  </si>
  <si>
    <t>Distribution cost</t>
  </si>
  <si>
    <t>LCOH</t>
  </si>
  <si>
    <t>Electricity consumption</t>
  </si>
  <si>
    <t>kWh_el/kWh_fuel</t>
  </si>
  <si>
    <t>Electricity cost_alternative</t>
  </si>
  <si>
    <t>Capex electrolysis_alternative</t>
  </si>
  <si>
    <t>LCOH_alternative</t>
  </si>
  <si>
    <t>Levelized cost of ammonia [ct/kWh]</t>
  </si>
  <si>
    <t>Electrolysis &amp; storage cost</t>
  </si>
  <si>
    <t>Electricity cost electrolysis</t>
  </si>
  <si>
    <t>Capex synthesis</t>
  </si>
  <si>
    <t>Opex synthesis</t>
  </si>
  <si>
    <t>Electricity costs synthesis</t>
  </si>
  <si>
    <t>LCOA</t>
  </si>
  <si>
    <t xml:space="preserve">eAmmonia </t>
  </si>
  <si>
    <t>kWh_el/t_fuel</t>
  </si>
  <si>
    <t>kWh_fuel/kg_fuel</t>
  </si>
  <si>
    <t>kWh_fuel/t_fuel</t>
  </si>
  <si>
    <t>Efficiency</t>
  </si>
  <si>
    <t>LCOA_alternative</t>
  </si>
  <si>
    <t>Levelized cost of e-fuel [ct/kWh]</t>
  </si>
  <si>
    <t>CO2 cost</t>
  </si>
  <si>
    <t xml:space="preserve">Storage costs </t>
  </si>
  <si>
    <t>LCOEF</t>
  </si>
  <si>
    <t>CO2 cost_alternative</t>
  </si>
  <si>
    <t>LCOEF_alternative</t>
  </si>
  <si>
    <t>ct/MJ</t>
  </si>
  <si>
    <t>€/l</t>
  </si>
  <si>
    <t>Base Case</t>
  </si>
  <si>
    <t>LCOE Corrected</t>
  </si>
  <si>
    <t>CO2 Cost Corrected</t>
  </si>
  <si>
    <t>WACC Corrected</t>
  </si>
  <si>
    <t>Syn-Fuel cost</t>
  </si>
  <si>
    <t>Fossil Fuel cost</t>
  </si>
  <si>
    <t>Syn-Fuel emissions</t>
  </si>
  <si>
    <t>gCO2eq/MJ</t>
  </si>
  <si>
    <t>Fossil Fuel emissions</t>
  </si>
  <si>
    <t>CO2 Abated</t>
  </si>
  <si>
    <t>gCO2eq/l</t>
  </si>
  <si>
    <t>Abatement cost</t>
  </si>
  <si>
    <t>Full Abatement</t>
  </si>
  <si>
    <t>Residual Emissions</t>
  </si>
  <si>
    <t>Emissions Reduction Cost</t>
  </si>
  <si>
    <t>Effective Synfuel Cost</t>
  </si>
  <si>
    <t>Effective Abatement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</si>
</sst>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&quot;-&quot;??_-;_-@_-"/>
    <numFmt numFmtId="165" formatCode="_(* #,##0.00_);_(* \(#,##0.00\);_(* &quot;-&quot;??_);_(@_)"/>
    <numFmt numFmtId="166" formatCode="_-* #,##0_-;\-* #,##0_-;_-* &quot;-&quot;??_-;_-@_-"/>
    <numFmt numFmtId="167" formatCode="_-* #,##0.000_-;\-* #,##0.000_-;_-* &quot;-&quot;??_-;_-@_-"/>
    <numFmt numFmtId="168" formatCode="0.0000"/>
    <numFmt numFmtId="169" formatCode="_-* #,##0.0000_-;\-* #,##0.0000_-;_-* &quot;-&quot;??_-;_-@_-"/>
    <numFmt numFmtId="170" formatCode="_-* #,##0.0000\ _€_-;\-* #,##0.0000\ _€_-;_-* &quot;-&quot;????\ _€_-;_-@_-"/>
    <numFmt numFmtId="171" formatCode="0.0"/>
    <numFmt numFmtId="172" formatCode="_-* #,##0.00\ _€_-;\-* #,##0.00\ _€_-;_-* &quot;-&quot;??\ _€_-;_-@_-"/>
    <numFmt numFmtId="173" formatCode="0.00000"/>
    <numFmt numFmtId="174" formatCode="0.000000"/>
    <numFmt numFmtId="175" formatCode="_-* #,##0.00000_-;\-* #,##0.00000_-;_-* &quot;-&quot;??_-;_-@_-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 (Body)"/>
    </font>
    <font>
      <b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5" fontId="1" fillId="0" borderId="0"/>
    <xf numFmtId="9" fontId="1" fillId="0" borderId="0"/>
    <xf numFmtId="0" fontId="2" fillId="2" borderId="1"/>
    <xf numFmtId="0" fontId="3" fillId="3" borderId="2"/>
  </cellStyleXfs>
  <cellXfs count="52">
    <xf numFmtId="0" fontId="0" fillId="0" borderId="0" xfId="0"/>
    <xf numFmtId="0" fontId="0" fillId="4" borderId="0" xfId="0" applyFill="1"/>
    <xf numFmtId="2" fontId="0" fillId="0" borderId="0" xfId="0" applyNumberFormat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left" indent="1"/>
    </xf>
    <xf numFmtId="9" fontId="0" fillId="6" borderId="0" xfId="0" applyNumberFormat="1" applyFill="1"/>
    <xf numFmtId="9" fontId="2" fillId="2" borderId="1" xfId="3" applyNumberFormat="1"/>
    <xf numFmtId="165" fontId="2" fillId="2" borderId="1" xfId="1" applyFont="1" applyFill="1" applyBorder="1"/>
    <xf numFmtId="165" fontId="0" fillId="6" borderId="0" xfId="1" applyFont="1" applyFill="1" applyAlignment="1">
      <alignment horizontal="left" indent="1"/>
    </xf>
    <xf numFmtId="0" fontId="5" fillId="6" borderId="0" xfId="0" applyFont="1" applyFill="1"/>
    <xf numFmtId="166" fontId="2" fillId="2" borderId="1" xfId="1" applyNumberFormat="1" applyFont="1" applyFill="1" applyBorder="1"/>
    <xf numFmtId="0" fontId="4" fillId="6" borderId="0" xfId="0" applyFont="1" applyFill="1"/>
    <xf numFmtId="167" fontId="6" fillId="6" borderId="3" xfId="1" applyNumberFormat="1" applyFont="1" applyFill="1" applyBorder="1"/>
    <xf numFmtId="168" fontId="6" fillId="6" borderId="3" xfId="0" applyNumberFormat="1" applyFont="1" applyFill="1" applyBorder="1"/>
    <xf numFmtId="2" fontId="0" fillId="6" borderId="3" xfId="0" applyNumberFormat="1" applyFill="1" applyBorder="1"/>
    <xf numFmtId="2" fontId="0" fillId="6" borderId="0" xfId="0" applyNumberFormat="1" applyFill="1"/>
    <xf numFmtId="167" fontId="0" fillId="6" borderId="0" xfId="1" applyNumberFormat="1" applyFont="1" applyFill="1"/>
    <xf numFmtId="169" fontId="0" fillId="6" borderId="0" xfId="1" applyNumberFormat="1" applyFont="1" applyFill="1"/>
    <xf numFmtId="170" fontId="0" fillId="6" borderId="0" xfId="0" applyNumberFormat="1" applyFill="1"/>
    <xf numFmtId="171" fontId="0" fillId="6" borderId="0" xfId="0" applyNumberFormat="1" applyFill="1"/>
    <xf numFmtId="2" fontId="0" fillId="6" borderId="0" xfId="1" applyNumberFormat="1" applyFont="1" applyFill="1"/>
    <xf numFmtId="2" fontId="3" fillId="3" borderId="2" xfId="4" applyNumberFormat="1"/>
    <xf numFmtId="168" fontId="3" fillId="3" borderId="2" xfId="4" applyNumberFormat="1"/>
    <xf numFmtId="171" fontId="0" fillId="6" borderId="3" xfId="0" applyNumberFormat="1" applyFill="1" applyBorder="1"/>
    <xf numFmtId="172" fontId="0" fillId="6" borderId="0" xfId="0" applyNumberFormat="1" applyFill="1"/>
    <xf numFmtId="171" fontId="6" fillId="6" borderId="0" xfId="0" applyNumberFormat="1" applyFont="1" applyFill="1"/>
    <xf numFmtId="166" fontId="0" fillId="6" borderId="0" xfId="1" applyNumberFormat="1" applyFont="1" applyFill="1"/>
    <xf numFmtId="165" fontId="0" fillId="6" borderId="0" xfId="1" applyFont="1" applyFill="1"/>
    <xf numFmtId="164" fontId="3" fillId="3" borderId="2" xfId="4" applyNumberFormat="1"/>
    <xf numFmtId="173" fontId="0" fillId="6" borderId="3" xfId="0" applyNumberFormat="1" applyFill="1" applyBorder="1"/>
    <xf numFmtId="174" fontId="0" fillId="6" borderId="3" xfId="0" applyNumberFormat="1" applyFill="1" applyBorder="1"/>
    <xf numFmtId="173" fontId="0" fillId="6" borderId="0" xfId="0" applyNumberFormat="1" applyFill="1"/>
    <xf numFmtId="1" fontId="0" fillId="6" borderId="0" xfId="0" applyNumberFormat="1" applyFill="1"/>
    <xf numFmtId="175" fontId="0" fillId="6" borderId="0" xfId="1" applyNumberFormat="1" applyFont="1" applyFill="1"/>
    <xf numFmtId="0" fontId="7" fillId="0" borderId="3" xfId="0" applyFont="1" applyBorder="1"/>
    <xf numFmtId="0" fontId="0" fillId="0" borderId="3" xfId="0" applyBorder="1"/>
    <xf numFmtId="2" fontId="0" fillId="0" borderId="3" xfId="0" applyNumberFormat="1" applyBorder="1"/>
    <xf numFmtId="1" fontId="0" fillId="0" borderId="3" xfId="0" applyNumberFormat="1" applyBorder="1"/>
    <xf numFmtId="0" fontId="8" fillId="0" borderId="3" xfId="0" applyFont="1" applyBorder="1"/>
    <xf numFmtId="165" fontId="0" fillId="6" borderId="0" xfId="0" applyNumberFormat="1" applyFill="1"/>
    <xf numFmtId="165" fontId="0" fillId="0" borderId="3" xfId="0" applyNumberFormat="1" applyBorder="1"/>
    <xf numFmtId="9" fontId="1" fillId="0" borderId="0" xfId="2"/>
    <xf numFmtId="0" fontId="7" fillId="0" borderId="0" xfId="0" applyFont="1"/>
    <xf numFmtId="165" fontId="0" fillId="0" borderId="0" xfId="0" applyNumberFormat="1"/>
    <xf numFmtId="0" fontId="4" fillId="0" borderId="0" xfId="0" applyFont="1"/>
    <xf numFmtId="0" fontId="4" fillId="4" borderId="0" xfId="0" applyFont="1" applyFill="1"/>
    <xf numFmtId="0" fontId="1" fillId="0" borderId="0" xfId="0" applyFont="1"/>
    <xf numFmtId="0" fontId="4" fillId="5" borderId="0" xfId="0" applyFont="1" applyFill="1"/>
    <xf numFmtId="0" fontId="4" fillId="4" borderId="4" xfId="0" applyFont="1" applyFill="1" applyBorder="1" applyAlignment="1">
      <alignment horizontal="center"/>
    </xf>
    <xf numFmtId="0" fontId="0" fillId="0" borderId="4" xfId="0" applyBorder="1"/>
    <xf numFmtId="0" fontId="9" fillId="4" borderId="0" xfId="0" applyFont="1" applyFill="1" applyAlignment="1">
      <alignment horizontal="center"/>
    </xf>
  </cellXfs>
  <cellStyles count="5">
    <cellStyle name="Comma" xfId="1" builtinId="3"/>
    <cellStyle name="Input" xfId="3" builtinId="20"/>
    <cellStyle name="Normal" xfId="0" builtinId="0"/>
    <cellStyle name="Output" xfId="4" builtinId="2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aster%20Standardisation_SAF.xlsx" TargetMode="External"/><Relationship Id="rId1" Type="http://schemas.openxmlformats.org/officeDocument/2006/relationships/externalLinkPath" Target="Master%20Standardisation_S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MZUE4YIPAMGRCJYCYPO4ESO2WS">
      <xxl21:absoluteUrl r:id="rId2"/>
    </xxl21:alternateUrls>
    <sheetNames>
      <sheetName val="Intro"/>
      <sheetName val="Steps"/>
      <sheetName val="Inputs"/>
      <sheetName val="Electricity"/>
      <sheetName val="Standard Input Calculations"/>
      <sheetName val="Sensitivities"/>
      <sheetName val="Notes for Study Parameters"/>
      <sheetName val="Studies current &amp; future cost"/>
      <sheetName val="Study Parameters"/>
      <sheetName val="Study Parameters 2050"/>
      <sheetName val="Standardization Results"/>
      <sheetName val="CO2 Effect"/>
      <sheetName val="Median CO2"/>
      <sheetName val="Low CO2"/>
      <sheetName val="High CO2"/>
      <sheetName val="Reference"/>
      <sheetName val="High Elec High CO2"/>
      <sheetName val="Low Elec Low CO2"/>
      <sheetName val="Results Reference"/>
      <sheetName val="Results Low Fossil Price"/>
      <sheetName val="Results High Fossil Price"/>
      <sheetName val="Full Abatement"/>
      <sheetName val="Descriptive Stats"/>
      <sheetName val="Per Passenger Cost Calculation"/>
    </sheetNames>
    <sheetDataSet>
      <sheetData sheetId="0"/>
      <sheetData sheetId="1"/>
      <sheetData sheetId="2">
        <row r="4">
          <cell r="C4">
            <v>2024</v>
          </cell>
        </row>
        <row r="5">
          <cell r="C5">
            <v>0.02</v>
          </cell>
        </row>
        <row r="6">
          <cell r="C6">
            <v>7.0000000000000007E-2</v>
          </cell>
        </row>
        <row r="7">
          <cell r="C7">
            <v>0.9</v>
          </cell>
        </row>
        <row r="9">
          <cell r="C9">
            <v>64</v>
          </cell>
        </row>
        <row r="10">
          <cell r="C10">
            <v>11</v>
          </cell>
        </row>
        <row r="12">
          <cell r="C12">
            <v>88.7</v>
          </cell>
        </row>
        <row r="13">
          <cell r="C13">
            <v>88.7</v>
          </cell>
        </row>
        <row r="14">
          <cell r="C14">
            <v>43.2</v>
          </cell>
        </row>
        <row r="15">
          <cell r="C15">
            <v>34.689600000000006</v>
          </cell>
        </row>
        <row r="16">
          <cell r="C16">
            <v>0.80300000000000005</v>
          </cell>
        </row>
        <row r="17">
          <cell r="C17">
            <v>0.8</v>
          </cell>
        </row>
        <row r="19">
          <cell r="C19">
            <v>0.8</v>
          </cell>
        </row>
        <row r="21">
          <cell r="C21">
            <v>0.32246153846153797</v>
          </cell>
        </row>
        <row r="22">
          <cell r="C22">
            <v>0.20923076923076925</v>
          </cell>
        </row>
        <row r="24">
          <cell r="C24">
            <v>1.0209014091790563</v>
          </cell>
        </row>
        <row r="25">
          <cell r="C25">
            <v>2.0095593639301876</v>
          </cell>
        </row>
        <row r="27">
          <cell r="C27">
            <v>0.4828683335488041</v>
          </cell>
        </row>
        <row r="28">
          <cell r="C28">
            <v>0.89646574789915967</v>
          </cell>
        </row>
        <row r="30">
          <cell r="C30">
            <v>1.8838712863606983</v>
          </cell>
        </row>
        <row r="31">
          <cell r="C31">
            <v>3.7893730833872015</v>
          </cell>
        </row>
        <row r="33">
          <cell r="C33">
            <v>1282</v>
          </cell>
        </row>
        <row r="34">
          <cell r="C34">
            <v>480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30" workbookViewId="0">
      <selection activeCell="A6" sqref="A6"/>
    </sheetView>
  </sheetViews>
  <sheetFormatPr defaultColWidth="11.25" defaultRowHeight="15.75"/>
  <cols>
    <col min="1" max="1" width="24.25" bestFit="1" customWidth="1"/>
    <col min="2" max="2" width="11.5" bestFit="1" customWidth="1"/>
  </cols>
  <sheetData>
    <row r="1" spans="1:4">
      <c r="A1" s="45" t="s">
        <v>0</v>
      </c>
      <c r="B1" s="45" t="s">
        <v>1</v>
      </c>
      <c r="C1" s="45" t="s">
        <v>2</v>
      </c>
      <c r="D1" s="45" t="s">
        <v>3</v>
      </c>
    </row>
    <row r="2" spans="1:4" s="1" customFormat="1">
      <c r="A2" s="46" t="s">
        <v>4</v>
      </c>
    </row>
    <row r="3" spans="1:4">
      <c r="A3" t="s">
        <v>5</v>
      </c>
      <c r="C3">
        <f>[1]Inputs!C4</f>
        <v>2024</v>
      </c>
    </row>
    <row r="4" spans="1:4">
      <c r="A4" t="s">
        <v>6</v>
      </c>
      <c r="C4" s="42">
        <f>[1]Inputs!C5</f>
        <v>0.02</v>
      </c>
    </row>
    <row r="5" spans="1:4">
      <c r="A5" t="s">
        <v>7</v>
      </c>
      <c r="C5" s="42">
        <f>[1]Inputs!C6</f>
        <v>7.0000000000000007E-2</v>
      </c>
    </row>
    <row r="6" spans="1:4">
      <c r="A6" t="s">
        <v>8</v>
      </c>
      <c r="C6">
        <f>[1]Inputs!C7</f>
        <v>0.9</v>
      </c>
    </row>
    <row r="7" spans="1:4" s="1" customFormat="1">
      <c r="A7" s="46" t="s">
        <v>9</v>
      </c>
    </row>
    <row r="8" spans="1:4">
      <c r="A8" s="47" t="s">
        <v>10</v>
      </c>
      <c r="B8">
        <v>2024</v>
      </c>
      <c r="C8" s="2">
        <f>[1]Inputs!C9</f>
        <v>64</v>
      </c>
      <c r="D8" t="s">
        <v>11</v>
      </c>
    </row>
    <row r="9" spans="1:4">
      <c r="A9" s="47" t="s">
        <v>10</v>
      </c>
      <c r="B9">
        <v>2050</v>
      </c>
      <c r="C9" s="2">
        <f>[1]Inputs!C10</f>
        <v>11</v>
      </c>
      <c r="D9" t="s">
        <v>11</v>
      </c>
    </row>
    <row r="10" spans="1:4" s="1" customFormat="1">
      <c r="A10" s="46" t="s">
        <v>12</v>
      </c>
    </row>
    <row r="11" spans="1:4">
      <c r="A11" t="s">
        <v>13</v>
      </c>
      <c r="B11">
        <v>2024</v>
      </c>
      <c r="C11" s="2">
        <f>[1]Inputs!C12</f>
        <v>88.7</v>
      </c>
      <c r="D11" t="s">
        <v>14</v>
      </c>
    </row>
    <row r="12" spans="1:4">
      <c r="A12" t="s">
        <v>13</v>
      </c>
      <c r="B12">
        <v>2050</v>
      </c>
      <c r="C12" s="2">
        <f>[1]Inputs!C13</f>
        <v>88.7</v>
      </c>
      <c r="D12" t="s">
        <v>14</v>
      </c>
    </row>
    <row r="13" spans="1:4">
      <c r="A13" t="s">
        <v>15</v>
      </c>
      <c r="C13" s="2">
        <f>[1]Inputs!C14</f>
        <v>43.2</v>
      </c>
      <c r="D13" t="s">
        <v>16</v>
      </c>
    </row>
    <row r="14" spans="1:4">
      <c r="A14" t="s">
        <v>15</v>
      </c>
      <c r="C14" s="2">
        <f>[1]Inputs!C15</f>
        <v>34.689600000000006</v>
      </c>
      <c r="D14" t="s">
        <v>17</v>
      </c>
    </row>
    <row r="15" spans="1:4">
      <c r="A15" t="s">
        <v>18</v>
      </c>
      <c r="C15" s="2">
        <f>[1]Inputs!C16</f>
        <v>0.80300000000000005</v>
      </c>
      <c r="D15" t="s">
        <v>19</v>
      </c>
    </row>
    <row r="16" spans="1:4">
      <c r="A16" t="s">
        <v>20</v>
      </c>
      <c r="B16">
        <v>2024</v>
      </c>
      <c r="C16" s="2">
        <f>[1]Inputs!C17</f>
        <v>0.8</v>
      </c>
      <c r="D16" t="s">
        <v>21</v>
      </c>
    </row>
    <row r="17" spans="1:4" s="1" customFormat="1">
      <c r="A17" s="46" t="s">
        <v>22</v>
      </c>
    </row>
    <row r="18" spans="1:4">
      <c r="A18" s="47" t="s">
        <v>20</v>
      </c>
      <c r="B18">
        <v>2050</v>
      </c>
      <c r="C18" s="2">
        <f>[1]Inputs!C19</f>
        <v>0.8</v>
      </c>
      <c r="D18" t="s">
        <v>21</v>
      </c>
    </row>
    <row r="19" spans="1:4" s="3" customFormat="1">
      <c r="A19" s="48" t="s">
        <v>23</v>
      </c>
    </row>
    <row r="20" spans="1:4">
      <c r="A20" t="s">
        <v>20</v>
      </c>
      <c r="B20">
        <v>2024</v>
      </c>
      <c r="C20" s="2">
        <f>[1]Inputs!C21</f>
        <v>0.32246153846153797</v>
      </c>
      <c r="D20" t="s">
        <v>21</v>
      </c>
    </row>
    <row r="21" spans="1:4">
      <c r="A21" t="s">
        <v>20</v>
      </c>
      <c r="B21">
        <v>2050</v>
      </c>
      <c r="C21" s="2">
        <f>[1]Inputs!C22</f>
        <v>0.20923076923076925</v>
      </c>
      <c r="D21" t="s">
        <v>21</v>
      </c>
    </row>
    <row r="22" spans="1:4" s="3" customFormat="1">
      <c r="A22" s="48" t="s">
        <v>24</v>
      </c>
    </row>
    <row r="23" spans="1:4">
      <c r="A23" t="s">
        <v>20</v>
      </c>
      <c r="B23">
        <v>2024</v>
      </c>
      <c r="C23" s="2">
        <f>[1]Inputs!C24</f>
        <v>1.0209014091790563</v>
      </c>
      <c r="D23" t="s">
        <v>21</v>
      </c>
    </row>
    <row r="24" spans="1:4">
      <c r="A24" t="s">
        <v>20</v>
      </c>
      <c r="B24">
        <v>2050</v>
      </c>
      <c r="C24" s="2">
        <f>[1]Inputs!C25</f>
        <v>2.0095593639301876</v>
      </c>
      <c r="D24" t="s">
        <v>21</v>
      </c>
    </row>
    <row r="25" spans="1:4" s="3" customFormat="1">
      <c r="A25" s="48" t="s">
        <v>25</v>
      </c>
    </row>
    <row r="26" spans="1:4">
      <c r="A26" t="s">
        <v>20</v>
      </c>
      <c r="B26">
        <v>2024</v>
      </c>
      <c r="C26" s="2">
        <f>[1]Inputs!C27</f>
        <v>0.4828683335488041</v>
      </c>
      <c r="D26" t="s">
        <v>21</v>
      </c>
    </row>
    <row r="27" spans="1:4">
      <c r="A27" t="s">
        <v>20</v>
      </c>
      <c r="B27">
        <v>2050</v>
      </c>
      <c r="C27" s="2">
        <f>[1]Inputs!C28</f>
        <v>0.89646574789915967</v>
      </c>
      <c r="D27" t="s">
        <v>21</v>
      </c>
    </row>
    <row r="28" spans="1:4" s="3" customFormat="1">
      <c r="A28" s="48" t="s">
        <v>26</v>
      </c>
    </row>
    <row r="29" spans="1:4">
      <c r="A29" t="s">
        <v>20</v>
      </c>
      <c r="B29">
        <v>2024</v>
      </c>
      <c r="C29" s="2">
        <f>[1]Inputs!C30</f>
        <v>1.8838712863606983</v>
      </c>
      <c r="D29" t="s">
        <v>21</v>
      </c>
    </row>
    <row r="30" spans="1:4">
      <c r="A30" t="s">
        <v>20</v>
      </c>
      <c r="B30">
        <v>2050</v>
      </c>
      <c r="C30" s="2">
        <f>[1]Inputs!C31</f>
        <v>3.7893730833872015</v>
      </c>
      <c r="D30" t="s">
        <v>21</v>
      </c>
    </row>
    <row r="31" spans="1:4" s="1" customFormat="1">
      <c r="A31" s="46" t="s">
        <v>27</v>
      </c>
    </row>
    <row r="32" spans="1:4">
      <c r="A32" t="s">
        <v>28</v>
      </c>
      <c r="B32">
        <v>2024</v>
      </c>
      <c r="C32" s="2">
        <f>[1]Inputs!C33</f>
        <v>1282</v>
      </c>
      <c r="D32" t="s">
        <v>29</v>
      </c>
    </row>
    <row r="33" spans="1:4">
      <c r="A33" t="s">
        <v>28</v>
      </c>
      <c r="B33">
        <v>2050</v>
      </c>
      <c r="C33" s="2">
        <f>[1]Inputs!C34</f>
        <v>480</v>
      </c>
      <c r="D3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4"/>
  <sheetViews>
    <sheetView topLeftCell="A46" workbookViewId="0">
      <selection activeCell="N74" sqref="N74"/>
    </sheetView>
  </sheetViews>
  <sheetFormatPr defaultColWidth="8.75" defaultRowHeight="15.75"/>
  <cols>
    <col min="1" max="1" width="31.5" style="4" bestFit="1" customWidth="1"/>
    <col min="2" max="3" width="14" style="4" bestFit="1" customWidth="1"/>
    <col min="4" max="10" width="8.75" style="4" customWidth="1"/>
    <col min="11" max="11" width="8.75" style="5" customWidth="1"/>
    <col min="12" max="12" width="8.75" style="4" customWidth="1"/>
    <col min="13" max="13" width="9.5" style="4" bestFit="1" customWidth="1"/>
    <col min="14" max="14" width="12.25" style="4" bestFit="1" customWidth="1"/>
    <col min="15" max="15" width="9.5" style="4" bestFit="1" customWidth="1"/>
    <col min="16" max="16" width="8.75" style="4" customWidth="1"/>
    <col min="17" max="16384" width="8.75" style="4"/>
  </cols>
  <sheetData>
    <row r="1" spans="1:16">
      <c r="A1" s="4" t="s">
        <v>30</v>
      </c>
      <c r="B1" s="6">
        <v>0.06</v>
      </c>
      <c r="C1" s="6">
        <v>0.06</v>
      </c>
      <c r="D1" s="6">
        <v>0.06</v>
      </c>
      <c r="E1" s="6">
        <v>0.06</v>
      </c>
      <c r="F1" s="6">
        <v>0.06</v>
      </c>
      <c r="G1" s="6">
        <v>0.06</v>
      </c>
      <c r="H1" s="6">
        <v>0.06</v>
      </c>
      <c r="I1" s="6">
        <v>0.06</v>
      </c>
      <c r="J1" s="6">
        <v>0.06</v>
      </c>
      <c r="K1" s="5" t="s">
        <v>31</v>
      </c>
    </row>
    <row r="2" spans="1:16">
      <c r="A2" s="4" t="s">
        <v>32</v>
      </c>
      <c r="B2" s="7">
        <v>0.06</v>
      </c>
      <c r="C2" s="7">
        <v>0.06</v>
      </c>
      <c r="D2" s="7">
        <v>0.06</v>
      </c>
      <c r="E2" s="7">
        <v>0.06</v>
      </c>
      <c r="F2" s="7">
        <v>0.06</v>
      </c>
      <c r="G2" s="7">
        <v>0.06</v>
      </c>
      <c r="H2" s="7">
        <v>0.06</v>
      </c>
      <c r="I2" s="7">
        <v>0.06</v>
      </c>
      <c r="J2" s="7">
        <v>0.06</v>
      </c>
      <c r="K2" s="5" t="s">
        <v>31</v>
      </c>
    </row>
    <row r="3" spans="1:16">
      <c r="A3" s="4" t="s">
        <v>33</v>
      </c>
      <c r="B3" s="8">
        <v>9.3710340518017432</v>
      </c>
      <c r="C3" s="8">
        <v>5.2586511082899099</v>
      </c>
      <c r="D3" s="8">
        <v>2.969201042551223</v>
      </c>
      <c r="E3" s="8">
        <v>5.9593962823760886</v>
      </c>
      <c r="F3" s="8">
        <v>3.610940427692404</v>
      </c>
      <c r="G3" s="8">
        <v>2.969201042551223</v>
      </c>
      <c r="H3" s="8">
        <v>4.7585019329602734</v>
      </c>
      <c r="I3" s="8">
        <v>3.330479035250276</v>
      </c>
      <c r="J3" s="8">
        <v>2.969201042551223</v>
      </c>
      <c r="K3" s="9" t="s">
        <v>34</v>
      </c>
    </row>
    <row r="4" spans="1:16">
      <c r="B4" s="10">
        <v>11.1</v>
      </c>
      <c r="C4" s="10">
        <v>11.1</v>
      </c>
      <c r="D4" s="10">
        <v>11.1</v>
      </c>
      <c r="E4" s="10">
        <v>7.5</v>
      </c>
      <c r="F4" s="10">
        <v>7.5</v>
      </c>
      <c r="G4" s="10">
        <v>7.5</v>
      </c>
      <c r="H4" s="10">
        <v>3.9</v>
      </c>
      <c r="I4" s="10">
        <v>3.9</v>
      </c>
      <c r="J4" s="10">
        <v>3.9</v>
      </c>
      <c r="L4" s="4" t="s">
        <v>35</v>
      </c>
    </row>
    <row r="5" spans="1:16">
      <c r="A5" s="4" t="s">
        <v>36</v>
      </c>
      <c r="B5" s="11">
        <v>460</v>
      </c>
      <c r="C5" s="11">
        <v>460</v>
      </c>
      <c r="D5" s="11">
        <v>460</v>
      </c>
      <c r="E5" s="11">
        <v>135</v>
      </c>
      <c r="F5" s="11">
        <v>135</v>
      </c>
      <c r="G5" s="11">
        <v>135</v>
      </c>
      <c r="H5" s="11">
        <v>80</v>
      </c>
      <c r="I5" s="11">
        <v>80</v>
      </c>
      <c r="J5" s="11">
        <v>80</v>
      </c>
      <c r="K5" s="5" t="s">
        <v>37</v>
      </c>
    </row>
    <row r="6" spans="1:16">
      <c r="A6" s="4" t="s">
        <v>38</v>
      </c>
      <c r="B6" s="11">
        <v>460</v>
      </c>
      <c r="C6" s="11">
        <v>460</v>
      </c>
      <c r="D6" s="11">
        <v>460</v>
      </c>
      <c r="E6" s="11">
        <v>135</v>
      </c>
      <c r="F6" s="11">
        <v>135</v>
      </c>
      <c r="G6" s="11">
        <v>135</v>
      </c>
      <c r="H6" s="11">
        <v>80</v>
      </c>
      <c r="I6" s="11">
        <v>80</v>
      </c>
      <c r="J6" s="11">
        <v>80</v>
      </c>
      <c r="K6" s="5" t="s">
        <v>37</v>
      </c>
      <c r="L6" s="4" t="s">
        <v>39</v>
      </c>
    </row>
    <row r="7" spans="1:16">
      <c r="B7" s="10">
        <v>731.19866742499551</v>
      </c>
      <c r="C7" s="10">
        <v>731.19866742499551</v>
      </c>
      <c r="D7" s="10">
        <v>731.19866742499551</v>
      </c>
      <c r="E7" s="10">
        <v>449.56809837654231</v>
      </c>
      <c r="F7" s="10">
        <v>449.56809837654231</v>
      </c>
      <c r="G7" s="10">
        <v>449.56809837654231</v>
      </c>
      <c r="H7" s="10">
        <v>298.29331816455169</v>
      </c>
      <c r="I7" s="10">
        <v>298.29331816455169</v>
      </c>
      <c r="J7" s="10">
        <v>298.29331816455169</v>
      </c>
      <c r="L7" s="4" t="s">
        <v>40</v>
      </c>
    </row>
    <row r="8" spans="1:16">
      <c r="A8" s="12" t="s">
        <v>41</v>
      </c>
    </row>
    <row r="10" spans="1:16">
      <c r="B10" s="4">
        <v>2020</v>
      </c>
      <c r="E10" s="4">
        <v>2035</v>
      </c>
      <c r="H10" s="4">
        <v>2050</v>
      </c>
    </row>
    <row r="11" spans="1:16">
      <c r="B11" s="4" t="s">
        <v>42</v>
      </c>
      <c r="C11" s="4" t="s">
        <v>43</v>
      </c>
      <c r="D11" s="4" t="s">
        <v>44</v>
      </c>
      <c r="E11" s="4" t="s">
        <v>42</v>
      </c>
      <c r="F11" s="4" t="s">
        <v>43</v>
      </c>
      <c r="G11" s="4" t="s">
        <v>44</v>
      </c>
      <c r="H11" s="4" t="s">
        <v>42</v>
      </c>
      <c r="I11" s="4" t="s">
        <v>43</v>
      </c>
      <c r="J11" s="4" t="s">
        <v>44</v>
      </c>
      <c r="N11" s="4" t="s">
        <v>45</v>
      </c>
      <c r="O11" s="4" t="s">
        <v>46</v>
      </c>
    </row>
    <row r="12" spans="1:16">
      <c r="A12" s="4" t="s">
        <v>47</v>
      </c>
      <c r="B12" s="13">
        <v>5.6892158699835607</v>
      </c>
      <c r="C12" s="14">
        <v>4.0867761082899099</v>
      </c>
      <c r="D12" s="14">
        <v>2.1299153282655081</v>
      </c>
      <c r="E12" s="14">
        <v>3.5557599187397249</v>
      </c>
      <c r="F12" s="14">
        <v>2.806252927692404</v>
      </c>
      <c r="G12" s="14">
        <v>2.1299153282655081</v>
      </c>
      <c r="H12" s="14">
        <v>2.9335019329602732</v>
      </c>
      <c r="I12" s="14">
        <v>2.588291535250276</v>
      </c>
      <c r="J12" s="14">
        <v>2.1299153282655081</v>
      </c>
      <c r="K12" s="5" t="s">
        <v>34</v>
      </c>
      <c r="M12" s="4" t="s">
        <v>48</v>
      </c>
      <c r="N12" s="4">
        <v>3200</v>
      </c>
      <c r="O12" s="4">
        <v>1500</v>
      </c>
    </row>
    <row r="13" spans="1:16">
      <c r="A13" s="4" t="s">
        <v>49</v>
      </c>
      <c r="B13" s="15">
        <v>2.1818181818181821</v>
      </c>
      <c r="C13" s="15">
        <v>1.171875</v>
      </c>
      <c r="D13" s="15">
        <v>0.8392857142857143</v>
      </c>
      <c r="E13" s="15">
        <v>1.363636363636364</v>
      </c>
      <c r="F13" s="15">
        <v>0.8046875</v>
      </c>
      <c r="G13" s="15">
        <v>0.8392857142857143</v>
      </c>
      <c r="H13" s="15">
        <v>1.125</v>
      </c>
      <c r="I13" s="15">
        <v>0.7421875</v>
      </c>
      <c r="J13" s="15">
        <v>0.8392857142857143</v>
      </c>
      <c r="K13" s="5" t="s">
        <v>34</v>
      </c>
      <c r="M13" s="4" t="s">
        <v>50</v>
      </c>
      <c r="N13" s="4">
        <v>4400</v>
      </c>
      <c r="O13" s="4">
        <v>3200</v>
      </c>
    </row>
    <row r="14" spans="1:16">
      <c r="A14" s="4" t="s">
        <v>51</v>
      </c>
      <c r="B14" s="15">
        <v>1.5</v>
      </c>
      <c r="C14" s="15">
        <v>0</v>
      </c>
      <c r="D14" s="15">
        <v>0</v>
      </c>
      <c r="E14" s="15">
        <v>1.04</v>
      </c>
      <c r="F14" s="15">
        <v>0</v>
      </c>
      <c r="G14" s="15">
        <v>0</v>
      </c>
      <c r="H14" s="15">
        <v>0.7</v>
      </c>
      <c r="I14" s="15">
        <v>0</v>
      </c>
      <c r="J14" s="15">
        <v>0</v>
      </c>
      <c r="K14" s="5" t="s">
        <v>34</v>
      </c>
      <c r="M14" s="4" t="s">
        <v>52</v>
      </c>
      <c r="N14" s="16">
        <f>B23</f>
        <v>7.8226718212273949E-2</v>
      </c>
      <c r="O14" s="16">
        <f>C23</f>
        <v>8.7184556976851402E-2</v>
      </c>
    </row>
    <row r="15" spans="1:16">
      <c r="B15" s="15"/>
      <c r="C15" s="15"/>
      <c r="D15" s="15"/>
      <c r="E15" s="15"/>
      <c r="F15" s="15"/>
      <c r="G15" s="15"/>
      <c r="H15" s="15"/>
      <c r="I15" s="15"/>
      <c r="J15" s="15"/>
      <c r="M15" s="4" t="s">
        <v>53</v>
      </c>
      <c r="N15" s="4">
        <f>N12*N14/N13</f>
        <v>5.6892158699835604E-2</v>
      </c>
      <c r="O15" s="4">
        <f>O12*O14/O13</f>
        <v>4.08677610828991E-2</v>
      </c>
      <c r="P15" s="4" t="s">
        <v>54</v>
      </c>
    </row>
    <row r="16" spans="1:16">
      <c r="A16" s="4" t="s">
        <v>55</v>
      </c>
      <c r="B16" s="15">
        <v>1.3774309590653071</v>
      </c>
      <c r="C16" s="15">
        <v>0.80426428715022169</v>
      </c>
      <c r="D16" s="15">
        <v>0.37115013031890293</v>
      </c>
      <c r="E16" s="15">
        <v>1.323864199546098</v>
      </c>
      <c r="F16" s="15">
        <v>1.185774269516352</v>
      </c>
      <c r="G16" s="15">
        <v>0.37115013031890293</v>
      </c>
      <c r="H16" s="15">
        <v>1.2927080230910499</v>
      </c>
      <c r="I16" s="15">
        <v>1.020796979844512</v>
      </c>
      <c r="J16" s="15">
        <v>0.37115013031890293</v>
      </c>
      <c r="K16" s="5" t="s">
        <v>34</v>
      </c>
      <c r="N16" s="17">
        <f>N15*100</f>
        <v>5.6892158699835607</v>
      </c>
      <c r="O16" s="18">
        <f>O15*100</f>
        <v>4.0867761082899099</v>
      </c>
      <c r="P16" s="4" t="s">
        <v>34</v>
      </c>
    </row>
    <row r="17" spans="1:15">
      <c r="A17" s="4" t="s">
        <v>56</v>
      </c>
      <c r="B17" s="15">
        <v>1.4414975153008991</v>
      </c>
      <c r="C17" s="15">
        <v>0.91149952543691715</v>
      </c>
      <c r="D17" s="15">
        <v>0.49486684042520368</v>
      </c>
      <c r="E17" s="15">
        <v>1.3602702743593409</v>
      </c>
      <c r="F17" s="15">
        <v>1.381272357777483</v>
      </c>
      <c r="G17" s="15">
        <v>0.49486684042520368</v>
      </c>
      <c r="H17" s="15">
        <v>1.3528339776534239</v>
      </c>
      <c r="I17" s="15">
        <v>1.156903243823781</v>
      </c>
      <c r="J17" s="15">
        <v>0.49486684042520368</v>
      </c>
      <c r="K17" s="5" t="s">
        <v>34</v>
      </c>
      <c r="O17" s="19"/>
    </row>
    <row r="18" spans="1:15">
      <c r="B18" s="20"/>
      <c r="C18" s="20"/>
      <c r="D18" s="20"/>
      <c r="E18" s="20"/>
      <c r="F18" s="20"/>
      <c r="G18" s="20"/>
      <c r="H18" s="20"/>
      <c r="I18" s="20"/>
      <c r="J18" s="20"/>
    </row>
    <row r="19" spans="1:15">
      <c r="A19" s="4" t="s">
        <v>10</v>
      </c>
      <c r="B19" s="16">
        <f t="shared" ref="B19:J19" si="0">SUM(B12:B14)</f>
        <v>9.3710340518017432</v>
      </c>
      <c r="C19" s="16">
        <f t="shared" si="0"/>
        <v>5.2586511082899099</v>
      </c>
      <c r="D19" s="16">
        <f t="shared" si="0"/>
        <v>2.9692010425512225</v>
      </c>
      <c r="E19" s="16">
        <f t="shared" si="0"/>
        <v>5.9593962823760886</v>
      </c>
      <c r="F19" s="16">
        <f t="shared" si="0"/>
        <v>3.610940427692404</v>
      </c>
      <c r="G19" s="16">
        <f t="shared" si="0"/>
        <v>2.9692010425512225</v>
      </c>
      <c r="H19" s="16">
        <f t="shared" si="0"/>
        <v>4.7585019329602734</v>
      </c>
      <c r="I19" s="16">
        <f t="shared" si="0"/>
        <v>3.330479035250276</v>
      </c>
      <c r="J19" s="16">
        <f t="shared" si="0"/>
        <v>2.9692010425512225</v>
      </c>
      <c r="K19" s="5" t="s">
        <v>34</v>
      </c>
    </row>
    <row r="20" spans="1:15">
      <c r="A20" s="4" t="s">
        <v>10</v>
      </c>
      <c r="B20" s="16">
        <f t="shared" ref="B20:J20" si="1">B19*10</f>
        <v>93.710340518017432</v>
      </c>
      <c r="C20" s="16">
        <f t="shared" si="1"/>
        <v>52.586511082899101</v>
      </c>
      <c r="D20" s="16">
        <f t="shared" si="1"/>
        <v>29.692010425512226</v>
      </c>
      <c r="E20" s="16">
        <f t="shared" si="1"/>
        <v>59.59396282376089</v>
      </c>
      <c r="F20" s="16">
        <f t="shared" si="1"/>
        <v>36.109404276924039</v>
      </c>
      <c r="G20" s="16">
        <f t="shared" si="1"/>
        <v>29.692010425512226</v>
      </c>
      <c r="H20" s="16">
        <f t="shared" si="1"/>
        <v>47.58501932960273</v>
      </c>
      <c r="I20" s="16">
        <f t="shared" si="1"/>
        <v>33.304790352502764</v>
      </c>
      <c r="J20" s="16">
        <f t="shared" si="1"/>
        <v>29.692010425512226</v>
      </c>
      <c r="K20" s="5" t="s">
        <v>57</v>
      </c>
    </row>
    <row r="21" spans="1:15">
      <c r="B21" s="16"/>
      <c r="C21" s="16"/>
      <c r="D21" s="16"/>
      <c r="E21" s="16"/>
      <c r="F21" s="16"/>
      <c r="G21" s="16"/>
      <c r="H21" s="16"/>
      <c r="I21" s="16"/>
      <c r="J21" s="16"/>
    </row>
    <row r="22" spans="1:15">
      <c r="A22" s="4" t="s">
        <v>58</v>
      </c>
      <c r="B22" s="21">
        <v>25</v>
      </c>
      <c r="C22" s="21">
        <v>20</v>
      </c>
      <c r="D22" s="21">
        <v>50</v>
      </c>
      <c r="E22" s="21">
        <v>25</v>
      </c>
      <c r="F22" s="21">
        <v>20</v>
      </c>
      <c r="G22" s="21">
        <v>50</v>
      </c>
      <c r="H22" s="21">
        <v>25</v>
      </c>
      <c r="I22" s="21">
        <v>20</v>
      </c>
      <c r="J22" s="21">
        <v>50</v>
      </c>
      <c r="K22" s="5" t="s">
        <v>59</v>
      </c>
      <c r="M22" s="4" t="s">
        <v>7</v>
      </c>
    </row>
    <row r="23" spans="1:15">
      <c r="A23" s="4" t="s">
        <v>52</v>
      </c>
      <c r="B23" s="21">
        <f t="shared" ref="B23:J23" si="2">(B$1*(1+B$1)^B22)/((1+B$1)^B22-1)</f>
        <v>7.8226718212273949E-2</v>
      </c>
      <c r="C23" s="21">
        <f t="shared" si="2"/>
        <v>8.7184556976851402E-2</v>
      </c>
      <c r="D23" s="21">
        <f t="shared" si="2"/>
        <v>6.3444286373866191E-2</v>
      </c>
      <c r="E23" s="21">
        <f t="shared" si="2"/>
        <v>7.8226718212273949E-2</v>
      </c>
      <c r="F23" s="21">
        <f t="shared" si="2"/>
        <v>8.7184556976851402E-2</v>
      </c>
      <c r="G23" s="21">
        <f t="shared" si="2"/>
        <v>6.3444286373866191E-2</v>
      </c>
      <c r="H23" s="21">
        <f t="shared" si="2"/>
        <v>7.8226718212273949E-2</v>
      </c>
      <c r="I23" s="21">
        <f t="shared" si="2"/>
        <v>8.7184556976851402E-2</v>
      </c>
      <c r="J23" s="21">
        <f t="shared" si="2"/>
        <v>6.3444286373866191E-2</v>
      </c>
      <c r="K23" s="5" t="s">
        <v>31</v>
      </c>
      <c r="M23" s="4" t="s">
        <v>7</v>
      </c>
    </row>
    <row r="24" spans="1:15">
      <c r="B24" s="21"/>
      <c r="C24" s="21"/>
      <c r="D24" s="21"/>
      <c r="E24" s="21"/>
      <c r="F24" s="21"/>
      <c r="G24" s="21"/>
      <c r="H24" s="21"/>
      <c r="I24" s="21"/>
      <c r="J24" s="21"/>
    </row>
    <row r="25" spans="1:15">
      <c r="A25" s="4" t="s">
        <v>60</v>
      </c>
      <c r="B25" s="22">
        <f t="shared" ref="B25:J25" si="3">(B$2*(1+B$2)^B22)/((1+B$2)^B22-1)</f>
        <v>7.8226718212273949E-2</v>
      </c>
      <c r="C25" s="22">
        <f t="shared" si="3"/>
        <v>8.7184556976851402E-2</v>
      </c>
      <c r="D25" s="22">
        <f t="shared" si="3"/>
        <v>6.3444286373866191E-2</v>
      </c>
      <c r="E25" s="22">
        <f t="shared" si="3"/>
        <v>7.8226718212273949E-2</v>
      </c>
      <c r="F25" s="22">
        <f t="shared" si="3"/>
        <v>8.7184556976851402E-2</v>
      </c>
      <c r="G25" s="22">
        <f t="shared" si="3"/>
        <v>6.3444286373866191E-2</v>
      </c>
      <c r="H25" s="22">
        <f t="shared" si="3"/>
        <v>7.8226718212273949E-2</v>
      </c>
      <c r="I25" s="22">
        <f t="shared" si="3"/>
        <v>8.7184556976851402E-2</v>
      </c>
      <c r="J25" s="22">
        <f t="shared" si="3"/>
        <v>6.3444286373866191E-2</v>
      </c>
      <c r="K25" s="5" t="s">
        <v>31</v>
      </c>
      <c r="M25" s="4" t="s">
        <v>7</v>
      </c>
    </row>
    <row r="26" spans="1:15">
      <c r="A26" s="4" t="s">
        <v>61</v>
      </c>
      <c r="B26" s="23">
        <f t="shared" ref="B26:J26" si="4">B12/B23*B25</f>
        <v>5.6892158699835607</v>
      </c>
      <c r="C26" s="23">
        <f t="shared" si="4"/>
        <v>4.0867761082899099</v>
      </c>
      <c r="D26" s="23">
        <f t="shared" si="4"/>
        <v>2.1299153282655081</v>
      </c>
      <c r="E26" s="23">
        <f t="shared" si="4"/>
        <v>3.5557599187397249</v>
      </c>
      <c r="F26" s="23">
        <f t="shared" si="4"/>
        <v>2.806252927692404</v>
      </c>
      <c r="G26" s="23">
        <f t="shared" si="4"/>
        <v>2.1299153282655081</v>
      </c>
      <c r="H26" s="23">
        <f t="shared" si="4"/>
        <v>2.9335019329602732</v>
      </c>
      <c r="I26" s="23">
        <f t="shared" si="4"/>
        <v>2.588291535250276</v>
      </c>
      <c r="J26" s="23">
        <f t="shared" si="4"/>
        <v>2.1299153282655081</v>
      </c>
      <c r="K26" s="5" t="s">
        <v>34</v>
      </c>
      <c r="M26" s="4" t="s">
        <v>7</v>
      </c>
    </row>
    <row r="27" spans="1:15">
      <c r="A27" s="4" t="s">
        <v>33</v>
      </c>
      <c r="B27" s="22">
        <f t="shared" ref="B27:J27" si="5">B19-B12+B26</f>
        <v>9.3710340518017432</v>
      </c>
      <c r="C27" s="22">
        <f t="shared" si="5"/>
        <v>5.2586511082899099</v>
      </c>
      <c r="D27" s="22">
        <f t="shared" si="5"/>
        <v>2.9692010425512225</v>
      </c>
      <c r="E27" s="22">
        <f t="shared" si="5"/>
        <v>5.9593962823760886</v>
      </c>
      <c r="F27" s="22">
        <f t="shared" si="5"/>
        <v>3.610940427692404</v>
      </c>
      <c r="G27" s="22">
        <f t="shared" si="5"/>
        <v>2.9692010425512225</v>
      </c>
      <c r="H27" s="22">
        <f t="shared" si="5"/>
        <v>4.7585019329602734</v>
      </c>
      <c r="I27" s="22">
        <f t="shared" si="5"/>
        <v>3.330479035250276</v>
      </c>
      <c r="J27" s="22">
        <f t="shared" si="5"/>
        <v>2.9692010425512225</v>
      </c>
      <c r="K27" s="5" t="s">
        <v>34</v>
      </c>
    </row>
    <row r="29" spans="1:15">
      <c r="A29" s="12" t="s">
        <v>62</v>
      </c>
    </row>
    <row r="31" spans="1:15">
      <c r="B31" s="4">
        <v>2020</v>
      </c>
      <c r="E31" s="4">
        <v>2035</v>
      </c>
      <c r="H31" s="4">
        <v>2050</v>
      </c>
    </row>
    <row r="32" spans="1:15">
      <c r="B32" s="4" t="s">
        <v>42</v>
      </c>
      <c r="C32" s="4" t="s">
        <v>43</v>
      </c>
      <c r="D32" s="4" t="s">
        <v>44</v>
      </c>
      <c r="E32" s="4" t="s">
        <v>42</v>
      </c>
      <c r="F32" s="4" t="s">
        <v>43</v>
      </c>
      <c r="G32" s="4" t="s">
        <v>44</v>
      </c>
      <c r="H32" s="4" t="s">
        <v>42</v>
      </c>
      <c r="I32" s="4" t="s">
        <v>43</v>
      </c>
      <c r="J32" s="4" t="s">
        <v>44</v>
      </c>
    </row>
    <row r="33" spans="1:13">
      <c r="A33" s="4" t="s">
        <v>63</v>
      </c>
      <c r="B33" s="24">
        <v>3.0462117683907302</v>
      </c>
      <c r="C33" s="24">
        <v>4.1885411815372544</v>
      </c>
      <c r="D33" s="24">
        <v>1.9147616829884591</v>
      </c>
      <c r="E33" s="24">
        <v>1.393114893536086</v>
      </c>
      <c r="F33" s="24">
        <v>1.9155329786121189</v>
      </c>
      <c r="G33" s="24">
        <v>0.87567221879411128</v>
      </c>
      <c r="H33" s="24">
        <v>0.81260441356240254</v>
      </c>
      <c r="I33" s="24">
        <v>1.117331068648304</v>
      </c>
      <c r="J33" s="24">
        <v>0.51077991709636728</v>
      </c>
      <c r="K33" s="5" t="s">
        <v>34</v>
      </c>
      <c r="M33" s="25"/>
    </row>
    <row r="34" spans="1:13">
      <c r="A34" s="4" t="s">
        <v>64</v>
      </c>
      <c r="B34" s="24">
        <v>1.168224299065421</v>
      </c>
      <c r="C34" s="24">
        <v>1.606308411214953</v>
      </c>
      <c r="D34" s="24">
        <v>0.73431241655540713</v>
      </c>
      <c r="E34" s="24">
        <v>0.53426051560379917</v>
      </c>
      <c r="F34" s="24">
        <v>0.73460820895522383</v>
      </c>
      <c r="G34" s="24">
        <v>0.33582089552238797</v>
      </c>
      <c r="H34" s="24">
        <v>0.31163434903047099</v>
      </c>
      <c r="I34" s="24">
        <v>0.42849722991689748</v>
      </c>
      <c r="J34" s="24">
        <v>0.19588444796201029</v>
      </c>
      <c r="K34" s="5" t="s">
        <v>34</v>
      </c>
    </row>
    <row r="35" spans="1:13">
      <c r="A35" s="4" t="s">
        <v>65</v>
      </c>
      <c r="B35" s="24">
        <v>14.59662624891237</v>
      </c>
      <c r="C35" s="24">
        <v>8.1910453400154353</v>
      </c>
      <c r="D35" s="24">
        <v>4.6249237422916236</v>
      </c>
      <c r="E35" s="24">
        <v>8.8946213169792365</v>
      </c>
      <c r="F35" s="24">
        <v>5.3894633249140362</v>
      </c>
      <c r="G35" s="24">
        <v>4.4316433470913763</v>
      </c>
      <c r="H35" s="24">
        <v>6.590722898836944</v>
      </c>
      <c r="I35" s="24">
        <v>4.6128518493771136</v>
      </c>
      <c r="J35" s="24">
        <v>4.1124668179379817</v>
      </c>
      <c r="K35" s="5" t="s">
        <v>34</v>
      </c>
    </row>
    <row r="36" spans="1:13">
      <c r="A36" s="4" t="s">
        <v>66</v>
      </c>
      <c r="B36" s="24">
        <v>2.9792731679099602</v>
      </c>
      <c r="C36" s="24">
        <v>2.9792731679099602</v>
      </c>
      <c r="D36" s="24">
        <v>2.9792731679099602</v>
      </c>
      <c r="E36" s="24">
        <v>2.3792731679099601</v>
      </c>
      <c r="F36" s="24">
        <v>2.3792731679099601</v>
      </c>
      <c r="G36" s="24">
        <v>2.3792731679099601</v>
      </c>
      <c r="H36" s="24">
        <v>1.97927316790996</v>
      </c>
      <c r="I36" s="24">
        <v>1.97927316790996</v>
      </c>
      <c r="J36" s="24">
        <v>1.97927316790996</v>
      </c>
      <c r="K36" s="5" t="s">
        <v>34</v>
      </c>
    </row>
    <row r="37" spans="1:13">
      <c r="A37" s="4" t="s">
        <v>67</v>
      </c>
      <c r="B37" s="24">
        <v>3.7938486371987969</v>
      </c>
      <c r="C37" s="24">
        <v>3.7938486371987969</v>
      </c>
      <c r="D37" s="24">
        <v>3.7938486371987969</v>
      </c>
      <c r="E37" s="24">
        <v>2.1404261042106478</v>
      </c>
      <c r="F37" s="24">
        <v>2.1404261042106478</v>
      </c>
      <c r="G37" s="24">
        <v>2.1404261042106478</v>
      </c>
      <c r="H37" s="24">
        <v>1.43084523740833</v>
      </c>
      <c r="I37" s="24">
        <v>1.43084523740833</v>
      </c>
      <c r="J37" s="24">
        <v>1.43084523740833</v>
      </c>
      <c r="K37" s="5" t="s">
        <v>34</v>
      </c>
    </row>
    <row r="38" spans="1:13">
      <c r="A38" s="4" t="s">
        <v>68</v>
      </c>
      <c r="B38" s="24">
        <v>0.22500000000000001</v>
      </c>
      <c r="C38" s="24">
        <v>0.22500000000000001</v>
      </c>
      <c r="D38" s="24">
        <v>0.22500000000000001</v>
      </c>
      <c r="E38" s="24">
        <v>0.19500000000000001</v>
      </c>
      <c r="F38" s="24">
        <v>0.19500000000000001</v>
      </c>
      <c r="G38" s="24">
        <v>0.19500000000000001</v>
      </c>
      <c r="H38" s="24">
        <v>0.1875</v>
      </c>
      <c r="I38" s="24">
        <v>0.1875</v>
      </c>
      <c r="J38" s="24">
        <v>0.1875</v>
      </c>
      <c r="K38" s="5" t="s">
        <v>34</v>
      </c>
    </row>
    <row r="39" spans="1:13">
      <c r="B39" s="24"/>
      <c r="C39" s="24"/>
      <c r="D39" s="24"/>
      <c r="E39" s="24"/>
      <c r="F39" s="24"/>
      <c r="G39" s="24"/>
      <c r="H39" s="24"/>
      <c r="I39" s="24"/>
      <c r="J39" s="24"/>
    </row>
    <row r="40" spans="1:13">
      <c r="A40" s="4" t="s">
        <v>55</v>
      </c>
      <c r="B40" s="24">
        <v>5.0944468051984613</v>
      </c>
      <c r="C40" s="24">
        <v>4.5421905142931864</v>
      </c>
      <c r="D40" s="24">
        <v>2.3451035981069479</v>
      </c>
      <c r="E40" s="24">
        <v>4.0195480750072754</v>
      </c>
      <c r="F40" s="24">
        <v>3.9103356873613451</v>
      </c>
      <c r="G40" s="24">
        <v>2.0092187293593611</v>
      </c>
      <c r="H40" s="24">
        <v>3.0022965344784649</v>
      </c>
      <c r="I40" s="24">
        <v>2.7698807252638611</v>
      </c>
      <c r="J40" s="24">
        <v>1.389717113332896</v>
      </c>
      <c r="K40" s="5" t="s">
        <v>34</v>
      </c>
    </row>
    <row r="41" spans="1:13">
      <c r="A41" s="4" t="s">
        <v>56</v>
      </c>
      <c r="B41" s="24">
        <v>6.2445545181256898</v>
      </c>
      <c r="C41" s="24">
        <v>5.9119403178359429</v>
      </c>
      <c r="D41" s="24">
        <v>3.4038153238304298</v>
      </c>
      <c r="E41" s="24">
        <v>4.742835616639308</v>
      </c>
      <c r="F41" s="24">
        <v>5.0150861801721556</v>
      </c>
      <c r="G41" s="24">
        <v>2.5555799154741412</v>
      </c>
      <c r="H41" s="24">
        <v>4.108478094874922</v>
      </c>
      <c r="I41" s="24">
        <v>4.0463644024895142</v>
      </c>
      <c r="J41" s="24">
        <v>2.382422881569203</v>
      </c>
      <c r="K41" s="5" t="s">
        <v>34</v>
      </c>
    </row>
    <row r="42" spans="1:13">
      <c r="B42" s="20"/>
      <c r="C42" s="20"/>
      <c r="D42" s="20"/>
      <c r="E42" s="20"/>
      <c r="F42" s="20"/>
      <c r="G42" s="20"/>
      <c r="H42" s="20"/>
      <c r="I42" s="20"/>
      <c r="J42" s="20"/>
    </row>
    <row r="43" spans="1:13">
      <c r="A43" s="4" t="s">
        <v>69</v>
      </c>
      <c r="B43" s="20">
        <f t="shared" ref="B43:J43" si="6">SUM(B33:B38)</f>
        <v>25.809184121477276</v>
      </c>
      <c r="C43" s="16">
        <f t="shared" si="6"/>
        <v>20.984016737876399</v>
      </c>
      <c r="D43" s="20">
        <f t="shared" si="6"/>
        <v>14.272119646944248</v>
      </c>
      <c r="E43" s="20">
        <f t="shared" si="6"/>
        <v>15.536695998239729</v>
      </c>
      <c r="F43" s="20">
        <f t="shared" si="6"/>
        <v>12.754303784601987</v>
      </c>
      <c r="G43" s="20">
        <f t="shared" si="6"/>
        <v>10.357835733528482</v>
      </c>
      <c r="H43" s="20">
        <f t="shared" si="6"/>
        <v>11.312580066748108</v>
      </c>
      <c r="I43" s="20">
        <f t="shared" si="6"/>
        <v>9.7562985532606064</v>
      </c>
      <c r="J43" s="20">
        <f t="shared" si="6"/>
        <v>8.4167495883146479</v>
      </c>
      <c r="K43" s="5" t="s">
        <v>34</v>
      </c>
    </row>
    <row r="44" spans="1:13">
      <c r="B44" s="20"/>
      <c r="C44" s="20"/>
      <c r="D44" s="20"/>
      <c r="E44" s="20"/>
      <c r="F44" s="20"/>
      <c r="G44" s="20"/>
      <c r="H44" s="20"/>
      <c r="I44" s="20"/>
      <c r="J44" s="20"/>
    </row>
    <row r="45" spans="1:13">
      <c r="A45" s="4" t="s">
        <v>70</v>
      </c>
      <c r="B45" s="26">
        <f t="shared" ref="B45:J45" si="7">B35/B19</f>
        <v>1.5576323987538938</v>
      </c>
      <c r="C45" s="26">
        <f t="shared" si="7"/>
        <v>1.557632398753894</v>
      </c>
      <c r="D45" s="26">
        <f t="shared" si="7"/>
        <v>1.557632398753894</v>
      </c>
      <c r="E45" s="26">
        <f t="shared" si="7"/>
        <v>1.4925373134328357</v>
      </c>
      <c r="F45" s="26">
        <f t="shared" si="7"/>
        <v>1.4925373134328359</v>
      </c>
      <c r="G45" s="26">
        <f t="shared" si="7"/>
        <v>1.4925373134328357</v>
      </c>
      <c r="H45" s="26">
        <f t="shared" si="7"/>
        <v>1.3850415512465375</v>
      </c>
      <c r="I45" s="26">
        <f t="shared" si="7"/>
        <v>1.3850415512465375</v>
      </c>
      <c r="J45" s="26">
        <f t="shared" si="7"/>
        <v>1.3850415512465375</v>
      </c>
      <c r="K45" s="5" t="s">
        <v>71</v>
      </c>
      <c r="M45" s="4" t="s">
        <v>10</v>
      </c>
    </row>
    <row r="46" spans="1:13">
      <c r="B46" s="20"/>
      <c r="C46" s="20"/>
      <c r="D46" s="20"/>
      <c r="E46" s="20"/>
      <c r="F46" s="20"/>
      <c r="G46" s="20"/>
      <c r="H46" s="20"/>
      <c r="I46" s="20"/>
      <c r="J46" s="20"/>
    </row>
    <row r="47" spans="1:13">
      <c r="A47" s="4" t="s">
        <v>58</v>
      </c>
      <c r="B47" s="27">
        <v>25</v>
      </c>
      <c r="C47" s="27">
        <v>25</v>
      </c>
      <c r="D47" s="27">
        <v>25</v>
      </c>
      <c r="E47" s="27">
        <v>25</v>
      </c>
      <c r="F47" s="27">
        <v>25</v>
      </c>
      <c r="G47" s="27">
        <v>25</v>
      </c>
      <c r="H47" s="27">
        <v>25</v>
      </c>
      <c r="I47" s="27">
        <v>25</v>
      </c>
      <c r="J47" s="27">
        <v>25</v>
      </c>
      <c r="K47" s="5" t="s">
        <v>59</v>
      </c>
      <c r="M47" s="4" t="s">
        <v>7</v>
      </c>
    </row>
    <row r="48" spans="1:13">
      <c r="A48" s="4" t="s">
        <v>52</v>
      </c>
      <c r="B48" s="28">
        <f t="shared" ref="B48:J48" si="8">(B$1*(1+B$1)^B47)/((1+B$1)^B47-1)</f>
        <v>7.8226718212273949E-2</v>
      </c>
      <c r="C48" s="28">
        <f t="shared" si="8"/>
        <v>7.8226718212273949E-2</v>
      </c>
      <c r="D48" s="28">
        <f t="shared" si="8"/>
        <v>7.8226718212273949E-2</v>
      </c>
      <c r="E48" s="28">
        <f t="shared" si="8"/>
        <v>7.8226718212273949E-2</v>
      </c>
      <c r="F48" s="28">
        <f t="shared" si="8"/>
        <v>7.8226718212273949E-2</v>
      </c>
      <c r="G48" s="28">
        <f t="shared" si="8"/>
        <v>7.8226718212273949E-2</v>
      </c>
      <c r="H48" s="28">
        <f t="shared" si="8"/>
        <v>7.8226718212273949E-2</v>
      </c>
      <c r="I48" s="28">
        <f t="shared" si="8"/>
        <v>7.8226718212273949E-2</v>
      </c>
      <c r="J48" s="28">
        <f t="shared" si="8"/>
        <v>7.8226718212273949E-2</v>
      </c>
      <c r="K48" s="5" t="s">
        <v>31</v>
      </c>
      <c r="M48" s="4" t="s">
        <v>7</v>
      </c>
    </row>
    <row r="49" spans="1:13">
      <c r="B49" s="28"/>
      <c r="C49" s="28"/>
      <c r="D49" s="28"/>
      <c r="E49" s="28"/>
      <c r="F49" s="28"/>
      <c r="G49" s="28"/>
      <c r="H49" s="28"/>
      <c r="I49" s="28"/>
      <c r="J49" s="28"/>
    </row>
    <row r="50" spans="1:13">
      <c r="A50" s="4" t="s">
        <v>60</v>
      </c>
      <c r="B50" s="29">
        <f t="shared" ref="B50:J50" si="9">(B$2*(1+B$2)^B47)/((1+B$2)^B47-1)</f>
        <v>7.8226718212273949E-2</v>
      </c>
      <c r="C50" s="29">
        <f t="shared" si="9"/>
        <v>7.8226718212273949E-2</v>
      </c>
      <c r="D50" s="29">
        <f t="shared" si="9"/>
        <v>7.8226718212273949E-2</v>
      </c>
      <c r="E50" s="29">
        <f t="shared" si="9"/>
        <v>7.8226718212273949E-2</v>
      </c>
      <c r="F50" s="29">
        <f t="shared" si="9"/>
        <v>7.8226718212273949E-2</v>
      </c>
      <c r="G50" s="29">
        <f t="shared" si="9"/>
        <v>7.8226718212273949E-2</v>
      </c>
      <c r="H50" s="29">
        <f t="shared" si="9"/>
        <v>7.8226718212273949E-2</v>
      </c>
      <c r="I50" s="29">
        <f t="shared" si="9"/>
        <v>7.8226718212273949E-2</v>
      </c>
      <c r="J50" s="29">
        <f t="shared" si="9"/>
        <v>7.8226718212273949E-2</v>
      </c>
      <c r="K50" s="5" t="s">
        <v>31</v>
      </c>
      <c r="M50" s="4" t="s">
        <v>7</v>
      </c>
    </row>
    <row r="51" spans="1:13">
      <c r="A51" s="4" t="s">
        <v>72</v>
      </c>
      <c r="B51" s="29">
        <f t="shared" ref="B51:J51" si="10">B45*B3</f>
        <v>14.59662624891237</v>
      </c>
      <c r="C51" s="29">
        <f t="shared" si="10"/>
        <v>8.1910453400154353</v>
      </c>
      <c r="D51" s="29">
        <f t="shared" si="10"/>
        <v>4.6249237422916245</v>
      </c>
      <c r="E51" s="29">
        <f t="shared" si="10"/>
        <v>8.8946213169792365</v>
      </c>
      <c r="F51" s="29">
        <f t="shared" si="10"/>
        <v>5.3894633249140362</v>
      </c>
      <c r="G51" s="29">
        <f t="shared" si="10"/>
        <v>4.4316433470913772</v>
      </c>
      <c r="H51" s="29">
        <f t="shared" si="10"/>
        <v>6.590722898836944</v>
      </c>
      <c r="I51" s="29">
        <f t="shared" si="10"/>
        <v>4.6128518493771136</v>
      </c>
      <c r="J51" s="29">
        <f t="shared" si="10"/>
        <v>4.1124668179379826</v>
      </c>
      <c r="K51" s="5" t="s">
        <v>34</v>
      </c>
      <c r="M51" s="4" t="s">
        <v>10</v>
      </c>
    </row>
    <row r="52" spans="1:13">
      <c r="A52" s="4" t="s">
        <v>73</v>
      </c>
      <c r="B52" s="29">
        <f t="shared" ref="B52:J52" si="11">B33/B48*B50</f>
        <v>3.0462117683907302</v>
      </c>
      <c r="C52" s="29">
        <f t="shared" si="11"/>
        <v>4.1885411815372544</v>
      </c>
      <c r="D52" s="29">
        <f t="shared" si="11"/>
        <v>1.9147616829884593</v>
      </c>
      <c r="E52" s="29">
        <f t="shared" si="11"/>
        <v>1.393114893536086</v>
      </c>
      <c r="F52" s="29">
        <f t="shared" si="11"/>
        <v>1.9155329786121189</v>
      </c>
      <c r="G52" s="29">
        <f t="shared" si="11"/>
        <v>0.87567221879411117</v>
      </c>
      <c r="H52" s="29">
        <f t="shared" si="11"/>
        <v>0.81260441356240254</v>
      </c>
      <c r="I52" s="29">
        <f t="shared" si="11"/>
        <v>1.117331068648304</v>
      </c>
      <c r="J52" s="29">
        <f t="shared" si="11"/>
        <v>0.51077991709636728</v>
      </c>
      <c r="K52" s="5" t="s">
        <v>34</v>
      </c>
      <c r="M52" s="4" t="s">
        <v>7</v>
      </c>
    </row>
    <row r="53" spans="1:13">
      <c r="A53" s="4" t="s">
        <v>74</v>
      </c>
      <c r="B53" s="29">
        <f t="shared" ref="B53:J53" si="12">B43-B33+B52-B35+B51</f>
        <v>25.809184121477276</v>
      </c>
      <c r="C53" s="29">
        <f t="shared" si="12"/>
        <v>20.984016737876399</v>
      </c>
      <c r="D53" s="29">
        <f t="shared" si="12"/>
        <v>14.272119646944248</v>
      </c>
      <c r="E53" s="29">
        <f t="shared" si="12"/>
        <v>15.536695998239729</v>
      </c>
      <c r="F53" s="29">
        <f t="shared" si="12"/>
        <v>12.754303784601987</v>
      </c>
      <c r="G53" s="29">
        <f t="shared" si="12"/>
        <v>10.357835733528482</v>
      </c>
      <c r="H53" s="29">
        <f t="shared" si="12"/>
        <v>11.312580066748108</v>
      </c>
      <c r="I53" s="29">
        <f t="shared" si="12"/>
        <v>9.7562985532606064</v>
      </c>
      <c r="J53" s="29">
        <f t="shared" si="12"/>
        <v>8.4167495883146479</v>
      </c>
      <c r="K53" s="5" t="s">
        <v>34</v>
      </c>
    </row>
    <row r="54" spans="1:13">
      <c r="B54" s="25"/>
    </row>
    <row r="55" spans="1:13">
      <c r="A55" s="12" t="s">
        <v>75</v>
      </c>
    </row>
    <row r="57" spans="1:13">
      <c r="B57" s="4">
        <v>2020</v>
      </c>
      <c r="E57" s="4">
        <v>2035</v>
      </c>
      <c r="H57" s="4">
        <v>2050</v>
      </c>
    </row>
    <row r="58" spans="1:13">
      <c r="B58" s="4" t="s">
        <v>42</v>
      </c>
      <c r="C58" s="4" t="s">
        <v>43</v>
      </c>
      <c r="D58" s="4" t="s">
        <v>44</v>
      </c>
      <c r="E58" s="4" t="s">
        <v>42</v>
      </c>
      <c r="F58" s="4" t="s">
        <v>43</v>
      </c>
      <c r="G58" s="4" t="s">
        <v>44</v>
      </c>
      <c r="H58" s="4" t="s">
        <v>42</v>
      </c>
      <c r="I58" s="4" t="s">
        <v>43</v>
      </c>
      <c r="J58" s="4" t="s">
        <v>44</v>
      </c>
    </row>
    <row r="59" spans="1:13">
      <c r="A59" s="4" t="s">
        <v>76</v>
      </c>
      <c r="B59" s="24">
        <v>5.8617929495353511</v>
      </c>
      <c r="C59" s="24">
        <v>7.6454452596185316</v>
      </c>
      <c r="D59" s="24">
        <v>4.0951278043101036</v>
      </c>
      <c r="E59" s="24">
        <v>3.280619755803035</v>
      </c>
      <c r="F59" s="24">
        <v>4.0963321182365986</v>
      </c>
      <c r="G59" s="24">
        <v>2.472676082535505</v>
      </c>
      <c r="H59" s="24">
        <v>2.374200953383784</v>
      </c>
      <c r="I59" s="24">
        <v>2.850006264910129</v>
      </c>
      <c r="J59" s="24">
        <v>1.902927121014834</v>
      </c>
      <c r="K59" s="5" t="s">
        <v>34</v>
      </c>
    </row>
    <row r="60" spans="1:13">
      <c r="A60" s="4" t="s">
        <v>77</v>
      </c>
      <c r="B60" s="30">
        <v>16.473730268422131</v>
      </c>
      <c r="C60" s="30">
        <v>9.2444013600666608</v>
      </c>
      <c r="D60" s="30">
        <v>5.219681928090111</v>
      </c>
      <c r="E60" s="30">
        <v>10.038456141643801</v>
      </c>
      <c r="F60" s="30">
        <v>6.0825401426444579</v>
      </c>
      <c r="G60" s="30">
        <v>5.0015459669161952</v>
      </c>
      <c r="H60" s="30">
        <v>7.4382798776835886</v>
      </c>
      <c r="I60" s="30">
        <v>5.2060576080375416</v>
      </c>
      <c r="J60" s="30">
        <v>4.6413238197144757</v>
      </c>
      <c r="K60" s="5" t="s">
        <v>34</v>
      </c>
    </row>
    <row r="61" spans="1:13">
      <c r="A61" s="4" t="s">
        <v>78</v>
      </c>
      <c r="B61" s="24">
        <v>0.90398361456365539</v>
      </c>
      <c r="C61" s="24">
        <v>0.90398361456365539</v>
      </c>
      <c r="D61" s="24">
        <v>0.90398361456365539</v>
      </c>
      <c r="E61" s="24">
        <v>0.90398361456365539</v>
      </c>
      <c r="F61" s="24">
        <v>0.90398361456365539</v>
      </c>
      <c r="G61" s="24">
        <v>0.90398361456365539</v>
      </c>
      <c r="H61" s="24">
        <v>0.90398361456365539</v>
      </c>
      <c r="I61" s="24">
        <v>0.90398361456365539</v>
      </c>
      <c r="J61" s="24">
        <v>0.90398361456365539</v>
      </c>
      <c r="K61" s="5" t="s">
        <v>34</v>
      </c>
    </row>
    <row r="62" spans="1:13">
      <c r="A62" s="4" t="s">
        <v>79</v>
      </c>
      <c r="B62" s="24">
        <v>0.62215909090909105</v>
      </c>
      <c r="C62" s="24">
        <v>0.62215909090909105</v>
      </c>
      <c r="D62" s="24">
        <v>0.62215909090909105</v>
      </c>
      <c r="E62" s="24">
        <v>0.62215909090909105</v>
      </c>
      <c r="F62" s="24">
        <v>0.62215909090909105</v>
      </c>
      <c r="G62" s="24">
        <v>0.62215909090909105</v>
      </c>
      <c r="H62" s="24">
        <v>0.62215909090909105</v>
      </c>
      <c r="I62" s="24">
        <v>0.62215909090909105</v>
      </c>
      <c r="J62" s="24">
        <v>0.62215909090909105</v>
      </c>
      <c r="K62" s="5" t="s">
        <v>34</v>
      </c>
    </row>
    <row r="63" spans="1:13">
      <c r="A63" s="4" t="s">
        <v>80</v>
      </c>
      <c r="B63" s="31">
        <v>0.13750000000000001</v>
      </c>
      <c r="C63" s="31">
        <v>0.13750000000000001</v>
      </c>
      <c r="D63" s="31">
        <v>0.13750000000000001</v>
      </c>
      <c r="E63" s="31">
        <v>0.13750000000000001</v>
      </c>
      <c r="F63" s="31">
        <v>0.13750000000000001</v>
      </c>
      <c r="G63" s="31">
        <v>0.13750000000000001</v>
      </c>
      <c r="H63" s="31">
        <v>0.13750000000000001</v>
      </c>
      <c r="I63" s="31">
        <v>0.13750000000000001</v>
      </c>
      <c r="J63" s="31">
        <v>0.32500000000000001</v>
      </c>
      <c r="K63" s="5" t="s">
        <v>34</v>
      </c>
    </row>
    <row r="64" spans="1:13">
      <c r="A64" s="4" t="s">
        <v>66</v>
      </c>
      <c r="B64" s="24">
        <v>0.32500000000000001</v>
      </c>
      <c r="C64" s="24">
        <v>0.32500000000000001</v>
      </c>
      <c r="D64" s="24">
        <v>0.32500000000000001</v>
      </c>
      <c r="E64" s="24">
        <v>0.32500000000000001</v>
      </c>
      <c r="F64" s="24">
        <v>0.32500000000000001</v>
      </c>
      <c r="G64" s="24">
        <v>0.32500000000000001</v>
      </c>
      <c r="H64" s="24">
        <v>0.32500000000000001</v>
      </c>
      <c r="I64" s="24">
        <v>0.32500000000000001</v>
      </c>
      <c r="J64" s="24">
        <v>0.32500000000000001</v>
      </c>
      <c r="K64" s="5" t="s">
        <v>34</v>
      </c>
    </row>
    <row r="65" spans="1:15">
      <c r="A65" s="4" t="s">
        <v>68</v>
      </c>
      <c r="B65" s="24">
        <v>6.25E-2</v>
      </c>
      <c r="C65" s="24">
        <v>6.25E-2</v>
      </c>
      <c r="D65" s="24">
        <v>6.25E-2</v>
      </c>
      <c r="E65" s="24">
        <v>4.6249999999999999E-2</v>
      </c>
      <c r="F65" s="24">
        <v>4.6249999999999999E-2</v>
      </c>
      <c r="G65" s="24">
        <v>4.6249999999999999E-2</v>
      </c>
      <c r="H65" s="24">
        <v>3.7500000000000012E-2</v>
      </c>
      <c r="I65" s="24">
        <v>3.7500000000000012E-2</v>
      </c>
      <c r="J65" s="24">
        <v>3.7500000000000012E-2</v>
      </c>
      <c r="K65" s="5" t="s">
        <v>34</v>
      </c>
    </row>
    <row r="66" spans="1:15">
      <c r="B66" s="24"/>
      <c r="C66" s="24"/>
      <c r="D66" s="24"/>
      <c r="E66" s="24"/>
      <c r="F66" s="24"/>
      <c r="G66" s="24"/>
      <c r="H66" s="24"/>
      <c r="I66" s="24"/>
      <c r="J66" s="24"/>
    </row>
    <row r="67" spans="1:15">
      <c r="A67" s="4" t="s">
        <v>55</v>
      </c>
      <c r="B67" s="24">
        <v>5.6659075606240137</v>
      </c>
      <c r="C67" s="24">
        <v>5.0426319474602757</v>
      </c>
      <c r="D67" s="24">
        <v>2.5630029827720571</v>
      </c>
      <c r="E67" s="24">
        <v>4.1720266536910753</v>
      </c>
      <c r="F67" s="24">
        <v>4.0487697184671934</v>
      </c>
      <c r="G67" s="24">
        <v>1.903172000146393</v>
      </c>
      <c r="H67" s="24">
        <v>3.38089033274135</v>
      </c>
      <c r="I67" s="24">
        <v>3.1185862026069131</v>
      </c>
      <c r="J67" s="24">
        <v>1.5609356413386131</v>
      </c>
      <c r="K67" s="5" t="s">
        <v>34</v>
      </c>
    </row>
    <row r="68" spans="1:15">
      <c r="A68" s="4" t="s">
        <v>56</v>
      </c>
      <c r="B68" s="24">
        <v>6.9639173828462404</v>
      </c>
      <c r="C68" s="24">
        <v>6.5885295003601394</v>
      </c>
      <c r="D68" s="24">
        <v>3.7578634323149021</v>
      </c>
      <c r="E68" s="24">
        <v>5.3391656718694662</v>
      </c>
      <c r="F68" s="24">
        <v>5.6464272453717861</v>
      </c>
      <c r="G68" s="24">
        <v>2.8706322015582511</v>
      </c>
      <c r="H68" s="24">
        <v>4.2165748192042489</v>
      </c>
      <c r="I68" s="24">
        <v>4.1464734000897314</v>
      </c>
      <c r="J68" s="24">
        <v>2.268551520702585</v>
      </c>
      <c r="K68" s="5" t="s">
        <v>34</v>
      </c>
    </row>
    <row r="69" spans="1:15">
      <c r="B69" s="20"/>
      <c r="C69" s="20"/>
      <c r="D69" s="20"/>
      <c r="E69" s="20"/>
      <c r="F69" s="20"/>
      <c r="G69" s="20"/>
      <c r="H69" s="20"/>
      <c r="I69" s="20"/>
      <c r="J69" s="20"/>
    </row>
    <row r="70" spans="1:15">
      <c r="A70" s="4" t="s">
        <v>81</v>
      </c>
      <c r="B70" s="20">
        <f t="shared" ref="B70:J70" si="13">SUM(B59:B65)</f>
        <v>24.386665923430225</v>
      </c>
      <c r="C70" s="20">
        <f t="shared" si="13"/>
        <v>18.94098932515794</v>
      </c>
      <c r="D70" s="20">
        <f t="shared" si="13"/>
        <v>11.365952437872959</v>
      </c>
      <c r="E70" s="20">
        <f t="shared" si="13"/>
        <v>15.353968602919583</v>
      </c>
      <c r="F70" s="20">
        <f t="shared" si="13"/>
        <v>12.213764966353803</v>
      </c>
      <c r="G70" s="20">
        <f t="shared" si="13"/>
        <v>9.5091147549244468</v>
      </c>
      <c r="H70" s="20">
        <f t="shared" si="13"/>
        <v>11.838623536540117</v>
      </c>
      <c r="I70" s="20">
        <f t="shared" si="13"/>
        <v>10.082206578420417</v>
      </c>
      <c r="J70" s="20">
        <f t="shared" si="13"/>
        <v>8.7578936462020547</v>
      </c>
      <c r="K70" s="5" t="s">
        <v>34</v>
      </c>
    </row>
    <row r="71" spans="1:15">
      <c r="B71" s="20"/>
      <c r="C71" s="20"/>
      <c r="D71" s="20"/>
      <c r="E71" s="20"/>
      <c r="F71" s="20"/>
      <c r="G71" s="20"/>
      <c r="H71" s="20"/>
      <c r="I71" s="20"/>
      <c r="J71" s="20"/>
      <c r="N71" s="4" t="s">
        <v>82</v>
      </c>
    </row>
    <row r="72" spans="1:15">
      <c r="A72" s="4" t="s">
        <v>70</v>
      </c>
      <c r="B72" s="32">
        <f t="shared" ref="B72:J72" si="14">(B60+B63)/B19</f>
        <v>1.7726144389826792</v>
      </c>
      <c r="C72" s="32">
        <f t="shared" si="14"/>
        <v>1.7840889549178731</v>
      </c>
      <c r="D72" s="32">
        <f t="shared" si="14"/>
        <v>1.8042503189636048</v>
      </c>
      <c r="E72" s="32">
        <f t="shared" si="14"/>
        <v>1.7075481574765345</v>
      </c>
      <c r="F72" s="32">
        <f t="shared" si="14"/>
        <v>1.7225540734327254</v>
      </c>
      <c r="G72" s="32">
        <f t="shared" si="14"/>
        <v>1.7307841042991754</v>
      </c>
      <c r="H72" s="32">
        <f t="shared" si="14"/>
        <v>1.5920514448484591</v>
      </c>
      <c r="I72" s="32">
        <f t="shared" si="14"/>
        <v>1.6044411483995391</v>
      </c>
      <c r="J72" s="32">
        <f t="shared" si="14"/>
        <v>1.6726128505758804</v>
      </c>
      <c r="K72" s="5" t="s">
        <v>71</v>
      </c>
      <c r="M72" s="4" t="s">
        <v>10</v>
      </c>
      <c r="N72" s="4">
        <v>738</v>
      </c>
      <c r="O72" s="4" t="s">
        <v>83</v>
      </c>
    </row>
    <row r="73" spans="1:15">
      <c r="B73" s="20"/>
      <c r="C73" s="20"/>
      <c r="D73" s="20"/>
      <c r="E73" s="20"/>
      <c r="F73" s="20"/>
      <c r="G73" s="20"/>
      <c r="H73" s="20"/>
      <c r="I73" s="20"/>
      <c r="J73" s="20"/>
      <c r="N73" s="4">
        <v>5.28</v>
      </c>
      <c r="O73" s="4" t="s">
        <v>84</v>
      </c>
    </row>
    <row r="74" spans="1:15">
      <c r="A74" s="4" t="s">
        <v>58</v>
      </c>
      <c r="B74" s="33">
        <v>30</v>
      </c>
      <c r="C74" s="33">
        <v>30</v>
      </c>
      <c r="D74" s="33">
        <v>30</v>
      </c>
      <c r="E74" s="33">
        <v>30</v>
      </c>
      <c r="F74" s="33">
        <v>30</v>
      </c>
      <c r="G74" s="33">
        <v>30</v>
      </c>
      <c r="H74" s="33">
        <v>30</v>
      </c>
      <c r="I74" s="33">
        <v>30</v>
      </c>
      <c r="J74" s="33">
        <v>30</v>
      </c>
      <c r="K74" s="5" t="s">
        <v>59</v>
      </c>
      <c r="M74" s="4" t="s">
        <v>7</v>
      </c>
      <c r="N74" s="4">
        <f>N73/1000</f>
        <v>5.28E-3</v>
      </c>
      <c r="O74" s="4" t="s">
        <v>85</v>
      </c>
    </row>
    <row r="75" spans="1:15">
      <c r="A75" s="4" t="s">
        <v>52</v>
      </c>
      <c r="B75" s="34">
        <f t="shared" ref="B75:J75" si="15">(B$1*(1+B$1)^B74)/((1+B$1)^B74-1)</f>
        <v>7.2648911490047194E-2</v>
      </c>
      <c r="C75" s="34">
        <f t="shared" si="15"/>
        <v>7.2648911490047194E-2</v>
      </c>
      <c r="D75" s="34">
        <f t="shared" si="15"/>
        <v>7.2648911490047194E-2</v>
      </c>
      <c r="E75" s="34">
        <f t="shared" si="15"/>
        <v>7.2648911490047194E-2</v>
      </c>
      <c r="F75" s="34">
        <f t="shared" si="15"/>
        <v>7.2648911490047194E-2</v>
      </c>
      <c r="G75" s="34">
        <f t="shared" si="15"/>
        <v>7.2648911490047194E-2</v>
      </c>
      <c r="H75" s="34">
        <f t="shared" si="15"/>
        <v>7.2648911490047194E-2</v>
      </c>
      <c r="I75" s="34">
        <f t="shared" si="15"/>
        <v>7.2648911490047194E-2</v>
      </c>
      <c r="J75" s="34">
        <f t="shared" si="15"/>
        <v>7.2648911490047194E-2</v>
      </c>
      <c r="K75" s="5" t="s">
        <v>31</v>
      </c>
      <c r="M75" s="4" t="s">
        <v>7</v>
      </c>
      <c r="N75" s="4">
        <v>0.99</v>
      </c>
      <c r="O75" s="4" t="s">
        <v>86</v>
      </c>
    </row>
    <row r="76" spans="1:15">
      <c r="B76" s="34"/>
      <c r="C76" s="34"/>
      <c r="D76" s="34"/>
      <c r="E76" s="34"/>
      <c r="F76" s="34"/>
      <c r="G76" s="34"/>
      <c r="H76" s="34"/>
      <c r="I76" s="34"/>
      <c r="J76" s="34"/>
      <c r="N76" s="28">
        <f>N72/N74*0.99</f>
        <v>138375</v>
      </c>
      <c r="O76" s="4" t="s">
        <v>71</v>
      </c>
    </row>
    <row r="77" spans="1:15">
      <c r="A77" s="4" t="s">
        <v>60</v>
      </c>
      <c r="B77" s="29">
        <f t="shared" ref="B77:J77" si="16">(B$2*(1+B$2)^B74)/((1+B$2)^B74-1)</f>
        <v>7.2648911490047194E-2</v>
      </c>
      <c r="C77" s="29">
        <f t="shared" si="16"/>
        <v>7.2648911490047194E-2</v>
      </c>
      <c r="D77" s="29">
        <f t="shared" si="16"/>
        <v>7.2648911490047194E-2</v>
      </c>
      <c r="E77" s="29">
        <f t="shared" si="16"/>
        <v>7.2648911490047194E-2</v>
      </c>
      <c r="F77" s="29">
        <f t="shared" si="16"/>
        <v>7.2648911490047194E-2</v>
      </c>
      <c r="G77" s="29">
        <f t="shared" si="16"/>
        <v>7.2648911490047194E-2</v>
      </c>
      <c r="H77" s="29">
        <f t="shared" si="16"/>
        <v>7.2648911490047194E-2</v>
      </c>
      <c r="I77" s="29">
        <f t="shared" si="16"/>
        <v>7.2648911490047194E-2</v>
      </c>
      <c r="J77" s="29">
        <f t="shared" si="16"/>
        <v>7.2648911490047194E-2</v>
      </c>
      <c r="K77" s="5" t="s">
        <v>31</v>
      </c>
      <c r="M77" s="4" t="s">
        <v>7</v>
      </c>
    </row>
    <row r="78" spans="1:15">
      <c r="A78" s="4" t="s">
        <v>72</v>
      </c>
      <c r="B78" s="29">
        <f t="shared" ref="B78:J78" si="17">B72*B3</f>
        <v>16.61123026842213</v>
      </c>
      <c r="C78" s="29">
        <f t="shared" si="17"/>
        <v>9.3819013600666601</v>
      </c>
      <c r="D78" s="29">
        <f t="shared" si="17"/>
        <v>5.3571819280901121</v>
      </c>
      <c r="E78" s="29">
        <f t="shared" si="17"/>
        <v>10.1759561416438</v>
      </c>
      <c r="F78" s="29">
        <f t="shared" si="17"/>
        <v>6.220040142644458</v>
      </c>
      <c r="G78" s="29">
        <f t="shared" si="17"/>
        <v>5.1390459669161963</v>
      </c>
      <c r="H78" s="29">
        <f t="shared" si="17"/>
        <v>7.5757798776835887</v>
      </c>
      <c r="I78" s="29">
        <f t="shared" si="17"/>
        <v>5.3435576080375418</v>
      </c>
      <c r="J78" s="29">
        <f t="shared" si="17"/>
        <v>4.9663238197144768</v>
      </c>
      <c r="K78" s="5" t="s">
        <v>34</v>
      </c>
      <c r="M78" s="4" t="s">
        <v>10</v>
      </c>
    </row>
    <row r="79" spans="1:15">
      <c r="A79" s="4" t="s">
        <v>73</v>
      </c>
      <c r="B79" s="29">
        <f t="shared" ref="B79:J79" si="18">B61/B75*B77</f>
        <v>0.90398361456365539</v>
      </c>
      <c r="C79" s="29">
        <f t="shared" si="18"/>
        <v>0.90398361456365539</v>
      </c>
      <c r="D79" s="29">
        <f t="shared" si="18"/>
        <v>0.90398361456365539</v>
      </c>
      <c r="E79" s="29">
        <f t="shared" si="18"/>
        <v>0.90398361456365539</v>
      </c>
      <c r="F79" s="29">
        <f t="shared" si="18"/>
        <v>0.90398361456365539</v>
      </c>
      <c r="G79" s="29">
        <f t="shared" si="18"/>
        <v>0.90398361456365539</v>
      </c>
      <c r="H79" s="29">
        <f t="shared" si="18"/>
        <v>0.90398361456365539</v>
      </c>
      <c r="I79" s="29">
        <f t="shared" si="18"/>
        <v>0.90398361456365539</v>
      </c>
      <c r="J79" s="29">
        <f t="shared" si="18"/>
        <v>0.90398361456365539</v>
      </c>
      <c r="K79" s="5" t="s">
        <v>34</v>
      </c>
      <c r="M79" s="4" t="s">
        <v>7</v>
      </c>
    </row>
    <row r="80" spans="1:15">
      <c r="A80" s="4" t="s">
        <v>87</v>
      </c>
      <c r="B80" s="29">
        <f t="shared" ref="B80:J80" si="19">B70-B60-B63+B79-B61+B78</f>
        <v>24.386665923430225</v>
      </c>
      <c r="C80" s="29">
        <f t="shared" si="19"/>
        <v>18.94098932515794</v>
      </c>
      <c r="D80" s="29">
        <f t="shared" si="19"/>
        <v>11.365952437872959</v>
      </c>
      <c r="E80" s="29">
        <f t="shared" si="19"/>
        <v>15.353968602919583</v>
      </c>
      <c r="F80" s="29">
        <f t="shared" si="19"/>
        <v>12.213764966353803</v>
      </c>
      <c r="G80" s="29">
        <f t="shared" si="19"/>
        <v>9.5091147549244468</v>
      </c>
      <c r="H80" s="29">
        <f t="shared" si="19"/>
        <v>11.838623536540117</v>
      </c>
      <c r="I80" s="29">
        <f t="shared" si="19"/>
        <v>10.082206578420417</v>
      </c>
      <c r="J80" s="29">
        <f t="shared" si="19"/>
        <v>8.7578936462020565</v>
      </c>
      <c r="K80" s="5" t="s">
        <v>34</v>
      </c>
      <c r="M80" s="4" t="s">
        <v>7</v>
      </c>
    </row>
    <row r="82" spans="1:11">
      <c r="A82" s="12" t="s">
        <v>88</v>
      </c>
    </row>
    <row r="84" spans="1:11">
      <c r="B84" s="4">
        <v>2020</v>
      </c>
      <c r="E84" s="4">
        <v>2035</v>
      </c>
      <c r="H84" s="4">
        <v>2050</v>
      </c>
    </row>
    <row r="85" spans="1:11">
      <c r="B85" s="4" t="s">
        <v>42</v>
      </c>
      <c r="C85" s="4" t="s">
        <v>43</v>
      </c>
      <c r="D85" s="4" t="s">
        <v>44</v>
      </c>
      <c r="E85" s="4" t="s">
        <v>42</v>
      </c>
      <c r="F85" s="4" t="s">
        <v>43</v>
      </c>
      <c r="G85" s="4" t="s">
        <v>44</v>
      </c>
      <c r="H85" s="4" t="s">
        <v>42</v>
      </c>
      <c r="I85" s="4" t="s">
        <v>43</v>
      </c>
      <c r="J85" s="4" t="s">
        <v>44</v>
      </c>
    </row>
    <row r="86" spans="1:11">
      <c r="A86" s="4" t="s">
        <v>76</v>
      </c>
      <c r="B86" s="24">
        <v>6.4923365442076388</v>
      </c>
      <c r="C86" s="24">
        <v>8.4678534508277075</v>
      </c>
      <c r="D86" s="24">
        <v>4.5356340843172829</v>
      </c>
      <c r="E86" s="24">
        <v>3.633510721312307</v>
      </c>
      <c r="F86" s="24">
        <v>4.5369679443466282</v>
      </c>
      <c r="G86" s="24">
        <v>2.7386578527830738</v>
      </c>
      <c r="H86" s="24">
        <v>2.6295899131285418</v>
      </c>
      <c r="I86" s="24">
        <v>3.156576833093951</v>
      </c>
      <c r="J86" s="24">
        <v>2.1076219162104222</v>
      </c>
      <c r="K86" s="5" t="s">
        <v>34</v>
      </c>
    </row>
    <row r="87" spans="1:11">
      <c r="A87" s="4" t="s">
        <v>77</v>
      </c>
      <c r="B87" s="24">
        <v>18.245782811140469</v>
      </c>
      <c r="C87" s="24">
        <v>10.238806675019291</v>
      </c>
      <c r="D87" s="24">
        <v>5.7811546778645297</v>
      </c>
      <c r="E87" s="24">
        <v>11.11827664622405</v>
      </c>
      <c r="F87" s="24">
        <v>6.7368291561425453</v>
      </c>
      <c r="G87" s="24">
        <v>5.5395541838642206</v>
      </c>
      <c r="H87" s="24">
        <v>8.2384036235461799</v>
      </c>
      <c r="I87" s="24">
        <v>5.7660648117213924</v>
      </c>
      <c r="J87" s="24">
        <v>5.1405835224224772</v>
      </c>
      <c r="K87" s="5" t="s">
        <v>34</v>
      </c>
    </row>
    <row r="88" spans="1:11">
      <c r="A88" s="4" t="s">
        <v>78</v>
      </c>
      <c r="B88" s="24">
        <v>0.78226718212273949</v>
      </c>
      <c r="C88" s="24">
        <v>0.78226718212273949</v>
      </c>
      <c r="D88" s="24">
        <v>0.78226718212273949</v>
      </c>
      <c r="E88" s="24">
        <v>0.51336283826804774</v>
      </c>
      <c r="F88" s="24">
        <v>0.51336283826804774</v>
      </c>
      <c r="G88" s="24">
        <v>0.51336283826804774</v>
      </c>
      <c r="H88" s="24">
        <v>0.39113359106136969</v>
      </c>
      <c r="I88" s="24">
        <v>0.39113359106136969</v>
      </c>
      <c r="J88" s="24">
        <v>0.39113359106136969</v>
      </c>
      <c r="K88" s="5" t="s">
        <v>34</v>
      </c>
    </row>
    <row r="89" spans="1:11">
      <c r="A89" s="4" t="s">
        <v>79</v>
      </c>
      <c r="B89" s="24">
        <v>0.35</v>
      </c>
      <c r="C89" s="24">
        <v>0.35</v>
      </c>
      <c r="D89" s="24">
        <v>0.35</v>
      </c>
      <c r="E89" s="24">
        <v>0.22968749999999999</v>
      </c>
      <c r="F89" s="24">
        <v>0.22968749999999999</v>
      </c>
      <c r="G89" s="24">
        <v>0.22968749999999999</v>
      </c>
      <c r="H89" s="24">
        <v>0.17499999999999999</v>
      </c>
      <c r="I89" s="24">
        <v>0.17499999999999999</v>
      </c>
      <c r="J89" s="24">
        <v>0.17499999999999999</v>
      </c>
      <c r="K89" s="5" t="s">
        <v>34</v>
      </c>
    </row>
    <row r="90" spans="1:11">
      <c r="A90" s="4" t="s">
        <v>80</v>
      </c>
      <c r="B90" s="24">
        <v>0.12375</v>
      </c>
      <c r="C90" s="24">
        <v>0.12375</v>
      </c>
      <c r="D90" s="24">
        <v>0.12375</v>
      </c>
      <c r="E90" s="24">
        <v>0.12375</v>
      </c>
      <c r="F90" s="24">
        <v>0.12375</v>
      </c>
      <c r="G90" s="24">
        <v>0.12375</v>
      </c>
      <c r="H90" s="24">
        <v>0.12375</v>
      </c>
      <c r="I90" s="24">
        <v>0.12375</v>
      </c>
      <c r="J90" s="24">
        <v>0.12375</v>
      </c>
      <c r="K90" s="5" t="s">
        <v>34</v>
      </c>
    </row>
    <row r="91" spans="1:11">
      <c r="A91" s="4" t="s">
        <v>89</v>
      </c>
      <c r="B91" s="24">
        <v>15.686</v>
      </c>
      <c r="C91" s="24">
        <v>15.686</v>
      </c>
      <c r="D91" s="24">
        <v>15.686</v>
      </c>
      <c r="E91" s="24">
        <v>4.6035000000000004</v>
      </c>
      <c r="F91" s="24">
        <v>4.6035000000000004</v>
      </c>
      <c r="G91" s="24">
        <v>4.6035000000000004</v>
      </c>
      <c r="H91" s="24">
        <v>2.7280000000000002</v>
      </c>
      <c r="I91" s="24">
        <v>2.7280000000000002</v>
      </c>
      <c r="J91" s="24">
        <v>2.7280000000000002</v>
      </c>
      <c r="K91" s="5" t="s">
        <v>34</v>
      </c>
    </row>
    <row r="92" spans="1:11">
      <c r="A92" s="4" t="s">
        <v>90</v>
      </c>
      <c r="B92" s="24">
        <v>0.04</v>
      </c>
      <c r="C92" s="24">
        <v>0.04</v>
      </c>
      <c r="D92" s="24">
        <v>0.04</v>
      </c>
      <c r="E92" s="24">
        <v>0.04</v>
      </c>
      <c r="F92" s="24">
        <v>0.04</v>
      </c>
      <c r="G92" s="24">
        <v>0.04</v>
      </c>
      <c r="H92" s="24">
        <v>0.04</v>
      </c>
      <c r="I92" s="24">
        <v>0.04</v>
      </c>
      <c r="J92" s="24">
        <v>0.04</v>
      </c>
      <c r="K92" s="5" t="s">
        <v>34</v>
      </c>
    </row>
    <row r="93" spans="1:11">
      <c r="A93" s="4" t="s">
        <v>68</v>
      </c>
      <c r="B93" s="24">
        <v>3.7500000000000012E-2</v>
      </c>
      <c r="C93" s="24">
        <v>3.7500000000000012E-2</v>
      </c>
      <c r="D93" s="24">
        <v>3.7500000000000012E-2</v>
      </c>
      <c r="E93" s="24">
        <v>2.1250000000000002E-2</v>
      </c>
      <c r="F93" s="24">
        <v>2.1250000000000002E-2</v>
      </c>
      <c r="G93" s="24">
        <v>2.1250000000000002E-2</v>
      </c>
      <c r="H93" s="24">
        <v>1.2500000000000001E-2</v>
      </c>
      <c r="I93" s="24">
        <v>1.2500000000000001E-2</v>
      </c>
      <c r="J93" s="24">
        <v>1.2500000000000001E-2</v>
      </c>
      <c r="K93" s="5" t="s">
        <v>34</v>
      </c>
    </row>
    <row r="94" spans="1:11">
      <c r="B94" s="24"/>
      <c r="C94" s="24"/>
      <c r="D94" s="24"/>
      <c r="E94" s="24"/>
      <c r="F94" s="24"/>
      <c r="G94" s="24"/>
      <c r="H94" s="24"/>
      <c r="I94" s="24"/>
      <c r="J94" s="24"/>
    </row>
    <row r="95" spans="1:11">
      <c r="A95" s="4" t="s">
        <v>55</v>
      </c>
      <c r="B95" s="24">
        <v>9.4671086031460874</v>
      </c>
      <c r="C95" s="24">
        <v>8.7767882395144916</v>
      </c>
      <c r="D95" s="24">
        <v>6.0304295942816921</v>
      </c>
      <c r="E95" s="24">
        <v>6.1403499917887654</v>
      </c>
      <c r="F95" s="24">
        <v>6.0038345072313506</v>
      </c>
      <c r="G95" s="24">
        <v>3.627438309728872</v>
      </c>
      <c r="H95" s="24">
        <v>4.8195290658634216</v>
      </c>
      <c r="I95" s="24">
        <v>4.5290093043451671</v>
      </c>
      <c r="J95" s="24">
        <v>2.8038047894314619</v>
      </c>
      <c r="K95" s="5" t="s">
        <v>34</v>
      </c>
    </row>
    <row r="96" spans="1:11">
      <c r="A96" s="4" t="s">
        <v>56</v>
      </c>
      <c r="B96" s="24">
        <v>10.904743244305131</v>
      </c>
      <c r="C96" s="24">
        <v>10.48897549394294</v>
      </c>
      <c r="D96" s="24">
        <v>7.3538192514360574</v>
      </c>
      <c r="E96" s="24">
        <v>7.6241063549890242</v>
      </c>
      <c r="F96" s="24">
        <v>7.9644195594050844</v>
      </c>
      <c r="G96" s="24">
        <v>4.8900367285325643</v>
      </c>
      <c r="H96" s="24">
        <v>6.0281735775637886</v>
      </c>
      <c r="I96" s="24">
        <v>5.9505314620820293</v>
      </c>
      <c r="J96" s="24">
        <v>3.8706045609316431</v>
      </c>
      <c r="K96" s="5" t="s">
        <v>34</v>
      </c>
    </row>
    <row r="98" spans="1:11">
      <c r="A98" s="4" t="s">
        <v>91</v>
      </c>
      <c r="B98" s="20">
        <f t="shared" ref="B98:J98" si="20">SUM(B86:B93)</f>
        <v>41.757636537470852</v>
      </c>
      <c r="C98" s="16">
        <f t="shared" si="20"/>
        <v>35.726177307969742</v>
      </c>
      <c r="D98" s="20">
        <f t="shared" si="20"/>
        <v>27.336305944304549</v>
      </c>
      <c r="E98" s="20">
        <f t="shared" si="20"/>
        <v>20.283337705804403</v>
      </c>
      <c r="F98" s="20">
        <f t="shared" si="20"/>
        <v>16.80534743875722</v>
      </c>
      <c r="G98" s="20">
        <f t="shared" si="20"/>
        <v>13.809762374915342</v>
      </c>
      <c r="H98" s="20">
        <f t="shared" si="20"/>
        <v>14.33837712773609</v>
      </c>
      <c r="I98" s="20">
        <f t="shared" si="20"/>
        <v>12.393025235876712</v>
      </c>
      <c r="J98" s="20">
        <f t="shared" si="20"/>
        <v>10.718589029694268</v>
      </c>
      <c r="K98" s="5" t="s">
        <v>34</v>
      </c>
    </row>
    <row r="100" spans="1:11">
      <c r="A100" s="4" t="s">
        <v>70</v>
      </c>
      <c r="B100" s="20">
        <f t="shared" ref="B100:J100" si="21">(B87+B90)/B19</f>
        <v>1.9602460848606786</v>
      </c>
      <c r="C100" s="20">
        <f t="shared" si="21"/>
        <v>1.9705731492023526</v>
      </c>
      <c r="D100" s="20">
        <f t="shared" si="21"/>
        <v>1.9887183768435117</v>
      </c>
      <c r="E100" s="20">
        <f t="shared" si="21"/>
        <v>1.8864371680518126</v>
      </c>
      <c r="F100" s="20">
        <f t="shared" si="21"/>
        <v>1.899942492412384</v>
      </c>
      <c r="G100" s="20">
        <f t="shared" si="21"/>
        <v>1.9073495201921888</v>
      </c>
      <c r="H100" s="20">
        <f t="shared" si="21"/>
        <v>1.7573080228516513</v>
      </c>
      <c r="I100" s="20">
        <f t="shared" si="21"/>
        <v>1.7684587560476237</v>
      </c>
      <c r="J100" s="20">
        <f t="shared" si="21"/>
        <v>1.7729798174593161</v>
      </c>
      <c r="K100" s="5" t="s">
        <v>71</v>
      </c>
    </row>
    <row r="102" spans="1:11">
      <c r="A102" s="4" t="s">
        <v>58</v>
      </c>
      <c r="B102" s="4">
        <v>25</v>
      </c>
      <c r="C102" s="4">
        <v>25</v>
      </c>
      <c r="D102" s="4">
        <v>25</v>
      </c>
      <c r="E102" s="4">
        <v>25</v>
      </c>
      <c r="F102" s="4">
        <v>25</v>
      </c>
      <c r="G102" s="4">
        <v>25</v>
      </c>
      <c r="H102" s="4">
        <v>25</v>
      </c>
      <c r="I102" s="4">
        <v>25</v>
      </c>
      <c r="J102" s="4">
        <v>25</v>
      </c>
      <c r="K102" s="5" t="s">
        <v>59</v>
      </c>
    </row>
    <row r="103" spans="1:11">
      <c r="A103" s="4" t="s">
        <v>52</v>
      </c>
      <c r="B103" s="34">
        <f t="shared" ref="B103:J103" si="22">(B$1*(1+B$1)^B102)/((1+B$1)^B102-1)</f>
        <v>7.8226718212273949E-2</v>
      </c>
      <c r="C103" s="34">
        <f t="shared" si="22"/>
        <v>7.8226718212273949E-2</v>
      </c>
      <c r="D103" s="34">
        <f t="shared" si="22"/>
        <v>7.8226718212273949E-2</v>
      </c>
      <c r="E103" s="34">
        <f t="shared" si="22"/>
        <v>7.8226718212273949E-2</v>
      </c>
      <c r="F103" s="34">
        <f t="shared" si="22"/>
        <v>7.8226718212273949E-2</v>
      </c>
      <c r="G103" s="34">
        <f t="shared" si="22"/>
        <v>7.8226718212273949E-2</v>
      </c>
      <c r="H103" s="34">
        <f t="shared" si="22"/>
        <v>7.8226718212273949E-2</v>
      </c>
      <c r="I103" s="34">
        <f t="shared" si="22"/>
        <v>7.8226718212273949E-2</v>
      </c>
      <c r="J103" s="34">
        <f t="shared" si="22"/>
        <v>7.8226718212273949E-2</v>
      </c>
      <c r="K103" s="5" t="s">
        <v>31</v>
      </c>
    </row>
    <row r="105" spans="1:11">
      <c r="A105" s="4" t="s">
        <v>60</v>
      </c>
      <c r="B105" s="29">
        <f t="shared" ref="B105:J105" si="23">(B$2*(1+B$2)^B102)/((1+B$2)^B102-1)</f>
        <v>7.8226718212273949E-2</v>
      </c>
      <c r="C105" s="29">
        <f t="shared" si="23"/>
        <v>7.8226718212273949E-2</v>
      </c>
      <c r="D105" s="29">
        <f t="shared" si="23"/>
        <v>7.8226718212273949E-2</v>
      </c>
      <c r="E105" s="29">
        <f t="shared" si="23"/>
        <v>7.8226718212273949E-2</v>
      </c>
      <c r="F105" s="29">
        <f t="shared" si="23"/>
        <v>7.8226718212273949E-2</v>
      </c>
      <c r="G105" s="29">
        <f t="shared" si="23"/>
        <v>7.8226718212273949E-2</v>
      </c>
      <c r="H105" s="29">
        <f t="shared" si="23"/>
        <v>7.8226718212273949E-2</v>
      </c>
      <c r="I105" s="29">
        <f t="shared" si="23"/>
        <v>7.8226718212273949E-2</v>
      </c>
      <c r="J105" s="29">
        <f t="shared" si="23"/>
        <v>7.8226718212273949E-2</v>
      </c>
      <c r="K105" s="5" t="s">
        <v>31</v>
      </c>
    </row>
    <row r="106" spans="1:11">
      <c r="A106" s="4" t="s">
        <v>72</v>
      </c>
      <c r="B106" s="29">
        <f t="shared" ref="B106:J106" si="24">B100*B3</f>
        <v>18.36953281114047</v>
      </c>
      <c r="C106" s="29">
        <f t="shared" si="24"/>
        <v>10.36255667501929</v>
      </c>
      <c r="D106" s="29">
        <f t="shared" si="24"/>
        <v>5.9049046778645309</v>
      </c>
      <c r="E106" s="29">
        <f t="shared" si="24"/>
        <v>11.242026646224049</v>
      </c>
      <c r="F106" s="29">
        <f t="shared" si="24"/>
        <v>6.8605791561425455</v>
      </c>
      <c r="G106" s="29">
        <f t="shared" si="24"/>
        <v>5.6633041838642217</v>
      </c>
      <c r="H106" s="29">
        <f t="shared" si="24"/>
        <v>8.3621536235461793</v>
      </c>
      <c r="I106" s="29">
        <f t="shared" si="24"/>
        <v>5.8898148117213927</v>
      </c>
      <c r="J106" s="29">
        <f t="shared" si="24"/>
        <v>5.2643335224224783</v>
      </c>
      <c r="K106" s="5" t="s">
        <v>34</v>
      </c>
    </row>
    <row r="107" spans="1:11">
      <c r="A107" s="4" t="s">
        <v>73</v>
      </c>
      <c r="B107" s="29">
        <f t="shared" ref="B107:J107" si="25">B88/B103*B105</f>
        <v>0.78226718212273949</v>
      </c>
      <c r="C107" s="29">
        <f t="shared" si="25"/>
        <v>0.78226718212273949</v>
      </c>
      <c r="D107" s="29">
        <f t="shared" si="25"/>
        <v>0.78226718212273949</v>
      </c>
      <c r="E107" s="29">
        <f t="shared" si="25"/>
        <v>0.51336283826804774</v>
      </c>
      <c r="F107" s="29">
        <f t="shared" si="25"/>
        <v>0.51336283826804774</v>
      </c>
      <c r="G107" s="29">
        <f t="shared" si="25"/>
        <v>0.51336283826804774</v>
      </c>
      <c r="H107" s="29">
        <f t="shared" si="25"/>
        <v>0.39113359106136969</v>
      </c>
      <c r="I107" s="29">
        <f t="shared" si="25"/>
        <v>0.39113359106136969</v>
      </c>
      <c r="J107" s="29">
        <f t="shared" si="25"/>
        <v>0.39113359106136969</v>
      </c>
      <c r="K107" s="5" t="s">
        <v>34</v>
      </c>
    </row>
    <row r="108" spans="1:11">
      <c r="K108" s="4"/>
    </row>
    <row r="109" spans="1:11">
      <c r="A109" s="4" t="s">
        <v>92</v>
      </c>
      <c r="B109" s="29">
        <f t="shared" ref="B109:J109" si="26">B91/B5*B6</f>
        <v>15.686</v>
      </c>
      <c r="C109" s="29">
        <f t="shared" si="26"/>
        <v>15.686</v>
      </c>
      <c r="D109" s="29">
        <f t="shared" si="26"/>
        <v>15.686</v>
      </c>
      <c r="E109" s="29">
        <f t="shared" si="26"/>
        <v>4.6035000000000004</v>
      </c>
      <c r="F109" s="29">
        <f t="shared" si="26"/>
        <v>4.6035000000000004</v>
      </c>
      <c r="G109" s="29">
        <f t="shared" si="26"/>
        <v>4.6035000000000004</v>
      </c>
      <c r="H109" s="29">
        <f t="shared" si="26"/>
        <v>2.7280000000000006</v>
      </c>
      <c r="I109" s="29">
        <f t="shared" si="26"/>
        <v>2.7280000000000006</v>
      </c>
      <c r="J109" s="29">
        <f t="shared" si="26"/>
        <v>2.7280000000000006</v>
      </c>
      <c r="K109" s="5" t="s">
        <v>34</v>
      </c>
    </row>
    <row r="110" spans="1:11">
      <c r="K110" s="4"/>
    </row>
    <row r="111" spans="1:11">
      <c r="A111" s="4" t="s">
        <v>93</v>
      </c>
      <c r="B111" s="29">
        <f t="shared" ref="B111:J111" si="27">B98-B87-B90+B106-B88+B107-B91+B109</f>
        <v>41.757636537470852</v>
      </c>
      <c r="C111" s="29">
        <f t="shared" si="27"/>
        <v>35.726177307969742</v>
      </c>
      <c r="D111" s="29">
        <f t="shared" si="27"/>
        <v>27.336305944304549</v>
      </c>
      <c r="E111" s="29">
        <f t="shared" si="27"/>
        <v>20.283337705804403</v>
      </c>
      <c r="F111" s="29">
        <f t="shared" si="27"/>
        <v>16.805347438757224</v>
      </c>
      <c r="G111" s="29">
        <f t="shared" si="27"/>
        <v>13.809762374915344</v>
      </c>
      <c r="H111" s="29">
        <f t="shared" si="27"/>
        <v>14.338377127736088</v>
      </c>
      <c r="I111" s="29">
        <f t="shared" si="27"/>
        <v>12.393025235876713</v>
      </c>
      <c r="J111" s="29">
        <f t="shared" si="27"/>
        <v>10.718589029694268</v>
      </c>
      <c r="K111" s="5" t="s">
        <v>34</v>
      </c>
    </row>
    <row r="112" spans="1:11">
      <c r="A112" s="4" t="s">
        <v>93</v>
      </c>
      <c r="B112" s="40">
        <f t="shared" ref="B112:J112" si="28">B111/3.6</f>
        <v>11.599343482630792</v>
      </c>
      <c r="C112" s="40">
        <f t="shared" si="28"/>
        <v>9.9239381411027061</v>
      </c>
      <c r="D112" s="40">
        <f t="shared" si="28"/>
        <v>7.5934183178623744</v>
      </c>
      <c r="E112" s="40">
        <f t="shared" si="28"/>
        <v>5.6342604738345559</v>
      </c>
      <c r="F112" s="40">
        <f t="shared" si="28"/>
        <v>4.6681520663214506</v>
      </c>
      <c r="G112" s="40">
        <f t="shared" si="28"/>
        <v>3.8360451041431509</v>
      </c>
      <c r="H112" s="40">
        <f t="shared" si="28"/>
        <v>3.9828825354822466</v>
      </c>
      <c r="I112" s="40">
        <f t="shared" si="28"/>
        <v>3.4425070099657535</v>
      </c>
      <c r="J112" s="40">
        <f t="shared" si="28"/>
        <v>2.9773858415817411</v>
      </c>
      <c r="K112" s="5" t="s">
        <v>94</v>
      </c>
    </row>
    <row r="113" spans="1:11">
      <c r="A113" s="4" t="s">
        <v>93</v>
      </c>
      <c r="B113" s="40">
        <f>B112*Inputs!$C$14 / 100</f>
        <v>4.0237658567506918</v>
      </c>
      <c r="C113" s="40">
        <f>C112*Inputs!$C$14 / 100</f>
        <v>3.4425744453959646</v>
      </c>
      <c r="D113" s="40">
        <f>D112*Inputs!$C$14 / 100</f>
        <v>2.634126440793187</v>
      </c>
      <c r="E113" s="40">
        <f>E112*Inputs!$C$14 / 100</f>
        <v>1.9545024213313125</v>
      </c>
      <c r="F113" s="40">
        <f>F112*Inputs!$C$14 / 100</f>
        <v>1.6193632791986463</v>
      </c>
      <c r="G113" s="40">
        <f>G112*Inputs!$C$14 / 100</f>
        <v>1.3307087024468427</v>
      </c>
      <c r="H113" s="40">
        <f>H112*Inputs!$C$14 / 100</f>
        <v>1.3816460200286498</v>
      </c>
      <c r="I113" s="40">
        <f>I112*Inputs!$C$14 / 100</f>
        <v>1.1941919117290802</v>
      </c>
      <c r="J113" s="40">
        <f>J112*Inputs!$C$14 / 100</f>
        <v>1.03284323890134</v>
      </c>
      <c r="K113" s="5" t="s">
        <v>95</v>
      </c>
    </row>
    <row r="114" spans="1:11">
      <c r="B114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3"/>
  <sheetViews>
    <sheetView topLeftCell="A93" workbookViewId="0">
      <selection activeCell="A112" sqref="A112:K113"/>
    </sheetView>
  </sheetViews>
  <sheetFormatPr defaultColWidth="8.75" defaultRowHeight="15.75"/>
  <cols>
    <col min="1" max="1" width="31.5" style="4" bestFit="1" customWidth="1"/>
    <col min="2" max="3" width="14" style="4" bestFit="1" customWidth="1"/>
    <col min="4" max="10" width="8.75" style="4" customWidth="1"/>
    <col min="11" max="11" width="8.75" style="5" customWidth="1"/>
    <col min="12" max="12" width="8.75" style="4" customWidth="1"/>
    <col min="13" max="13" width="9.5" style="4" bestFit="1" customWidth="1"/>
    <col min="14" max="14" width="12.25" style="4" bestFit="1" customWidth="1"/>
    <col min="15" max="15" width="9.5" style="4" bestFit="1" customWidth="1"/>
    <col min="16" max="16" width="8.75" style="4" customWidth="1"/>
    <col min="17" max="16384" width="8.75" style="4"/>
  </cols>
  <sheetData>
    <row r="1" spans="1:16">
      <c r="A1" s="4" t="s">
        <v>30</v>
      </c>
      <c r="B1" s="6">
        <v>0.06</v>
      </c>
      <c r="C1" s="6">
        <v>0.06</v>
      </c>
      <c r="D1" s="6">
        <v>0.06</v>
      </c>
      <c r="E1" s="6">
        <v>0.06</v>
      </c>
      <c r="F1" s="6">
        <v>0.06</v>
      </c>
      <c r="G1" s="6">
        <v>0.06</v>
      </c>
      <c r="H1" s="6">
        <v>0.06</v>
      </c>
      <c r="I1" s="6">
        <v>0.06</v>
      </c>
      <c r="J1" s="6">
        <v>0.06</v>
      </c>
      <c r="K1" s="5" t="s">
        <v>31</v>
      </c>
    </row>
    <row r="2" spans="1:16">
      <c r="A2" s="4" t="s">
        <v>32</v>
      </c>
      <c r="B2" s="7">
        <v>0.06</v>
      </c>
      <c r="C2" s="7">
        <v>0.06</v>
      </c>
      <c r="D2" s="7">
        <v>0.06</v>
      </c>
      <c r="E2" s="7">
        <v>0.06</v>
      </c>
      <c r="F2" s="7">
        <v>0.06</v>
      </c>
      <c r="G2" s="7">
        <v>0.06</v>
      </c>
      <c r="H2" s="7">
        <v>0.06</v>
      </c>
      <c r="I2" s="7">
        <v>0.06</v>
      </c>
      <c r="J2" s="7">
        <v>0.06</v>
      </c>
      <c r="K2" s="5" t="s">
        <v>31</v>
      </c>
    </row>
    <row r="3" spans="1:16">
      <c r="A3" s="4" t="s">
        <v>33</v>
      </c>
      <c r="B3" s="8">
        <f>Inputs!$C$8*Inputs!$C$6 / 10</f>
        <v>5.76</v>
      </c>
      <c r="C3" s="8">
        <f>Inputs!$C$8*Inputs!$C$6 / 10</f>
        <v>5.76</v>
      </c>
      <c r="D3" s="8">
        <f>Inputs!$C$8*Inputs!$C$6 / 10</f>
        <v>5.76</v>
      </c>
      <c r="E3" s="8">
        <v>5.9593962823760886</v>
      </c>
      <c r="F3" s="8">
        <v>3.610940427692404</v>
      </c>
      <c r="G3" s="8">
        <v>2.969201042551223</v>
      </c>
      <c r="H3" s="8">
        <f>Inputs!$C$9*Inputs!$C$6 / 10</f>
        <v>0.99</v>
      </c>
      <c r="I3" s="8">
        <f>Inputs!$C$9*Inputs!$C$6 / 10</f>
        <v>0.99</v>
      </c>
      <c r="J3" s="8">
        <f>Inputs!$C$9*Inputs!$C$6 / 10</f>
        <v>0.99</v>
      </c>
      <c r="K3" s="9" t="s">
        <v>34</v>
      </c>
    </row>
    <row r="4" spans="1:16">
      <c r="B4" s="10">
        <v>11.1</v>
      </c>
      <c r="C4" s="10">
        <v>11.1</v>
      </c>
      <c r="D4" s="10">
        <v>11.1</v>
      </c>
      <c r="E4" s="10">
        <v>7.5</v>
      </c>
      <c r="F4" s="10">
        <v>7.5</v>
      </c>
      <c r="G4" s="10">
        <v>7.5</v>
      </c>
      <c r="H4" s="10">
        <v>3.9</v>
      </c>
      <c r="I4" s="10">
        <v>3.9</v>
      </c>
      <c r="J4" s="10">
        <v>3.9</v>
      </c>
      <c r="L4" s="4" t="s">
        <v>35</v>
      </c>
    </row>
    <row r="5" spans="1:16">
      <c r="A5" s="4" t="s">
        <v>36</v>
      </c>
      <c r="B5" s="11">
        <v>460</v>
      </c>
      <c r="C5" s="11">
        <v>460</v>
      </c>
      <c r="D5" s="11">
        <v>460</v>
      </c>
      <c r="E5" s="11">
        <v>135</v>
      </c>
      <c r="F5" s="11">
        <v>135</v>
      </c>
      <c r="G5" s="11">
        <v>135</v>
      </c>
      <c r="H5" s="11">
        <v>80</v>
      </c>
      <c r="I5" s="11">
        <v>80</v>
      </c>
      <c r="J5" s="11">
        <v>80</v>
      </c>
      <c r="K5" s="5" t="s">
        <v>37</v>
      </c>
    </row>
    <row r="6" spans="1:16">
      <c r="A6" s="4" t="s">
        <v>38</v>
      </c>
      <c r="B6" s="11">
        <v>460</v>
      </c>
      <c r="C6" s="11">
        <v>460</v>
      </c>
      <c r="D6" s="11">
        <v>460</v>
      </c>
      <c r="E6" s="11">
        <v>135</v>
      </c>
      <c r="F6" s="11">
        <v>135</v>
      </c>
      <c r="G6" s="11">
        <v>135</v>
      </c>
      <c r="H6" s="11">
        <v>80</v>
      </c>
      <c r="I6" s="11">
        <v>80</v>
      </c>
      <c r="J6" s="11">
        <v>80</v>
      </c>
      <c r="K6" s="5" t="s">
        <v>37</v>
      </c>
      <c r="L6" s="4" t="s">
        <v>39</v>
      </c>
    </row>
    <row r="7" spans="1:16">
      <c r="B7" s="10">
        <v>731.19866742499551</v>
      </c>
      <c r="C7" s="10">
        <v>731.19866742499551</v>
      </c>
      <c r="D7" s="10">
        <v>731.19866742499551</v>
      </c>
      <c r="E7" s="10">
        <v>449.56809837654231</v>
      </c>
      <c r="F7" s="10">
        <v>449.56809837654231</v>
      </c>
      <c r="G7" s="10">
        <v>449.56809837654231</v>
      </c>
      <c r="H7" s="10">
        <v>298.29331816455169</v>
      </c>
      <c r="I7" s="10">
        <v>298.29331816455169</v>
      </c>
      <c r="J7" s="10">
        <v>298.29331816455169</v>
      </c>
      <c r="L7" s="4" t="s">
        <v>40</v>
      </c>
    </row>
    <row r="8" spans="1:16">
      <c r="A8" s="12" t="s">
        <v>41</v>
      </c>
    </row>
    <row r="10" spans="1:16">
      <c r="B10" s="4">
        <v>2020</v>
      </c>
      <c r="E10" s="4">
        <v>2035</v>
      </c>
      <c r="H10" s="4">
        <v>2050</v>
      </c>
    </row>
    <row r="11" spans="1:16">
      <c r="B11" s="4" t="s">
        <v>42</v>
      </c>
      <c r="C11" s="4" t="s">
        <v>43</v>
      </c>
      <c r="D11" s="4" t="s">
        <v>44</v>
      </c>
      <c r="E11" s="4" t="s">
        <v>42</v>
      </c>
      <c r="F11" s="4" t="s">
        <v>43</v>
      </c>
      <c r="G11" s="4" t="s">
        <v>44</v>
      </c>
      <c r="H11" s="4" t="s">
        <v>42</v>
      </c>
      <c r="I11" s="4" t="s">
        <v>43</v>
      </c>
      <c r="J11" s="4" t="s">
        <v>44</v>
      </c>
      <c r="N11" s="4" t="s">
        <v>45</v>
      </c>
      <c r="O11" s="4" t="s">
        <v>46</v>
      </c>
    </row>
    <row r="12" spans="1:16">
      <c r="A12" s="4" t="s">
        <v>47</v>
      </c>
      <c r="B12" s="13">
        <v>5.6892158699835607</v>
      </c>
      <c r="C12" s="14">
        <v>4.0867761082899099</v>
      </c>
      <c r="D12" s="14">
        <v>2.1299153282655081</v>
      </c>
      <c r="E12" s="14">
        <v>3.5557599187397249</v>
      </c>
      <c r="F12" s="14">
        <v>2.806252927692404</v>
      </c>
      <c r="G12" s="14">
        <v>2.1299153282655081</v>
      </c>
      <c r="H12" s="14">
        <v>2.9335019329602732</v>
      </c>
      <c r="I12" s="14">
        <v>2.588291535250276</v>
      </c>
      <c r="J12" s="14">
        <v>2.1299153282655081</v>
      </c>
      <c r="K12" s="5" t="s">
        <v>34</v>
      </c>
      <c r="M12" s="4" t="s">
        <v>48</v>
      </c>
      <c r="N12" s="4">
        <v>3200</v>
      </c>
      <c r="O12" s="4">
        <v>1500</v>
      </c>
    </row>
    <row r="13" spans="1:16">
      <c r="A13" s="4" t="s">
        <v>49</v>
      </c>
      <c r="B13" s="15">
        <v>2.1818181818181821</v>
      </c>
      <c r="C13" s="15">
        <v>1.171875</v>
      </c>
      <c r="D13" s="15">
        <v>0.8392857142857143</v>
      </c>
      <c r="E13" s="15">
        <v>1.363636363636364</v>
      </c>
      <c r="F13" s="15">
        <v>0.8046875</v>
      </c>
      <c r="G13" s="15">
        <v>0.8392857142857143</v>
      </c>
      <c r="H13" s="15">
        <v>1.125</v>
      </c>
      <c r="I13" s="15">
        <v>0.7421875</v>
      </c>
      <c r="J13" s="15">
        <v>0.8392857142857143</v>
      </c>
      <c r="K13" s="5" t="s">
        <v>34</v>
      </c>
      <c r="M13" s="4" t="s">
        <v>50</v>
      </c>
      <c r="N13" s="4">
        <v>4400</v>
      </c>
      <c r="O13" s="4">
        <v>3200</v>
      </c>
    </row>
    <row r="14" spans="1:16">
      <c r="A14" s="4" t="s">
        <v>51</v>
      </c>
      <c r="B14" s="15">
        <v>1.5</v>
      </c>
      <c r="C14" s="15">
        <v>0</v>
      </c>
      <c r="D14" s="15">
        <v>0</v>
      </c>
      <c r="E14" s="15">
        <v>1.04</v>
      </c>
      <c r="F14" s="15">
        <v>0</v>
      </c>
      <c r="G14" s="15">
        <v>0</v>
      </c>
      <c r="H14" s="15">
        <v>0.7</v>
      </c>
      <c r="I14" s="15">
        <v>0</v>
      </c>
      <c r="J14" s="15">
        <v>0</v>
      </c>
      <c r="K14" s="5" t="s">
        <v>34</v>
      </c>
      <c r="M14" s="4" t="s">
        <v>52</v>
      </c>
      <c r="N14" s="16">
        <f>B23</f>
        <v>7.8226718212273949E-2</v>
      </c>
      <c r="O14" s="16">
        <f>C23</f>
        <v>8.7184556976851402E-2</v>
      </c>
    </row>
    <row r="15" spans="1:16">
      <c r="B15" s="15"/>
      <c r="C15" s="15"/>
      <c r="D15" s="15"/>
      <c r="E15" s="15"/>
      <c r="F15" s="15"/>
      <c r="G15" s="15"/>
      <c r="H15" s="15"/>
      <c r="I15" s="15"/>
      <c r="J15" s="15"/>
      <c r="M15" s="4" t="s">
        <v>53</v>
      </c>
      <c r="N15" s="4">
        <f>N12*N14/N13</f>
        <v>5.6892158699835604E-2</v>
      </c>
      <c r="O15" s="4">
        <f>O12*O14/O13</f>
        <v>4.08677610828991E-2</v>
      </c>
      <c r="P15" s="4" t="s">
        <v>54</v>
      </c>
    </row>
    <row r="16" spans="1:16">
      <c r="A16" s="4" t="s">
        <v>55</v>
      </c>
      <c r="B16" s="15">
        <v>1.3774309590653071</v>
      </c>
      <c r="C16" s="15">
        <v>0.80426428715022169</v>
      </c>
      <c r="D16" s="15">
        <v>0.37115013031890293</v>
      </c>
      <c r="E16" s="15">
        <v>1.323864199546098</v>
      </c>
      <c r="F16" s="15">
        <v>1.185774269516352</v>
      </c>
      <c r="G16" s="15">
        <v>0.37115013031890293</v>
      </c>
      <c r="H16" s="15">
        <v>1.2927080230910499</v>
      </c>
      <c r="I16" s="15">
        <v>1.020796979844512</v>
      </c>
      <c r="J16" s="15">
        <v>0.37115013031890293</v>
      </c>
      <c r="K16" s="5" t="s">
        <v>34</v>
      </c>
      <c r="N16" s="17">
        <f>N15*100</f>
        <v>5.6892158699835607</v>
      </c>
      <c r="O16" s="18">
        <f>O15*100</f>
        <v>4.0867761082899099</v>
      </c>
      <c r="P16" s="4" t="s">
        <v>34</v>
      </c>
    </row>
    <row r="17" spans="1:15">
      <c r="A17" s="4" t="s">
        <v>56</v>
      </c>
      <c r="B17" s="15">
        <v>1.4414975153008991</v>
      </c>
      <c r="C17" s="15">
        <v>0.91149952543691715</v>
      </c>
      <c r="D17" s="15">
        <v>0.49486684042520368</v>
      </c>
      <c r="E17" s="15">
        <v>1.3602702743593409</v>
      </c>
      <c r="F17" s="15">
        <v>1.381272357777483</v>
      </c>
      <c r="G17" s="15">
        <v>0.49486684042520368</v>
      </c>
      <c r="H17" s="15">
        <v>1.3528339776534239</v>
      </c>
      <c r="I17" s="15">
        <v>1.156903243823781</v>
      </c>
      <c r="J17" s="15">
        <v>0.49486684042520368</v>
      </c>
      <c r="K17" s="5" t="s">
        <v>34</v>
      </c>
      <c r="O17" s="19"/>
    </row>
    <row r="18" spans="1:15">
      <c r="B18" s="20"/>
      <c r="C18" s="20"/>
      <c r="D18" s="20"/>
      <c r="E18" s="20"/>
      <c r="F18" s="20"/>
      <c r="G18" s="20"/>
      <c r="H18" s="20"/>
      <c r="I18" s="20"/>
      <c r="J18" s="20"/>
    </row>
    <row r="19" spans="1:15">
      <c r="A19" s="4" t="s">
        <v>10</v>
      </c>
      <c r="B19" s="16">
        <f t="shared" ref="B19:J19" si="0">SUM(B12:B14)</f>
        <v>9.3710340518017432</v>
      </c>
      <c r="C19" s="16">
        <f t="shared" si="0"/>
        <v>5.2586511082899099</v>
      </c>
      <c r="D19" s="16">
        <f t="shared" si="0"/>
        <v>2.9692010425512225</v>
      </c>
      <c r="E19" s="16">
        <f t="shared" si="0"/>
        <v>5.9593962823760886</v>
      </c>
      <c r="F19" s="16">
        <f t="shared" si="0"/>
        <v>3.610940427692404</v>
      </c>
      <c r="G19" s="16">
        <f t="shared" si="0"/>
        <v>2.9692010425512225</v>
      </c>
      <c r="H19" s="16">
        <f t="shared" si="0"/>
        <v>4.7585019329602734</v>
      </c>
      <c r="I19" s="16">
        <f t="shared" si="0"/>
        <v>3.330479035250276</v>
      </c>
      <c r="J19" s="16">
        <f t="shared" si="0"/>
        <v>2.9692010425512225</v>
      </c>
      <c r="K19" s="5" t="s">
        <v>34</v>
      </c>
    </row>
    <row r="20" spans="1:15">
      <c r="A20" s="4" t="s">
        <v>10</v>
      </c>
      <c r="B20" s="16">
        <f t="shared" ref="B20:J20" si="1">B19*10</f>
        <v>93.710340518017432</v>
      </c>
      <c r="C20" s="16">
        <f t="shared" si="1"/>
        <v>52.586511082899101</v>
      </c>
      <c r="D20" s="16">
        <f t="shared" si="1"/>
        <v>29.692010425512226</v>
      </c>
      <c r="E20" s="16">
        <f t="shared" si="1"/>
        <v>59.59396282376089</v>
      </c>
      <c r="F20" s="16">
        <f t="shared" si="1"/>
        <v>36.109404276924039</v>
      </c>
      <c r="G20" s="16">
        <f t="shared" si="1"/>
        <v>29.692010425512226</v>
      </c>
      <c r="H20" s="16">
        <f t="shared" si="1"/>
        <v>47.58501932960273</v>
      </c>
      <c r="I20" s="16">
        <f t="shared" si="1"/>
        <v>33.304790352502764</v>
      </c>
      <c r="J20" s="16">
        <f t="shared" si="1"/>
        <v>29.692010425512226</v>
      </c>
      <c r="K20" s="5" t="s">
        <v>57</v>
      </c>
    </row>
    <row r="21" spans="1:15">
      <c r="B21" s="16"/>
      <c r="C21" s="16"/>
      <c r="D21" s="16"/>
      <c r="E21" s="16"/>
      <c r="F21" s="16"/>
      <c r="G21" s="16"/>
      <c r="H21" s="16"/>
      <c r="I21" s="16"/>
      <c r="J21" s="16"/>
    </row>
    <row r="22" spans="1:15">
      <c r="A22" s="4" t="s">
        <v>58</v>
      </c>
      <c r="B22" s="21">
        <v>25</v>
      </c>
      <c r="C22" s="21">
        <v>20</v>
      </c>
      <c r="D22" s="21">
        <v>50</v>
      </c>
      <c r="E22" s="21">
        <v>25</v>
      </c>
      <c r="F22" s="21">
        <v>20</v>
      </c>
      <c r="G22" s="21">
        <v>50</v>
      </c>
      <c r="H22" s="21">
        <v>25</v>
      </c>
      <c r="I22" s="21">
        <v>20</v>
      </c>
      <c r="J22" s="21">
        <v>50</v>
      </c>
      <c r="K22" s="5" t="s">
        <v>59</v>
      </c>
      <c r="M22" s="4" t="s">
        <v>7</v>
      </c>
    </row>
    <row r="23" spans="1:15">
      <c r="A23" s="4" t="s">
        <v>52</v>
      </c>
      <c r="B23" s="21">
        <f t="shared" ref="B23:J23" si="2">(B$1*(1+B$1)^B22)/((1+B$1)^B22-1)</f>
        <v>7.8226718212273949E-2</v>
      </c>
      <c r="C23" s="21">
        <f t="shared" si="2"/>
        <v>8.7184556976851402E-2</v>
      </c>
      <c r="D23" s="21">
        <f t="shared" si="2"/>
        <v>6.3444286373866191E-2</v>
      </c>
      <c r="E23" s="21">
        <f t="shared" si="2"/>
        <v>7.8226718212273949E-2</v>
      </c>
      <c r="F23" s="21">
        <f t="shared" si="2"/>
        <v>8.7184556976851402E-2</v>
      </c>
      <c r="G23" s="21">
        <f t="shared" si="2"/>
        <v>6.3444286373866191E-2</v>
      </c>
      <c r="H23" s="21">
        <f t="shared" si="2"/>
        <v>7.8226718212273949E-2</v>
      </c>
      <c r="I23" s="21">
        <f t="shared" si="2"/>
        <v>8.7184556976851402E-2</v>
      </c>
      <c r="J23" s="21">
        <f t="shared" si="2"/>
        <v>6.3444286373866191E-2</v>
      </c>
      <c r="K23" s="5" t="s">
        <v>31</v>
      </c>
      <c r="M23" s="4" t="s">
        <v>7</v>
      </c>
    </row>
    <row r="24" spans="1:15">
      <c r="B24" s="21"/>
      <c r="C24" s="21"/>
      <c r="D24" s="21"/>
      <c r="E24" s="21"/>
      <c r="F24" s="21"/>
      <c r="G24" s="21"/>
      <c r="H24" s="21"/>
      <c r="I24" s="21"/>
      <c r="J24" s="21"/>
    </row>
    <row r="25" spans="1:15">
      <c r="A25" s="4" t="s">
        <v>60</v>
      </c>
      <c r="B25" s="22">
        <f t="shared" ref="B25:J25" si="3">(B$2*(1+B$2)^B22)/((1+B$2)^B22-1)</f>
        <v>7.8226718212273949E-2</v>
      </c>
      <c r="C25" s="22">
        <f t="shared" si="3"/>
        <v>8.7184556976851402E-2</v>
      </c>
      <c r="D25" s="22">
        <f t="shared" si="3"/>
        <v>6.3444286373866191E-2</v>
      </c>
      <c r="E25" s="22">
        <f t="shared" si="3"/>
        <v>7.8226718212273949E-2</v>
      </c>
      <c r="F25" s="22">
        <f t="shared" si="3"/>
        <v>8.7184556976851402E-2</v>
      </c>
      <c r="G25" s="22">
        <f t="shared" si="3"/>
        <v>6.3444286373866191E-2</v>
      </c>
      <c r="H25" s="22">
        <f t="shared" si="3"/>
        <v>7.8226718212273949E-2</v>
      </c>
      <c r="I25" s="22">
        <f t="shared" si="3"/>
        <v>8.7184556976851402E-2</v>
      </c>
      <c r="J25" s="22">
        <f t="shared" si="3"/>
        <v>6.3444286373866191E-2</v>
      </c>
      <c r="K25" s="5" t="s">
        <v>31</v>
      </c>
      <c r="M25" s="4" t="s">
        <v>7</v>
      </c>
    </row>
    <row r="26" spans="1:15">
      <c r="A26" s="4" t="s">
        <v>61</v>
      </c>
      <c r="B26" s="23">
        <f t="shared" ref="B26:J26" si="4">B12/B23*B25</f>
        <v>5.6892158699835607</v>
      </c>
      <c r="C26" s="23">
        <f t="shared" si="4"/>
        <v>4.0867761082899099</v>
      </c>
      <c r="D26" s="23">
        <f t="shared" si="4"/>
        <v>2.1299153282655081</v>
      </c>
      <c r="E26" s="23">
        <f t="shared" si="4"/>
        <v>3.5557599187397249</v>
      </c>
      <c r="F26" s="23">
        <f t="shared" si="4"/>
        <v>2.806252927692404</v>
      </c>
      <c r="G26" s="23">
        <f t="shared" si="4"/>
        <v>2.1299153282655081</v>
      </c>
      <c r="H26" s="23">
        <f t="shared" si="4"/>
        <v>2.9335019329602732</v>
      </c>
      <c r="I26" s="23">
        <f t="shared" si="4"/>
        <v>2.588291535250276</v>
      </c>
      <c r="J26" s="23">
        <f t="shared" si="4"/>
        <v>2.1299153282655081</v>
      </c>
      <c r="K26" s="5" t="s">
        <v>34</v>
      </c>
      <c r="M26" s="4" t="s">
        <v>7</v>
      </c>
    </row>
    <row r="27" spans="1:15">
      <c r="A27" s="4" t="s">
        <v>33</v>
      </c>
      <c r="B27" s="22">
        <f t="shared" ref="B27:J27" si="5">B19-B12+B26</f>
        <v>9.3710340518017432</v>
      </c>
      <c r="C27" s="22">
        <f t="shared" si="5"/>
        <v>5.2586511082899099</v>
      </c>
      <c r="D27" s="22">
        <f t="shared" si="5"/>
        <v>2.9692010425512225</v>
      </c>
      <c r="E27" s="22">
        <f t="shared" si="5"/>
        <v>5.9593962823760886</v>
      </c>
      <c r="F27" s="22">
        <f t="shared" si="5"/>
        <v>3.610940427692404</v>
      </c>
      <c r="G27" s="22">
        <f t="shared" si="5"/>
        <v>2.9692010425512225</v>
      </c>
      <c r="H27" s="22">
        <f t="shared" si="5"/>
        <v>4.7585019329602734</v>
      </c>
      <c r="I27" s="22">
        <f t="shared" si="5"/>
        <v>3.330479035250276</v>
      </c>
      <c r="J27" s="22">
        <f t="shared" si="5"/>
        <v>2.9692010425512225</v>
      </c>
      <c r="K27" s="5" t="s">
        <v>34</v>
      </c>
    </row>
    <row r="29" spans="1:15">
      <c r="A29" s="12" t="s">
        <v>62</v>
      </c>
    </row>
    <row r="31" spans="1:15">
      <c r="B31" s="4">
        <v>2020</v>
      </c>
      <c r="E31" s="4">
        <v>2035</v>
      </c>
      <c r="H31" s="4">
        <v>2050</v>
      </c>
    </row>
    <row r="32" spans="1:15">
      <c r="B32" s="4" t="s">
        <v>42</v>
      </c>
      <c r="C32" s="4" t="s">
        <v>43</v>
      </c>
      <c r="D32" s="4" t="s">
        <v>44</v>
      </c>
      <c r="E32" s="4" t="s">
        <v>42</v>
      </c>
      <c r="F32" s="4" t="s">
        <v>43</v>
      </c>
      <c r="G32" s="4" t="s">
        <v>44</v>
      </c>
      <c r="H32" s="4" t="s">
        <v>42</v>
      </c>
      <c r="I32" s="4" t="s">
        <v>43</v>
      </c>
      <c r="J32" s="4" t="s">
        <v>44</v>
      </c>
    </row>
    <row r="33" spans="1:13">
      <c r="A33" s="4" t="s">
        <v>63</v>
      </c>
      <c r="B33" s="24">
        <v>3.0462117683907302</v>
      </c>
      <c r="C33" s="24">
        <v>4.1885411815372544</v>
      </c>
      <c r="D33" s="24">
        <v>1.9147616829884591</v>
      </c>
      <c r="E33" s="24">
        <v>1.393114893536086</v>
      </c>
      <c r="F33" s="24">
        <v>1.9155329786121189</v>
      </c>
      <c r="G33" s="24">
        <v>0.87567221879411128</v>
      </c>
      <c r="H33" s="24">
        <v>0.81260441356240254</v>
      </c>
      <c r="I33" s="24">
        <v>1.117331068648304</v>
      </c>
      <c r="J33" s="24">
        <v>0.51077991709636728</v>
      </c>
      <c r="K33" s="5" t="s">
        <v>34</v>
      </c>
      <c r="M33" s="25"/>
    </row>
    <row r="34" spans="1:13">
      <c r="A34" s="4" t="s">
        <v>64</v>
      </c>
      <c r="B34" s="24">
        <v>1.168224299065421</v>
      </c>
      <c r="C34" s="24">
        <v>1.606308411214953</v>
      </c>
      <c r="D34" s="24">
        <v>0.73431241655540713</v>
      </c>
      <c r="E34" s="24">
        <v>0.53426051560379917</v>
      </c>
      <c r="F34" s="24">
        <v>0.73460820895522383</v>
      </c>
      <c r="G34" s="24">
        <v>0.33582089552238797</v>
      </c>
      <c r="H34" s="24">
        <v>0.31163434903047099</v>
      </c>
      <c r="I34" s="24">
        <v>0.42849722991689748</v>
      </c>
      <c r="J34" s="24">
        <v>0.19588444796201029</v>
      </c>
      <c r="K34" s="5" t="s">
        <v>34</v>
      </c>
    </row>
    <row r="35" spans="1:13">
      <c r="A35" s="4" t="s">
        <v>65</v>
      </c>
      <c r="B35" s="24">
        <v>14.59662624891237</v>
      </c>
      <c r="C35" s="24">
        <v>8.1910453400154353</v>
      </c>
      <c r="D35" s="24">
        <v>4.6249237422916236</v>
      </c>
      <c r="E35" s="24">
        <v>8.8946213169792365</v>
      </c>
      <c r="F35" s="24">
        <v>5.3894633249140362</v>
      </c>
      <c r="G35" s="24">
        <v>4.4316433470913763</v>
      </c>
      <c r="H35" s="24">
        <v>6.590722898836944</v>
      </c>
      <c r="I35" s="24">
        <v>4.6128518493771136</v>
      </c>
      <c r="J35" s="24">
        <v>4.1124668179379817</v>
      </c>
      <c r="K35" s="5" t="s">
        <v>34</v>
      </c>
    </row>
    <row r="36" spans="1:13">
      <c r="A36" s="4" t="s">
        <v>66</v>
      </c>
      <c r="B36" s="24">
        <v>2.9792731679099602</v>
      </c>
      <c r="C36" s="24">
        <v>2.9792731679099602</v>
      </c>
      <c r="D36" s="24">
        <v>2.9792731679099602</v>
      </c>
      <c r="E36" s="24">
        <v>2.3792731679099601</v>
      </c>
      <c r="F36" s="24">
        <v>2.3792731679099601</v>
      </c>
      <c r="G36" s="24">
        <v>2.3792731679099601</v>
      </c>
      <c r="H36" s="24">
        <v>1.97927316790996</v>
      </c>
      <c r="I36" s="24">
        <v>1.97927316790996</v>
      </c>
      <c r="J36" s="24">
        <v>1.97927316790996</v>
      </c>
      <c r="K36" s="5" t="s">
        <v>34</v>
      </c>
    </row>
    <row r="37" spans="1:13">
      <c r="A37" s="4" t="s">
        <v>67</v>
      </c>
      <c r="B37" s="24">
        <v>3.7938486371987969</v>
      </c>
      <c r="C37" s="24">
        <v>3.7938486371987969</v>
      </c>
      <c r="D37" s="24">
        <v>3.7938486371987969</v>
      </c>
      <c r="E37" s="24">
        <v>2.1404261042106478</v>
      </c>
      <c r="F37" s="24">
        <v>2.1404261042106478</v>
      </c>
      <c r="G37" s="24">
        <v>2.1404261042106478</v>
      </c>
      <c r="H37" s="24">
        <v>1.43084523740833</v>
      </c>
      <c r="I37" s="24">
        <v>1.43084523740833</v>
      </c>
      <c r="J37" s="24">
        <v>1.43084523740833</v>
      </c>
      <c r="K37" s="5" t="s">
        <v>34</v>
      </c>
    </row>
    <row r="38" spans="1:13">
      <c r="A38" s="4" t="s">
        <v>68</v>
      </c>
      <c r="B38" s="24">
        <v>0.22500000000000001</v>
      </c>
      <c r="C38" s="24">
        <v>0.22500000000000001</v>
      </c>
      <c r="D38" s="24">
        <v>0.22500000000000001</v>
      </c>
      <c r="E38" s="24">
        <v>0.19500000000000001</v>
      </c>
      <c r="F38" s="24">
        <v>0.19500000000000001</v>
      </c>
      <c r="G38" s="24">
        <v>0.19500000000000001</v>
      </c>
      <c r="H38" s="24">
        <v>0.1875</v>
      </c>
      <c r="I38" s="24">
        <v>0.1875</v>
      </c>
      <c r="J38" s="24">
        <v>0.1875</v>
      </c>
      <c r="K38" s="5" t="s">
        <v>34</v>
      </c>
    </row>
    <row r="39" spans="1:13">
      <c r="B39" s="24"/>
      <c r="C39" s="24"/>
      <c r="D39" s="24"/>
      <c r="E39" s="24"/>
      <c r="F39" s="24"/>
      <c r="G39" s="24"/>
      <c r="H39" s="24"/>
      <c r="I39" s="24"/>
      <c r="J39" s="24"/>
    </row>
    <row r="40" spans="1:13">
      <c r="A40" s="4" t="s">
        <v>55</v>
      </c>
      <c r="B40" s="24">
        <v>5.0944468051984613</v>
      </c>
      <c r="C40" s="24">
        <v>4.5421905142931864</v>
      </c>
      <c r="D40" s="24">
        <v>2.3451035981069479</v>
      </c>
      <c r="E40" s="24">
        <v>4.0195480750072754</v>
      </c>
      <c r="F40" s="24">
        <v>3.9103356873613451</v>
      </c>
      <c r="G40" s="24">
        <v>2.0092187293593611</v>
      </c>
      <c r="H40" s="24">
        <v>3.0022965344784649</v>
      </c>
      <c r="I40" s="24">
        <v>2.7698807252638611</v>
      </c>
      <c r="J40" s="24">
        <v>1.389717113332896</v>
      </c>
      <c r="K40" s="5" t="s">
        <v>34</v>
      </c>
    </row>
    <row r="41" spans="1:13">
      <c r="A41" s="4" t="s">
        <v>56</v>
      </c>
      <c r="B41" s="24">
        <v>6.2445545181256898</v>
      </c>
      <c r="C41" s="24">
        <v>5.9119403178359429</v>
      </c>
      <c r="D41" s="24">
        <v>3.4038153238304298</v>
      </c>
      <c r="E41" s="24">
        <v>4.742835616639308</v>
      </c>
      <c r="F41" s="24">
        <v>5.0150861801721556</v>
      </c>
      <c r="G41" s="24">
        <v>2.5555799154741412</v>
      </c>
      <c r="H41" s="24">
        <v>4.108478094874922</v>
      </c>
      <c r="I41" s="24">
        <v>4.0463644024895142</v>
      </c>
      <c r="J41" s="24">
        <v>2.382422881569203</v>
      </c>
      <c r="K41" s="5" t="s">
        <v>34</v>
      </c>
    </row>
    <row r="42" spans="1:13">
      <c r="B42" s="20"/>
      <c r="C42" s="20"/>
      <c r="D42" s="20"/>
      <c r="E42" s="20"/>
      <c r="F42" s="20"/>
      <c r="G42" s="20"/>
      <c r="H42" s="20"/>
      <c r="I42" s="20"/>
      <c r="J42" s="20"/>
    </row>
    <row r="43" spans="1:13">
      <c r="A43" s="4" t="s">
        <v>69</v>
      </c>
      <c r="B43" s="20">
        <f t="shared" ref="B43:J43" si="6">SUM(B33:B38)</f>
        <v>25.809184121477276</v>
      </c>
      <c r="C43" s="16">
        <f t="shared" si="6"/>
        <v>20.984016737876399</v>
      </c>
      <c r="D43" s="20">
        <f t="shared" si="6"/>
        <v>14.272119646944248</v>
      </c>
      <c r="E43" s="20">
        <f t="shared" si="6"/>
        <v>15.536695998239729</v>
      </c>
      <c r="F43" s="20">
        <f t="shared" si="6"/>
        <v>12.754303784601987</v>
      </c>
      <c r="G43" s="20">
        <f t="shared" si="6"/>
        <v>10.357835733528482</v>
      </c>
      <c r="H43" s="20">
        <f t="shared" si="6"/>
        <v>11.312580066748108</v>
      </c>
      <c r="I43" s="20">
        <f t="shared" si="6"/>
        <v>9.7562985532606064</v>
      </c>
      <c r="J43" s="20">
        <f t="shared" si="6"/>
        <v>8.4167495883146479</v>
      </c>
      <c r="K43" s="5" t="s">
        <v>34</v>
      </c>
    </row>
    <row r="44" spans="1:13">
      <c r="B44" s="20"/>
      <c r="C44" s="20"/>
      <c r="D44" s="20"/>
      <c r="E44" s="20"/>
      <c r="F44" s="20"/>
      <c r="G44" s="20"/>
      <c r="H44" s="20"/>
      <c r="I44" s="20"/>
      <c r="J44" s="20"/>
    </row>
    <row r="45" spans="1:13">
      <c r="A45" s="4" t="s">
        <v>70</v>
      </c>
      <c r="B45" s="26">
        <f t="shared" ref="B45:J45" si="7">B35/B19</f>
        <v>1.5576323987538938</v>
      </c>
      <c r="C45" s="26">
        <f t="shared" si="7"/>
        <v>1.557632398753894</v>
      </c>
      <c r="D45" s="26">
        <f t="shared" si="7"/>
        <v>1.557632398753894</v>
      </c>
      <c r="E45" s="26">
        <f t="shared" si="7"/>
        <v>1.4925373134328357</v>
      </c>
      <c r="F45" s="26">
        <f t="shared" si="7"/>
        <v>1.4925373134328359</v>
      </c>
      <c r="G45" s="26">
        <f t="shared" si="7"/>
        <v>1.4925373134328357</v>
      </c>
      <c r="H45" s="26">
        <f t="shared" si="7"/>
        <v>1.3850415512465375</v>
      </c>
      <c r="I45" s="26">
        <f t="shared" si="7"/>
        <v>1.3850415512465375</v>
      </c>
      <c r="J45" s="26">
        <f t="shared" si="7"/>
        <v>1.3850415512465375</v>
      </c>
      <c r="K45" s="5" t="s">
        <v>71</v>
      </c>
      <c r="M45" s="4" t="s">
        <v>10</v>
      </c>
    </row>
    <row r="46" spans="1:13">
      <c r="B46" s="20"/>
      <c r="C46" s="20"/>
      <c r="D46" s="20"/>
      <c r="E46" s="20"/>
      <c r="F46" s="20"/>
      <c r="G46" s="20"/>
      <c r="H46" s="20"/>
      <c r="I46" s="20"/>
      <c r="J46" s="20"/>
    </row>
    <row r="47" spans="1:13">
      <c r="A47" s="4" t="s">
        <v>58</v>
      </c>
      <c r="B47" s="27">
        <v>25</v>
      </c>
      <c r="C47" s="27">
        <v>25</v>
      </c>
      <c r="D47" s="27">
        <v>25</v>
      </c>
      <c r="E47" s="27">
        <v>25</v>
      </c>
      <c r="F47" s="27">
        <v>25</v>
      </c>
      <c r="G47" s="27">
        <v>25</v>
      </c>
      <c r="H47" s="27">
        <v>25</v>
      </c>
      <c r="I47" s="27">
        <v>25</v>
      </c>
      <c r="J47" s="27">
        <v>25</v>
      </c>
      <c r="K47" s="5" t="s">
        <v>59</v>
      </c>
      <c r="M47" s="4" t="s">
        <v>7</v>
      </c>
    </row>
    <row r="48" spans="1:13">
      <c r="A48" s="4" t="s">
        <v>52</v>
      </c>
      <c r="B48" s="28">
        <f t="shared" ref="B48:J48" si="8">(B$1*(1+B$1)^B47)/((1+B$1)^B47-1)</f>
        <v>7.8226718212273949E-2</v>
      </c>
      <c r="C48" s="28">
        <f t="shared" si="8"/>
        <v>7.8226718212273949E-2</v>
      </c>
      <c r="D48" s="28">
        <f t="shared" si="8"/>
        <v>7.8226718212273949E-2</v>
      </c>
      <c r="E48" s="28">
        <f t="shared" si="8"/>
        <v>7.8226718212273949E-2</v>
      </c>
      <c r="F48" s="28">
        <f t="shared" si="8"/>
        <v>7.8226718212273949E-2</v>
      </c>
      <c r="G48" s="28">
        <f t="shared" si="8"/>
        <v>7.8226718212273949E-2</v>
      </c>
      <c r="H48" s="28">
        <f t="shared" si="8"/>
        <v>7.8226718212273949E-2</v>
      </c>
      <c r="I48" s="28">
        <f t="shared" si="8"/>
        <v>7.8226718212273949E-2</v>
      </c>
      <c r="J48" s="28">
        <f t="shared" si="8"/>
        <v>7.8226718212273949E-2</v>
      </c>
      <c r="K48" s="5" t="s">
        <v>31</v>
      </c>
      <c r="M48" s="4" t="s">
        <v>7</v>
      </c>
    </row>
    <row r="49" spans="1:13">
      <c r="B49" s="28"/>
      <c r="C49" s="28"/>
      <c r="D49" s="28"/>
      <c r="E49" s="28"/>
      <c r="F49" s="28"/>
      <c r="G49" s="28"/>
      <c r="H49" s="28"/>
      <c r="I49" s="28"/>
      <c r="J49" s="28"/>
    </row>
    <row r="50" spans="1:13">
      <c r="A50" s="4" t="s">
        <v>60</v>
      </c>
      <c r="B50" s="29">
        <f t="shared" ref="B50:J50" si="9">(B$2*(1+B$2)^B47)/((1+B$2)^B47-1)</f>
        <v>7.8226718212273949E-2</v>
      </c>
      <c r="C50" s="29">
        <f t="shared" si="9"/>
        <v>7.8226718212273949E-2</v>
      </c>
      <c r="D50" s="29">
        <f t="shared" si="9"/>
        <v>7.8226718212273949E-2</v>
      </c>
      <c r="E50" s="29">
        <f t="shared" si="9"/>
        <v>7.8226718212273949E-2</v>
      </c>
      <c r="F50" s="29">
        <f t="shared" si="9"/>
        <v>7.8226718212273949E-2</v>
      </c>
      <c r="G50" s="29">
        <f t="shared" si="9"/>
        <v>7.8226718212273949E-2</v>
      </c>
      <c r="H50" s="29">
        <f t="shared" si="9"/>
        <v>7.8226718212273949E-2</v>
      </c>
      <c r="I50" s="29">
        <f t="shared" si="9"/>
        <v>7.8226718212273949E-2</v>
      </c>
      <c r="J50" s="29">
        <f t="shared" si="9"/>
        <v>7.8226718212273949E-2</v>
      </c>
      <c r="K50" s="5" t="s">
        <v>31</v>
      </c>
      <c r="M50" s="4" t="s">
        <v>7</v>
      </c>
    </row>
    <row r="51" spans="1:13">
      <c r="A51" s="4" t="s">
        <v>72</v>
      </c>
      <c r="B51" s="29">
        <f t="shared" ref="B51:J51" si="10">B45*B3</f>
        <v>8.9719626168224273</v>
      </c>
      <c r="C51" s="29">
        <f t="shared" si="10"/>
        <v>8.9719626168224291</v>
      </c>
      <c r="D51" s="29">
        <f t="shared" si="10"/>
        <v>8.9719626168224291</v>
      </c>
      <c r="E51" s="29">
        <f t="shared" si="10"/>
        <v>8.8946213169792365</v>
      </c>
      <c r="F51" s="29">
        <f t="shared" si="10"/>
        <v>5.3894633249140362</v>
      </c>
      <c r="G51" s="29">
        <f t="shared" si="10"/>
        <v>4.4316433470913772</v>
      </c>
      <c r="H51" s="29">
        <f t="shared" si="10"/>
        <v>1.371191135734072</v>
      </c>
      <c r="I51" s="29">
        <f t="shared" si="10"/>
        <v>1.371191135734072</v>
      </c>
      <c r="J51" s="29">
        <f t="shared" si="10"/>
        <v>1.371191135734072</v>
      </c>
      <c r="K51" s="5" t="s">
        <v>34</v>
      </c>
      <c r="M51" s="4" t="s">
        <v>10</v>
      </c>
    </row>
    <row r="52" spans="1:13">
      <c r="A52" s="4" t="s">
        <v>73</v>
      </c>
      <c r="B52" s="29">
        <f t="shared" ref="B52:J52" si="11">B33/B48*B50</f>
        <v>3.0462117683907302</v>
      </c>
      <c r="C52" s="29">
        <f t="shared" si="11"/>
        <v>4.1885411815372544</v>
      </c>
      <c r="D52" s="29">
        <f t="shared" si="11"/>
        <v>1.9147616829884593</v>
      </c>
      <c r="E52" s="29">
        <f t="shared" si="11"/>
        <v>1.393114893536086</v>
      </c>
      <c r="F52" s="29">
        <f t="shared" si="11"/>
        <v>1.9155329786121189</v>
      </c>
      <c r="G52" s="29">
        <f t="shared" si="11"/>
        <v>0.87567221879411117</v>
      </c>
      <c r="H52" s="29">
        <f t="shared" si="11"/>
        <v>0.81260441356240254</v>
      </c>
      <c r="I52" s="29">
        <f t="shared" si="11"/>
        <v>1.117331068648304</v>
      </c>
      <c r="J52" s="29">
        <f t="shared" si="11"/>
        <v>0.51077991709636728</v>
      </c>
      <c r="K52" s="5" t="s">
        <v>34</v>
      </c>
      <c r="M52" s="4" t="s">
        <v>7</v>
      </c>
    </row>
    <row r="53" spans="1:13">
      <c r="A53" s="4" t="s">
        <v>74</v>
      </c>
      <c r="B53" s="29">
        <f t="shared" ref="B53:J53" si="12">B43-B33+B52-B35+B51</f>
        <v>20.184520489387332</v>
      </c>
      <c r="C53" s="29">
        <f t="shared" si="12"/>
        <v>21.764934014683391</v>
      </c>
      <c r="D53" s="29">
        <f t="shared" si="12"/>
        <v>18.61915852147505</v>
      </c>
      <c r="E53" s="29">
        <f t="shared" si="12"/>
        <v>15.536695998239729</v>
      </c>
      <c r="F53" s="29">
        <f t="shared" si="12"/>
        <v>12.754303784601987</v>
      </c>
      <c r="G53" s="29">
        <f t="shared" si="12"/>
        <v>10.357835733528482</v>
      </c>
      <c r="H53" s="29">
        <f t="shared" si="12"/>
        <v>6.0930483036452365</v>
      </c>
      <c r="I53" s="29">
        <f t="shared" si="12"/>
        <v>6.5146378396175653</v>
      </c>
      <c r="J53" s="29">
        <f t="shared" si="12"/>
        <v>5.6754739061107387</v>
      </c>
      <c r="K53" s="5" t="s">
        <v>34</v>
      </c>
    </row>
    <row r="54" spans="1:13">
      <c r="B54" s="25"/>
    </row>
    <row r="55" spans="1:13">
      <c r="A55" s="12" t="s">
        <v>75</v>
      </c>
    </row>
    <row r="57" spans="1:13">
      <c r="B57" s="4">
        <v>2020</v>
      </c>
      <c r="E57" s="4">
        <v>2035</v>
      </c>
      <c r="H57" s="4">
        <v>2050</v>
      </c>
    </row>
    <row r="58" spans="1:13">
      <c r="B58" s="4" t="s">
        <v>42</v>
      </c>
      <c r="C58" s="4" t="s">
        <v>43</v>
      </c>
      <c r="D58" s="4" t="s">
        <v>44</v>
      </c>
      <c r="E58" s="4" t="s">
        <v>42</v>
      </c>
      <c r="F58" s="4" t="s">
        <v>43</v>
      </c>
      <c r="G58" s="4" t="s">
        <v>44</v>
      </c>
      <c r="H58" s="4" t="s">
        <v>42</v>
      </c>
      <c r="I58" s="4" t="s">
        <v>43</v>
      </c>
      <c r="J58" s="4" t="s">
        <v>44</v>
      </c>
    </row>
    <row r="59" spans="1:13">
      <c r="A59" s="4" t="s">
        <v>76</v>
      </c>
      <c r="B59" s="24">
        <v>5.8617929495353511</v>
      </c>
      <c r="C59" s="24">
        <v>7.6454452596185316</v>
      </c>
      <c r="D59" s="24">
        <v>4.0951278043101036</v>
      </c>
      <c r="E59" s="24">
        <v>3.280619755803035</v>
      </c>
      <c r="F59" s="24">
        <v>4.0963321182365986</v>
      </c>
      <c r="G59" s="24">
        <v>2.472676082535505</v>
      </c>
      <c r="H59" s="24">
        <v>2.374200953383784</v>
      </c>
      <c r="I59" s="24">
        <v>2.850006264910129</v>
      </c>
      <c r="J59" s="24">
        <v>1.902927121014834</v>
      </c>
      <c r="K59" s="5" t="s">
        <v>34</v>
      </c>
    </row>
    <row r="60" spans="1:13">
      <c r="A60" s="4" t="s">
        <v>77</v>
      </c>
      <c r="B60" s="30">
        <v>16.473730268422131</v>
      </c>
      <c r="C60" s="30">
        <v>9.2444013600666608</v>
      </c>
      <c r="D60" s="30">
        <v>5.219681928090111</v>
      </c>
      <c r="E60" s="30">
        <v>10.038456141643801</v>
      </c>
      <c r="F60" s="30">
        <v>6.0825401426444579</v>
      </c>
      <c r="G60" s="30">
        <v>5.0015459669161952</v>
      </c>
      <c r="H60" s="30">
        <v>7.4382798776835886</v>
      </c>
      <c r="I60" s="30">
        <v>5.2060576080375416</v>
      </c>
      <c r="J60" s="30">
        <v>4.6413238197144757</v>
      </c>
      <c r="K60" s="5" t="s">
        <v>34</v>
      </c>
    </row>
    <row r="61" spans="1:13">
      <c r="A61" s="4" t="s">
        <v>78</v>
      </c>
      <c r="B61" s="24">
        <v>0.90398361456365539</v>
      </c>
      <c r="C61" s="24">
        <v>0.90398361456365539</v>
      </c>
      <c r="D61" s="24">
        <v>0.90398361456365539</v>
      </c>
      <c r="E61" s="24">
        <v>0.90398361456365539</v>
      </c>
      <c r="F61" s="24">
        <v>0.90398361456365539</v>
      </c>
      <c r="G61" s="24">
        <v>0.90398361456365539</v>
      </c>
      <c r="H61" s="24">
        <v>0.90398361456365539</v>
      </c>
      <c r="I61" s="24">
        <v>0.90398361456365539</v>
      </c>
      <c r="J61" s="24">
        <v>0.90398361456365539</v>
      </c>
      <c r="K61" s="5" t="s">
        <v>34</v>
      </c>
    </row>
    <row r="62" spans="1:13">
      <c r="A62" s="4" t="s">
        <v>79</v>
      </c>
      <c r="B62" s="24">
        <v>0.62215909090909105</v>
      </c>
      <c r="C62" s="24">
        <v>0.62215909090909105</v>
      </c>
      <c r="D62" s="24">
        <v>0.62215909090909105</v>
      </c>
      <c r="E62" s="24">
        <v>0.62215909090909105</v>
      </c>
      <c r="F62" s="24">
        <v>0.62215909090909105</v>
      </c>
      <c r="G62" s="24">
        <v>0.62215909090909105</v>
      </c>
      <c r="H62" s="24">
        <v>0.62215909090909105</v>
      </c>
      <c r="I62" s="24">
        <v>0.62215909090909105</v>
      </c>
      <c r="J62" s="24">
        <v>0.62215909090909105</v>
      </c>
      <c r="K62" s="5" t="s">
        <v>34</v>
      </c>
    </row>
    <row r="63" spans="1:13">
      <c r="A63" s="4" t="s">
        <v>80</v>
      </c>
      <c r="B63" s="31">
        <v>0.13750000000000001</v>
      </c>
      <c r="C63" s="31">
        <v>0.13750000000000001</v>
      </c>
      <c r="D63" s="31">
        <v>0.13750000000000001</v>
      </c>
      <c r="E63" s="31">
        <v>0.13750000000000001</v>
      </c>
      <c r="F63" s="31">
        <v>0.13750000000000001</v>
      </c>
      <c r="G63" s="31">
        <v>0.13750000000000001</v>
      </c>
      <c r="H63" s="31">
        <v>0.13750000000000001</v>
      </c>
      <c r="I63" s="31">
        <v>0.13750000000000001</v>
      </c>
      <c r="J63" s="31">
        <v>0.32500000000000001</v>
      </c>
      <c r="K63" s="5" t="s">
        <v>34</v>
      </c>
    </row>
    <row r="64" spans="1:13">
      <c r="A64" s="4" t="s">
        <v>66</v>
      </c>
      <c r="B64" s="24">
        <v>0.32500000000000001</v>
      </c>
      <c r="C64" s="24">
        <v>0.32500000000000001</v>
      </c>
      <c r="D64" s="24">
        <v>0.32500000000000001</v>
      </c>
      <c r="E64" s="24">
        <v>0.32500000000000001</v>
      </c>
      <c r="F64" s="24">
        <v>0.32500000000000001</v>
      </c>
      <c r="G64" s="24">
        <v>0.32500000000000001</v>
      </c>
      <c r="H64" s="24">
        <v>0.32500000000000001</v>
      </c>
      <c r="I64" s="24">
        <v>0.32500000000000001</v>
      </c>
      <c r="J64" s="24">
        <v>0.32500000000000001</v>
      </c>
      <c r="K64" s="5" t="s">
        <v>34</v>
      </c>
    </row>
    <row r="65" spans="1:15">
      <c r="A65" s="4" t="s">
        <v>68</v>
      </c>
      <c r="B65" s="24">
        <v>6.25E-2</v>
      </c>
      <c r="C65" s="24">
        <v>6.25E-2</v>
      </c>
      <c r="D65" s="24">
        <v>6.25E-2</v>
      </c>
      <c r="E65" s="24">
        <v>4.6249999999999999E-2</v>
      </c>
      <c r="F65" s="24">
        <v>4.6249999999999999E-2</v>
      </c>
      <c r="G65" s="24">
        <v>4.6249999999999999E-2</v>
      </c>
      <c r="H65" s="24">
        <v>3.7500000000000012E-2</v>
      </c>
      <c r="I65" s="24">
        <v>3.7500000000000012E-2</v>
      </c>
      <c r="J65" s="24">
        <v>3.7500000000000012E-2</v>
      </c>
      <c r="K65" s="5" t="s">
        <v>34</v>
      </c>
    </row>
    <row r="66" spans="1:15">
      <c r="B66" s="24"/>
      <c r="C66" s="24"/>
      <c r="D66" s="24"/>
      <c r="E66" s="24"/>
      <c r="F66" s="24"/>
      <c r="G66" s="24"/>
      <c r="H66" s="24"/>
      <c r="I66" s="24"/>
      <c r="J66" s="24"/>
    </row>
    <row r="67" spans="1:15">
      <c r="A67" s="4" t="s">
        <v>55</v>
      </c>
      <c r="B67" s="24">
        <v>5.6659075606240137</v>
      </c>
      <c r="C67" s="24">
        <v>5.0426319474602757</v>
      </c>
      <c r="D67" s="24">
        <v>2.5630029827720571</v>
      </c>
      <c r="E67" s="24">
        <v>4.1720266536910753</v>
      </c>
      <c r="F67" s="24">
        <v>4.0487697184671934</v>
      </c>
      <c r="G67" s="24">
        <v>1.903172000146393</v>
      </c>
      <c r="H67" s="24">
        <v>3.38089033274135</v>
      </c>
      <c r="I67" s="24">
        <v>3.1185862026069131</v>
      </c>
      <c r="J67" s="24">
        <v>1.5609356413386131</v>
      </c>
      <c r="K67" s="5" t="s">
        <v>34</v>
      </c>
    </row>
    <row r="68" spans="1:15">
      <c r="A68" s="4" t="s">
        <v>56</v>
      </c>
      <c r="B68" s="24">
        <v>6.9639173828462404</v>
      </c>
      <c r="C68" s="24">
        <v>6.5885295003601394</v>
      </c>
      <c r="D68" s="24">
        <v>3.7578634323149021</v>
      </c>
      <c r="E68" s="24">
        <v>5.3391656718694662</v>
      </c>
      <c r="F68" s="24">
        <v>5.6464272453717861</v>
      </c>
      <c r="G68" s="24">
        <v>2.8706322015582511</v>
      </c>
      <c r="H68" s="24">
        <v>4.2165748192042489</v>
      </c>
      <c r="I68" s="24">
        <v>4.1464734000897314</v>
      </c>
      <c r="J68" s="24">
        <v>2.268551520702585</v>
      </c>
      <c r="K68" s="5" t="s">
        <v>34</v>
      </c>
    </row>
    <row r="69" spans="1:15">
      <c r="B69" s="20"/>
      <c r="C69" s="20"/>
      <c r="D69" s="20"/>
      <c r="E69" s="20"/>
      <c r="F69" s="20"/>
      <c r="G69" s="20"/>
      <c r="H69" s="20"/>
      <c r="I69" s="20"/>
      <c r="J69" s="20"/>
    </row>
    <row r="70" spans="1:15">
      <c r="A70" s="4" t="s">
        <v>81</v>
      </c>
      <c r="B70" s="20">
        <f t="shared" ref="B70:J70" si="13">SUM(B59:B65)</f>
        <v>24.386665923430225</v>
      </c>
      <c r="C70" s="20">
        <f t="shared" si="13"/>
        <v>18.94098932515794</v>
      </c>
      <c r="D70" s="20">
        <f t="shared" si="13"/>
        <v>11.365952437872959</v>
      </c>
      <c r="E70" s="20">
        <f t="shared" si="13"/>
        <v>15.353968602919583</v>
      </c>
      <c r="F70" s="20">
        <f t="shared" si="13"/>
        <v>12.213764966353803</v>
      </c>
      <c r="G70" s="20">
        <f t="shared" si="13"/>
        <v>9.5091147549244468</v>
      </c>
      <c r="H70" s="20">
        <f t="shared" si="13"/>
        <v>11.838623536540117</v>
      </c>
      <c r="I70" s="20">
        <f t="shared" si="13"/>
        <v>10.082206578420417</v>
      </c>
      <c r="J70" s="20">
        <f t="shared" si="13"/>
        <v>8.7578936462020547</v>
      </c>
      <c r="K70" s="5" t="s">
        <v>34</v>
      </c>
    </row>
    <row r="71" spans="1:15">
      <c r="B71" s="20"/>
      <c r="C71" s="20"/>
      <c r="D71" s="20"/>
      <c r="E71" s="20"/>
      <c r="F71" s="20"/>
      <c r="G71" s="20"/>
      <c r="H71" s="20"/>
      <c r="I71" s="20"/>
      <c r="J71" s="20"/>
      <c r="N71" s="4" t="s">
        <v>82</v>
      </c>
    </row>
    <row r="72" spans="1:15">
      <c r="A72" s="4" t="s">
        <v>70</v>
      </c>
      <c r="B72" s="32">
        <f t="shared" ref="B72:J72" si="14">(B60+B63)/B19</f>
        <v>1.7726144389826792</v>
      </c>
      <c r="C72" s="32">
        <f t="shared" si="14"/>
        <v>1.7840889549178731</v>
      </c>
      <c r="D72" s="32">
        <f t="shared" si="14"/>
        <v>1.8042503189636048</v>
      </c>
      <c r="E72" s="32">
        <f t="shared" si="14"/>
        <v>1.7075481574765345</v>
      </c>
      <c r="F72" s="32">
        <f t="shared" si="14"/>
        <v>1.7225540734327254</v>
      </c>
      <c r="G72" s="32">
        <f t="shared" si="14"/>
        <v>1.7307841042991754</v>
      </c>
      <c r="H72" s="32">
        <f t="shared" si="14"/>
        <v>1.5920514448484591</v>
      </c>
      <c r="I72" s="32">
        <f t="shared" si="14"/>
        <v>1.6044411483995391</v>
      </c>
      <c r="J72" s="32">
        <f t="shared" si="14"/>
        <v>1.6726128505758804</v>
      </c>
      <c r="K72" s="5" t="s">
        <v>71</v>
      </c>
      <c r="M72" s="4" t="s">
        <v>10</v>
      </c>
      <c r="N72" s="4">
        <v>738</v>
      </c>
      <c r="O72" s="4" t="s">
        <v>83</v>
      </c>
    </row>
    <row r="73" spans="1:15">
      <c r="B73" s="20"/>
      <c r="C73" s="20"/>
      <c r="D73" s="20"/>
      <c r="E73" s="20"/>
      <c r="F73" s="20"/>
      <c r="G73" s="20"/>
      <c r="H73" s="20"/>
      <c r="I73" s="20"/>
      <c r="J73" s="20"/>
      <c r="N73" s="4">
        <v>5.28</v>
      </c>
      <c r="O73" s="4" t="s">
        <v>84</v>
      </c>
    </row>
    <row r="74" spans="1:15">
      <c r="A74" s="4" t="s">
        <v>58</v>
      </c>
      <c r="B74" s="33">
        <v>30</v>
      </c>
      <c r="C74" s="33">
        <v>30</v>
      </c>
      <c r="D74" s="33">
        <v>30</v>
      </c>
      <c r="E74" s="33">
        <v>30</v>
      </c>
      <c r="F74" s="33">
        <v>30</v>
      </c>
      <c r="G74" s="33">
        <v>30</v>
      </c>
      <c r="H74" s="33">
        <v>30</v>
      </c>
      <c r="I74" s="33">
        <v>30</v>
      </c>
      <c r="J74" s="33">
        <v>30</v>
      </c>
      <c r="K74" s="5" t="s">
        <v>59</v>
      </c>
      <c r="M74" s="4" t="s">
        <v>7</v>
      </c>
      <c r="N74" s="4">
        <f>N73/1000</f>
        <v>5.28E-3</v>
      </c>
      <c r="O74" s="4" t="s">
        <v>85</v>
      </c>
    </row>
    <row r="75" spans="1:15">
      <c r="A75" s="4" t="s">
        <v>52</v>
      </c>
      <c r="B75" s="34">
        <f t="shared" ref="B75:J75" si="15">(B$1*(1+B$1)^B74)/((1+B$1)^B74-1)</f>
        <v>7.2648911490047194E-2</v>
      </c>
      <c r="C75" s="34">
        <f t="shared" si="15"/>
        <v>7.2648911490047194E-2</v>
      </c>
      <c r="D75" s="34">
        <f t="shared" si="15"/>
        <v>7.2648911490047194E-2</v>
      </c>
      <c r="E75" s="34">
        <f t="shared" si="15"/>
        <v>7.2648911490047194E-2</v>
      </c>
      <c r="F75" s="34">
        <f t="shared" si="15"/>
        <v>7.2648911490047194E-2</v>
      </c>
      <c r="G75" s="34">
        <f t="shared" si="15"/>
        <v>7.2648911490047194E-2</v>
      </c>
      <c r="H75" s="34">
        <f t="shared" si="15"/>
        <v>7.2648911490047194E-2</v>
      </c>
      <c r="I75" s="34">
        <f t="shared" si="15"/>
        <v>7.2648911490047194E-2</v>
      </c>
      <c r="J75" s="34">
        <f t="shared" si="15"/>
        <v>7.2648911490047194E-2</v>
      </c>
      <c r="K75" s="5" t="s">
        <v>31</v>
      </c>
      <c r="M75" s="4" t="s">
        <v>7</v>
      </c>
      <c r="N75" s="4">
        <v>0.99</v>
      </c>
      <c r="O75" s="4" t="s">
        <v>86</v>
      </c>
    </row>
    <row r="76" spans="1:15">
      <c r="B76" s="34"/>
      <c r="C76" s="34"/>
      <c r="D76" s="34"/>
      <c r="E76" s="34"/>
      <c r="F76" s="34"/>
      <c r="G76" s="34"/>
      <c r="H76" s="34"/>
      <c r="I76" s="34"/>
      <c r="J76" s="34"/>
      <c r="N76" s="28">
        <f>N72/N74*0.99</f>
        <v>138375</v>
      </c>
      <c r="O76" s="4" t="s">
        <v>71</v>
      </c>
    </row>
    <row r="77" spans="1:15">
      <c r="A77" s="4" t="s">
        <v>60</v>
      </c>
      <c r="B77" s="29">
        <f t="shared" ref="B77:J77" si="16">(B$2*(1+B$2)^B74)/((1+B$2)^B74-1)</f>
        <v>7.2648911490047194E-2</v>
      </c>
      <c r="C77" s="29">
        <f t="shared" si="16"/>
        <v>7.2648911490047194E-2</v>
      </c>
      <c r="D77" s="29">
        <f t="shared" si="16"/>
        <v>7.2648911490047194E-2</v>
      </c>
      <c r="E77" s="29">
        <f t="shared" si="16"/>
        <v>7.2648911490047194E-2</v>
      </c>
      <c r="F77" s="29">
        <f t="shared" si="16"/>
        <v>7.2648911490047194E-2</v>
      </c>
      <c r="G77" s="29">
        <f t="shared" si="16"/>
        <v>7.2648911490047194E-2</v>
      </c>
      <c r="H77" s="29">
        <f t="shared" si="16"/>
        <v>7.2648911490047194E-2</v>
      </c>
      <c r="I77" s="29">
        <f t="shared" si="16"/>
        <v>7.2648911490047194E-2</v>
      </c>
      <c r="J77" s="29">
        <f t="shared" si="16"/>
        <v>7.2648911490047194E-2</v>
      </c>
      <c r="K77" s="5" t="s">
        <v>31</v>
      </c>
      <c r="M77" s="4" t="s">
        <v>7</v>
      </c>
    </row>
    <row r="78" spans="1:15">
      <c r="A78" s="4" t="s">
        <v>72</v>
      </c>
      <c r="B78" s="29">
        <f t="shared" ref="B78:J78" si="17">B72*B3</f>
        <v>10.210259168540231</v>
      </c>
      <c r="C78" s="29">
        <f t="shared" si="17"/>
        <v>10.27635238032695</v>
      </c>
      <c r="D78" s="29">
        <f t="shared" si="17"/>
        <v>10.392481837230363</v>
      </c>
      <c r="E78" s="29">
        <f t="shared" si="17"/>
        <v>10.1759561416438</v>
      </c>
      <c r="F78" s="29">
        <f t="shared" si="17"/>
        <v>6.220040142644458</v>
      </c>
      <c r="G78" s="29">
        <f t="shared" si="17"/>
        <v>5.1390459669161963</v>
      </c>
      <c r="H78" s="29">
        <f t="shared" si="17"/>
        <v>1.5761309303999744</v>
      </c>
      <c r="I78" s="29">
        <f t="shared" si="17"/>
        <v>1.5883967369155436</v>
      </c>
      <c r="J78" s="29">
        <f t="shared" si="17"/>
        <v>1.6558867220701217</v>
      </c>
      <c r="K78" s="5" t="s">
        <v>34</v>
      </c>
      <c r="M78" s="4" t="s">
        <v>10</v>
      </c>
    </row>
    <row r="79" spans="1:15">
      <c r="A79" s="4" t="s">
        <v>73</v>
      </c>
      <c r="B79" s="29">
        <f t="shared" ref="B79:J79" si="18">B61/B75*B77</f>
        <v>0.90398361456365539</v>
      </c>
      <c r="C79" s="29">
        <f t="shared" si="18"/>
        <v>0.90398361456365539</v>
      </c>
      <c r="D79" s="29">
        <f t="shared" si="18"/>
        <v>0.90398361456365539</v>
      </c>
      <c r="E79" s="29">
        <f t="shared" si="18"/>
        <v>0.90398361456365539</v>
      </c>
      <c r="F79" s="29">
        <f t="shared" si="18"/>
        <v>0.90398361456365539</v>
      </c>
      <c r="G79" s="29">
        <f t="shared" si="18"/>
        <v>0.90398361456365539</v>
      </c>
      <c r="H79" s="29">
        <f t="shared" si="18"/>
        <v>0.90398361456365539</v>
      </c>
      <c r="I79" s="29">
        <f t="shared" si="18"/>
        <v>0.90398361456365539</v>
      </c>
      <c r="J79" s="29">
        <f t="shared" si="18"/>
        <v>0.90398361456365539</v>
      </c>
      <c r="K79" s="5" t="s">
        <v>34</v>
      </c>
      <c r="M79" s="4" t="s">
        <v>7</v>
      </c>
    </row>
    <row r="80" spans="1:15">
      <c r="A80" s="4" t="s">
        <v>87</v>
      </c>
      <c r="B80" s="29">
        <f t="shared" ref="B80:J80" si="19">B70-B60-B63+B79-B61+B78</f>
        <v>17.985694823548329</v>
      </c>
      <c r="C80" s="29">
        <f t="shared" si="19"/>
        <v>19.835440345418228</v>
      </c>
      <c r="D80" s="29">
        <f t="shared" si="19"/>
        <v>16.401252347013212</v>
      </c>
      <c r="E80" s="29">
        <f t="shared" si="19"/>
        <v>15.353968602919583</v>
      </c>
      <c r="F80" s="29">
        <f t="shared" si="19"/>
        <v>12.213764966353803</v>
      </c>
      <c r="G80" s="29">
        <f t="shared" si="19"/>
        <v>9.5091147549244468</v>
      </c>
      <c r="H80" s="29">
        <f t="shared" si="19"/>
        <v>5.8389745892565035</v>
      </c>
      <c r="I80" s="29">
        <f t="shared" si="19"/>
        <v>6.327045707298419</v>
      </c>
      <c r="J80" s="29">
        <f t="shared" si="19"/>
        <v>5.4474565485577005</v>
      </c>
      <c r="K80" s="5" t="s">
        <v>34</v>
      </c>
      <c r="M80" s="4" t="s">
        <v>7</v>
      </c>
    </row>
    <row r="82" spans="1:11">
      <c r="A82" s="12" t="s">
        <v>88</v>
      </c>
    </row>
    <row r="84" spans="1:11">
      <c r="B84" s="4">
        <v>2020</v>
      </c>
      <c r="E84" s="4">
        <v>2035</v>
      </c>
      <c r="H84" s="4">
        <v>2050</v>
      </c>
    </row>
    <row r="85" spans="1:11">
      <c r="B85" s="4" t="s">
        <v>42</v>
      </c>
      <c r="C85" s="4" t="s">
        <v>43</v>
      </c>
      <c r="D85" s="4" t="s">
        <v>44</v>
      </c>
      <c r="E85" s="4" t="s">
        <v>42</v>
      </c>
      <c r="F85" s="4" t="s">
        <v>43</v>
      </c>
      <c r="G85" s="4" t="s">
        <v>44</v>
      </c>
      <c r="H85" s="4" t="s">
        <v>42</v>
      </c>
      <c r="I85" s="4" t="s">
        <v>43</v>
      </c>
      <c r="J85" s="4" t="s">
        <v>44</v>
      </c>
    </row>
    <row r="86" spans="1:11">
      <c r="A86" s="4" t="s">
        <v>76</v>
      </c>
      <c r="B86" s="24">
        <v>6.4923365442076388</v>
      </c>
      <c r="C86" s="24">
        <v>8.4678534508277075</v>
      </c>
      <c r="D86" s="24">
        <v>4.5356340843172829</v>
      </c>
      <c r="E86" s="24">
        <v>3.633510721312307</v>
      </c>
      <c r="F86" s="24">
        <v>4.5369679443466282</v>
      </c>
      <c r="G86" s="24">
        <v>2.7386578527830738</v>
      </c>
      <c r="H86" s="24">
        <v>2.6295899131285418</v>
      </c>
      <c r="I86" s="24">
        <v>3.156576833093951</v>
      </c>
      <c r="J86" s="24">
        <v>2.1076219162104222</v>
      </c>
      <c r="K86" s="5" t="s">
        <v>34</v>
      </c>
    </row>
    <row r="87" spans="1:11">
      <c r="A87" s="4" t="s">
        <v>77</v>
      </c>
      <c r="B87" s="24">
        <v>18.245782811140469</v>
      </c>
      <c r="C87" s="24">
        <v>10.238806675019291</v>
      </c>
      <c r="D87" s="24">
        <v>5.7811546778645297</v>
      </c>
      <c r="E87" s="24">
        <v>11.11827664622405</v>
      </c>
      <c r="F87" s="24">
        <v>6.7368291561425453</v>
      </c>
      <c r="G87" s="24">
        <v>5.5395541838642206</v>
      </c>
      <c r="H87" s="24">
        <v>8.2384036235461799</v>
      </c>
      <c r="I87" s="24">
        <v>5.7660648117213924</v>
      </c>
      <c r="J87" s="24">
        <v>5.1405835224224772</v>
      </c>
      <c r="K87" s="5" t="s">
        <v>34</v>
      </c>
    </row>
    <row r="88" spans="1:11">
      <c r="A88" s="4" t="s">
        <v>78</v>
      </c>
      <c r="B88" s="24">
        <v>0.78226718212273949</v>
      </c>
      <c r="C88" s="24">
        <v>0.78226718212273949</v>
      </c>
      <c r="D88" s="24">
        <v>0.78226718212273949</v>
      </c>
      <c r="E88" s="24">
        <v>0.51336283826804774</v>
      </c>
      <c r="F88" s="24">
        <v>0.51336283826804774</v>
      </c>
      <c r="G88" s="24">
        <v>0.51336283826804774</v>
      </c>
      <c r="H88" s="24">
        <v>0.39113359106136969</v>
      </c>
      <c r="I88" s="24">
        <v>0.39113359106136969</v>
      </c>
      <c r="J88" s="24">
        <v>0.39113359106136969</v>
      </c>
      <c r="K88" s="5" t="s">
        <v>34</v>
      </c>
    </row>
    <row r="89" spans="1:11">
      <c r="A89" s="4" t="s">
        <v>79</v>
      </c>
      <c r="B89" s="24">
        <v>0.35</v>
      </c>
      <c r="C89" s="24">
        <v>0.35</v>
      </c>
      <c r="D89" s="24">
        <v>0.35</v>
      </c>
      <c r="E89" s="24">
        <v>0.22968749999999999</v>
      </c>
      <c r="F89" s="24">
        <v>0.22968749999999999</v>
      </c>
      <c r="G89" s="24">
        <v>0.22968749999999999</v>
      </c>
      <c r="H89" s="24">
        <v>0.17499999999999999</v>
      </c>
      <c r="I89" s="24">
        <v>0.17499999999999999</v>
      </c>
      <c r="J89" s="24">
        <v>0.17499999999999999</v>
      </c>
      <c r="K89" s="5" t="s">
        <v>34</v>
      </c>
    </row>
    <row r="90" spans="1:11">
      <c r="A90" s="4" t="s">
        <v>80</v>
      </c>
      <c r="B90" s="24">
        <v>0.12375</v>
      </c>
      <c r="C90" s="24">
        <v>0.12375</v>
      </c>
      <c r="D90" s="24">
        <v>0.12375</v>
      </c>
      <c r="E90" s="24">
        <v>0.12375</v>
      </c>
      <c r="F90" s="24">
        <v>0.12375</v>
      </c>
      <c r="G90" s="24">
        <v>0.12375</v>
      </c>
      <c r="H90" s="24">
        <v>0.12375</v>
      </c>
      <c r="I90" s="24">
        <v>0.12375</v>
      </c>
      <c r="J90" s="24">
        <v>0.12375</v>
      </c>
      <c r="K90" s="5" t="s">
        <v>34</v>
      </c>
    </row>
    <row r="91" spans="1:11">
      <c r="A91" s="4" t="s">
        <v>89</v>
      </c>
      <c r="B91" s="24">
        <v>15.686</v>
      </c>
      <c r="C91" s="24">
        <v>15.686</v>
      </c>
      <c r="D91" s="24">
        <v>15.686</v>
      </c>
      <c r="E91" s="24">
        <v>4.6035000000000004</v>
      </c>
      <c r="F91" s="24">
        <v>4.6035000000000004</v>
      </c>
      <c r="G91" s="24">
        <v>4.6035000000000004</v>
      </c>
      <c r="H91" s="24">
        <v>2.7280000000000002</v>
      </c>
      <c r="I91" s="24">
        <v>2.7280000000000002</v>
      </c>
      <c r="J91" s="24">
        <v>2.7280000000000002</v>
      </c>
      <c r="K91" s="5" t="s">
        <v>34</v>
      </c>
    </row>
    <row r="92" spans="1:11">
      <c r="A92" s="4" t="s">
        <v>90</v>
      </c>
      <c r="B92" s="24">
        <v>0.04</v>
      </c>
      <c r="C92" s="24">
        <v>0.04</v>
      </c>
      <c r="D92" s="24">
        <v>0.04</v>
      </c>
      <c r="E92" s="24">
        <v>0.04</v>
      </c>
      <c r="F92" s="24">
        <v>0.04</v>
      </c>
      <c r="G92" s="24">
        <v>0.04</v>
      </c>
      <c r="H92" s="24">
        <v>0.04</v>
      </c>
      <c r="I92" s="24">
        <v>0.04</v>
      </c>
      <c r="J92" s="24">
        <v>0.04</v>
      </c>
      <c r="K92" s="5" t="s">
        <v>34</v>
      </c>
    </row>
    <row r="93" spans="1:11">
      <c r="A93" s="4" t="s">
        <v>68</v>
      </c>
      <c r="B93" s="24">
        <v>3.7500000000000012E-2</v>
      </c>
      <c r="C93" s="24">
        <v>3.7500000000000012E-2</v>
      </c>
      <c r="D93" s="24">
        <v>3.7500000000000012E-2</v>
      </c>
      <c r="E93" s="24">
        <v>2.1250000000000002E-2</v>
      </c>
      <c r="F93" s="24">
        <v>2.1250000000000002E-2</v>
      </c>
      <c r="G93" s="24">
        <v>2.1250000000000002E-2</v>
      </c>
      <c r="H93" s="24">
        <v>1.2500000000000001E-2</v>
      </c>
      <c r="I93" s="24">
        <v>1.2500000000000001E-2</v>
      </c>
      <c r="J93" s="24">
        <v>1.2500000000000001E-2</v>
      </c>
      <c r="K93" s="5" t="s">
        <v>34</v>
      </c>
    </row>
    <row r="94" spans="1:11">
      <c r="B94" s="24"/>
      <c r="C94" s="24"/>
      <c r="D94" s="24"/>
      <c r="E94" s="24"/>
      <c r="F94" s="24"/>
      <c r="G94" s="24"/>
      <c r="H94" s="24"/>
      <c r="I94" s="24"/>
      <c r="J94" s="24"/>
    </row>
    <row r="95" spans="1:11">
      <c r="A95" s="4" t="s">
        <v>55</v>
      </c>
      <c r="B95" s="24">
        <v>9.4671086031460874</v>
      </c>
      <c r="C95" s="24">
        <v>8.7767882395144916</v>
      </c>
      <c r="D95" s="24">
        <v>6.0304295942816921</v>
      </c>
      <c r="E95" s="24">
        <v>6.1403499917887654</v>
      </c>
      <c r="F95" s="24">
        <v>6.0038345072313506</v>
      </c>
      <c r="G95" s="24">
        <v>3.627438309728872</v>
      </c>
      <c r="H95" s="24">
        <v>4.8195290658634216</v>
      </c>
      <c r="I95" s="24">
        <v>4.5290093043451671</v>
      </c>
      <c r="J95" s="24">
        <v>2.8038047894314619</v>
      </c>
      <c r="K95" s="5" t="s">
        <v>34</v>
      </c>
    </row>
    <row r="96" spans="1:11">
      <c r="A96" s="4" t="s">
        <v>56</v>
      </c>
      <c r="B96" s="24">
        <v>10.904743244305131</v>
      </c>
      <c r="C96" s="24">
        <v>10.48897549394294</v>
      </c>
      <c r="D96" s="24">
        <v>7.3538192514360574</v>
      </c>
      <c r="E96" s="24">
        <v>7.6241063549890242</v>
      </c>
      <c r="F96" s="24">
        <v>7.9644195594050844</v>
      </c>
      <c r="G96" s="24">
        <v>4.8900367285325643</v>
      </c>
      <c r="H96" s="24">
        <v>6.0281735775637886</v>
      </c>
      <c r="I96" s="24">
        <v>5.9505314620820293</v>
      </c>
      <c r="J96" s="24">
        <v>3.8706045609316431</v>
      </c>
      <c r="K96" s="5" t="s">
        <v>34</v>
      </c>
    </row>
    <row r="98" spans="1:11">
      <c r="A98" s="4" t="s">
        <v>91</v>
      </c>
      <c r="B98" s="20">
        <f t="shared" ref="B98:J98" si="20">SUM(B86:B93)</f>
        <v>41.757636537470852</v>
      </c>
      <c r="C98" s="16">
        <f t="shared" si="20"/>
        <v>35.726177307969742</v>
      </c>
      <c r="D98" s="20">
        <f t="shared" si="20"/>
        <v>27.336305944304549</v>
      </c>
      <c r="E98" s="20">
        <f t="shared" si="20"/>
        <v>20.283337705804403</v>
      </c>
      <c r="F98" s="20">
        <f t="shared" si="20"/>
        <v>16.80534743875722</v>
      </c>
      <c r="G98" s="20">
        <f t="shared" si="20"/>
        <v>13.809762374915342</v>
      </c>
      <c r="H98" s="20">
        <f t="shared" si="20"/>
        <v>14.33837712773609</v>
      </c>
      <c r="I98" s="20">
        <f t="shared" si="20"/>
        <v>12.393025235876712</v>
      </c>
      <c r="J98" s="20">
        <f t="shared" si="20"/>
        <v>10.718589029694268</v>
      </c>
      <c r="K98" s="5" t="s">
        <v>34</v>
      </c>
    </row>
    <row r="100" spans="1:11">
      <c r="A100" s="4" t="s">
        <v>70</v>
      </c>
      <c r="B100" s="20">
        <f t="shared" ref="B100:J100" si="21">(B87+B90)/B19</f>
        <v>1.9602460848606786</v>
      </c>
      <c r="C100" s="20">
        <f t="shared" si="21"/>
        <v>1.9705731492023526</v>
      </c>
      <c r="D100" s="20">
        <f t="shared" si="21"/>
        <v>1.9887183768435117</v>
      </c>
      <c r="E100" s="20">
        <f t="shared" si="21"/>
        <v>1.8864371680518126</v>
      </c>
      <c r="F100" s="20">
        <f t="shared" si="21"/>
        <v>1.899942492412384</v>
      </c>
      <c r="G100" s="20">
        <f t="shared" si="21"/>
        <v>1.9073495201921888</v>
      </c>
      <c r="H100" s="20">
        <f t="shared" si="21"/>
        <v>1.7573080228516513</v>
      </c>
      <c r="I100" s="20">
        <f t="shared" si="21"/>
        <v>1.7684587560476237</v>
      </c>
      <c r="J100" s="20">
        <f t="shared" si="21"/>
        <v>1.7729798174593161</v>
      </c>
      <c r="K100" s="5" t="s">
        <v>71</v>
      </c>
    </row>
    <row r="102" spans="1:11">
      <c r="A102" s="4" t="s">
        <v>58</v>
      </c>
      <c r="B102" s="4">
        <v>25</v>
      </c>
      <c r="C102" s="4">
        <v>25</v>
      </c>
      <c r="D102" s="4">
        <v>25</v>
      </c>
      <c r="E102" s="4">
        <v>25</v>
      </c>
      <c r="F102" s="4">
        <v>25</v>
      </c>
      <c r="G102" s="4">
        <v>25</v>
      </c>
      <c r="H102" s="4">
        <v>25</v>
      </c>
      <c r="I102" s="4">
        <v>25</v>
      </c>
      <c r="J102" s="4">
        <v>25</v>
      </c>
      <c r="K102" s="5" t="s">
        <v>59</v>
      </c>
    </row>
    <row r="103" spans="1:11">
      <c r="A103" s="4" t="s">
        <v>52</v>
      </c>
      <c r="B103" s="34">
        <f t="shared" ref="B103:J103" si="22">(B$1*(1+B$1)^B102)/((1+B$1)^B102-1)</f>
        <v>7.8226718212273949E-2</v>
      </c>
      <c r="C103" s="34">
        <f t="shared" si="22"/>
        <v>7.8226718212273949E-2</v>
      </c>
      <c r="D103" s="34">
        <f t="shared" si="22"/>
        <v>7.8226718212273949E-2</v>
      </c>
      <c r="E103" s="34">
        <f t="shared" si="22"/>
        <v>7.8226718212273949E-2</v>
      </c>
      <c r="F103" s="34">
        <f t="shared" si="22"/>
        <v>7.8226718212273949E-2</v>
      </c>
      <c r="G103" s="34">
        <f t="shared" si="22"/>
        <v>7.8226718212273949E-2</v>
      </c>
      <c r="H103" s="34">
        <f t="shared" si="22"/>
        <v>7.8226718212273949E-2</v>
      </c>
      <c r="I103" s="34">
        <f t="shared" si="22"/>
        <v>7.8226718212273949E-2</v>
      </c>
      <c r="J103" s="34">
        <f t="shared" si="22"/>
        <v>7.8226718212273949E-2</v>
      </c>
      <c r="K103" s="5" t="s">
        <v>31</v>
      </c>
    </row>
    <row r="105" spans="1:11">
      <c r="A105" s="4" t="s">
        <v>60</v>
      </c>
      <c r="B105" s="29">
        <f t="shared" ref="B105:J105" si="23">(B$2*(1+B$2)^B102)/((1+B$2)^B102-1)</f>
        <v>7.8226718212273949E-2</v>
      </c>
      <c r="C105" s="29">
        <f t="shared" si="23"/>
        <v>7.8226718212273949E-2</v>
      </c>
      <c r="D105" s="29">
        <f t="shared" si="23"/>
        <v>7.8226718212273949E-2</v>
      </c>
      <c r="E105" s="29">
        <f t="shared" si="23"/>
        <v>7.8226718212273949E-2</v>
      </c>
      <c r="F105" s="29">
        <f t="shared" si="23"/>
        <v>7.8226718212273949E-2</v>
      </c>
      <c r="G105" s="29">
        <f t="shared" si="23"/>
        <v>7.8226718212273949E-2</v>
      </c>
      <c r="H105" s="29">
        <f t="shared" si="23"/>
        <v>7.8226718212273949E-2</v>
      </c>
      <c r="I105" s="29">
        <f t="shared" si="23"/>
        <v>7.8226718212273949E-2</v>
      </c>
      <c r="J105" s="29">
        <f t="shared" si="23"/>
        <v>7.8226718212273949E-2</v>
      </c>
      <c r="K105" s="5" t="s">
        <v>31</v>
      </c>
    </row>
    <row r="106" spans="1:11">
      <c r="A106" s="4" t="s">
        <v>72</v>
      </c>
      <c r="B106" s="29">
        <f t="shared" ref="B106:J106" si="24">B100*B3</f>
        <v>11.291017448797508</v>
      </c>
      <c r="C106" s="29">
        <f t="shared" si="24"/>
        <v>11.35050133940555</v>
      </c>
      <c r="D106" s="29">
        <f t="shared" si="24"/>
        <v>11.455017850618628</v>
      </c>
      <c r="E106" s="29">
        <f t="shared" si="24"/>
        <v>11.242026646224049</v>
      </c>
      <c r="F106" s="29">
        <f t="shared" si="24"/>
        <v>6.8605791561425455</v>
      </c>
      <c r="G106" s="29">
        <f t="shared" si="24"/>
        <v>5.6633041838642217</v>
      </c>
      <c r="H106" s="29">
        <f t="shared" si="24"/>
        <v>1.7397349426231348</v>
      </c>
      <c r="I106" s="29">
        <f t="shared" si="24"/>
        <v>1.7507741684871474</v>
      </c>
      <c r="J106" s="29">
        <f t="shared" si="24"/>
        <v>1.7552500192847229</v>
      </c>
      <c r="K106" s="5" t="s">
        <v>34</v>
      </c>
    </row>
    <row r="107" spans="1:11">
      <c r="A107" s="4" t="s">
        <v>73</v>
      </c>
      <c r="B107" s="29">
        <f t="shared" ref="B107:J107" si="25">B88/B103*B105</f>
        <v>0.78226718212273949</v>
      </c>
      <c r="C107" s="29">
        <f t="shared" si="25"/>
        <v>0.78226718212273949</v>
      </c>
      <c r="D107" s="29">
        <f t="shared" si="25"/>
        <v>0.78226718212273949</v>
      </c>
      <c r="E107" s="29">
        <f t="shared" si="25"/>
        <v>0.51336283826804774</v>
      </c>
      <c r="F107" s="29">
        <f t="shared" si="25"/>
        <v>0.51336283826804774</v>
      </c>
      <c r="G107" s="29">
        <f t="shared" si="25"/>
        <v>0.51336283826804774</v>
      </c>
      <c r="H107" s="29">
        <f t="shared" si="25"/>
        <v>0.39113359106136969</v>
      </c>
      <c r="I107" s="29">
        <f t="shared" si="25"/>
        <v>0.39113359106136969</v>
      </c>
      <c r="J107" s="29">
        <f t="shared" si="25"/>
        <v>0.39113359106136969</v>
      </c>
      <c r="K107" s="5" t="s">
        <v>34</v>
      </c>
    </row>
    <row r="108" spans="1:11">
      <c r="K108" s="4"/>
    </row>
    <row r="109" spans="1:11">
      <c r="A109" s="4" t="s">
        <v>92</v>
      </c>
      <c r="B109" s="29">
        <f t="shared" ref="B109:J109" si="26">B91/B5*B6</f>
        <v>15.686</v>
      </c>
      <c r="C109" s="29">
        <f t="shared" si="26"/>
        <v>15.686</v>
      </c>
      <c r="D109" s="29">
        <f t="shared" si="26"/>
        <v>15.686</v>
      </c>
      <c r="E109" s="29">
        <f t="shared" si="26"/>
        <v>4.6035000000000004</v>
      </c>
      <c r="F109" s="29">
        <f t="shared" si="26"/>
        <v>4.6035000000000004</v>
      </c>
      <c r="G109" s="29">
        <f t="shared" si="26"/>
        <v>4.6035000000000004</v>
      </c>
      <c r="H109" s="29">
        <f t="shared" si="26"/>
        <v>2.7280000000000006</v>
      </c>
      <c r="I109" s="29">
        <f t="shared" si="26"/>
        <v>2.7280000000000006</v>
      </c>
      <c r="J109" s="29">
        <f t="shared" si="26"/>
        <v>2.7280000000000006</v>
      </c>
      <c r="K109" s="5" t="s">
        <v>34</v>
      </c>
    </row>
    <row r="110" spans="1:11">
      <c r="K110" s="4"/>
    </row>
    <row r="111" spans="1:11">
      <c r="A111" s="4" t="s">
        <v>93</v>
      </c>
      <c r="B111" s="29">
        <f t="shared" ref="B111:J111" si="27">B98-B87-B90+B106-B88+B107-B91+B109</f>
        <v>34.679121175127889</v>
      </c>
      <c r="C111" s="29">
        <f t="shared" si="27"/>
        <v>36.714121972355997</v>
      </c>
      <c r="D111" s="29">
        <f t="shared" si="27"/>
        <v>32.886419117058651</v>
      </c>
      <c r="E111" s="29">
        <f t="shared" si="27"/>
        <v>20.283337705804403</v>
      </c>
      <c r="F111" s="29">
        <f t="shared" si="27"/>
        <v>16.805347438757224</v>
      </c>
      <c r="G111" s="29">
        <f t="shared" si="27"/>
        <v>13.809762374915344</v>
      </c>
      <c r="H111" s="29">
        <f t="shared" si="27"/>
        <v>7.7159584468130449</v>
      </c>
      <c r="I111" s="29">
        <f t="shared" si="27"/>
        <v>8.2539845926424675</v>
      </c>
      <c r="J111" s="29">
        <f t="shared" si="27"/>
        <v>7.2095055265565149</v>
      </c>
      <c r="K111" s="5" t="s">
        <v>34</v>
      </c>
    </row>
    <row r="112" spans="1:11">
      <c r="A112" s="4" t="s">
        <v>93</v>
      </c>
      <c r="B112" s="40">
        <f t="shared" ref="B112:J112" si="28">B111/3.6</f>
        <v>9.6330892153133032</v>
      </c>
      <c r="C112" s="40">
        <f t="shared" si="28"/>
        <v>10.198367214543332</v>
      </c>
      <c r="D112" s="40">
        <f t="shared" si="28"/>
        <v>9.135116421405181</v>
      </c>
      <c r="E112" s="40">
        <f t="shared" si="28"/>
        <v>5.6342604738345559</v>
      </c>
      <c r="F112" s="40">
        <f t="shared" si="28"/>
        <v>4.6681520663214506</v>
      </c>
      <c r="G112" s="40">
        <f t="shared" si="28"/>
        <v>3.8360451041431509</v>
      </c>
      <c r="H112" s="40">
        <f t="shared" si="28"/>
        <v>2.1433217907814015</v>
      </c>
      <c r="I112" s="40">
        <f t="shared" si="28"/>
        <v>2.2927734979562411</v>
      </c>
      <c r="J112" s="40">
        <f t="shared" si="28"/>
        <v>2.0026404240434763</v>
      </c>
      <c r="K112" s="5" t="s">
        <v>94</v>
      </c>
    </row>
    <row r="113" spans="1:11">
      <c r="A113" s="4" t="s">
        <v>93</v>
      </c>
      <c r="B113" s="40">
        <f>B112*Inputs!$C$14 / 100</f>
        <v>3.3416801164353238</v>
      </c>
      <c r="C113" s="40">
        <f>C112*Inputs!$C$14 / 100</f>
        <v>3.5377727932562242</v>
      </c>
      <c r="D113" s="40">
        <f>D112*Inputs!$C$14 / 100</f>
        <v>3.1689353461197722</v>
      </c>
      <c r="E113" s="40">
        <f>E112*Inputs!$C$14 / 100</f>
        <v>1.9545024213313125</v>
      </c>
      <c r="F113" s="40">
        <f>F112*Inputs!$C$14 / 100</f>
        <v>1.6193632791986463</v>
      </c>
      <c r="G113" s="40">
        <f>G112*Inputs!$C$14 / 100</f>
        <v>1.3307087024468427</v>
      </c>
      <c r="H113" s="40">
        <f>H112*Inputs!$C$14 / 100</f>
        <v>0.7435097559349052</v>
      </c>
      <c r="I113" s="40">
        <f>I112*Inputs!$C$14 / 100</f>
        <v>0.79535395534702824</v>
      </c>
      <c r="J113" s="40">
        <f>J112*Inputs!$C$14 / 100</f>
        <v>0.69470795253898587</v>
      </c>
      <c r="K113" s="5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3"/>
  <sheetViews>
    <sheetView topLeftCell="A97" workbookViewId="0">
      <selection activeCell="B113" sqref="B113"/>
    </sheetView>
  </sheetViews>
  <sheetFormatPr defaultColWidth="8.75" defaultRowHeight="15.75"/>
  <cols>
    <col min="1" max="1" width="31.5" style="4" bestFit="1" customWidth="1"/>
    <col min="2" max="3" width="14" style="4" bestFit="1" customWidth="1"/>
    <col min="4" max="10" width="8.75" style="4" customWidth="1"/>
    <col min="11" max="11" width="8.75" style="5" customWidth="1"/>
    <col min="12" max="12" width="8.75" style="4" customWidth="1"/>
    <col min="13" max="13" width="9.5" style="4" bestFit="1" customWidth="1"/>
    <col min="14" max="14" width="12.25" style="4" bestFit="1" customWidth="1"/>
    <col min="15" max="15" width="9.5" style="4" bestFit="1" customWidth="1"/>
    <col min="16" max="16" width="8.75" style="4" customWidth="1"/>
    <col min="17" max="16384" width="8.75" style="4"/>
  </cols>
  <sheetData>
    <row r="1" spans="1:16">
      <c r="A1" s="4" t="s">
        <v>30</v>
      </c>
      <c r="B1" s="6">
        <v>0.06</v>
      </c>
      <c r="C1" s="6">
        <v>0.06</v>
      </c>
      <c r="D1" s="6">
        <v>0.06</v>
      </c>
      <c r="E1" s="6">
        <v>0.06</v>
      </c>
      <c r="F1" s="6">
        <v>0.06</v>
      </c>
      <c r="G1" s="6">
        <v>0.06</v>
      </c>
      <c r="H1" s="6">
        <v>0.06</v>
      </c>
      <c r="I1" s="6">
        <v>0.06</v>
      </c>
      <c r="J1" s="6">
        <v>0.06</v>
      </c>
      <c r="K1" s="5" t="s">
        <v>31</v>
      </c>
    </row>
    <row r="2" spans="1:16">
      <c r="A2" s="4" t="s">
        <v>32</v>
      </c>
      <c r="B2" s="7">
        <v>0.06</v>
      </c>
      <c r="C2" s="7">
        <v>0.06</v>
      </c>
      <c r="D2" s="7">
        <v>0.06</v>
      </c>
      <c r="E2" s="7">
        <v>0.06</v>
      </c>
      <c r="F2" s="7">
        <v>0.06</v>
      </c>
      <c r="G2" s="7">
        <v>0.06</v>
      </c>
      <c r="H2" s="7">
        <v>0.06</v>
      </c>
      <c r="I2" s="7">
        <v>0.06</v>
      </c>
      <c r="J2" s="7">
        <v>0.06</v>
      </c>
      <c r="K2" s="5" t="s">
        <v>31</v>
      </c>
    </row>
    <row r="3" spans="1:16">
      <c r="A3" s="4" t="s">
        <v>33</v>
      </c>
      <c r="B3" s="8">
        <f>Inputs!$C$8*Inputs!$C$6 / 10</f>
        <v>5.76</v>
      </c>
      <c r="C3" s="8">
        <f>Inputs!$C$8*Inputs!$C$6 / 10</f>
        <v>5.76</v>
      </c>
      <c r="D3" s="8">
        <f>Inputs!$C$8*Inputs!$C$6 / 10</f>
        <v>5.76</v>
      </c>
      <c r="E3" s="8">
        <v>5.9593962823760886</v>
      </c>
      <c r="F3" s="8">
        <v>3.610940427692404</v>
      </c>
      <c r="G3" s="8">
        <v>2.969201042551223</v>
      </c>
      <c r="H3" s="8">
        <f>Inputs!$C$9*Inputs!$C$6 / 10</f>
        <v>0.99</v>
      </c>
      <c r="I3" s="8">
        <f>Inputs!$C$9*Inputs!$C$6 / 10</f>
        <v>0.99</v>
      </c>
      <c r="J3" s="8">
        <f>Inputs!$C$9*Inputs!$C$6 / 10</f>
        <v>0.99</v>
      </c>
      <c r="K3" s="9" t="s">
        <v>34</v>
      </c>
    </row>
    <row r="4" spans="1:16">
      <c r="B4" s="10">
        <v>11.1</v>
      </c>
      <c r="C4" s="10">
        <v>11.1</v>
      </c>
      <c r="D4" s="10">
        <v>11.1</v>
      </c>
      <c r="E4" s="10">
        <v>7.5</v>
      </c>
      <c r="F4" s="10">
        <v>7.5</v>
      </c>
      <c r="G4" s="10">
        <v>7.5</v>
      </c>
      <c r="H4" s="10">
        <v>3.9</v>
      </c>
      <c r="I4" s="10">
        <v>3.9</v>
      </c>
      <c r="J4" s="10">
        <v>3.9</v>
      </c>
      <c r="L4" s="4" t="s">
        <v>35</v>
      </c>
    </row>
    <row r="5" spans="1:16">
      <c r="A5" s="4" t="s">
        <v>36</v>
      </c>
      <c r="B5" s="11">
        <v>460</v>
      </c>
      <c r="C5" s="11">
        <v>460</v>
      </c>
      <c r="D5" s="11">
        <v>460</v>
      </c>
      <c r="E5" s="11">
        <v>135</v>
      </c>
      <c r="F5" s="11">
        <v>135</v>
      </c>
      <c r="G5" s="11">
        <v>135</v>
      </c>
      <c r="H5" s="11">
        <v>80</v>
      </c>
      <c r="I5" s="11">
        <v>80</v>
      </c>
      <c r="J5" s="11">
        <v>80</v>
      </c>
      <c r="K5" s="5" t="s">
        <v>37</v>
      </c>
    </row>
    <row r="6" spans="1:16">
      <c r="A6" s="4" t="s">
        <v>38</v>
      </c>
      <c r="B6" s="11">
        <f>Inputs!$C$32*Inputs!$C$6</f>
        <v>1153.8</v>
      </c>
      <c r="C6" s="11">
        <f>Inputs!$C$32*Inputs!$C$6</f>
        <v>1153.8</v>
      </c>
      <c r="D6" s="11">
        <f>Inputs!$C$32*Inputs!$C$6</f>
        <v>1153.8</v>
      </c>
      <c r="E6" s="11">
        <v>135</v>
      </c>
      <c r="F6" s="11">
        <v>135</v>
      </c>
      <c r="G6" s="11">
        <v>135</v>
      </c>
      <c r="H6" s="11">
        <f>Inputs!$C$33*Inputs!$C$6</f>
        <v>432</v>
      </c>
      <c r="I6" s="11">
        <f>Inputs!$C$33*Inputs!$C$6</f>
        <v>432</v>
      </c>
      <c r="J6" s="11">
        <f>Inputs!$C$33*Inputs!$C$6</f>
        <v>432</v>
      </c>
      <c r="K6" s="5" t="s">
        <v>37</v>
      </c>
      <c r="L6" s="4" t="s">
        <v>39</v>
      </c>
    </row>
    <row r="7" spans="1:16">
      <c r="B7" s="10">
        <v>731.19866742499551</v>
      </c>
      <c r="C7" s="10">
        <v>731.19866742499551</v>
      </c>
      <c r="D7" s="10">
        <v>731.19866742499551</v>
      </c>
      <c r="E7" s="10">
        <v>449.56809837654231</v>
      </c>
      <c r="F7" s="10">
        <v>449.56809837654231</v>
      </c>
      <c r="G7" s="10">
        <v>449.56809837654231</v>
      </c>
      <c r="H7" s="10">
        <v>298.29331816455169</v>
      </c>
      <c r="I7" s="10">
        <v>298.29331816455169</v>
      </c>
      <c r="J7" s="10">
        <v>298.29331816455169</v>
      </c>
      <c r="L7" s="4" t="s">
        <v>40</v>
      </c>
    </row>
    <row r="8" spans="1:16">
      <c r="A8" s="12" t="s">
        <v>41</v>
      </c>
    </row>
    <row r="10" spans="1:16">
      <c r="B10" s="4">
        <v>2020</v>
      </c>
      <c r="E10" s="4">
        <v>2035</v>
      </c>
      <c r="H10" s="4">
        <v>2050</v>
      </c>
    </row>
    <row r="11" spans="1:16">
      <c r="B11" s="4" t="s">
        <v>42</v>
      </c>
      <c r="C11" s="4" t="s">
        <v>43</v>
      </c>
      <c r="D11" s="4" t="s">
        <v>44</v>
      </c>
      <c r="E11" s="4" t="s">
        <v>42</v>
      </c>
      <c r="F11" s="4" t="s">
        <v>43</v>
      </c>
      <c r="G11" s="4" t="s">
        <v>44</v>
      </c>
      <c r="H11" s="4" t="s">
        <v>42</v>
      </c>
      <c r="I11" s="4" t="s">
        <v>43</v>
      </c>
      <c r="J11" s="4" t="s">
        <v>44</v>
      </c>
      <c r="N11" s="4" t="s">
        <v>45</v>
      </c>
      <c r="O11" s="4" t="s">
        <v>46</v>
      </c>
    </row>
    <row r="12" spans="1:16">
      <c r="A12" s="4" t="s">
        <v>47</v>
      </c>
      <c r="B12" s="13">
        <v>5.6892158699835607</v>
      </c>
      <c r="C12" s="14">
        <v>4.0867761082899099</v>
      </c>
      <c r="D12" s="14">
        <v>2.1299153282655081</v>
      </c>
      <c r="E12" s="14">
        <v>3.5557599187397249</v>
      </c>
      <c r="F12" s="14">
        <v>2.806252927692404</v>
      </c>
      <c r="G12" s="14">
        <v>2.1299153282655081</v>
      </c>
      <c r="H12" s="14">
        <v>2.9335019329602732</v>
      </c>
      <c r="I12" s="14">
        <v>2.588291535250276</v>
      </c>
      <c r="J12" s="14">
        <v>2.1299153282655081</v>
      </c>
      <c r="K12" s="5" t="s">
        <v>34</v>
      </c>
      <c r="M12" s="4" t="s">
        <v>48</v>
      </c>
      <c r="N12" s="4">
        <v>3200</v>
      </c>
      <c r="O12" s="4">
        <v>1500</v>
      </c>
    </row>
    <row r="13" spans="1:16">
      <c r="A13" s="4" t="s">
        <v>49</v>
      </c>
      <c r="B13" s="15">
        <v>2.1818181818181821</v>
      </c>
      <c r="C13" s="15">
        <v>1.171875</v>
      </c>
      <c r="D13" s="15">
        <v>0.8392857142857143</v>
      </c>
      <c r="E13" s="15">
        <v>1.363636363636364</v>
      </c>
      <c r="F13" s="15">
        <v>0.8046875</v>
      </c>
      <c r="G13" s="15">
        <v>0.8392857142857143</v>
      </c>
      <c r="H13" s="15">
        <v>1.125</v>
      </c>
      <c r="I13" s="15">
        <v>0.7421875</v>
      </c>
      <c r="J13" s="15">
        <v>0.8392857142857143</v>
      </c>
      <c r="K13" s="5" t="s">
        <v>34</v>
      </c>
      <c r="M13" s="4" t="s">
        <v>50</v>
      </c>
      <c r="N13" s="4">
        <v>4400</v>
      </c>
      <c r="O13" s="4">
        <v>3200</v>
      </c>
    </row>
    <row r="14" spans="1:16">
      <c r="A14" s="4" t="s">
        <v>51</v>
      </c>
      <c r="B14" s="15">
        <v>1.5</v>
      </c>
      <c r="C14" s="15">
        <v>0</v>
      </c>
      <c r="D14" s="15">
        <v>0</v>
      </c>
      <c r="E14" s="15">
        <v>1.04</v>
      </c>
      <c r="F14" s="15">
        <v>0</v>
      </c>
      <c r="G14" s="15">
        <v>0</v>
      </c>
      <c r="H14" s="15">
        <v>0.7</v>
      </c>
      <c r="I14" s="15">
        <v>0</v>
      </c>
      <c r="J14" s="15">
        <v>0</v>
      </c>
      <c r="K14" s="5" t="s">
        <v>34</v>
      </c>
      <c r="M14" s="4" t="s">
        <v>52</v>
      </c>
      <c r="N14" s="16">
        <f>B23</f>
        <v>7.8226718212273949E-2</v>
      </c>
      <c r="O14" s="16">
        <f>C23</f>
        <v>8.7184556976851402E-2</v>
      </c>
    </row>
    <row r="15" spans="1:16">
      <c r="B15" s="15"/>
      <c r="C15" s="15"/>
      <c r="D15" s="15"/>
      <c r="E15" s="15"/>
      <c r="F15" s="15"/>
      <c r="G15" s="15"/>
      <c r="H15" s="15"/>
      <c r="I15" s="15"/>
      <c r="J15" s="15"/>
      <c r="M15" s="4" t="s">
        <v>53</v>
      </c>
      <c r="N15" s="4">
        <f>N12*N14/N13</f>
        <v>5.6892158699835604E-2</v>
      </c>
      <c r="O15" s="4">
        <f>O12*O14/O13</f>
        <v>4.08677610828991E-2</v>
      </c>
      <c r="P15" s="4" t="s">
        <v>54</v>
      </c>
    </row>
    <row r="16" spans="1:16">
      <c r="A16" s="4" t="s">
        <v>55</v>
      </c>
      <c r="B16" s="15">
        <v>1.3774309590653071</v>
      </c>
      <c r="C16" s="15">
        <v>0.80426428715022169</v>
      </c>
      <c r="D16" s="15">
        <v>0.37115013031890293</v>
      </c>
      <c r="E16" s="15">
        <v>1.323864199546098</v>
      </c>
      <c r="F16" s="15">
        <v>1.185774269516352</v>
      </c>
      <c r="G16" s="15">
        <v>0.37115013031890293</v>
      </c>
      <c r="H16" s="15">
        <v>1.2927080230910499</v>
      </c>
      <c r="I16" s="15">
        <v>1.020796979844512</v>
      </c>
      <c r="J16" s="15">
        <v>0.37115013031890293</v>
      </c>
      <c r="K16" s="5" t="s">
        <v>34</v>
      </c>
      <c r="N16" s="17">
        <f>N15*100</f>
        <v>5.6892158699835607</v>
      </c>
      <c r="O16" s="18">
        <f>O15*100</f>
        <v>4.0867761082899099</v>
      </c>
      <c r="P16" s="4" t="s">
        <v>34</v>
      </c>
    </row>
    <row r="17" spans="1:15">
      <c r="A17" s="4" t="s">
        <v>56</v>
      </c>
      <c r="B17" s="15">
        <v>1.4414975153008991</v>
      </c>
      <c r="C17" s="15">
        <v>0.91149952543691715</v>
      </c>
      <c r="D17" s="15">
        <v>0.49486684042520368</v>
      </c>
      <c r="E17" s="15">
        <v>1.3602702743593409</v>
      </c>
      <c r="F17" s="15">
        <v>1.381272357777483</v>
      </c>
      <c r="G17" s="15">
        <v>0.49486684042520368</v>
      </c>
      <c r="H17" s="15">
        <v>1.3528339776534239</v>
      </c>
      <c r="I17" s="15">
        <v>1.156903243823781</v>
      </c>
      <c r="J17" s="15">
        <v>0.49486684042520368</v>
      </c>
      <c r="K17" s="5" t="s">
        <v>34</v>
      </c>
      <c r="O17" s="19"/>
    </row>
    <row r="18" spans="1:15">
      <c r="B18" s="20"/>
      <c r="C18" s="20"/>
      <c r="D18" s="20"/>
      <c r="E18" s="20"/>
      <c r="F18" s="20"/>
      <c r="G18" s="20"/>
      <c r="H18" s="20"/>
      <c r="I18" s="20"/>
      <c r="J18" s="20"/>
    </row>
    <row r="19" spans="1:15">
      <c r="A19" s="4" t="s">
        <v>10</v>
      </c>
      <c r="B19" s="16">
        <f t="shared" ref="B19:J19" si="0">SUM(B12:B14)</f>
        <v>9.3710340518017432</v>
      </c>
      <c r="C19" s="16">
        <f t="shared" si="0"/>
        <v>5.2586511082899099</v>
      </c>
      <c r="D19" s="16">
        <f t="shared" si="0"/>
        <v>2.9692010425512225</v>
      </c>
      <c r="E19" s="16">
        <f t="shared" si="0"/>
        <v>5.9593962823760886</v>
      </c>
      <c r="F19" s="16">
        <f t="shared" si="0"/>
        <v>3.610940427692404</v>
      </c>
      <c r="G19" s="16">
        <f t="shared" si="0"/>
        <v>2.9692010425512225</v>
      </c>
      <c r="H19" s="16">
        <f t="shared" si="0"/>
        <v>4.7585019329602734</v>
      </c>
      <c r="I19" s="16">
        <f t="shared" si="0"/>
        <v>3.330479035250276</v>
      </c>
      <c r="J19" s="16">
        <f t="shared" si="0"/>
        <v>2.9692010425512225</v>
      </c>
      <c r="K19" s="5" t="s">
        <v>34</v>
      </c>
    </row>
    <row r="20" spans="1:15">
      <c r="A20" s="4" t="s">
        <v>10</v>
      </c>
      <c r="B20" s="16">
        <f t="shared" ref="B20:J20" si="1">B19*10</f>
        <v>93.710340518017432</v>
      </c>
      <c r="C20" s="16">
        <f t="shared" si="1"/>
        <v>52.586511082899101</v>
      </c>
      <c r="D20" s="16">
        <f t="shared" si="1"/>
        <v>29.692010425512226</v>
      </c>
      <c r="E20" s="16">
        <f t="shared" si="1"/>
        <v>59.59396282376089</v>
      </c>
      <c r="F20" s="16">
        <f t="shared" si="1"/>
        <v>36.109404276924039</v>
      </c>
      <c r="G20" s="16">
        <f t="shared" si="1"/>
        <v>29.692010425512226</v>
      </c>
      <c r="H20" s="16">
        <f t="shared" si="1"/>
        <v>47.58501932960273</v>
      </c>
      <c r="I20" s="16">
        <f t="shared" si="1"/>
        <v>33.304790352502764</v>
      </c>
      <c r="J20" s="16">
        <f t="shared" si="1"/>
        <v>29.692010425512226</v>
      </c>
      <c r="K20" s="5" t="s">
        <v>57</v>
      </c>
    </row>
    <row r="21" spans="1:15">
      <c r="B21" s="16"/>
      <c r="C21" s="16"/>
      <c r="D21" s="16"/>
      <c r="E21" s="16"/>
      <c r="F21" s="16"/>
      <c r="G21" s="16"/>
      <c r="H21" s="16"/>
      <c r="I21" s="16"/>
      <c r="J21" s="16"/>
    </row>
    <row r="22" spans="1:15">
      <c r="A22" s="4" t="s">
        <v>58</v>
      </c>
      <c r="B22" s="21">
        <v>25</v>
      </c>
      <c r="C22" s="21">
        <v>20</v>
      </c>
      <c r="D22" s="21">
        <v>50</v>
      </c>
      <c r="E22" s="21">
        <v>25</v>
      </c>
      <c r="F22" s="21">
        <v>20</v>
      </c>
      <c r="G22" s="21">
        <v>50</v>
      </c>
      <c r="H22" s="21">
        <v>25</v>
      </c>
      <c r="I22" s="21">
        <v>20</v>
      </c>
      <c r="J22" s="21">
        <v>50</v>
      </c>
      <c r="K22" s="5" t="s">
        <v>59</v>
      </c>
      <c r="M22" s="4" t="s">
        <v>7</v>
      </c>
    </row>
    <row r="23" spans="1:15">
      <c r="A23" s="4" t="s">
        <v>52</v>
      </c>
      <c r="B23" s="21">
        <f t="shared" ref="B23:J23" si="2">(B$1*(1+B$1)^B22)/((1+B$1)^B22-1)</f>
        <v>7.8226718212273949E-2</v>
      </c>
      <c r="C23" s="21">
        <f t="shared" si="2"/>
        <v>8.7184556976851402E-2</v>
      </c>
      <c r="D23" s="21">
        <f t="shared" si="2"/>
        <v>6.3444286373866191E-2</v>
      </c>
      <c r="E23" s="21">
        <f t="shared" si="2"/>
        <v>7.8226718212273949E-2</v>
      </c>
      <c r="F23" s="21">
        <f t="shared" si="2"/>
        <v>8.7184556976851402E-2</v>
      </c>
      <c r="G23" s="21">
        <f t="shared" si="2"/>
        <v>6.3444286373866191E-2</v>
      </c>
      <c r="H23" s="21">
        <f t="shared" si="2"/>
        <v>7.8226718212273949E-2</v>
      </c>
      <c r="I23" s="21">
        <f t="shared" si="2"/>
        <v>8.7184556976851402E-2</v>
      </c>
      <c r="J23" s="21">
        <f t="shared" si="2"/>
        <v>6.3444286373866191E-2</v>
      </c>
      <c r="K23" s="5" t="s">
        <v>31</v>
      </c>
      <c r="M23" s="4" t="s">
        <v>7</v>
      </c>
    </row>
    <row r="24" spans="1:15">
      <c r="B24" s="21"/>
      <c r="C24" s="21"/>
      <c r="D24" s="21"/>
      <c r="E24" s="21"/>
      <c r="F24" s="21"/>
      <c r="G24" s="21"/>
      <c r="H24" s="21"/>
      <c r="I24" s="21"/>
      <c r="J24" s="21"/>
    </row>
    <row r="25" spans="1:15">
      <c r="A25" s="4" t="s">
        <v>60</v>
      </c>
      <c r="B25" s="22">
        <f t="shared" ref="B25:J25" si="3">(B$2*(1+B$2)^B22)/((1+B$2)^B22-1)</f>
        <v>7.8226718212273949E-2</v>
      </c>
      <c r="C25" s="22">
        <f t="shared" si="3"/>
        <v>8.7184556976851402E-2</v>
      </c>
      <c r="D25" s="22">
        <f t="shared" si="3"/>
        <v>6.3444286373866191E-2</v>
      </c>
      <c r="E25" s="22">
        <f t="shared" si="3"/>
        <v>7.8226718212273949E-2</v>
      </c>
      <c r="F25" s="22">
        <f t="shared" si="3"/>
        <v>8.7184556976851402E-2</v>
      </c>
      <c r="G25" s="22">
        <f t="shared" si="3"/>
        <v>6.3444286373866191E-2</v>
      </c>
      <c r="H25" s="22">
        <f t="shared" si="3"/>
        <v>7.8226718212273949E-2</v>
      </c>
      <c r="I25" s="22">
        <f t="shared" si="3"/>
        <v>8.7184556976851402E-2</v>
      </c>
      <c r="J25" s="22">
        <f t="shared" si="3"/>
        <v>6.3444286373866191E-2</v>
      </c>
      <c r="K25" s="5" t="s">
        <v>31</v>
      </c>
      <c r="M25" s="4" t="s">
        <v>7</v>
      </c>
    </row>
    <row r="26" spans="1:15">
      <c r="A26" s="4" t="s">
        <v>61</v>
      </c>
      <c r="B26" s="23">
        <f t="shared" ref="B26:J26" si="4">B12/B23*B25</f>
        <v>5.6892158699835607</v>
      </c>
      <c r="C26" s="23">
        <f t="shared" si="4"/>
        <v>4.0867761082899099</v>
      </c>
      <c r="D26" s="23">
        <f t="shared" si="4"/>
        <v>2.1299153282655081</v>
      </c>
      <c r="E26" s="23">
        <f t="shared" si="4"/>
        <v>3.5557599187397249</v>
      </c>
      <c r="F26" s="23">
        <f t="shared" si="4"/>
        <v>2.806252927692404</v>
      </c>
      <c r="G26" s="23">
        <f t="shared" si="4"/>
        <v>2.1299153282655081</v>
      </c>
      <c r="H26" s="23">
        <f t="shared" si="4"/>
        <v>2.9335019329602732</v>
      </c>
      <c r="I26" s="23">
        <f t="shared" si="4"/>
        <v>2.588291535250276</v>
      </c>
      <c r="J26" s="23">
        <f t="shared" si="4"/>
        <v>2.1299153282655081</v>
      </c>
      <c r="K26" s="5" t="s">
        <v>34</v>
      </c>
      <c r="M26" s="4" t="s">
        <v>7</v>
      </c>
    </row>
    <row r="27" spans="1:15">
      <c r="A27" s="4" t="s">
        <v>33</v>
      </c>
      <c r="B27" s="22">
        <f t="shared" ref="B27:J27" si="5">B19-B12+B26</f>
        <v>9.3710340518017432</v>
      </c>
      <c r="C27" s="22">
        <f t="shared" si="5"/>
        <v>5.2586511082899099</v>
      </c>
      <c r="D27" s="22">
        <f t="shared" si="5"/>
        <v>2.9692010425512225</v>
      </c>
      <c r="E27" s="22">
        <f t="shared" si="5"/>
        <v>5.9593962823760886</v>
      </c>
      <c r="F27" s="22">
        <f t="shared" si="5"/>
        <v>3.610940427692404</v>
      </c>
      <c r="G27" s="22">
        <f t="shared" si="5"/>
        <v>2.9692010425512225</v>
      </c>
      <c r="H27" s="22">
        <f t="shared" si="5"/>
        <v>4.7585019329602734</v>
      </c>
      <c r="I27" s="22">
        <f t="shared" si="5"/>
        <v>3.330479035250276</v>
      </c>
      <c r="J27" s="22">
        <f t="shared" si="5"/>
        <v>2.9692010425512225</v>
      </c>
      <c r="K27" s="5" t="s">
        <v>34</v>
      </c>
    </row>
    <row r="29" spans="1:15">
      <c r="A29" s="12" t="s">
        <v>62</v>
      </c>
    </row>
    <row r="31" spans="1:15">
      <c r="B31" s="4">
        <v>2020</v>
      </c>
      <c r="E31" s="4">
        <v>2035</v>
      </c>
      <c r="H31" s="4">
        <v>2050</v>
      </c>
    </row>
    <row r="32" spans="1:15">
      <c r="B32" s="4" t="s">
        <v>42</v>
      </c>
      <c r="C32" s="4" t="s">
        <v>43</v>
      </c>
      <c r="D32" s="4" t="s">
        <v>44</v>
      </c>
      <c r="E32" s="4" t="s">
        <v>42</v>
      </c>
      <c r="F32" s="4" t="s">
        <v>43</v>
      </c>
      <c r="G32" s="4" t="s">
        <v>44</v>
      </c>
      <c r="H32" s="4" t="s">
        <v>42</v>
      </c>
      <c r="I32" s="4" t="s">
        <v>43</v>
      </c>
      <c r="J32" s="4" t="s">
        <v>44</v>
      </c>
    </row>
    <row r="33" spans="1:13">
      <c r="A33" s="4" t="s">
        <v>63</v>
      </c>
      <c r="B33" s="24">
        <v>3.0462117683907302</v>
      </c>
      <c r="C33" s="24">
        <v>4.1885411815372544</v>
      </c>
      <c r="D33" s="24">
        <v>1.9147616829884591</v>
      </c>
      <c r="E33" s="24">
        <v>1.393114893536086</v>
      </c>
      <c r="F33" s="24">
        <v>1.9155329786121189</v>
      </c>
      <c r="G33" s="24">
        <v>0.87567221879411128</v>
      </c>
      <c r="H33" s="24">
        <v>0.81260441356240254</v>
      </c>
      <c r="I33" s="24">
        <v>1.117331068648304</v>
      </c>
      <c r="J33" s="24">
        <v>0.51077991709636728</v>
      </c>
      <c r="K33" s="5" t="s">
        <v>34</v>
      </c>
      <c r="M33" s="25"/>
    </row>
    <row r="34" spans="1:13">
      <c r="A34" s="4" t="s">
        <v>64</v>
      </c>
      <c r="B34" s="24">
        <v>1.168224299065421</v>
      </c>
      <c r="C34" s="24">
        <v>1.606308411214953</v>
      </c>
      <c r="D34" s="24">
        <v>0.73431241655540713</v>
      </c>
      <c r="E34" s="24">
        <v>0.53426051560379917</v>
      </c>
      <c r="F34" s="24">
        <v>0.73460820895522383</v>
      </c>
      <c r="G34" s="24">
        <v>0.33582089552238797</v>
      </c>
      <c r="H34" s="24">
        <v>0.31163434903047099</v>
      </c>
      <c r="I34" s="24">
        <v>0.42849722991689748</v>
      </c>
      <c r="J34" s="24">
        <v>0.19588444796201029</v>
      </c>
      <c r="K34" s="5" t="s">
        <v>34</v>
      </c>
    </row>
    <row r="35" spans="1:13">
      <c r="A35" s="4" t="s">
        <v>65</v>
      </c>
      <c r="B35" s="24">
        <v>14.59662624891237</v>
      </c>
      <c r="C35" s="24">
        <v>8.1910453400154353</v>
      </c>
      <c r="D35" s="24">
        <v>4.6249237422916236</v>
      </c>
      <c r="E35" s="24">
        <v>8.8946213169792365</v>
      </c>
      <c r="F35" s="24">
        <v>5.3894633249140362</v>
      </c>
      <c r="G35" s="24">
        <v>4.4316433470913763</v>
      </c>
      <c r="H35" s="24">
        <v>6.590722898836944</v>
      </c>
      <c r="I35" s="24">
        <v>4.6128518493771136</v>
      </c>
      <c r="J35" s="24">
        <v>4.1124668179379817</v>
      </c>
      <c r="K35" s="5" t="s">
        <v>34</v>
      </c>
    </row>
    <row r="36" spans="1:13">
      <c r="A36" s="4" t="s">
        <v>66</v>
      </c>
      <c r="B36" s="24">
        <v>2.9792731679099602</v>
      </c>
      <c r="C36" s="24">
        <v>2.9792731679099602</v>
      </c>
      <c r="D36" s="24">
        <v>2.9792731679099602</v>
      </c>
      <c r="E36" s="24">
        <v>2.3792731679099601</v>
      </c>
      <c r="F36" s="24">
        <v>2.3792731679099601</v>
      </c>
      <c r="G36" s="24">
        <v>2.3792731679099601</v>
      </c>
      <c r="H36" s="24">
        <v>1.97927316790996</v>
      </c>
      <c r="I36" s="24">
        <v>1.97927316790996</v>
      </c>
      <c r="J36" s="24">
        <v>1.97927316790996</v>
      </c>
      <c r="K36" s="5" t="s">
        <v>34</v>
      </c>
    </row>
    <row r="37" spans="1:13">
      <c r="A37" s="4" t="s">
        <v>67</v>
      </c>
      <c r="B37" s="24">
        <v>3.7938486371987969</v>
      </c>
      <c r="C37" s="24">
        <v>3.7938486371987969</v>
      </c>
      <c r="D37" s="24">
        <v>3.7938486371987969</v>
      </c>
      <c r="E37" s="24">
        <v>2.1404261042106478</v>
      </c>
      <c r="F37" s="24">
        <v>2.1404261042106478</v>
      </c>
      <c r="G37" s="24">
        <v>2.1404261042106478</v>
      </c>
      <c r="H37" s="24">
        <v>1.43084523740833</v>
      </c>
      <c r="I37" s="24">
        <v>1.43084523740833</v>
      </c>
      <c r="J37" s="24">
        <v>1.43084523740833</v>
      </c>
      <c r="K37" s="5" t="s">
        <v>34</v>
      </c>
    </row>
    <row r="38" spans="1:13">
      <c r="A38" s="4" t="s">
        <v>68</v>
      </c>
      <c r="B38" s="24">
        <v>0.22500000000000001</v>
      </c>
      <c r="C38" s="24">
        <v>0.22500000000000001</v>
      </c>
      <c r="D38" s="24">
        <v>0.22500000000000001</v>
      </c>
      <c r="E38" s="24">
        <v>0.19500000000000001</v>
      </c>
      <c r="F38" s="24">
        <v>0.19500000000000001</v>
      </c>
      <c r="G38" s="24">
        <v>0.19500000000000001</v>
      </c>
      <c r="H38" s="24">
        <v>0.1875</v>
      </c>
      <c r="I38" s="24">
        <v>0.1875</v>
      </c>
      <c r="J38" s="24">
        <v>0.1875</v>
      </c>
      <c r="K38" s="5" t="s">
        <v>34</v>
      </c>
    </row>
    <row r="39" spans="1:13">
      <c r="B39" s="24"/>
      <c r="C39" s="24"/>
      <c r="D39" s="24"/>
      <c r="E39" s="24"/>
      <c r="F39" s="24"/>
      <c r="G39" s="24"/>
      <c r="H39" s="24"/>
      <c r="I39" s="24"/>
      <c r="J39" s="24"/>
    </row>
    <row r="40" spans="1:13">
      <c r="A40" s="4" t="s">
        <v>55</v>
      </c>
      <c r="B40" s="24">
        <v>5.0944468051984613</v>
      </c>
      <c r="C40" s="24">
        <v>4.5421905142931864</v>
      </c>
      <c r="D40" s="24">
        <v>2.3451035981069479</v>
      </c>
      <c r="E40" s="24">
        <v>4.0195480750072754</v>
      </c>
      <c r="F40" s="24">
        <v>3.9103356873613451</v>
      </c>
      <c r="G40" s="24">
        <v>2.0092187293593611</v>
      </c>
      <c r="H40" s="24">
        <v>3.0022965344784649</v>
      </c>
      <c r="I40" s="24">
        <v>2.7698807252638611</v>
      </c>
      <c r="J40" s="24">
        <v>1.389717113332896</v>
      </c>
      <c r="K40" s="5" t="s">
        <v>34</v>
      </c>
    </row>
    <row r="41" spans="1:13">
      <c r="A41" s="4" t="s">
        <v>56</v>
      </c>
      <c r="B41" s="24">
        <v>6.2445545181256898</v>
      </c>
      <c r="C41" s="24">
        <v>5.9119403178359429</v>
      </c>
      <c r="D41" s="24">
        <v>3.4038153238304298</v>
      </c>
      <c r="E41" s="24">
        <v>4.742835616639308</v>
      </c>
      <c r="F41" s="24">
        <v>5.0150861801721556</v>
      </c>
      <c r="G41" s="24">
        <v>2.5555799154741412</v>
      </c>
      <c r="H41" s="24">
        <v>4.108478094874922</v>
      </c>
      <c r="I41" s="24">
        <v>4.0463644024895142</v>
      </c>
      <c r="J41" s="24">
        <v>2.382422881569203</v>
      </c>
      <c r="K41" s="5" t="s">
        <v>34</v>
      </c>
    </row>
    <row r="42" spans="1:13">
      <c r="B42" s="20"/>
      <c r="C42" s="20"/>
      <c r="D42" s="20"/>
      <c r="E42" s="20"/>
      <c r="F42" s="20"/>
      <c r="G42" s="20"/>
      <c r="H42" s="20"/>
      <c r="I42" s="20"/>
      <c r="J42" s="20"/>
    </row>
    <row r="43" spans="1:13">
      <c r="A43" s="4" t="s">
        <v>69</v>
      </c>
      <c r="B43" s="20">
        <f t="shared" ref="B43:J43" si="6">SUM(B33:B38)</f>
        <v>25.809184121477276</v>
      </c>
      <c r="C43" s="16">
        <f t="shared" si="6"/>
        <v>20.984016737876399</v>
      </c>
      <c r="D43" s="20">
        <f t="shared" si="6"/>
        <v>14.272119646944248</v>
      </c>
      <c r="E43" s="20">
        <f t="shared" si="6"/>
        <v>15.536695998239729</v>
      </c>
      <c r="F43" s="20">
        <f t="shared" si="6"/>
        <v>12.754303784601987</v>
      </c>
      <c r="G43" s="20">
        <f t="shared" si="6"/>
        <v>10.357835733528482</v>
      </c>
      <c r="H43" s="20">
        <f t="shared" si="6"/>
        <v>11.312580066748108</v>
      </c>
      <c r="I43" s="20">
        <f t="shared" si="6"/>
        <v>9.7562985532606064</v>
      </c>
      <c r="J43" s="20">
        <f t="shared" si="6"/>
        <v>8.4167495883146479</v>
      </c>
      <c r="K43" s="5" t="s">
        <v>34</v>
      </c>
    </row>
    <row r="44" spans="1:13">
      <c r="B44" s="20"/>
      <c r="C44" s="20"/>
      <c r="D44" s="20"/>
      <c r="E44" s="20"/>
      <c r="F44" s="20"/>
      <c r="G44" s="20"/>
      <c r="H44" s="20"/>
      <c r="I44" s="20"/>
      <c r="J44" s="20"/>
    </row>
    <row r="45" spans="1:13">
      <c r="A45" s="4" t="s">
        <v>70</v>
      </c>
      <c r="B45" s="26">
        <f t="shared" ref="B45:J45" si="7">B35/B19</f>
        <v>1.5576323987538938</v>
      </c>
      <c r="C45" s="26">
        <f t="shared" si="7"/>
        <v>1.557632398753894</v>
      </c>
      <c r="D45" s="26">
        <f t="shared" si="7"/>
        <v>1.557632398753894</v>
      </c>
      <c r="E45" s="26">
        <f t="shared" si="7"/>
        <v>1.4925373134328357</v>
      </c>
      <c r="F45" s="26">
        <f t="shared" si="7"/>
        <v>1.4925373134328359</v>
      </c>
      <c r="G45" s="26">
        <f t="shared" si="7"/>
        <v>1.4925373134328357</v>
      </c>
      <c r="H45" s="26">
        <f t="shared" si="7"/>
        <v>1.3850415512465375</v>
      </c>
      <c r="I45" s="26">
        <f t="shared" si="7"/>
        <v>1.3850415512465375</v>
      </c>
      <c r="J45" s="26">
        <f t="shared" si="7"/>
        <v>1.3850415512465375</v>
      </c>
      <c r="K45" s="5" t="s">
        <v>71</v>
      </c>
      <c r="M45" s="4" t="s">
        <v>10</v>
      </c>
    </row>
    <row r="46" spans="1:13">
      <c r="B46" s="20"/>
      <c r="C46" s="20"/>
      <c r="D46" s="20"/>
      <c r="E46" s="20"/>
      <c r="F46" s="20"/>
      <c r="G46" s="20"/>
      <c r="H46" s="20"/>
      <c r="I46" s="20"/>
      <c r="J46" s="20"/>
    </row>
    <row r="47" spans="1:13">
      <c r="A47" s="4" t="s">
        <v>58</v>
      </c>
      <c r="B47" s="27">
        <v>25</v>
      </c>
      <c r="C47" s="27">
        <v>25</v>
      </c>
      <c r="D47" s="27">
        <v>25</v>
      </c>
      <c r="E47" s="27">
        <v>25</v>
      </c>
      <c r="F47" s="27">
        <v>25</v>
      </c>
      <c r="G47" s="27">
        <v>25</v>
      </c>
      <c r="H47" s="27">
        <v>25</v>
      </c>
      <c r="I47" s="27">
        <v>25</v>
      </c>
      <c r="J47" s="27">
        <v>25</v>
      </c>
      <c r="K47" s="5" t="s">
        <v>59</v>
      </c>
      <c r="M47" s="4" t="s">
        <v>7</v>
      </c>
    </row>
    <row r="48" spans="1:13">
      <c r="A48" s="4" t="s">
        <v>52</v>
      </c>
      <c r="B48" s="28">
        <f t="shared" ref="B48:J48" si="8">(B$1*(1+B$1)^B47)/((1+B$1)^B47-1)</f>
        <v>7.8226718212273949E-2</v>
      </c>
      <c r="C48" s="28">
        <f t="shared" si="8"/>
        <v>7.8226718212273949E-2</v>
      </c>
      <c r="D48" s="28">
        <f t="shared" si="8"/>
        <v>7.8226718212273949E-2</v>
      </c>
      <c r="E48" s="28">
        <f t="shared" si="8"/>
        <v>7.8226718212273949E-2</v>
      </c>
      <c r="F48" s="28">
        <f t="shared" si="8"/>
        <v>7.8226718212273949E-2</v>
      </c>
      <c r="G48" s="28">
        <f t="shared" si="8"/>
        <v>7.8226718212273949E-2</v>
      </c>
      <c r="H48" s="28">
        <f t="shared" si="8"/>
        <v>7.8226718212273949E-2</v>
      </c>
      <c r="I48" s="28">
        <f t="shared" si="8"/>
        <v>7.8226718212273949E-2</v>
      </c>
      <c r="J48" s="28">
        <f t="shared" si="8"/>
        <v>7.8226718212273949E-2</v>
      </c>
      <c r="K48" s="5" t="s">
        <v>31</v>
      </c>
      <c r="M48" s="4" t="s">
        <v>7</v>
      </c>
    </row>
    <row r="49" spans="1:13">
      <c r="B49" s="28"/>
      <c r="C49" s="28"/>
      <c r="D49" s="28"/>
      <c r="E49" s="28"/>
      <c r="F49" s="28"/>
      <c r="G49" s="28"/>
      <c r="H49" s="28"/>
      <c r="I49" s="28"/>
      <c r="J49" s="28"/>
    </row>
    <row r="50" spans="1:13">
      <c r="A50" s="4" t="s">
        <v>60</v>
      </c>
      <c r="B50" s="29">
        <f t="shared" ref="B50:J50" si="9">(B$2*(1+B$2)^B47)/((1+B$2)^B47-1)</f>
        <v>7.8226718212273949E-2</v>
      </c>
      <c r="C50" s="29">
        <f t="shared" si="9"/>
        <v>7.8226718212273949E-2</v>
      </c>
      <c r="D50" s="29">
        <f t="shared" si="9"/>
        <v>7.8226718212273949E-2</v>
      </c>
      <c r="E50" s="29">
        <f t="shared" si="9"/>
        <v>7.8226718212273949E-2</v>
      </c>
      <c r="F50" s="29">
        <f t="shared" si="9"/>
        <v>7.8226718212273949E-2</v>
      </c>
      <c r="G50" s="29">
        <f t="shared" si="9"/>
        <v>7.8226718212273949E-2</v>
      </c>
      <c r="H50" s="29">
        <f t="shared" si="9"/>
        <v>7.8226718212273949E-2</v>
      </c>
      <c r="I50" s="29">
        <f t="shared" si="9"/>
        <v>7.8226718212273949E-2</v>
      </c>
      <c r="J50" s="29">
        <f t="shared" si="9"/>
        <v>7.8226718212273949E-2</v>
      </c>
      <c r="K50" s="5" t="s">
        <v>31</v>
      </c>
      <c r="M50" s="4" t="s">
        <v>7</v>
      </c>
    </row>
    <row r="51" spans="1:13">
      <c r="A51" s="4" t="s">
        <v>72</v>
      </c>
      <c r="B51" s="29">
        <f t="shared" ref="B51:J51" si="10">B45*B3</f>
        <v>8.9719626168224273</v>
      </c>
      <c r="C51" s="29">
        <f t="shared" si="10"/>
        <v>8.9719626168224291</v>
      </c>
      <c r="D51" s="29">
        <f t="shared" si="10"/>
        <v>8.9719626168224291</v>
      </c>
      <c r="E51" s="29">
        <f t="shared" si="10"/>
        <v>8.8946213169792365</v>
      </c>
      <c r="F51" s="29">
        <f t="shared" si="10"/>
        <v>5.3894633249140362</v>
      </c>
      <c r="G51" s="29">
        <f t="shared" si="10"/>
        <v>4.4316433470913772</v>
      </c>
      <c r="H51" s="29">
        <f t="shared" si="10"/>
        <v>1.371191135734072</v>
      </c>
      <c r="I51" s="29">
        <f t="shared" si="10"/>
        <v>1.371191135734072</v>
      </c>
      <c r="J51" s="29">
        <f t="shared" si="10"/>
        <v>1.371191135734072</v>
      </c>
      <c r="K51" s="5" t="s">
        <v>34</v>
      </c>
      <c r="M51" s="4" t="s">
        <v>10</v>
      </c>
    </row>
    <row r="52" spans="1:13">
      <c r="A52" s="4" t="s">
        <v>73</v>
      </c>
      <c r="B52" s="29">
        <f t="shared" ref="B52:J52" si="11">B33/B48*B50</f>
        <v>3.0462117683907302</v>
      </c>
      <c r="C52" s="29">
        <f t="shared" si="11"/>
        <v>4.1885411815372544</v>
      </c>
      <c r="D52" s="29">
        <f t="shared" si="11"/>
        <v>1.9147616829884593</v>
      </c>
      <c r="E52" s="29">
        <f t="shared" si="11"/>
        <v>1.393114893536086</v>
      </c>
      <c r="F52" s="29">
        <f t="shared" si="11"/>
        <v>1.9155329786121189</v>
      </c>
      <c r="G52" s="29">
        <f t="shared" si="11"/>
        <v>0.87567221879411117</v>
      </c>
      <c r="H52" s="29">
        <f t="shared" si="11"/>
        <v>0.81260441356240254</v>
      </c>
      <c r="I52" s="29">
        <f t="shared" si="11"/>
        <v>1.117331068648304</v>
      </c>
      <c r="J52" s="29">
        <f t="shared" si="11"/>
        <v>0.51077991709636728</v>
      </c>
      <c r="K52" s="5" t="s">
        <v>34</v>
      </c>
      <c r="M52" s="4" t="s">
        <v>7</v>
      </c>
    </row>
    <row r="53" spans="1:13">
      <c r="A53" s="4" t="s">
        <v>74</v>
      </c>
      <c r="B53" s="29">
        <f t="shared" ref="B53:J53" si="12">B43-B33+B52-B35+B51</f>
        <v>20.184520489387332</v>
      </c>
      <c r="C53" s="29">
        <f t="shared" si="12"/>
        <v>21.764934014683391</v>
      </c>
      <c r="D53" s="29">
        <f t="shared" si="12"/>
        <v>18.61915852147505</v>
      </c>
      <c r="E53" s="29">
        <f t="shared" si="12"/>
        <v>15.536695998239729</v>
      </c>
      <c r="F53" s="29">
        <f t="shared" si="12"/>
        <v>12.754303784601987</v>
      </c>
      <c r="G53" s="29">
        <f t="shared" si="12"/>
        <v>10.357835733528482</v>
      </c>
      <c r="H53" s="29">
        <f t="shared" si="12"/>
        <v>6.0930483036452365</v>
      </c>
      <c r="I53" s="29">
        <f t="shared" si="12"/>
        <v>6.5146378396175653</v>
      </c>
      <c r="J53" s="29">
        <f t="shared" si="12"/>
        <v>5.6754739061107387</v>
      </c>
      <c r="K53" s="5" t="s">
        <v>34</v>
      </c>
    </row>
    <row r="54" spans="1:13">
      <c r="B54" s="25"/>
    </row>
    <row r="55" spans="1:13">
      <c r="A55" s="12" t="s">
        <v>75</v>
      </c>
    </row>
    <row r="57" spans="1:13">
      <c r="B57" s="4">
        <v>2020</v>
      </c>
      <c r="E57" s="4">
        <v>2035</v>
      </c>
      <c r="H57" s="4">
        <v>2050</v>
      </c>
    </row>
    <row r="58" spans="1:13">
      <c r="B58" s="4" t="s">
        <v>42</v>
      </c>
      <c r="C58" s="4" t="s">
        <v>43</v>
      </c>
      <c r="D58" s="4" t="s">
        <v>44</v>
      </c>
      <c r="E58" s="4" t="s">
        <v>42</v>
      </c>
      <c r="F58" s="4" t="s">
        <v>43</v>
      </c>
      <c r="G58" s="4" t="s">
        <v>44</v>
      </c>
      <c r="H58" s="4" t="s">
        <v>42</v>
      </c>
      <c r="I58" s="4" t="s">
        <v>43</v>
      </c>
      <c r="J58" s="4" t="s">
        <v>44</v>
      </c>
    </row>
    <row r="59" spans="1:13">
      <c r="A59" s="4" t="s">
        <v>76</v>
      </c>
      <c r="B59" s="24">
        <v>5.8617929495353511</v>
      </c>
      <c r="C59" s="24">
        <v>7.6454452596185316</v>
      </c>
      <c r="D59" s="24">
        <v>4.0951278043101036</v>
      </c>
      <c r="E59" s="24">
        <v>3.280619755803035</v>
      </c>
      <c r="F59" s="24">
        <v>4.0963321182365986</v>
      </c>
      <c r="G59" s="24">
        <v>2.472676082535505</v>
      </c>
      <c r="H59" s="24">
        <v>2.374200953383784</v>
      </c>
      <c r="I59" s="24">
        <v>2.850006264910129</v>
      </c>
      <c r="J59" s="24">
        <v>1.902927121014834</v>
      </c>
      <c r="K59" s="5" t="s">
        <v>34</v>
      </c>
    </row>
    <row r="60" spans="1:13">
      <c r="A60" s="4" t="s">
        <v>77</v>
      </c>
      <c r="B60" s="30">
        <v>16.473730268422131</v>
      </c>
      <c r="C60" s="30">
        <v>9.2444013600666608</v>
      </c>
      <c r="D60" s="30">
        <v>5.219681928090111</v>
      </c>
      <c r="E60" s="30">
        <v>10.038456141643801</v>
      </c>
      <c r="F60" s="30">
        <v>6.0825401426444579</v>
      </c>
      <c r="G60" s="30">
        <v>5.0015459669161952</v>
      </c>
      <c r="H60" s="30">
        <v>7.4382798776835886</v>
      </c>
      <c r="I60" s="30">
        <v>5.2060576080375416</v>
      </c>
      <c r="J60" s="30">
        <v>4.6413238197144757</v>
      </c>
      <c r="K60" s="5" t="s">
        <v>34</v>
      </c>
    </row>
    <row r="61" spans="1:13">
      <c r="A61" s="4" t="s">
        <v>78</v>
      </c>
      <c r="B61" s="24">
        <v>0.90398361456365539</v>
      </c>
      <c r="C61" s="24">
        <v>0.90398361456365539</v>
      </c>
      <c r="D61" s="24">
        <v>0.90398361456365539</v>
      </c>
      <c r="E61" s="24">
        <v>0.90398361456365539</v>
      </c>
      <c r="F61" s="24">
        <v>0.90398361456365539</v>
      </c>
      <c r="G61" s="24">
        <v>0.90398361456365539</v>
      </c>
      <c r="H61" s="24">
        <v>0.90398361456365539</v>
      </c>
      <c r="I61" s="24">
        <v>0.90398361456365539</v>
      </c>
      <c r="J61" s="24">
        <v>0.90398361456365539</v>
      </c>
      <c r="K61" s="5" t="s">
        <v>34</v>
      </c>
    </row>
    <row r="62" spans="1:13">
      <c r="A62" s="4" t="s">
        <v>79</v>
      </c>
      <c r="B62" s="24">
        <v>0.62215909090909105</v>
      </c>
      <c r="C62" s="24">
        <v>0.62215909090909105</v>
      </c>
      <c r="D62" s="24">
        <v>0.62215909090909105</v>
      </c>
      <c r="E62" s="24">
        <v>0.62215909090909105</v>
      </c>
      <c r="F62" s="24">
        <v>0.62215909090909105</v>
      </c>
      <c r="G62" s="24">
        <v>0.62215909090909105</v>
      </c>
      <c r="H62" s="24">
        <v>0.62215909090909105</v>
      </c>
      <c r="I62" s="24">
        <v>0.62215909090909105</v>
      </c>
      <c r="J62" s="24">
        <v>0.62215909090909105</v>
      </c>
      <c r="K62" s="5" t="s">
        <v>34</v>
      </c>
    </row>
    <row r="63" spans="1:13">
      <c r="A63" s="4" t="s">
        <v>80</v>
      </c>
      <c r="B63" s="31">
        <v>0.13750000000000001</v>
      </c>
      <c r="C63" s="31">
        <v>0.13750000000000001</v>
      </c>
      <c r="D63" s="31">
        <v>0.13750000000000001</v>
      </c>
      <c r="E63" s="31">
        <v>0.13750000000000001</v>
      </c>
      <c r="F63" s="31">
        <v>0.13750000000000001</v>
      </c>
      <c r="G63" s="31">
        <v>0.13750000000000001</v>
      </c>
      <c r="H63" s="31">
        <v>0.13750000000000001</v>
      </c>
      <c r="I63" s="31">
        <v>0.13750000000000001</v>
      </c>
      <c r="J63" s="31">
        <v>0.32500000000000001</v>
      </c>
      <c r="K63" s="5" t="s">
        <v>34</v>
      </c>
    </row>
    <row r="64" spans="1:13">
      <c r="A64" s="4" t="s">
        <v>66</v>
      </c>
      <c r="B64" s="24">
        <v>0.32500000000000001</v>
      </c>
      <c r="C64" s="24">
        <v>0.32500000000000001</v>
      </c>
      <c r="D64" s="24">
        <v>0.32500000000000001</v>
      </c>
      <c r="E64" s="24">
        <v>0.32500000000000001</v>
      </c>
      <c r="F64" s="24">
        <v>0.32500000000000001</v>
      </c>
      <c r="G64" s="24">
        <v>0.32500000000000001</v>
      </c>
      <c r="H64" s="24">
        <v>0.32500000000000001</v>
      </c>
      <c r="I64" s="24">
        <v>0.32500000000000001</v>
      </c>
      <c r="J64" s="24">
        <v>0.32500000000000001</v>
      </c>
      <c r="K64" s="5" t="s">
        <v>34</v>
      </c>
    </row>
    <row r="65" spans="1:15">
      <c r="A65" s="4" t="s">
        <v>68</v>
      </c>
      <c r="B65" s="24">
        <v>6.25E-2</v>
      </c>
      <c r="C65" s="24">
        <v>6.25E-2</v>
      </c>
      <c r="D65" s="24">
        <v>6.25E-2</v>
      </c>
      <c r="E65" s="24">
        <v>4.6249999999999999E-2</v>
      </c>
      <c r="F65" s="24">
        <v>4.6249999999999999E-2</v>
      </c>
      <c r="G65" s="24">
        <v>4.6249999999999999E-2</v>
      </c>
      <c r="H65" s="24">
        <v>3.7500000000000012E-2</v>
      </c>
      <c r="I65" s="24">
        <v>3.7500000000000012E-2</v>
      </c>
      <c r="J65" s="24">
        <v>3.7500000000000012E-2</v>
      </c>
      <c r="K65" s="5" t="s">
        <v>34</v>
      </c>
    </row>
    <row r="66" spans="1:15">
      <c r="B66" s="24"/>
      <c r="C66" s="24"/>
      <c r="D66" s="24"/>
      <c r="E66" s="24"/>
      <c r="F66" s="24"/>
      <c r="G66" s="24"/>
      <c r="H66" s="24"/>
      <c r="I66" s="24"/>
      <c r="J66" s="24"/>
    </row>
    <row r="67" spans="1:15">
      <c r="A67" s="4" t="s">
        <v>55</v>
      </c>
      <c r="B67" s="24">
        <v>5.6659075606240137</v>
      </c>
      <c r="C67" s="24">
        <v>5.0426319474602757</v>
      </c>
      <c r="D67" s="24">
        <v>2.5630029827720571</v>
      </c>
      <c r="E67" s="24">
        <v>4.1720266536910753</v>
      </c>
      <c r="F67" s="24">
        <v>4.0487697184671934</v>
      </c>
      <c r="G67" s="24">
        <v>1.903172000146393</v>
      </c>
      <c r="H67" s="24">
        <v>3.38089033274135</v>
      </c>
      <c r="I67" s="24">
        <v>3.1185862026069131</v>
      </c>
      <c r="J67" s="24">
        <v>1.5609356413386131</v>
      </c>
      <c r="K67" s="5" t="s">
        <v>34</v>
      </c>
    </row>
    <row r="68" spans="1:15">
      <c r="A68" s="4" t="s">
        <v>56</v>
      </c>
      <c r="B68" s="24">
        <v>6.9639173828462404</v>
      </c>
      <c r="C68" s="24">
        <v>6.5885295003601394</v>
      </c>
      <c r="D68" s="24">
        <v>3.7578634323149021</v>
      </c>
      <c r="E68" s="24">
        <v>5.3391656718694662</v>
      </c>
      <c r="F68" s="24">
        <v>5.6464272453717861</v>
      </c>
      <c r="G68" s="24">
        <v>2.8706322015582511</v>
      </c>
      <c r="H68" s="24">
        <v>4.2165748192042489</v>
      </c>
      <c r="I68" s="24">
        <v>4.1464734000897314</v>
      </c>
      <c r="J68" s="24">
        <v>2.268551520702585</v>
      </c>
      <c r="K68" s="5" t="s">
        <v>34</v>
      </c>
    </row>
    <row r="69" spans="1:15">
      <c r="B69" s="20"/>
      <c r="C69" s="20"/>
      <c r="D69" s="20"/>
      <c r="E69" s="20"/>
      <c r="F69" s="20"/>
      <c r="G69" s="20"/>
      <c r="H69" s="20"/>
      <c r="I69" s="20"/>
      <c r="J69" s="20"/>
    </row>
    <row r="70" spans="1:15">
      <c r="A70" s="4" t="s">
        <v>81</v>
      </c>
      <c r="B70" s="20">
        <f t="shared" ref="B70:J70" si="13">SUM(B59:B65)</f>
        <v>24.386665923430225</v>
      </c>
      <c r="C70" s="20">
        <f t="shared" si="13"/>
        <v>18.94098932515794</v>
      </c>
      <c r="D70" s="20">
        <f t="shared" si="13"/>
        <v>11.365952437872959</v>
      </c>
      <c r="E70" s="20">
        <f t="shared" si="13"/>
        <v>15.353968602919583</v>
      </c>
      <c r="F70" s="20">
        <f t="shared" si="13"/>
        <v>12.213764966353803</v>
      </c>
      <c r="G70" s="20">
        <f t="shared" si="13"/>
        <v>9.5091147549244468</v>
      </c>
      <c r="H70" s="20">
        <f t="shared" si="13"/>
        <v>11.838623536540117</v>
      </c>
      <c r="I70" s="20">
        <f t="shared" si="13"/>
        <v>10.082206578420417</v>
      </c>
      <c r="J70" s="20">
        <f t="shared" si="13"/>
        <v>8.7578936462020547</v>
      </c>
      <c r="K70" s="5" t="s">
        <v>34</v>
      </c>
    </row>
    <row r="71" spans="1:15">
      <c r="B71" s="20"/>
      <c r="C71" s="20"/>
      <c r="D71" s="20"/>
      <c r="E71" s="20"/>
      <c r="F71" s="20"/>
      <c r="G71" s="20"/>
      <c r="H71" s="20"/>
      <c r="I71" s="20"/>
      <c r="J71" s="20"/>
      <c r="N71" s="4" t="s">
        <v>82</v>
      </c>
    </row>
    <row r="72" spans="1:15">
      <c r="A72" s="4" t="s">
        <v>70</v>
      </c>
      <c r="B72" s="32">
        <f t="shared" ref="B72:J72" si="14">(B60+B63)/B19</f>
        <v>1.7726144389826792</v>
      </c>
      <c r="C72" s="32">
        <f t="shared" si="14"/>
        <v>1.7840889549178731</v>
      </c>
      <c r="D72" s="32">
        <f t="shared" si="14"/>
        <v>1.8042503189636048</v>
      </c>
      <c r="E72" s="32">
        <f t="shared" si="14"/>
        <v>1.7075481574765345</v>
      </c>
      <c r="F72" s="32">
        <f t="shared" si="14"/>
        <v>1.7225540734327254</v>
      </c>
      <c r="G72" s="32">
        <f t="shared" si="14"/>
        <v>1.7307841042991754</v>
      </c>
      <c r="H72" s="32">
        <f t="shared" si="14"/>
        <v>1.5920514448484591</v>
      </c>
      <c r="I72" s="32">
        <f t="shared" si="14"/>
        <v>1.6044411483995391</v>
      </c>
      <c r="J72" s="32">
        <f t="shared" si="14"/>
        <v>1.6726128505758804</v>
      </c>
      <c r="K72" s="5" t="s">
        <v>71</v>
      </c>
      <c r="M72" s="4" t="s">
        <v>10</v>
      </c>
      <c r="N72" s="4">
        <v>738</v>
      </c>
      <c r="O72" s="4" t="s">
        <v>83</v>
      </c>
    </row>
    <row r="73" spans="1:15">
      <c r="B73" s="20"/>
      <c r="C73" s="20"/>
      <c r="D73" s="20"/>
      <c r="E73" s="20"/>
      <c r="F73" s="20"/>
      <c r="G73" s="20"/>
      <c r="H73" s="20"/>
      <c r="I73" s="20"/>
      <c r="J73" s="20"/>
      <c r="N73" s="4">
        <v>5.28</v>
      </c>
      <c r="O73" s="4" t="s">
        <v>84</v>
      </c>
    </row>
    <row r="74" spans="1:15">
      <c r="A74" s="4" t="s">
        <v>58</v>
      </c>
      <c r="B74" s="33">
        <v>30</v>
      </c>
      <c r="C74" s="33">
        <v>30</v>
      </c>
      <c r="D74" s="33">
        <v>30</v>
      </c>
      <c r="E74" s="33">
        <v>30</v>
      </c>
      <c r="F74" s="33">
        <v>30</v>
      </c>
      <c r="G74" s="33">
        <v>30</v>
      </c>
      <c r="H74" s="33">
        <v>30</v>
      </c>
      <c r="I74" s="33">
        <v>30</v>
      </c>
      <c r="J74" s="33">
        <v>30</v>
      </c>
      <c r="K74" s="5" t="s">
        <v>59</v>
      </c>
      <c r="M74" s="4" t="s">
        <v>7</v>
      </c>
      <c r="N74" s="4">
        <f>N73/1000</f>
        <v>5.28E-3</v>
      </c>
      <c r="O74" s="4" t="s">
        <v>85</v>
      </c>
    </row>
    <row r="75" spans="1:15">
      <c r="A75" s="4" t="s">
        <v>52</v>
      </c>
      <c r="B75" s="34">
        <f t="shared" ref="B75:J75" si="15">(B$1*(1+B$1)^B74)/((1+B$1)^B74-1)</f>
        <v>7.2648911490047194E-2</v>
      </c>
      <c r="C75" s="34">
        <f t="shared" si="15"/>
        <v>7.2648911490047194E-2</v>
      </c>
      <c r="D75" s="34">
        <f t="shared" si="15"/>
        <v>7.2648911490047194E-2</v>
      </c>
      <c r="E75" s="34">
        <f t="shared" si="15"/>
        <v>7.2648911490047194E-2</v>
      </c>
      <c r="F75" s="34">
        <f t="shared" si="15"/>
        <v>7.2648911490047194E-2</v>
      </c>
      <c r="G75" s="34">
        <f t="shared" si="15"/>
        <v>7.2648911490047194E-2</v>
      </c>
      <c r="H75" s="34">
        <f t="shared" si="15"/>
        <v>7.2648911490047194E-2</v>
      </c>
      <c r="I75" s="34">
        <f t="shared" si="15"/>
        <v>7.2648911490047194E-2</v>
      </c>
      <c r="J75" s="34">
        <f t="shared" si="15"/>
        <v>7.2648911490047194E-2</v>
      </c>
      <c r="K75" s="5" t="s">
        <v>31</v>
      </c>
      <c r="M75" s="4" t="s">
        <v>7</v>
      </c>
      <c r="N75" s="4">
        <v>0.99</v>
      </c>
      <c r="O75" s="4" t="s">
        <v>86</v>
      </c>
    </row>
    <row r="76" spans="1:15">
      <c r="B76" s="34"/>
      <c r="C76" s="34"/>
      <c r="D76" s="34"/>
      <c r="E76" s="34"/>
      <c r="F76" s="34"/>
      <c r="G76" s="34"/>
      <c r="H76" s="34"/>
      <c r="I76" s="34"/>
      <c r="J76" s="34"/>
      <c r="N76" s="28">
        <f>N72/N74*0.99</f>
        <v>138375</v>
      </c>
      <c r="O76" s="4" t="s">
        <v>71</v>
      </c>
    </row>
    <row r="77" spans="1:15">
      <c r="A77" s="4" t="s">
        <v>60</v>
      </c>
      <c r="B77" s="29">
        <f t="shared" ref="B77:J77" si="16">(B$2*(1+B$2)^B74)/((1+B$2)^B74-1)</f>
        <v>7.2648911490047194E-2</v>
      </c>
      <c r="C77" s="29">
        <f t="shared" si="16"/>
        <v>7.2648911490047194E-2</v>
      </c>
      <c r="D77" s="29">
        <f t="shared" si="16"/>
        <v>7.2648911490047194E-2</v>
      </c>
      <c r="E77" s="29">
        <f t="shared" si="16"/>
        <v>7.2648911490047194E-2</v>
      </c>
      <c r="F77" s="29">
        <f t="shared" si="16"/>
        <v>7.2648911490047194E-2</v>
      </c>
      <c r="G77" s="29">
        <f t="shared" si="16"/>
        <v>7.2648911490047194E-2</v>
      </c>
      <c r="H77" s="29">
        <f t="shared" si="16"/>
        <v>7.2648911490047194E-2</v>
      </c>
      <c r="I77" s="29">
        <f t="shared" si="16"/>
        <v>7.2648911490047194E-2</v>
      </c>
      <c r="J77" s="29">
        <f t="shared" si="16"/>
        <v>7.2648911490047194E-2</v>
      </c>
      <c r="K77" s="5" t="s">
        <v>31</v>
      </c>
      <c r="M77" s="4" t="s">
        <v>7</v>
      </c>
    </row>
    <row r="78" spans="1:15">
      <c r="A78" s="4" t="s">
        <v>72</v>
      </c>
      <c r="B78" s="29">
        <f t="shared" ref="B78:J78" si="17">B72*B3</f>
        <v>10.210259168540231</v>
      </c>
      <c r="C78" s="29">
        <f t="shared" si="17"/>
        <v>10.27635238032695</v>
      </c>
      <c r="D78" s="29">
        <f t="shared" si="17"/>
        <v>10.392481837230363</v>
      </c>
      <c r="E78" s="29">
        <f t="shared" si="17"/>
        <v>10.1759561416438</v>
      </c>
      <c r="F78" s="29">
        <f t="shared" si="17"/>
        <v>6.220040142644458</v>
      </c>
      <c r="G78" s="29">
        <f t="shared" si="17"/>
        <v>5.1390459669161963</v>
      </c>
      <c r="H78" s="29">
        <f t="shared" si="17"/>
        <v>1.5761309303999744</v>
      </c>
      <c r="I78" s="29">
        <f t="shared" si="17"/>
        <v>1.5883967369155436</v>
      </c>
      <c r="J78" s="29">
        <f t="shared" si="17"/>
        <v>1.6558867220701217</v>
      </c>
      <c r="K78" s="5" t="s">
        <v>34</v>
      </c>
      <c r="M78" s="4" t="s">
        <v>10</v>
      </c>
    </row>
    <row r="79" spans="1:15">
      <c r="A79" s="4" t="s">
        <v>73</v>
      </c>
      <c r="B79" s="29">
        <f t="shared" ref="B79:J79" si="18">B61/B75*B77</f>
        <v>0.90398361456365539</v>
      </c>
      <c r="C79" s="29">
        <f t="shared" si="18"/>
        <v>0.90398361456365539</v>
      </c>
      <c r="D79" s="29">
        <f t="shared" si="18"/>
        <v>0.90398361456365539</v>
      </c>
      <c r="E79" s="29">
        <f t="shared" si="18"/>
        <v>0.90398361456365539</v>
      </c>
      <c r="F79" s="29">
        <f t="shared" si="18"/>
        <v>0.90398361456365539</v>
      </c>
      <c r="G79" s="29">
        <f t="shared" si="18"/>
        <v>0.90398361456365539</v>
      </c>
      <c r="H79" s="29">
        <f t="shared" si="18"/>
        <v>0.90398361456365539</v>
      </c>
      <c r="I79" s="29">
        <f t="shared" si="18"/>
        <v>0.90398361456365539</v>
      </c>
      <c r="J79" s="29">
        <f t="shared" si="18"/>
        <v>0.90398361456365539</v>
      </c>
      <c r="K79" s="5" t="s">
        <v>34</v>
      </c>
      <c r="M79" s="4" t="s">
        <v>7</v>
      </c>
    </row>
    <row r="80" spans="1:15">
      <c r="A80" s="4" t="s">
        <v>87</v>
      </c>
      <c r="B80" s="29">
        <f t="shared" ref="B80:J80" si="19">B70-B60-B63+B79-B61+B78</f>
        <v>17.985694823548329</v>
      </c>
      <c r="C80" s="29">
        <f t="shared" si="19"/>
        <v>19.835440345418228</v>
      </c>
      <c r="D80" s="29">
        <f t="shared" si="19"/>
        <v>16.401252347013212</v>
      </c>
      <c r="E80" s="29">
        <f t="shared" si="19"/>
        <v>15.353968602919583</v>
      </c>
      <c r="F80" s="29">
        <f t="shared" si="19"/>
        <v>12.213764966353803</v>
      </c>
      <c r="G80" s="29">
        <f t="shared" si="19"/>
        <v>9.5091147549244468</v>
      </c>
      <c r="H80" s="29">
        <f t="shared" si="19"/>
        <v>5.8389745892565035</v>
      </c>
      <c r="I80" s="29">
        <f t="shared" si="19"/>
        <v>6.327045707298419</v>
      </c>
      <c r="J80" s="29">
        <f t="shared" si="19"/>
        <v>5.4474565485577005</v>
      </c>
      <c r="K80" s="5" t="s">
        <v>34</v>
      </c>
      <c r="M80" s="4" t="s">
        <v>7</v>
      </c>
    </row>
    <row r="82" spans="1:11">
      <c r="A82" s="12" t="s">
        <v>88</v>
      </c>
    </row>
    <row r="84" spans="1:11">
      <c r="B84" s="4">
        <v>2020</v>
      </c>
      <c r="E84" s="4">
        <v>2035</v>
      </c>
      <c r="H84" s="4">
        <v>2050</v>
      </c>
    </row>
    <row r="85" spans="1:11">
      <c r="B85" s="4" t="s">
        <v>42</v>
      </c>
      <c r="C85" s="4" t="s">
        <v>43</v>
      </c>
      <c r="D85" s="4" t="s">
        <v>44</v>
      </c>
      <c r="E85" s="4" t="s">
        <v>42</v>
      </c>
      <c r="F85" s="4" t="s">
        <v>43</v>
      </c>
      <c r="G85" s="4" t="s">
        <v>44</v>
      </c>
      <c r="H85" s="4" t="s">
        <v>42</v>
      </c>
      <c r="I85" s="4" t="s">
        <v>43</v>
      </c>
      <c r="J85" s="4" t="s">
        <v>44</v>
      </c>
    </row>
    <row r="86" spans="1:11">
      <c r="A86" s="4" t="s">
        <v>76</v>
      </c>
      <c r="B86" s="24">
        <v>6.4923365442076388</v>
      </c>
      <c r="C86" s="24">
        <v>8.4678534508277075</v>
      </c>
      <c r="D86" s="24">
        <v>4.5356340843172829</v>
      </c>
      <c r="E86" s="24">
        <v>3.633510721312307</v>
      </c>
      <c r="F86" s="24">
        <v>4.5369679443466282</v>
      </c>
      <c r="G86" s="24">
        <v>2.7386578527830738</v>
      </c>
      <c r="H86" s="24">
        <v>2.6295899131285418</v>
      </c>
      <c r="I86" s="24">
        <v>3.156576833093951</v>
      </c>
      <c r="J86" s="24">
        <v>2.1076219162104222</v>
      </c>
      <c r="K86" s="5" t="s">
        <v>34</v>
      </c>
    </row>
    <row r="87" spans="1:11">
      <c r="A87" s="4" t="s">
        <v>77</v>
      </c>
      <c r="B87" s="24">
        <v>18.245782811140469</v>
      </c>
      <c r="C87" s="24">
        <v>10.238806675019291</v>
      </c>
      <c r="D87" s="24">
        <v>5.7811546778645297</v>
      </c>
      <c r="E87" s="24">
        <v>11.11827664622405</v>
      </c>
      <c r="F87" s="24">
        <v>6.7368291561425453</v>
      </c>
      <c r="G87" s="24">
        <v>5.5395541838642206</v>
      </c>
      <c r="H87" s="24">
        <v>8.2384036235461799</v>
      </c>
      <c r="I87" s="24">
        <v>5.7660648117213924</v>
      </c>
      <c r="J87" s="24">
        <v>5.1405835224224772</v>
      </c>
      <c r="K87" s="5" t="s">
        <v>34</v>
      </c>
    </row>
    <row r="88" spans="1:11">
      <c r="A88" s="4" t="s">
        <v>78</v>
      </c>
      <c r="B88" s="24">
        <v>0.78226718212273949</v>
      </c>
      <c r="C88" s="24">
        <v>0.78226718212273949</v>
      </c>
      <c r="D88" s="24">
        <v>0.78226718212273949</v>
      </c>
      <c r="E88" s="24">
        <v>0.51336283826804774</v>
      </c>
      <c r="F88" s="24">
        <v>0.51336283826804774</v>
      </c>
      <c r="G88" s="24">
        <v>0.51336283826804774</v>
      </c>
      <c r="H88" s="24">
        <v>0.39113359106136969</v>
      </c>
      <c r="I88" s="24">
        <v>0.39113359106136969</v>
      </c>
      <c r="J88" s="24">
        <v>0.39113359106136969</v>
      </c>
      <c r="K88" s="5" t="s">
        <v>34</v>
      </c>
    </row>
    <row r="89" spans="1:11">
      <c r="A89" s="4" t="s">
        <v>79</v>
      </c>
      <c r="B89" s="24">
        <v>0.35</v>
      </c>
      <c r="C89" s="24">
        <v>0.35</v>
      </c>
      <c r="D89" s="24">
        <v>0.35</v>
      </c>
      <c r="E89" s="24">
        <v>0.22968749999999999</v>
      </c>
      <c r="F89" s="24">
        <v>0.22968749999999999</v>
      </c>
      <c r="G89" s="24">
        <v>0.22968749999999999</v>
      </c>
      <c r="H89" s="24">
        <v>0.17499999999999999</v>
      </c>
      <c r="I89" s="24">
        <v>0.17499999999999999</v>
      </c>
      <c r="J89" s="24">
        <v>0.17499999999999999</v>
      </c>
      <c r="K89" s="5" t="s">
        <v>34</v>
      </c>
    </row>
    <row r="90" spans="1:11">
      <c r="A90" s="4" t="s">
        <v>80</v>
      </c>
      <c r="B90" s="24">
        <v>0.12375</v>
      </c>
      <c r="C90" s="24">
        <v>0.12375</v>
      </c>
      <c r="D90" s="24">
        <v>0.12375</v>
      </c>
      <c r="E90" s="24">
        <v>0.12375</v>
      </c>
      <c r="F90" s="24">
        <v>0.12375</v>
      </c>
      <c r="G90" s="24">
        <v>0.12375</v>
      </c>
      <c r="H90" s="24">
        <v>0.12375</v>
      </c>
      <c r="I90" s="24">
        <v>0.12375</v>
      </c>
      <c r="J90" s="24">
        <v>0.12375</v>
      </c>
      <c r="K90" s="5" t="s">
        <v>34</v>
      </c>
    </row>
    <row r="91" spans="1:11">
      <c r="A91" s="4" t="s">
        <v>89</v>
      </c>
      <c r="B91" s="24">
        <v>15.686</v>
      </c>
      <c r="C91" s="24">
        <v>15.686</v>
      </c>
      <c r="D91" s="24">
        <v>15.686</v>
      </c>
      <c r="E91" s="24">
        <v>4.6035000000000004</v>
      </c>
      <c r="F91" s="24">
        <v>4.6035000000000004</v>
      </c>
      <c r="G91" s="24">
        <v>4.6035000000000004</v>
      </c>
      <c r="H91" s="24">
        <v>2.7280000000000002</v>
      </c>
      <c r="I91" s="24">
        <v>2.7280000000000002</v>
      </c>
      <c r="J91" s="24">
        <v>2.7280000000000002</v>
      </c>
      <c r="K91" s="5" t="s">
        <v>34</v>
      </c>
    </row>
    <row r="92" spans="1:11">
      <c r="A92" s="4" t="s">
        <v>90</v>
      </c>
      <c r="B92" s="24">
        <v>0.04</v>
      </c>
      <c r="C92" s="24">
        <v>0.04</v>
      </c>
      <c r="D92" s="24">
        <v>0.04</v>
      </c>
      <c r="E92" s="24">
        <v>0.04</v>
      </c>
      <c r="F92" s="24">
        <v>0.04</v>
      </c>
      <c r="G92" s="24">
        <v>0.04</v>
      </c>
      <c r="H92" s="24">
        <v>0.04</v>
      </c>
      <c r="I92" s="24">
        <v>0.04</v>
      </c>
      <c r="J92" s="24">
        <v>0.04</v>
      </c>
      <c r="K92" s="5" t="s">
        <v>34</v>
      </c>
    </row>
    <row r="93" spans="1:11">
      <c r="A93" s="4" t="s">
        <v>68</v>
      </c>
      <c r="B93" s="24">
        <v>3.7500000000000012E-2</v>
      </c>
      <c r="C93" s="24">
        <v>3.7500000000000012E-2</v>
      </c>
      <c r="D93" s="24">
        <v>3.7500000000000012E-2</v>
      </c>
      <c r="E93" s="24">
        <v>2.1250000000000002E-2</v>
      </c>
      <c r="F93" s="24">
        <v>2.1250000000000002E-2</v>
      </c>
      <c r="G93" s="24">
        <v>2.1250000000000002E-2</v>
      </c>
      <c r="H93" s="24">
        <v>1.2500000000000001E-2</v>
      </c>
      <c r="I93" s="24">
        <v>1.2500000000000001E-2</v>
      </c>
      <c r="J93" s="24">
        <v>1.2500000000000001E-2</v>
      </c>
      <c r="K93" s="5" t="s">
        <v>34</v>
      </c>
    </row>
    <row r="94" spans="1:11">
      <c r="B94" s="24"/>
      <c r="C94" s="24"/>
      <c r="D94" s="24"/>
      <c r="E94" s="24"/>
      <c r="F94" s="24"/>
      <c r="G94" s="24"/>
      <c r="H94" s="24"/>
      <c r="I94" s="24"/>
      <c r="J94" s="24"/>
    </row>
    <row r="95" spans="1:11">
      <c r="A95" s="4" t="s">
        <v>55</v>
      </c>
      <c r="B95" s="24">
        <v>9.4671086031460874</v>
      </c>
      <c r="C95" s="24">
        <v>8.7767882395144916</v>
      </c>
      <c r="D95" s="24">
        <v>6.0304295942816921</v>
      </c>
      <c r="E95" s="24">
        <v>6.1403499917887654</v>
      </c>
      <c r="F95" s="24">
        <v>6.0038345072313506</v>
      </c>
      <c r="G95" s="24">
        <v>3.627438309728872</v>
      </c>
      <c r="H95" s="24">
        <v>4.8195290658634216</v>
      </c>
      <c r="I95" s="24">
        <v>4.5290093043451671</v>
      </c>
      <c r="J95" s="24">
        <v>2.8038047894314619</v>
      </c>
      <c r="K95" s="5" t="s">
        <v>34</v>
      </c>
    </row>
    <row r="96" spans="1:11">
      <c r="A96" s="4" t="s">
        <v>56</v>
      </c>
      <c r="B96" s="24">
        <v>10.904743244305131</v>
      </c>
      <c r="C96" s="24">
        <v>10.48897549394294</v>
      </c>
      <c r="D96" s="24">
        <v>7.3538192514360574</v>
      </c>
      <c r="E96" s="24">
        <v>7.6241063549890242</v>
      </c>
      <c r="F96" s="24">
        <v>7.9644195594050844</v>
      </c>
      <c r="G96" s="24">
        <v>4.8900367285325643</v>
      </c>
      <c r="H96" s="24">
        <v>6.0281735775637886</v>
      </c>
      <c r="I96" s="24">
        <v>5.9505314620820293</v>
      </c>
      <c r="J96" s="24">
        <v>3.8706045609316431</v>
      </c>
      <c r="K96" s="5" t="s">
        <v>34</v>
      </c>
    </row>
    <row r="98" spans="1:11">
      <c r="A98" s="4" t="s">
        <v>91</v>
      </c>
      <c r="B98" s="20">
        <f t="shared" ref="B98:J98" si="20">SUM(B86:B93)</f>
        <v>41.757636537470852</v>
      </c>
      <c r="C98" s="16">
        <f t="shared" si="20"/>
        <v>35.726177307969742</v>
      </c>
      <c r="D98" s="20">
        <f t="shared" si="20"/>
        <v>27.336305944304549</v>
      </c>
      <c r="E98" s="20">
        <f t="shared" si="20"/>
        <v>20.283337705804403</v>
      </c>
      <c r="F98" s="20">
        <f t="shared" si="20"/>
        <v>16.80534743875722</v>
      </c>
      <c r="G98" s="20">
        <f t="shared" si="20"/>
        <v>13.809762374915342</v>
      </c>
      <c r="H98" s="20">
        <f t="shared" si="20"/>
        <v>14.33837712773609</v>
      </c>
      <c r="I98" s="20">
        <f t="shared" si="20"/>
        <v>12.393025235876712</v>
      </c>
      <c r="J98" s="20">
        <f t="shared" si="20"/>
        <v>10.718589029694268</v>
      </c>
      <c r="K98" s="5" t="s">
        <v>34</v>
      </c>
    </row>
    <row r="100" spans="1:11">
      <c r="A100" s="4" t="s">
        <v>70</v>
      </c>
      <c r="B100" s="20">
        <f t="shared" ref="B100:J100" si="21">(B87+B90)/B19</f>
        <v>1.9602460848606786</v>
      </c>
      <c r="C100" s="20">
        <f t="shared" si="21"/>
        <v>1.9705731492023526</v>
      </c>
      <c r="D100" s="20">
        <f t="shared" si="21"/>
        <v>1.9887183768435117</v>
      </c>
      <c r="E100" s="20">
        <f t="shared" si="21"/>
        <v>1.8864371680518126</v>
      </c>
      <c r="F100" s="20">
        <f t="shared" si="21"/>
        <v>1.899942492412384</v>
      </c>
      <c r="G100" s="20">
        <f t="shared" si="21"/>
        <v>1.9073495201921888</v>
      </c>
      <c r="H100" s="20">
        <f t="shared" si="21"/>
        <v>1.7573080228516513</v>
      </c>
      <c r="I100" s="20">
        <f t="shared" si="21"/>
        <v>1.7684587560476237</v>
      </c>
      <c r="J100" s="20">
        <f t="shared" si="21"/>
        <v>1.7729798174593161</v>
      </c>
      <c r="K100" s="5" t="s">
        <v>71</v>
      </c>
    </row>
    <row r="102" spans="1:11">
      <c r="A102" s="4" t="s">
        <v>58</v>
      </c>
      <c r="B102" s="4">
        <v>25</v>
      </c>
      <c r="C102" s="4">
        <v>25</v>
      </c>
      <c r="D102" s="4">
        <v>25</v>
      </c>
      <c r="E102" s="4">
        <v>25</v>
      </c>
      <c r="F102" s="4">
        <v>25</v>
      </c>
      <c r="G102" s="4">
        <v>25</v>
      </c>
      <c r="H102" s="4">
        <v>25</v>
      </c>
      <c r="I102" s="4">
        <v>25</v>
      </c>
      <c r="J102" s="4">
        <v>25</v>
      </c>
      <c r="K102" s="5" t="s">
        <v>59</v>
      </c>
    </row>
    <row r="103" spans="1:11">
      <c r="A103" s="4" t="s">
        <v>52</v>
      </c>
      <c r="B103" s="34">
        <f t="shared" ref="B103:J103" si="22">(B$1*(1+B$1)^B102)/((1+B$1)^B102-1)</f>
        <v>7.8226718212273949E-2</v>
      </c>
      <c r="C103" s="34">
        <f t="shared" si="22"/>
        <v>7.8226718212273949E-2</v>
      </c>
      <c r="D103" s="34">
        <f t="shared" si="22"/>
        <v>7.8226718212273949E-2</v>
      </c>
      <c r="E103" s="34">
        <f t="shared" si="22"/>
        <v>7.8226718212273949E-2</v>
      </c>
      <c r="F103" s="34">
        <f t="shared" si="22"/>
        <v>7.8226718212273949E-2</v>
      </c>
      <c r="G103" s="34">
        <f t="shared" si="22"/>
        <v>7.8226718212273949E-2</v>
      </c>
      <c r="H103" s="34">
        <f t="shared" si="22"/>
        <v>7.8226718212273949E-2</v>
      </c>
      <c r="I103" s="34">
        <f t="shared" si="22"/>
        <v>7.8226718212273949E-2</v>
      </c>
      <c r="J103" s="34">
        <f t="shared" si="22"/>
        <v>7.8226718212273949E-2</v>
      </c>
      <c r="K103" s="5" t="s">
        <v>31</v>
      </c>
    </row>
    <row r="105" spans="1:11">
      <c r="A105" s="4" t="s">
        <v>60</v>
      </c>
      <c r="B105" s="29">
        <f t="shared" ref="B105:J105" si="23">(B$2*(1+B$2)^B102)/((1+B$2)^B102-1)</f>
        <v>7.8226718212273949E-2</v>
      </c>
      <c r="C105" s="29">
        <f t="shared" si="23"/>
        <v>7.8226718212273949E-2</v>
      </c>
      <c r="D105" s="29">
        <f t="shared" si="23"/>
        <v>7.8226718212273949E-2</v>
      </c>
      <c r="E105" s="29">
        <f t="shared" si="23"/>
        <v>7.8226718212273949E-2</v>
      </c>
      <c r="F105" s="29">
        <f t="shared" si="23"/>
        <v>7.8226718212273949E-2</v>
      </c>
      <c r="G105" s="29">
        <f t="shared" si="23"/>
        <v>7.8226718212273949E-2</v>
      </c>
      <c r="H105" s="29">
        <f t="shared" si="23"/>
        <v>7.8226718212273949E-2</v>
      </c>
      <c r="I105" s="29">
        <f t="shared" si="23"/>
        <v>7.8226718212273949E-2</v>
      </c>
      <c r="J105" s="29">
        <f t="shared" si="23"/>
        <v>7.8226718212273949E-2</v>
      </c>
      <c r="K105" s="5" t="s">
        <v>31</v>
      </c>
    </row>
    <row r="106" spans="1:11">
      <c r="A106" s="4" t="s">
        <v>72</v>
      </c>
      <c r="B106" s="29">
        <f t="shared" ref="B106:J106" si="24">B100*B3</f>
        <v>11.291017448797508</v>
      </c>
      <c r="C106" s="29">
        <f t="shared" si="24"/>
        <v>11.35050133940555</v>
      </c>
      <c r="D106" s="29">
        <f t="shared" si="24"/>
        <v>11.455017850618628</v>
      </c>
      <c r="E106" s="29">
        <f t="shared" si="24"/>
        <v>11.242026646224049</v>
      </c>
      <c r="F106" s="29">
        <f t="shared" si="24"/>
        <v>6.8605791561425455</v>
      </c>
      <c r="G106" s="29">
        <f t="shared" si="24"/>
        <v>5.6633041838642217</v>
      </c>
      <c r="H106" s="29">
        <f t="shared" si="24"/>
        <v>1.7397349426231348</v>
      </c>
      <c r="I106" s="29">
        <f t="shared" si="24"/>
        <v>1.7507741684871474</v>
      </c>
      <c r="J106" s="29">
        <f t="shared" si="24"/>
        <v>1.7552500192847229</v>
      </c>
      <c r="K106" s="5" t="s">
        <v>34</v>
      </c>
    </row>
    <row r="107" spans="1:11">
      <c r="A107" s="4" t="s">
        <v>73</v>
      </c>
      <c r="B107" s="29">
        <f t="shared" ref="B107:J107" si="25">B88/B103*B105</f>
        <v>0.78226718212273949</v>
      </c>
      <c r="C107" s="29">
        <f t="shared" si="25"/>
        <v>0.78226718212273949</v>
      </c>
      <c r="D107" s="29">
        <f t="shared" si="25"/>
        <v>0.78226718212273949</v>
      </c>
      <c r="E107" s="29">
        <f t="shared" si="25"/>
        <v>0.51336283826804774</v>
      </c>
      <c r="F107" s="29">
        <f t="shared" si="25"/>
        <v>0.51336283826804774</v>
      </c>
      <c r="G107" s="29">
        <f t="shared" si="25"/>
        <v>0.51336283826804774</v>
      </c>
      <c r="H107" s="29">
        <f t="shared" si="25"/>
        <v>0.39113359106136969</v>
      </c>
      <c r="I107" s="29">
        <f t="shared" si="25"/>
        <v>0.39113359106136969</v>
      </c>
      <c r="J107" s="29">
        <f t="shared" si="25"/>
        <v>0.39113359106136969</v>
      </c>
      <c r="K107" s="5" t="s">
        <v>34</v>
      </c>
    </row>
    <row r="108" spans="1:11">
      <c r="K108" s="4"/>
    </row>
    <row r="109" spans="1:11">
      <c r="A109" s="4" t="s">
        <v>92</v>
      </c>
      <c r="B109" s="29">
        <f t="shared" ref="B109:J109" si="26">B91/B5*B6</f>
        <v>39.344579999999993</v>
      </c>
      <c r="C109" s="29">
        <f t="shared" si="26"/>
        <v>39.344579999999993</v>
      </c>
      <c r="D109" s="29">
        <f t="shared" si="26"/>
        <v>39.344579999999993</v>
      </c>
      <c r="E109" s="29">
        <f t="shared" si="26"/>
        <v>4.6035000000000004</v>
      </c>
      <c r="F109" s="29">
        <f t="shared" si="26"/>
        <v>4.6035000000000004</v>
      </c>
      <c r="G109" s="29">
        <f t="shared" si="26"/>
        <v>4.6035000000000004</v>
      </c>
      <c r="H109" s="29">
        <f t="shared" si="26"/>
        <v>14.731200000000003</v>
      </c>
      <c r="I109" s="29">
        <f t="shared" si="26"/>
        <v>14.731200000000003</v>
      </c>
      <c r="J109" s="29">
        <f t="shared" si="26"/>
        <v>14.731200000000003</v>
      </c>
      <c r="K109" s="5" t="s">
        <v>34</v>
      </c>
    </row>
    <row r="110" spans="1:11">
      <c r="K110" s="4"/>
    </row>
    <row r="111" spans="1:11">
      <c r="A111" s="4" t="s">
        <v>93</v>
      </c>
      <c r="B111" s="29">
        <f t="shared" ref="B111:J111" si="27">B98-B87-B90+B106-B88+B107-B91+B109</f>
        <v>58.337701175127883</v>
      </c>
      <c r="C111" s="29">
        <f t="shared" si="27"/>
        <v>60.372701972355991</v>
      </c>
      <c r="D111" s="29">
        <f t="shared" si="27"/>
        <v>56.544999117058644</v>
      </c>
      <c r="E111" s="29">
        <f t="shared" si="27"/>
        <v>20.283337705804403</v>
      </c>
      <c r="F111" s="29">
        <f t="shared" si="27"/>
        <v>16.805347438757224</v>
      </c>
      <c r="G111" s="29">
        <f t="shared" si="27"/>
        <v>13.809762374915344</v>
      </c>
      <c r="H111" s="29">
        <f t="shared" si="27"/>
        <v>19.719158446813047</v>
      </c>
      <c r="I111" s="29">
        <f t="shared" si="27"/>
        <v>20.257184592642467</v>
      </c>
      <c r="J111" s="29">
        <f t="shared" si="27"/>
        <v>19.212705526556519</v>
      </c>
      <c r="K111" s="5" t="s">
        <v>34</v>
      </c>
    </row>
    <row r="112" spans="1:11">
      <c r="A112" s="4" t="s">
        <v>93</v>
      </c>
      <c r="B112" s="40">
        <f t="shared" ref="B112:J112" si="28">B111/3.6</f>
        <v>16.204916993091079</v>
      </c>
      <c r="C112" s="40">
        <f t="shared" si="28"/>
        <v>16.770194992321109</v>
      </c>
      <c r="D112" s="40">
        <f t="shared" si="28"/>
        <v>15.706944199182956</v>
      </c>
      <c r="E112" s="40">
        <f t="shared" si="28"/>
        <v>5.6342604738345559</v>
      </c>
      <c r="F112" s="40">
        <f t="shared" si="28"/>
        <v>4.6681520663214506</v>
      </c>
      <c r="G112" s="40">
        <f t="shared" si="28"/>
        <v>3.8360451041431509</v>
      </c>
      <c r="H112" s="40">
        <f t="shared" si="28"/>
        <v>5.4775440130036239</v>
      </c>
      <c r="I112" s="40">
        <f t="shared" si="28"/>
        <v>5.6269957201784626</v>
      </c>
      <c r="J112" s="40">
        <f t="shared" si="28"/>
        <v>5.3368626462656996</v>
      </c>
      <c r="K112" s="5" t="s">
        <v>94</v>
      </c>
    </row>
    <row r="113" spans="1:11">
      <c r="A113" s="4" t="s">
        <v>93</v>
      </c>
      <c r="B113" s="40">
        <f>B112*Inputs!$C$14 / 100</f>
        <v>5.6214208852353238</v>
      </c>
      <c r="C113" s="40">
        <f>C112*Inputs!$C$14 / 100</f>
        <v>5.8175135620562237</v>
      </c>
      <c r="D113" s="40">
        <f>D112*Inputs!$C$14 / 100</f>
        <v>5.4486761149197722</v>
      </c>
      <c r="E113" s="40">
        <f>E112*Inputs!$C$14 / 100</f>
        <v>1.9545024213313125</v>
      </c>
      <c r="F113" s="40">
        <f>F112*Inputs!$C$14 / 100</f>
        <v>1.6193632791986463</v>
      </c>
      <c r="G113" s="40">
        <f>G112*Inputs!$C$14 / 100</f>
        <v>1.3307087024468427</v>
      </c>
      <c r="H113" s="40">
        <f>H112*Inputs!$C$14 / 100</f>
        <v>1.9001381079349053</v>
      </c>
      <c r="I113" s="40">
        <f>I112*Inputs!$C$14 / 100</f>
        <v>1.9519823073470284</v>
      </c>
      <c r="J113" s="40">
        <f>J112*Inputs!$C$14 / 100</f>
        <v>1.8513363045389863</v>
      </c>
      <c r="K113" s="5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3"/>
  <sheetViews>
    <sheetView topLeftCell="A77" workbookViewId="0">
      <selection activeCell="A115" sqref="A115"/>
    </sheetView>
  </sheetViews>
  <sheetFormatPr defaultColWidth="8.75" defaultRowHeight="15.75"/>
  <cols>
    <col min="1" max="1" width="31.5" style="4" bestFit="1" customWidth="1"/>
    <col min="2" max="3" width="14" style="4" bestFit="1" customWidth="1"/>
    <col min="4" max="10" width="8.75" style="4" customWidth="1"/>
    <col min="11" max="11" width="8.75" style="5" customWidth="1"/>
    <col min="12" max="12" width="8.75" style="4" customWidth="1"/>
    <col min="13" max="13" width="9.5" style="4" bestFit="1" customWidth="1"/>
    <col min="14" max="14" width="12.25" style="4" bestFit="1" customWidth="1"/>
    <col min="15" max="15" width="9.5" style="4" bestFit="1" customWidth="1"/>
    <col min="16" max="16" width="8.75" style="4" customWidth="1"/>
    <col min="17" max="16384" width="8.75" style="4"/>
  </cols>
  <sheetData>
    <row r="1" spans="1:16">
      <c r="A1" s="4" t="s">
        <v>30</v>
      </c>
      <c r="B1" s="6">
        <v>0.06</v>
      </c>
      <c r="C1" s="6">
        <v>0.06</v>
      </c>
      <c r="D1" s="6">
        <v>0.06</v>
      </c>
      <c r="E1" s="6">
        <v>0.06</v>
      </c>
      <c r="F1" s="6">
        <v>0.06</v>
      </c>
      <c r="G1" s="6">
        <v>0.06</v>
      </c>
      <c r="H1" s="6">
        <v>0.06</v>
      </c>
      <c r="I1" s="6">
        <v>0.06</v>
      </c>
      <c r="J1" s="6">
        <v>0.06</v>
      </c>
      <c r="K1" s="5" t="s">
        <v>31</v>
      </c>
    </row>
    <row r="2" spans="1:16">
      <c r="A2" s="4" t="s">
        <v>32</v>
      </c>
      <c r="B2" s="7">
        <f>Inputs!$C$5</f>
        <v>7.0000000000000007E-2</v>
      </c>
      <c r="C2" s="7">
        <f>Inputs!$C$5</f>
        <v>7.0000000000000007E-2</v>
      </c>
      <c r="D2" s="7">
        <f>Inputs!$C$5</f>
        <v>7.0000000000000007E-2</v>
      </c>
      <c r="E2" s="7">
        <f>Inputs!$C$5</f>
        <v>7.0000000000000007E-2</v>
      </c>
      <c r="F2" s="7">
        <f>Inputs!$C$5</f>
        <v>7.0000000000000007E-2</v>
      </c>
      <c r="G2" s="7">
        <f>Inputs!$C$5</f>
        <v>7.0000000000000007E-2</v>
      </c>
      <c r="H2" s="7">
        <f>Inputs!$C$5</f>
        <v>7.0000000000000007E-2</v>
      </c>
      <c r="I2" s="7">
        <f>Inputs!$C$5</f>
        <v>7.0000000000000007E-2</v>
      </c>
      <c r="J2" s="7">
        <f>Inputs!$C$5</f>
        <v>7.0000000000000007E-2</v>
      </c>
      <c r="K2" s="5" t="s">
        <v>31</v>
      </c>
    </row>
    <row r="3" spans="1:16">
      <c r="A3" s="4" t="s">
        <v>33</v>
      </c>
      <c r="B3" s="8">
        <f>Inputs!$C$8*Inputs!$C$6 / 10</f>
        <v>5.76</v>
      </c>
      <c r="C3" s="8">
        <f>Inputs!$C$8*Inputs!$C$6 / 10</f>
        <v>5.76</v>
      </c>
      <c r="D3" s="8">
        <f>Inputs!$C$8*Inputs!$C$6 / 10</f>
        <v>5.76</v>
      </c>
      <c r="E3" s="8">
        <v>5.9593962823760886</v>
      </c>
      <c r="F3" s="8">
        <v>3.610940427692404</v>
      </c>
      <c r="G3" s="8">
        <v>2.969201042551223</v>
      </c>
      <c r="H3" s="8">
        <f>Inputs!$C$9*Inputs!$C$6 / 10</f>
        <v>0.99</v>
      </c>
      <c r="I3" s="8">
        <f>Inputs!$C$9*Inputs!$C$6 / 10</f>
        <v>0.99</v>
      </c>
      <c r="J3" s="8">
        <f>Inputs!$C$9*Inputs!$C$6 / 10</f>
        <v>0.99</v>
      </c>
      <c r="K3" s="9" t="s">
        <v>34</v>
      </c>
    </row>
    <row r="4" spans="1:16">
      <c r="B4" s="10">
        <v>11.1</v>
      </c>
      <c r="C4" s="10">
        <v>11.1</v>
      </c>
      <c r="D4" s="10">
        <v>11.1</v>
      </c>
      <c r="E4" s="10">
        <v>7.5</v>
      </c>
      <c r="F4" s="10">
        <v>7.5</v>
      </c>
      <c r="G4" s="10">
        <v>7.5</v>
      </c>
      <c r="H4" s="10">
        <v>3.9</v>
      </c>
      <c r="I4" s="10">
        <v>3.9</v>
      </c>
      <c r="J4" s="10">
        <v>3.9</v>
      </c>
      <c r="L4" s="4" t="s">
        <v>35</v>
      </c>
    </row>
    <row r="5" spans="1:16">
      <c r="A5" s="4" t="s">
        <v>36</v>
      </c>
      <c r="B5" s="11">
        <v>460</v>
      </c>
      <c r="C5" s="11">
        <v>460</v>
      </c>
      <c r="D5" s="11">
        <v>460</v>
      </c>
      <c r="E5" s="11">
        <v>135</v>
      </c>
      <c r="F5" s="11">
        <v>135</v>
      </c>
      <c r="G5" s="11">
        <v>135</v>
      </c>
      <c r="H5" s="11">
        <v>80</v>
      </c>
      <c r="I5" s="11">
        <v>80</v>
      </c>
      <c r="J5" s="11">
        <v>80</v>
      </c>
      <c r="K5" s="5" t="s">
        <v>37</v>
      </c>
    </row>
    <row r="6" spans="1:16">
      <c r="A6" s="4" t="s">
        <v>38</v>
      </c>
      <c r="B6" s="11">
        <f>Inputs!$C$32*Inputs!$C$6</f>
        <v>1153.8</v>
      </c>
      <c r="C6" s="11">
        <f>Inputs!$C$32*Inputs!$C$6</f>
        <v>1153.8</v>
      </c>
      <c r="D6" s="11">
        <f>Inputs!$C$32*Inputs!$C$6</f>
        <v>1153.8</v>
      </c>
      <c r="E6" s="11">
        <v>135</v>
      </c>
      <c r="F6" s="11">
        <v>135</v>
      </c>
      <c r="G6" s="11">
        <v>135</v>
      </c>
      <c r="H6" s="11">
        <f>Inputs!$C$33*Inputs!$C$6</f>
        <v>432</v>
      </c>
      <c r="I6" s="11">
        <f>Inputs!$C$33*Inputs!$C$6</f>
        <v>432</v>
      </c>
      <c r="J6" s="11">
        <f>Inputs!$C$33*Inputs!$C$6</f>
        <v>432</v>
      </c>
      <c r="K6" s="5" t="s">
        <v>37</v>
      </c>
      <c r="L6" s="4" t="s">
        <v>39</v>
      </c>
    </row>
    <row r="7" spans="1:16">
      <c r="B7" s="10">
        <v>731.19866742499551</v>
      </c>
      <c r="C7" s="10">
        <v>731.19866742499551</v>
      </c>
      <c r="D7" s="10">
        <v>731.19866742499551</v>
      </c>
      <c r="E7" s="10">
        <v>449.56809837654231</v>
      </c>
      <c r="F7" s="10">
        <v>449.56809837654231</v>
      </c>
      <c r="G7" s="10">
        <v>449.56809837654231</v>
      </c>
      <c r="H7" s="10">
        <v>298.29331816455169</v>
      </c>
      <c r="I7" s="10">
        <v>298.29331816455169</v>
      </c>
      <c r="J7" s="10">
        <v>298.29331816455169</v>
      </c>
      <c r="L7" s="4" t="s">
        <v>40</v>
      </c>
    </row>
    <row r="8" spans="1:16">
      <c r="A8" s="12" t="s">
        <v>41</v>
      </c>
    </row>
    <row r="10" spans="1:16">
      <c r="B10" s="4">
        <v>2020</v>
      </c>
      <c r="E10" s="4">
        <v>2035</v>
      </c>
      <c r="H10" s="4">
        <v>2050</v>
      </c>
    </row>
    <row r="11" spans="1:16">
      <c r="B11" s="4" t="s">
        <v>42</v>
      </c>
      <c r="C11" s="4" t="s">
        <v>43</v>
      </c>
      <c r="D11" s="4" t="s">
        <v>44</v>
      </c>
      <c r="E11" s="4" t="s">
        <v>42</v>
      </c>
      <c r="F11" s="4" t="s">
        <v>43</v>
      </c>
      <c r="G11" s="4" t="s">
        <v>44</v>
      </c>
      <c r="H11" s="4" t="s">
        <v>42</v>
      </c>
      <c r="I11" s="4" t="s">
        <v>43</v>
      </c>
      <c r="J11" s="4" t="s">
        <v>44</v>
      </c>
      <c r="N11" s="4" t="s">
        <v>45</v>
      </c>
      <c r="O11" s="4" t="s">
        <v>46</v>
      </c>
    </row>
    <row r="12" spans="1:16">
      <c r="A12" s="4" t="s">
        <v>47</v>
      </c>
      <c r="B12" s="13">
        <v>5.6892158699835607</v>
      </c>
      <c r="C12" s="14">
        <v>4.0867761082899099</v>
      </c>
      <c r="D12" s="14">
        <v>2.1299153282655081</v>
      </c>
      <c r="E12" s="14">
        <v>3.5557599187397249</v>
      </c>
      <c r="F12" s="14">
        <v>2.806252927692404</v>
      </c>
      <c r="G12" s="14">
        <v>2.1299153282655081</v>
      </c>
      <c r="H12" s="14">
        <v>2.9335019329602732</v>
      </c>
      <c r="I12" s="14">
        <v>2.588291535250276</v>
      </c>
      <c r="J12" s="14">
        <v>2.1299153282655081</v>
      </c>
      <c r="K12" s="5" t="s">
        <v>34</v>
      </c>
      <c r="M12" s="4" t="s">
        <v>48</v>
      </c>
      <c r="N12" s="4">
        <v>3200</v>
      </c>
      <c r="O12" s="4">
        <v>1500</v>
      </c>
    </row>
    <row r="13" spans="1:16">
      <c r="A13" s="4" t="s">
        <v>49</v>
      </c>
      <c r="B13" s="15">
        <v>2.1818181818181821</v>
      </c>
      <c r="C13" s="15">
        <v>1.171875</v>
      </c>
      <c r="D13" s="15">
        <v>0.8392857142857143</v>
      </c>
      <c r="E13" s="15">
        <v>1.363636363636364</v>
      </c>
      <c r="F13" s="15">
        <v>0.8046875</v>
      </c>
      <c r="G13" s="15">
        <v>0.8392857142857143</v>
      </c>
      <c r="H13" s="15">
        <v>1.125</v>
      </c>
      <c r="I13" s="15">
        <v>0.7421875</v>
      </c>
      <c r="J13" s="15">
        <v>0.8392857142857143</v>
      </c>
      <c r="K13" s="5" t="s">
        <v>34</v>
      </c>
      <c r="M13" s="4" t="s">
        <v>50</v>
      </c>
      <c r="N13" s="4">
        <v>4400</v>
      </c>
      <c r="O13" s="4">
        <v>3200</v>
      </c>
    </row>
    <row r="14" spans="1:16">
      <c r="A14" s="4" t="s">
        <v>51</v>
      </c>
      <c r="B14" s="15">
        <v>1.5</v>
      </c>
      <c r="C14" s="15">
        <v>0</v>
      </c>
      <c r="D14" s="15">
        <v>0</v>
      </c>
      <c r="E14" s="15">
        <v>1.04</v>
      </c>
      <c r="F14" s="15">
        <v>0</v>
      </c>
      <c r="G14" s="15">
        <v>0</v>
      </c>
      <c r="H14" s="15">
        <v>0.7</v>
      </c>
      <c r="I14" s="15">
        <v>0</v>
      </c>
      <c r="J14" s="15">
        <v>0</v>
      </c>
      <c r="K14" s="5" t="s">
        <v>34</v>
      </c>
      <c r="M14" s="4" t="s">
        <v>52</v>
      </c>
      <c r="N14" s="16">
        <f>B23</f>
        <v>7.8226718212273949E-2</v>
      </c>
      <c r="O14" s="16">
        <f>C23</f>
        <v>8.7184556976851402E-2</v>
      </c>
    </row>
    <row r="15" spans="1:16">
      <c r="B15" s="15"/>
      <c r="C15" s="15"/>
      <c r="D15" s="15"/>
      <c r="E15" s="15"/>
      <c r="F15" s="15"/>
      <c r="G15" s="15"/>
      <c r="H15" s="15"/>
      <c r="I15" s="15"/>
      <c r="J15" s="15"/>
      <c r="M15" s="4" t="s">
        <v>53</v>
      </c>
      <c r="N15" s="4">
        <f>N12*N14/N13</f>
        <v>5.6892158699835604E-2</v>
      </c>
      <c r="O15" s="4">
        <f>O12*O14/O13</f>
        <v>4.08677610828991E-2</v>
      </c>
      <c r="P15" s="4" t="s">
        <v>54</v>
      </c>
    </row>
    <row r="16" spans="1:16">
      <c r="A16" s="4" t="s">
        <v>55</v>
      </c>
      <c r="B16" s="15">
        <v>1.3774309590653071</v>
      </c>
      <c r="C16" s="15">
        <v>0.80426428715022169</v>
      </c>
      <c r="D16" s="15">
        <v>0.37115013031890293</v>
      </c>
      <c r="E16" s="15">
        <v>1.323864199546098</v>
      </c>
      <c r="F16" s="15">
        <v>1.185774269516352</v>
      </c>
      <c r="G16" s="15">
        <v>0.37115013031890293</v>
      </c>
      <c r="H16" s="15">
        <v>1.2927080230910499</v>
      </c>
      <c r="I16" s="15">
        <v>1.020796979844512</v>
      </c>
      <c r="J16" s="15">
        <v>0.37115013031890293</v>
      </c>
      <c r="K16" s="5" t="s">
        <v>34</v>
      </c>
      <c r="N16" s="17">
        <f>N15*100</f>
        <v>5.6892158699835607</v>
      </c>
      <c r="O16" s="18">
        <f>O15*100</f>
        <v>4.0867761082899099</v>
      </c>
      <c r="P16" s="4" t="s">
        <v>34</v>
      </c>
    </row>
    <row r="17" spans="1:15">
      <c r="A17" s="4" t="s">
        <v>56</v>
      </c>
      <c r="B17" s="15">
        <v>1.4414975153008991</v>
      </c>
      <c r="C17" s="15">
        <v>0.91149952543691715</v>
      </c>
      <c r="D17" s="15">
        <v>0.49486684042520368</v>
      </c>
      <c r="E17" s="15">
        <v>1.3602702743593409</v>
      </c>
      <c r="F17" s="15">
        <v>1.381272357777483</v>
      </c>
      <c r="G17" s="15">
        <v>0.49486684042520368</v>
      </c>
      <c r="H17" s="15">
        <v>1.3528339776534239</v>
      </c>
      <c r="I17" s="15">
        <v>1.156903243823781</v>
      </c>
      <c r="J17" s="15">
        <v>0.49486684042520368</v>
      </c>
      <c r="K17" s="5" t="s">
        <v>34</v>
      </c>
      <c r="O17" s="19"/>
    </row>
    <row r="18" spans="1:15">
      <c r="B18" s="20"/>
      <c r="C18" s="20"/>
      <c r="D18" s="20"/>
      <c r="E18" s="20"/>
      <c r="F18" s="20"/>
      <c r="G18" s="20"/>
      <c r="H18" s="20"/>
      <c r="I18" s="20"/>
      <c r="J18" s="20"/>
    </row>
    <row r="19" spans="1:15">
      <c r="A19" s="4" t="s">
        <v>10</v>
      </c>
      <c r="B19" s="16">
        <f t="shared" ref="B19:J19" si="0">SUM(B12:B14)</f>
        <v>9.3710340518017432</v>
      </c>
      <c r="C19" s="16">
        <f t="shared" si="0"/>
        <v>5.2586511082899099</v>
      </c>
      <c r="D19" s="16">
        <f t="shared" si="0"/>
        <v>2.9692010425512225</v>
      </c>
      <c r="E19" s="16">
        <f t="shared" si="0"/>
        <v>5.9593962823760886</v>
      </c>
      <c r="F19" s="16">
        <f t="shared" si="0"/>
        <v>3.610940427692404</v>
      </c>
      <c r="G19" s="16">
        <f t="shared" si="0"/>
        <v>2.9692010425512225</v>
      </c>
      <c r="H19" s="16">
        <f t="shared" si="0"/>
        <v>4.7585019329602734</v>
      </c>
      <c r="I19" s="16">
        <f t="shared" si="0"/>
        <v>3.330479035250276</v>
      </c>
      <c r="J19" s="16">
        <f t="shared" si="0"/>
        <v>2.9692010425512225</v>
      </c>
      <c r="K19" s="5" t="s">
        <v>34</v>
      </c>
    </row>
    <row r="20" spans="1:15">
      <c r="A20" s="4" t="s">
        <v>10</v>
      </c>
      <c r="B20" s="16">
        <f t="shared" ref="B20:J20" si="1">B19*10</f>
        <v>93.710340518017432</v>
      </c>
      <c r="C20" s="16">
        <f t="shared" si="1"/>
        <v>52.586511082899101</v>
      </c>
      <c r="D20" s="16">
        <f t="shared" si="1"/>
        <v>29.692010425512226</v>
      </c>
      <c r="E20" s="16">
        <f t="shared" si="1"/>
        <v>59.59396282376089</v>
      </c>
      <c r="F20" s="16">
        <f t="shared" si="1"/>
        <v>36.109404276924039</v>
      </c>
      <c r="G20" s="16">
        <f t="shared" si="1"/>
        <v>29.692010425512226</v>
      </c>
      <c r="H20" s="16">
        <f t="shared" si="1"/>
        <v>47.58501932960273</v>
      </c>
      <c r="I20" s="16">
        <f t="shared" si="1"/>
        <v>33.304790352502764</v>
      </c>
      <c r="J20" s="16">
        <f t="shared" si="1"/>
        <v>29.692010425512226</v>
      </c>
      <c r="K20" s="5" t="s">
        <v>57</v>
      </c>
    </row>
    <row r="21" spans="1:15">
      <c r="B21" s="16"/>
      <c r="C21" s="16"/>
      <c r="D21" s="16"/>
      <c r="E21" s="16"/>
      <c r="F21" s="16"/>
      <c r="G21" s="16"/>
      <c r="H21" s="16"/>
      <c r="I21" s="16"/>
      <c r="J21" s="16"/>
    </row>
    <row r="22" spans="1:15">
      <c r="A22" s="4" t="s">
        <v>58</v>
      </c>
      <c r="B22" s="21">
        <v>25</v>
      </c>
      <c r="C22" s="21">
        <v>20</v>
      </c>
      <c r="D22" s="21">
        <v>50</v>
      </c>
      <c r="E22" s="21">
        <v>25</v>
      </c>
      <c r="F22" s="21">
        <v>20</v>
      </c>
      <c r="G22" s="21">
        <v>50</v>
      </c>
      <c r="H22" s="21">
        <v>25</v>
      </c>
      <c r="I22" s="21">
        <v>20</v>
      </c>
      <c r="J22" s="21">
        <v>50</v>
      </c>
      <c r="K22" s="5" t="s">
        <v>59</v>
      </c>
      <c r="M22" s="4" t="s">
        <v>7</v>
      </c>
    </row>
    <row r="23" spans="1:15">
      <c r="A23" s="4" t="s">
        <v>52</v>
      </c>
      <c r="B23" s="21">
        <f t="shared" ref="B23:J23" si="2">(B$1*(1+B$1)^B22)/((1+B$1)^B22-1)</f>
        <v>7.8226718212273949E-2</v>
      </c>
      <c r="C23" s="21">
        <f t="shared" si="2"/>
        <v>8.7184556976851402E-2</v>
      </c>
      <c r="D23" s="21">
        <f t="shared" si="2"/>
        <v>6.3444286373866191E-2</v>
      </c>
      <c r="E23" s="21">
        <f t="shared" si="2"/>
        <v>7.8226718212273949E-2</v>
      </c>
      <c r="F23" s="21">
        <f t="shared" si="2"/>
        <v>8.7184556976851402E-2</v>
      </c>
      <c r="G23" s="21">
        <f t="shared" si="2"/>
        <v>6.3444286373866191E-2</v>
      </c>
      <c r="H23" s="21">
        <f t="shared" si="2"/>
        <v>7.8226718212273949E-2</v>
      </c>
      <c r="I23" s="21">
        <f t="shared" si="2"/>
        <v>8.7184556976851402E-2</v>
      </c>
      <c r="J23" s="21">
        <f t="shared" si="2"/>
        <v>6.3444286373866191E-2</v>
      </c>
      <c r="K23" s="5" t="s">
        <v>31</v>
      </c>
      <c r="M23" s="4" t="s">
        <v>7</v>
      </c>
    </row>
    <row r="24" spans="1:15">
      <c r="B24" s="21"/>
      <c r="C24" s="21"/>
      <c r="D24" s="21"/>
      <c r="E24" s="21"/>
      <c r="F24" s="21"/>
      <c r="G24" s="21"/>
      <c r="H24" s="21"/>
      <c r="I24" s="21"/>
      <c r="J24" s="21"/>
    </row>
    <row r="25" spans="1:15">
      <c r="A25" s="4" t="s">
        <v>60</v>
      </c>
      <c r="B25" s="22">
        <f t="shared" ref="B25:J25" si="3">(B$2*(1+B$2)^B22)/((1+B$2)^B22-1)</f>
        <v>8.5810517220665614E-2</v>
      </c>
      <c r="C25" s="22">
        <f t="shared" si="3"/>
        <v>9.4392925743255696E-2</v>
      </c>
      <c r="D25" s="22">
        <f t="shared" si="3"/>
        <v>7.2459849539607685E-2</v>
      </c>
      <c r="E25" s="22">
        <f t="shared" si="3"/>
        <v>8.5810517220665614E-2</v>
      </c>
      <c r="F25" s="22">
        <f t="shared" si="3"/>
        <v>9.4392925743255696E-2</v>
      </c>
      <c r="G25" s="22">
        <f t="shared" si="3"/>
        <v>7.2459849539607685E-2</v>
      </c>
      <c r="H25" s="22">
        <f t="shared" si="3"/>
        <v>8.5810517220665614E-2</v>
      </c>
      <c r="I25" s="22">
        <f t="shared" si="3"/>
        <v>9.4392925743255696E-2</v>
      </c>
      <c r="J25" s="22">
        <f t="shared" si="3"/>
        <v>7.2459849539607685E-2</v>
      </c>
      <c r="K25" s="5" t="s">
        <v>31</v>
      </c>
      <c r="M25" s="4" t="s">
        <v>7</v>
      </c>
    </row>
    <row r="26" spans="1:15">
      <c r="A26" s="4" t="s">
        <v>61</v>
      </c>
      <c r="B26" s="23">
        <f t="shared" ref="B26:J26" si="4">B12/B23*B25</f>
        <v>6.2407648887756819</v>
      </c>
      <c r="C26" s="23">
        <f t="shared" si="4"/>
        <v>4.4246683942151117</v>
      </c>
      <c r="D26" s="23">
        <f t="shared" si="4"/>
        <v>2.432580663115401</v>
      </c>
      <c r="E26" s="23">
        <f t="shared" si="4"/>
        <v>3.9004780554848004</v>
      </c>
      <c r="F26" s="23">
        <f t="shared" si="4"/>
        <v>3.0382722973610421</v>
      </c>
      <c r="G26" s="23">
        <f t="shared" si="4"/>
        <v>2.432580663115401</v>
      </c>
      <c r="H26" s="23">
        <f t="shared" si="4"/>
        <v>3.2178943957749606</v>
      </c>
      <c r="I26" s="23">
        <f t="shared" si="4"/>
        <v>2.8022899830029036</v>
      </c>
      <c r="J26" s="23">
        <f t="shared" si="4"/>
        <v>2.432580663115401</v>
      </c>
      <c r="K26" s="5" t="s">
        <v>34</v>
      </c>
      <c r="M26" s="4" t="s">
        <v>7</v>
      </c>
    </row>
    <row r="27" spans="1:15">
      <c r="A27" s="4" t="s">
        <v>33</v>
      </c>
      <c r="B27" s="22">
        <f t="shared" ref="B27:J27" si="5">B19-B12+B26</f>
        <v>9.9225830705938645</v>
      </c>
      <c r="C27" s="22">
        <f t="shared" si="5"/>
        <v>5.5965433942151117</v>
      </c>
      <c r="D27" s="22">
        <f t="shared" si="5"/>
        <v>3.2718663774011154</v>
      </c>
      <c r="E27" s="22">
        <f t="shared" si="5"/>
        <v>6.3041144191211647</v>
      </c>
      <c r="F27" s="22">
        <f t="shared" si="5"/>
        <v>3.8429597973610421</v>
      </c>
      <c r="G27" s="22">
        <f t="shared" si="5"/>
        <v>3.2718663774011154</v>
      </c>
      <c r="H27" s="22">
        <f t="shared" si="5"/>
        <v>5.0428943957749608</v>
      </c>
      <c r="I27" s="22">
        <f t="shared" si="5"/>
        <v>3.5444774830029036</v>
      </c>
      <c r="J27" s="22">
        <f t="shared" si="5"/>
        <v>3.2718663774011154</v>
      </c>
      <c r="K27" s="5" t="s">
        <v>34</v>
      </c>
    </row>
    <row r="29" spans="1:15">
      <c r="A29" s="12" t="s">
        <v>62</v>
      </c>
    </row>
    <row r="31" spans="1:15">
      <c r="B31" s="4">
        <v>2020</v>
      </c>
      <c r="E31" s="4">
        <v>2035</v>
      </c>
      <c r="H31" s="4">
        <v>2050</v>
      </c>
    </row>
    <row r="32" spans="1:15">
      <c r="B32" s="4" t="s">
        <v>42</v>
      </c>
      <c r="C32" s="4" t="s">
        <v>43</v>
      </c>
      <c r="D32" s="4" t="s">
        <v>44</v>
      </c>
      <c r="E32" s="4" t="s">
        <v>42</v>
      </c>
      <c r="F32" s="4" t="s">
        <v>43</v>
      </c>
      <c r="G32" s="4" t="s">
        <v>44</v>
      </c>
      <c r="H32" s="4" t="s">
        <v>42</v>
      </c>
      <c r="I32" s="4" t="s">
        <v>43</v>
      </c>
      <c r="J32" s="4" t="s">
        <v>44</v>
      </c>
    </row>
    <row r="33" spans="1:13">
      <c r="A33" s="4" t="s">
        <v>63</v>
      </c>
      <c r="B33" s="24">
        <v>3.0462117683907302</v>
      </c>
      <c r="C33" s="24">
        <v>4.1885411815372544</v>
      </c>
      <c r="D33" s="24">
        <v>1.9147616829884591</v>
      </c>
      <c r="E33" s="24">
        <v>1.393114893536086</v>
      </c>
      <c r="F33" s="24">
        <v>1.9155329786121189</v>
      </c>
      <c r="G33" s="24">
        <v>0.87567221879411128</v>
      </c>
      <c r="H33" s="24">
        <v>0.81260441356240254</v>
      </c>
      <c r="I33" s="24">
        <v>1.117331068648304</v>
      </c>
      <c r="J33" s="24">
        <v>0.51077991709636728</v>
      </c>
      <c r="K33" s="5" t="s">
        <v>34</v>
      </c>
      <c r="M33" s="25"/>
    </row>
    <row r="34" spans="1:13">
      <c r="A34" s="4" t="s">
        <v>64</v>
      </c>
      <c r="B34" s="24">
        <v>1.168224299065421</v>
      </c>
      <c r="C34" s="24">
        <v>1.606308411214953</v>
      </c>
      <c r="D34" s="24">
        <v>0.73431241655540713</v>
      </c>
      <c r="E34" s="24">
        <v>0.53426051560379917</v>
      </c>
      <c r="F34" s="24">
        <v>0.73460820895522383</v>
      </c>
      <c r="G34" s="24">
        <v>0.33582089552238797</v>
      </c>
      <c r="H34" s="24">
        <v>0.31163434903047099</v>
      </c>
      <c r="I34" s="24">
        <v>0.42849722991689748</v>
      </c>
      <c r="J34" s="24">
        <v>0.19588444796201029</v>
      </c>
      <c r="K34" s="5" t="s">
        <v>34</v>
      </c>
    </row>
    <row r="35" spans="1:13">
      <c r="A35" s="4" t="s">
        <v>65</v>
      </c>
      <c r="B35" s="24">
        <v>14.59662624891237</v>
      </c>
      <c r="C35" s="24">
        <v>8.1910453400154353</v>
      </c>
      <c r="D35" s="24">
        <v>4.6249237422916236</v>
      </c>
      <c r="E35" s="24">
        <v>8.8946213169792365</v>
      </c>
      <c r="F35" s="24">
        <v>5.3894633249140362</v>
      </c>
      <c r="G35" s="24">
        <v>4.4316433470913763</v>
      </c>
      <c r="H35" s="24">
        <v>6.590722898836944</v>
      </c>
      <c r="I35" s="24">
        <v>4.6128518493771136</v>
      </c>
      <c r="J35" s="24">
        <v>4.1124668179379817</v>
      </c>
      <c r="K35" s="5" t="s">
        <v>34</v>
      </c>
    </row>
    <row r="36" spans="1:13">
      <c r="A36" s="4" t="s">
        <v>66</v>
      </c>
      <c r="B36" s="24">
        <v>2.9792731679099602</v>
      </c>
      <c r="C36" s="24">
        <v>2.9792731679099602</v>
      </c>
      <c r="D36" s="24">
        <v>2.9792731679099602</v>
      </c>
      <c r="E36" s="24">
        <v>2.3792731679099601</v>
      </c>
      <c r="F36" s="24">
        <v>2.3792731679099601</v>
      </c>
      <c r="G36" s="24">
        <v>2.3792731679099601</v>
      </c>
      <c r="H36" s="24">
        <v>1.97927316790996</v>
      </c>
      <c r="I36" s="24">
        <v>1.97927316790996</v>
      </c>
      <c r="J36" s="24">
        <v>1.97927316790996</v>
      </c>
      <c r="K36" s="5" t="s">
        <v>34</v>
      </c>
    </row>
    <row r="37" spans="1:13">
      <c r="A37" s="4" t="s">
        <v>67</v>
      </c>
      <c r="B37" s="24">
        <v>3.7938486371987969</v>
      </c>
      <c r="C37" s="24">
        <v>3.7938486371987969</v>
      </c>
      <c r="D37" s="24">
        <v>3.7938486371987969</v>
      </c>
      <c r="E37" s="24">
        <v>2.1404261042106478</v>
      </c>
      <c r="F37" s="24">
        <v>2.1404261042106478</v>
      </c>
      <c r="G37" s="24">
        <v>2.1404261042106478</v>
      </c>
      <c r="H37" s="24">
        <v>1.43084523740833</v>
      </c>
      <c r="I37" s="24">
        <v>1.43084523740833</v>
      </c>
      <c r="J37" s="24">
        <v>1.43084523740833</v>
      </c>
      <c r="K37" s="5" t="s">
        <v>34</v>
      </c>
    </row>
    <row r="38" spans="1:13">
      <c r="A38" s="4" t="s">
        <v>68</v>
      </c>
      <c r="B38" s="24">
        <v>0.22500000000000001</v>
      </c>
      <c r="C38" s="24">
        <v>0.22500000000000001</v>
      </c>
      <c r="D38" s="24">
        <v>0.22500000000000001</v>
      </c>
      <c r="E38" s="24">
        <v>0.19500000000000001</v>
      </c>
      <c r="F38" s="24">
        <v>0.19500000000000001</v>
      </c>
      <c r="G38" s="24">
        <v>0.19500000000000001</v>
      </c>
      <c r="H38" s="24">
        <v>0.1875</v>
      </c>
      <c r="I38" s="24">
        <v>0.1875</v>
      </c>
      <c r="J38" s="24">
        <v>0.1875</v>
      </c>
      <c r="K38" s="5" t="s">
        <v>34</v>
      </c>
    </row>
    <row r="39" spans="1:13">
      <c r="B39" s="24"/>
      <c r="C39" s="24"/>
      <c r="D39" s="24"/>
      <c r="E39" s="24"/>
      <c r="F39" s="24"/>
      <c r="G39" s="24"/>
      <c r="H39" s="24"/>
      <c r="I39" s="24"/>
      <c r="J39" s="24"/>
    </row>
    <row r="40" spans="1:13">
      <c r="A40" s="4" t="s">
        <v>55</v>
      </c>
      <c r="B40" s="24">
        <v>5.0944468051984613</v>
      </c>
      <c r="C40" s="24">
        <v>4.5421905142931864</v>
      </c>
      <c r="D40" s="24">
        <v>2.3451035981069479</v>
      </c>
      <c r="E40" s="24">
        <v>4.0195480750072754</v>
      </c>
      <c r="F40" s="24">
        <v>3.9103356873613451</v>
      </c>
      <c r="G40" s="24">
        <v>2.0092187293593611</v>
      </c>
      <c r="H40" s="24">
        <v>3.0022965344784649</v>
      </c>
      <c r="I40" s="24">
        <v>2.7698807252638611</v>
      </c>
      <c r="J40" s="24">
        <v>1.389717113332896</v>
      </c>
      <c r="K40" s="5" t="s">
        <v>34</v>
      </c>
    </row>
    <row r="41" spans="1:13">
      <c r="A41" s="4" t="s">
        <v>56</v>
      </c>
      <c r="B41" s="24">
        <v>6.2445545181256898</v>
      </c>
      <c r="C41" s="24">
        <v>5.9119403178359429</v>
      </c>
      <c r="D41" s="24">
        <v>3.4038153238304298</v>
      </c>
      <c r="E41" s="24">
        <v>4.742835616639308</v>
      </c>
      <c r="F41" s="24">
        <v>5.0150861801721556</v>
      </c>
      <c r="G41" s="24">
        <v>2.5555799154741412</v>
      </c>
      <c r="H41" s="24">
        <v>4.108478094874922</v>
      </c>
      <c r="I41" s="24">
        <v>4.0463644024895142</v>
      </c>
      <c r="J41" s="24">
        <v>2.382422881569203</v>
      </c>
      <c r="K41" s="5" t="s">
        <v>34</v>
      </c>
    </row>
    <row r="42" spans="1:13">
      <c r="B42" s="20"/>
      <c r="C42" s="20"/>
      <c r="D42" s="20"/>
      <c r="E42" s="20"/>
      <c r="F42" s="20"/>
      <c r="G42" s="20"/>
      <c r="H42" s="20"/>
      <c r="I42" s="20"/>
      <c r="J42" s="20"/>
    </row>
    <row r="43" spans="1:13">
      <c r="A43" s="4" t="s">
        <v>69</v>
      </c>
      <c r="B43" s="20">
        <f t="shared" ref="B43:J43" si="6">SUM(B33:B38)</f>
        <v>25.809184121477276</v>
      </c>
      <c r="C43" s="16">
        <f t="shared" si="6"/>
        <v>20.984016737876399</v>
      </c>
      <c r="D43" s="20">
        <f t="shared" si="6"/>
        <v>14.272119646944248</v>
      </c>
      <c r="E43" s="20">
        <f t="shared" si="6"/>
        <v>15.536695998239729</v>
      </c>
      <c r="F43" s="20">
        <f t="shared" si="6"/>
        <v>12.754303784601987</v>
      </c>
      <c r="G43" s="20">
        <f t="shared" si="6"/>
        <v>10.357835733528482</v>
      </c>
      <c r="H43" s="20">
        <f t="shared" si="6"/>
        <v>11.312580066748108</v>
      </c>
      <c r="I43" s="20">
        <f t="shared" si="6"/>
        <v>9.7562985532606064</v>
      </c>
      <c r="J43" s="20">
        <f t="shared" si="6"/>
        <v>8.4167495883146479</v>
      </c>
      <c r="K43" s="5" t="s">
        <v>34</v>
      </c>
    </row>
    <row r="44" spans="1:13">
      <c r="B44" s="20"/>
      <c r="C44" s="20"/>
      <c r="D44" s="20"/>
      <c r="E44" s="20"/>
      <c r="F44" s="20"/>
      <c r="G44" s="20"/>
      <c r="H44" s="20"/>
      <c r="I44" s="20"/>
      <c r="J44" s="20"/>
    </row>
    <row r="45" spans="1:13">
      <c r="A45" s="4" t="s">
        <v>70</v>
      </c>
      <c r="B45" s="26">
        <f t="shared" ref="B45:J45" si="7">B35/B19</f>
        <v>1.5576323987538938</v>
      </c>
      <c r="C45" s="26">
        <f t="shared" si="7"/>
        <v>1.557632398753894</v>
      </c>
      <c r="D45" s="26">
        <f t="shared" si="7"/>
        <v>1.557632398753894</v>
      </c>
      <c r="E45" s="26">
        <f t="shared" si="7"/>
        <v>1.4925373134328357</v>
      </c>
      <c r="F45" s="26">
        <f t="shared" si="7"/>
        <v>1.4925373134328359</v>
      </c>
      <c r="G45" s="26">
        <f t="shared" si="7"/>
        <v>1.4925373134328357</v>
      </c>
      <c r="H45" s="26">
        <f t="shared" si="7"/>
        <v>1.3850415512465375</v>
      </c>
      <c r="I45" s="26">
        <f t="shared" si="7"/>
        <v>1.3850415512465375</v>
      </c>
      <c r="J45" s="26">
        <f t="shared" si="7"/>
        <v>1.3850415512465375</v>
      </c>
      <c r="K45" s="5" t="s">
        <v>71</v>
      </c>
      <c r="M45" s="4" t="s">
        <v>10</v>
      </c>
    </row>
    <row r="46" spans="1:13">
      <c r="B46" s="20"/>
      <c r="C46" s="20"/>
      <c r="D46" s="20"/>
      <c r="E46" s="20"/>
      <c r="F46" s="20"/>
      <c r="G46" s="20"/>
      <c r="H46" s="20"/>
      <c r="I46" s="20"/>
      <c r="J46" s="20"/>
    </row>
    <row r="47" spans="1:13">
      <c r="A47" s="4" t="s">
        <v>58</v>
      </c>
      <c r="B47" s="27">
        <v>25</v>
      </c>
      <c r="C47" s="27">
        <v>25</v>
      </c>
      <c r="D47" s="27">
        <v>25</v>
      </c>
      <c r="E47" s="27">
        <v>25</v>
      </c>
      <c r="F47" s="27">
        <v>25</v>
      </c>
      <c r="G47" s="27">
        <v>25</v>
      </c>
      <c r="H47" s="27">
        <v>25</v>
      </c>
      <c r="I47" s="27">
        <v>25</v>
      </c>
      <c r="J47" s="27">
        <v>25</v>
      </c>
      <c r="K47" s="5" t="s">
        <v>59</v>
      </c>
      <c r="M47" s="4" t="s">
        <v>7</v>
      </c>
    </row>
    <row r="48" spans="1:13">
      <c r="A48" s="4" t="s">
        <v>52</v>
      </c>
      <c r="B48" s="28">
        <f t="shared" ref="B48:J48" si="8">(B$1*(1+B$1)^B47)/((1+B$1)^B47-1)</f>
        <v>7.8226718212273949E-2</v>
      </c>
      <c r="C48" s="28">
        <f t="shared" si="8"/>
        <v>7.8226718212273949E-2</v>
      </c>
      <c r="D48" s="28">
        <f t="shared" si="8"/>
        <v>7.8226718212273949E-2</v>
      </c>
      <c r="E48" s="28">
        <f t="shared" si="8"/>
        <v>7.8226718212273949E-2</v>
      </c>
      <c r="F48" s="28">
        <f t="shared" si="8"/>
        <v>7.8226718212273949E-2</v>
      </c>
      <c r="G48" s="28">
        <f t="shared" si="8"/>
        <v>7.8226718212273949E-2</v>
      </c>
      <c r="H48" s="28">
        <f t="shared" si="8"/>
        <v>7.8226718212273949E-2</v>
      </c>
      <c r="I48" s="28">
        <f t="shared" si="8"/>
        <v>7.8226718212273949E-2</v>
      </c>
      <c r="J48" s="28">
        <f t="shared" si="8"/>
        <v>7.8226718212273949E-2</v>
      </c>
      <c r="K48" s="5" t="s">
        <v>31</v>
      </c>
      <c r="M48" s="4" t="s">
        <v>7</v>
      </c>
    </row>
    <row r="49" spans="1:13">
      <c r="B49" s="28"/>
      <c r="C49" s="28"/>
      <c r="D49" s="28"/>
      <c r="E49" s="28"/>
      <c r="F49" s="28"/>
      <c r="G49" s="28"/>
      <c r="H49" s="28"/>
      <c r="I49" s="28"/>
      <c r="J49" s="28"/>
    </row>
    <row r="50" spans="1:13">
      <c r="A50" s="4" t="s">
        <v>60</v>
      </c>
      <c r="B50" s="29">
        <f t="shared" ref="B50:J50" si="9">(B$2*(1+B$2)^B47)/((1+B$2)^B47-1)</f>
        <v>8.5810517220665614E-2</v>
      </c>
      <c r="C50" s="29">
        <f t="shared" si="9"/>
        <v>8.5810517220665614E-2</v>
      </c>
      <c r="D50" s="29">
        <f t="shared" si="9"/>
        <v>8.5810517220665614E-2</v>
      </c>
      <c r="E50" s="29">
        <f t="shared" si="9"/>
        <v>8.5810517220665614E-2</v>
      </c>
      <c r="F50" s="29">
        <f t="shared" si="9"/>
        <v>8.5810517220665614E-2</v>
      </c>
      <c r="G50" s="29">
        <f t="shared" si="9"/>
        <v>8.5810517220665614E-2</v>
      </c>
      <c r="H50" s="29">
        <f t="shared" si="9"/>
        <v>8.5810517220665614E-2</v>
      </c>
      <c r="I50" s="29">
        <f t="shared" si="9"/>
        <v>8.5810517220665614E-2</v>
      </c>
      <c r="J50" s="29">
        <f t="shared" si="9"/>
        <v>8.5810517220665614E-2</v>
      </c>
      <c r="K50" s="5" t="s">
        <v>31</v>
      </c>
      <c r="M50" s="4" t="s">
        <v>7</v>
      </c>
    </row>
    <row r="51" spans="1:13">
      <c r="A51" s="4" t="s">
        <v>72</v>
      </c>
      <c r="B51" s="29">
        <f t="shared" ref="B51:J51" si="10">B45*B3</f>
        <v>8.9719626168224273</v>
      </c>
      <c r="C51" s="29">
        <f t="shared" si="10"/>
        <v>8.9719626168224291</v>
      </c>
      <c r="D51" s="29">
        <f t="shared" si="10"/>
        <v>8.9719626168224291</v>
      </c>
      <c r="E51" s="29">
        <f t="shared" si="10"/>
        <v>8.8946213169792365</v>
      </c>
      <c r="F51" s="29">
        <f t="shared" si="10"/>
        <v>5.3894633249140362</v>
      </c>
      <c r="G51" s="29">
        <f t="shared" si="10"/>
        <v>4.4316433470913772</v>
      </c>
      <c r="H51" s="29">
        <f t="shared" si="10"/>
        <v>1.371191135734072</v>
      </c>
      <c r="I51" s="29">
        <f t="shared" si="10"/>
        <v>1.371191135734072</v>
      </c>
      <c r="J51" s="29">
        <f t="shared" si="10"/>
        <v>1.371191135734072</v>
      </c>
      <c r="K51" s="5" t="s">
        <v>34</v>
      </c>
      <c r="M51" s="4" t="s">
        <v>10</v>
      </c>
    </row>
    <row r="52" spans="1:13">
      <c r="A52" s="4" t="s">
        <v>73</v>
      </c>
      <c r="B52" s="29">
        <f t="shared" ref="B52:J52" si="11">B33/B48*B50</f>
        <v>3.341531044418443</v>
      </c>
      <c r="C52" s="29">
        <f t="shared" si="11"/>
        <v>4.5946051860753592</v>
      </c>
      <c r="D52" s="29">
        <f t="shared" si="11"/>
        <v>2.1003909422058786</v>
      </c>
      <c r="E52" s="29">
        <f t="shared" si="11"/>
        <v>1.5281723724847163</v>
      </c>
      <c r="F52" s="29">
        <f t="shared" si="11"/>
        <v>2.1012370121664858</v>
      </c>
      <c r="G52" s="29">
        <f t="shared" si="11"/>
        <v>0.96056549127610746</v>
      </c>
      <c r="H52" s="29">
        <f t="shared" si="11"/>
        <v>0.89138348913433818</v>
      </c>
      <c r="I52" s="29">
        <f t="shared" si="11"/>
        <v>1.2256522975597155</v>
      </c>
      <c r="J52" s="29">
        <f t="shared" si="11"/>
        <v>0.56029819317015528</v>
      </c>
      <c r="K52" s="5" t="s">
        <v>34</v>
      </c>
      <c r="M52" s="4" t="s">
        <v>7</v>
      </c>
    </row>
    <row r="53" spans="1:13">
      <c r="A53" s="4" t="s">
        <v>74</v>
      </c>
      <c r="B53" s="29">
        <f t="shared" ref="B53:J53" si="12">B43-B33+B52-B35+B51</f>
        <v>20.479839765415043</v>
      </c>
      <c r="C53" s="29">
        <f t="shared" si="12"/>
        <v>22.1709980192215</v>
      </c>
      <c r="D53" s="29">
        <f t="shared" si="12"/>
        <v>18.804787780692472</v>
      </c>
      <c r="E53" s="29">
        <f t="shared" si="12"/>
        <v>15.671753477188359</v>
      </c>
      <c r="F53" s="29">
        <f t="shared" si="12"/>
        <v>12.940007818156355</v>
      </c>
      <c r="G53" s="29">
        <f t="shared" si="12"/>
        <v>10.442729006010477</v>
      </c>
      <c r="H53" s="29">
        <f t="shared" si="12"/>
        <v>6.1718273792171718</v>
      </c>
      <c r="I53" s="29">
        <f t="shared" si="12"/>
        <v>6.6229590685289761</v>
      </c>
      <c r="J53" s="29">
        <f t="shared" si="12"/>
        <v>5.7249921821845273</v>
      </c>
      <c r="K53" s="5" t="s">
        <v>34</v>
      </c>
    </row>
    <row r="54" spans="1:13">
      <c r="B54" s="25"/>
    </row>
    <row r="55" spans="1:13">
      <c r="A55" s="12" t="s">
        <v>75</v>
      </c>
    </row>
    <row r="57" spans="1:13">
      <c r="B57" s="4">
        <v>2020</v>
      </c>
      <c r="E57" s="4">
        <v>2035</v>
      </c>
      <c r="H57" s="4">
        <v>2050</v>
      </c>
    </row>
    <row r="58" spans="1:13">
      <c r="B58" s="4" t="s">
        <v>42</v>
      </c>
      <c r="C58" s="4" t="s">
        <v>43</v>
      </c>
      <c r="D58" s="4" t="s">
        <v>44</v>
      </c>
      <c r="E58" s="4" t="s">
        <v>42</v>
      </c>
      <c r="F58" s="4" t="s">
        <v>43</v>
      </c>
      <c r="G58" s="4" t="s">
        <v>44</v>
      </c>
      <c r="H58" s="4" t="s">
        <v>42</v>
      </c>
      <c r="I58" s="4" t="s">
        <v>43</v>
      </c>
      <c r="J58" s="4" t="s">
        <v>44</v>
      </c>
    </row>
    <row r="59" spans="1:13">
      <c r="A59" s="4" t="s">
        <v>76</v>
      </c>
      <c r="B59" s="24">
        <v>5.8617929495353511</v>
      </c>
      <c r="C59" s="24">
        <v>7.6454452596185316</v>
      </c>
      <c r="D59" s="24">
        <v>4.0951278043101036</v>
      </c>
      <c r="E59" s="24">
        <v>3.280619755803035</v>
      </c>
      <c r="F59" s="24">
        <v>4.0963321182365986</v>
      </c>
      <c r="G59" s="24">
        <v>2.472676082535505</v>
      </c>
      <c r="H59" s="24">
        <v>2.374200953383784</v>
      </c>
      <c r="I59" s="24">
        <v>2.850006264910129</v>
      </c>
      <c r="J59" s="24">
        <v>1.902927121014834</v>
      </c>
      <c r="K59" s="5" t="s">
        <v>34</v>
      </c>
    </row>
    <row r="60" spans="1:13">
      <c r="A60" s="4" t="s">
        <v>77</v>
      </c>
      <c r="B60" s="30">
        <v>16.473730268422131</v>
      </c>
      <c r="C60" s="30">
        <v>9.2444013600666608</v>
      </c>
      <c r="D60" s="30">
        <v>5.219681928090111</v>
      </c>
      <c r="E60" s="30">
        <v>10.038456141643801</v>
      </c>
      <c r="F60" s="30">
        <v>6.0825401426444579</v>
      </c>
      <c r="G60" s="30">
        <v>5.0015459669161952</v>
      </c>
      <c r="H60" s="30">
        <v>7.4382798776835886</v>
      </c>
      <c r="I60" s="30">
        <v>5.2060576080375416</v>
      </c>
      <c r="J60" s="30">
        <v>4.6413238197144757</v>
      </c>
      <c r="K60" s="5" t="s">
        <v>34</v>
      </c>
    </row>
    <row r="61" spans="1:13">
      <c r="A61" s="4" t="s">
        <v>78</v>
      </c>
      <c r="B61" s="24">
        <v>0.90398361456365539</v>
      </c>
      <c r="C61" s="24">
        <v>0.90398361456365539</v>
      </c>
      <c r="D61" s="24">
        <v>0.90398361456365539</v>
      </c>
      <c r="E61" s="24">
        <v>0.90398361456365539</v>
      </c>
      <c r="F61" s="24">
        <v>0.90398361456365539</v>
      </c>
      <c r="G61" s="24">
        <v>0.90398361456365539</v>
      </c>
      <c r="H61" s="24">
        <v>0.90398361456365539</v>
      </c>
      <c r="I61" s="24">
        <v>0.90398361456365539</v>
      </c>
      <c r="J61" s="24">
        <v>0.90398361456365539</v>
      </c>
      <c r="K61" s="5" t="s">
        <v>34</v>
      </c>
    </row>
    <row r="62" spans="1:13">
      <c r="A62" s="4" t="s">
        <v>79</v>
      </c>
      <c r="B62" s="24">
        <v>0.62215909090909105</v>
      </c>
      <c r="C62" s="24">
        <v>0.62215909090909105</v>
      </c>
      <c r="D62" s="24">
        <v>0.62215909090909105</v>
      </c>
      <c r="E62" s="24">
        <v>0.62215909090909105</v>
      </c>
      <c r="F62" s="24">
        <v>0.62215909090909105</v>
      </c>
      <c r="G62" s="24">
        <v>0.62215909090909105</v>
      </c>
      <c r="H62" s="24">
        <v>0.62215909090909105</v>
      </c>
      <c r="I62" s="24">
        <v>0.62215909090909105</v>
      </c>
      <c r="J62" s="24">
        <v>0.62215909090909105</v>
      </c>
      <c r="K62" s="5" t="s">
        <v>34</v>
      </c>
    </row>
    <row r="63" spans="1:13">
      <c r="A63" s="4" t="s">
        <v>80</v>
      </c>
      <c r="B63" s="31">
        <v>0.13750000000000001</v>
      </c>
      <c r="C63" s="31">
        <v>0.13750000000000001</v>
      </c>
      <c r="D63" s="31">
        <v>0.13750000000000001</v>
      </c>
      <c r="E63" s="31">
        <v>0.13750000000000001</v>
      </c>
      <c r="F63" s="31">
        <v>0.13750000000000001</v>
      </c>
      <c r="G63" s="31">
        <v>0.13750000000000001</v>
      </c>
      <c r="H63" s="31">
        <v>0.13750000000000001</v>
      </c>
      <c r="I63" s="31">
        <v>0.13750000000000001</v>
      </c>
      <c r="J63" s="31">
        <v>0.32500000000000001</v>
      </c>
      <c r="K63" s="5" t="s">
        <v>34</v>
      </c>
    </row>
    <row r="64" spans="1:13">
      <c r="A64" s="4" t="s">
        <v>66</v>
      </c>
      <c r="B64" s="24">
        <v>0.32500000000000001</v>
      </c>
      <c r="C64" s="24">
        <v>0.32500000000000001</v>
      </c>
      <c r="D64" s="24">
        <v>0.32500000000000001</v>
      </c>
      <c r="E64" s="24">
        <v>0.32500000000000001</v>
      </c>
      <c r="F64" s="24">
        <v>0.32500000000000001</v>
      </c>
      <c r="G64" s="24">
        <v>0.32500000000000001</v>
      </c>
      <c r="H64" s="24">
        <v>0.32500000000000001</v>
      </c>
      <c r="I64" s="24">
        <v>0.32500000000000001</v>
      </c>
      <c r="J64" s="24">
        <v>0.32500000000000001</v>
      </c>
      <c r="K64" s="5" t="s">
        <v>34</v>
      </c>
    </row>
    <row r="65" spans="1:15">
      <c r="A65" s="4" t="s">
        <v>68</v>
      </c>
      <c r="B65" s="24">
        <v>6.25E-2</v>
      </c>
      <c r="C65" s="24">
        <v>6.25E-2</v>
      </c>
      <c r="D65" s="24">
        <v>6.25E-2</v>
      </c>
      <c r="E65" s="24">
        <v>4.6249999999999999E-2</v>
      </c>
      <c r="F65" s="24">
        <v>4.6249999999999999E-2</v>
      </c>
      <c r="G65" s="24">
        <v>4.6249999999999999E-2</v>
      </c>
      <c r="H65" s="24">
        <v>3.7500000000000012E-2</v>
      </c>
      <c r="I65" s="24">
        <v>3.7500000000000012E-2</v>
      </c>
      <c r="J65" s="24">
        <v>3.7500000000000012E-2</v>
      </c>
      <c r="K65" s="5" t="s">
        <v>34</v>
      </c>
    </row>
    <row r="66" spans="1:15">
      <c r="B66" s="24"/>
      <c r="C66" s="24"/>
      <c r="D66" s="24"/>
      <c r="E66" s="24"/>
      <c r="F66" s="24"/>
      <c r="G66" s="24"/>
      <c r="H66" s="24"/>
      <c r="I66" s="24"/>
      <c r="J66" s="24"/>
    </row>
    <row r="67" spans="1:15">
      <c r="A67" s="4" t="s">
        <v>55</v>
      </c>
      <c r="B67" s="24">
        <v>5.6659075606240137</v>
      </c>
      <c r="C67" s="24">
        <v>5.0426319474602757</v>
      </c>
      <c r="D67" s="24">
        <v>2.5630029827720571</v>
      </c>
      <c r="E67" s="24">
        <v>4.1720266536910753</v>
      </c>
      <c r="F67" s="24">
        <v>4.0487697184671934</v>
      </c>
      <c r="G67" s="24">
        <v>1.903172000146393</v>
      </c>
      <c r="H67" s="24">
        <v>3.38089033274135</v>
      </c>
      <c r="I67" s="24">
        <v>3.1185862026069131</v>
      </c>
      <c r="J67" s="24">
        <v>1.5609356413386131</v>
      </c>
      <c r="K67" s="5" t="s">
        <v>34</v>
      </c>
    </row>
    <row r="68" spans="1:15">
      <c r="A68" s="4" t="s">
        <v>56</v>
      </c>
      <c r="B68" s="24">
        <v>6.9639173828462404</v>
      </c>
      <c r="C68" s="24">
        <v>6.5885295003601394</v>
      </c>
      <c r="D68" s="24">
        <v>3.7578634323149021</v>
      </c>
      <c r="E68" s="24">
        <v>5.3391656718694662</v>
      </c>
      <c r="F68" s="24">
        <v>5.6464272453717861</v>
      </c>
      <c r="G68" s="24">
        <v>2.8706322015582511</v>
      </c>
      <c r="H68" s="24">
        <v>4.2165748192042489</v>
      </c>
      <c r="I68" s="24">
        <v>4.1464734000897314</v>
      </c>
      <c r="J68" s="24">
        <v>2.268551520702585</v>
      </c>
      <c r="K68" s="5" t="s">
        <v>34</v>
      </c>
    </row>
    <row r="69" spans="1:15">
      <c r="B69" s="20"/>
      <c r="C69" s="20"/>
      <c r="D69" s="20"/>
      <c r="E69" s="20"/>
      <c r="F69" s="20"/>
      <c r="G69" s="20"/>
      <c r="H69" s="20"/>
      <c r="I69" s="20"/>
      <c r="J69" s="20"/>
    </row>
    <row r="70" spans="1:15">
      <c r="A70" s="4" t="s">
        <v>81</v>
      </c>
      <c r="B70" s="20">
        <f t="shared" ref="B70:J70" si="13">SUM(B59:B65)</f>
        <v>24.386665923430225</v>
      </c>
      <c r="C70" s="20">
        <f t="shared" si="13"/>
        <v>18.94098932515794</v>
      </c>
      <c r="D70" s="20">
        <f t="shared" si="13"/>
        <v>11.365952437872959</v>
      </c>
      <c r="E70" s="20">
        <f t="shared" si="13"/>
        <v>15.353968602919583</v>
      </c>
      <c r="F70" s="20">
        <f t="shared" si="13"/>
        <v>12.213764966353803</v>
      </c>
      <c r="G70" s="20">
        <f t="shared" si="13"/>
        <v>9.5091147549244468</v>
      </c>
      <c r="H70" s="20">
        <f t="shared" si="13"/>
        <v>11.838623536540117</v>
      </c>
      <c r="I70" s="20">
        <f t="shared" si="13"/>
        <v>10.082206578420417</v>
      </c>
      <c r="J70" s="20">
        <f t="shared" si="13"/>
        <v>8.7578936462020547</v>
      </c>
      <c r="K70" s="5" t="s">
        <v>34</v>
      </c>
    </row>
    <row r="71" spans="1:15">
      <c r="B71" s="20"/>
      <c r="C71" s="20"/>
      <c r="D71" s="20"/>
      <c r="E71" s="20"/>
      <c r="F71" s="20"/>
      <c r="G71" s="20"/>
      <c r="H71" s="20"/>
      <c r="I71" s="20"/>
      <c r="J71" s="20"/>
      <c r="N71" s="4" t="s">
        <v>82</v>
      </c>
    </row>
    <row r="72" spans="1:15">
      <c r="A72" s="4" t="s">
        <v>70</v>
      </c>
      <c r="B72" s="32">
        <f t="shared" ref="B72:J72" si="14">(B60+B63)/B19</f>
        <v>1.7726144389826792</v>
      </c>
      <c r="C72" s="32">
        <f t="shared" si="14"/>
        <v>1.7840889549178731</v>
      </c>
      <c r="D72" s="32">
        <f t="shared" si="14"/>
        <v>1.8042503189636048</v>
      </c>
      <c r="E72" s="32">
        <f t="shared" si="14"/>
        <v>1.7075481574765345</v>
      </c>
      <c r="F72" s="32">
        <f t="shared" si="14"/>
        <v>1.7225540734327254</v>
      </c>
      <c r="G72" s="32">
        <f t="shared" si="14"/>
        <v>1.7307841042991754</v>
      </c>
      <c r="H72" s="32">
        <f t="shared" si="14"/>
        <v>1.5920514448484591</v>
      </c>
      <c r="I72" s="32">
        <f t="shared" si="14"/>
        <v>1.6044411483995391</v>
      </c>
      <c r="J72" s="32">
        <f t="shared" si="14"/>
        <v>1.6726128505758804</v>
      </c>
      <c r="K72" s="5" t="s">
        <v>71</v>
      </c>
      <c r="M72" s="4" t="s">
        <v>10</v>
      </c>
      <c r="N72" s="4">
        <v>738</v>
      </c>
      <c r="O72" s="4" t="s">
        <v>83</v>
      </c>
    </row>
    <row r="73" spans="1:15">
      <c r="B73" s="20"/>
      <c r="C73" s="20"/>
      <c r="D73" s="20"/>
      <c r="E73" s="20"/>
      <c r="F73" s="20"/>
      <c r="G73" s="20"/>
      <c r="H73" s="20"/>
      <c r="I73" s="20"/>
      <c r="J73" s="20"/>
      <c r="N73" s="4">
        <v>5.28</v>
      </c>
      <c r="O73" s="4" t="s">
        <v>84</v>
      </c>
    </row>
    <row r="74" spans="1:15">
      <c r="A74" s="4" t="s">
        <v>58</v>
      </c>
      <c r="B74" s="33">
        <v>30</v>
      </c>
      <c r="C74" s="33">
        <v>30</v>
      </c>
      <c r="D74" s="33">
        <v>30</v>
      </c>
      <c r="E74" s="33">
        <v>30</v>
      </c>
      <c r="F74" s="33">
        <v>30</v>
      </c>
      <c r="G74" s="33">
        <v>30</v>
      </c>
      <c r="H74" s="33">
        <v>30</v>
      </c>
      <c r="I74" s="33">
        <v>30</v>
      </c>
      <c r="J74" s="33">
        <v>30</v>
      </c>
      <c r="K74" s="5" t="s">
        <v>59</v>
      </c>
      <c r="M74" s="4" t="s">
        <v>7</v>
      </c>
      <c r="N74" s="4">
        <f>N73/1000</f>
        <v>5.28E-3</v>
      </c>
      <c r="O74" s="4" t="s">
        <v>85</v>
      </c>
    </row>
    <row r="75" spans="1:15">
      <c r="A75" s="4" t="s">
        <v>52</v>
      </c>
      <c r="B75" s="34">
        <f t="shared" ref="B75:J75" si="15">(B$1*(1+B$1)^B74)/((1+B$1)^B74-1)</f>
        <v>7.2648911490047194E-2</v>
      </c>
      <c r="C75" s="34">
        <f t="shared" si="15"/>
        <v>7.2648911490047194E-2</v>
      </c>
      <c r="D75" s="34">
        <f t="shared" si="15"/>
        <v>7.2648911490047194E-2</v>
      </c>
      <c r="E75" s="34">
        <f t="shared" si="15"/>
        <v>7.2648911490047194E-2</v>
      </c>
      <c r="F75" s="34">
        <f t="shared" si="15"/>
        <v>7.2648911490047194E-2</v>
      </c>
      <c r="G75" s="34">
        <f t="shared" si="15"/>
        <v>7.2648911490047194E-2</v>
      </c>
      <c r="H75" s="34">
        <f t="shared" si="15"/>
        <v>7.2648911490047194E-2</v>
      </c>
      <c r="I75" s="34">
        <f t="shared" si="15"/>
        <v>7.2648911490047194E-2</v>
      </c>
      <c r="J75" s="34">
        <f t="shared" si="15"/>
        <v>7.2648911490047194E-2</v>
      </c>
      <c r="K75" s="5" t="s">
        <v>31</v>
      </c>
      <c r="M75" s="4" t="s">
        <v>7</v>
      </c>
      <c r="N75" s="4">
        <v>0.99</v>
      </c>
      <c r="O75" s="4" t="s">
        <v>86</v>
      </c>
    </row>
    <row r="76" spans="1:15">
      <c r="B76" s="34"/>
      <c r="C76" s="34"/>
      <c r="D76" s="34"/>
      <c r="E76" s="34"/>
      <c r="F76" s="34"/>
      <c r="G76" s="34"/>
      <c r="H76" s="34"/>
      <c r="I76" s="34"/>
      <c r="J76" s="34"/>
      <c r="N76" s="28">
        <f>N72/N74*0.99</f>
        <v>138375</v>
      </c>
      <c r="O76" s="4" t="s">
        <v>71</v>
      </c>
    </row>
    <row r="77" spans="1:15">
      <c r="A77" s="4" t="s">
        <v>60</v>
      </c>
      <c r="B77" s="29">
        <f t="shared" ref="B77:J77" si="16">(B$2*(1+B$2)^B74)/((1+B$2)^B74-1)</f>
        <v>8.0586403511111196E-2</v>
      </c>
      <c r="C77" s="29">
        <f t="shared" si="16"/>
        <v>8.0586403511111196E-2</v>
      </c>
      <c r="D77" s="29">
        <f t="shared" si="16"/>
        <v>8.0586403511111196E-2</v>
      </c>
      <c r="E77" s="29">
        <f t="shared" si="16"/>
        <v>8.0586403511111196E-2</v>
      </c>
      <c r="F77" s="29">
        <f t="shared" si="16"/>
        <v>8.0586403511111196E-2</v>
      </c>
      <c r="G77" s="29">
        <f t="shared" si="16"/>
        <v>8.0586403511111196E-2</v>
      </c>
      <c r="H77" s="29">
        <f t="shared" si="16"/>
        <v>8.0586403511111196E-2</v>
      </c>
      <c r="I77" s="29">
        <f t="shared" si="16"/>
        <v>8.0586403511111196E-2</v>
      </c>
      <c r="J77" s="29">
        <f t="shared" si="16"/>
        <v>8.0586403511111196E-2</v>
      </c>
      <c r="K77" s="5" t="s">
        <v>31</v>
      </c>
      <c r="M77" s="4" t="s">
        <v>7</v>
      </c>
    </row>
    <row r="78" spans="1:15">
      <c r="A78" s="4" t="s">
        <v>72</v>
      </c>
      <c r="B78" s="29">
        <f t="shared" ref="B78:J78" si="17">B72*B3</f>
        <v>10.210259168540231</v>
      </c>
      <c r="C78" s="29">
        <f t="shared" si="17"/>
        <v>10.27635238032695</v>
      </c>
      <c r="D78" s="29">
        <f t="shared" si="17"/>
        <v>10.392481837230363</v>
      </c>
      <c r="E78" s="29">
        <f t="shared" si="17"/>
        <v>10.1759561416438</v>
      </c>
      <c r="F78" s="29">
        <f t="shared" si="17"/>
        <v>6.220040142644458</v>
      </c>
      <c r="G78" s="29">
        <f t="shared" si="17"/>
        <v>5.1390459669161963</v>
      </c>
      <c r="H78" s="29">
        <f t="shared" si="17"/>
        <v>1.5761309303999744</v>
      </c>
      <c r="I78" s="29">
        <f t="shared" si="17"/>
        <v>1.5883967369155436</v>
      </c>
      <c r="J78" s="29">
        <f t="shared" si="17"/>
        <v>1.6558867220701217</v>
      </c>
      <c r="K78" s="5" t="s">
        <v>34</v>
      </c>
      <c r="M78" s="4" t="s">
        <v>10</v>
      </c>
    </row>
    <row r="79" spans="1:15">
      <c r="A79" s="4" t="s">
        <v>73</v>
      </c>
      <c r="B79" s="29">
        <f t="shared" ref="B79:J79" si="18">B61/B75*B77</f>
        <v>1.0027512709621222</v>
      </c>
      <c r="C79" s="29">
        <f t="shared" si="18"/>
        <v>1.0027512709621222</v>
      </c>
      <c r="D79" s="29">
        <f t="shared" si="18"/>
        <v>1.0027512709621222</v>
      </c>
      <c r="E79" s="29">
        <f t="shared" si="18"/>
        <v>1.0027512709621222</v>
      </c>
      <c r="F79" s="29">
        <f t="shared" si="18"/>
        <v>1.0027512709621222</v>
      </c>
      <c r="G79" s="29">
        <f t="shared" si="18"/>
        <v>1.0027512709621222</v>
      </c>
      <c r="H79" s="29">
        <f t="shared" si="18"/>
        <v>1.0027512709621222</v>
      </c>
      <c r="I79" s="29">
        <f t="shared" si="18"/>
        <v>1.0027512709621222</v>
      </c>
      <c r="J79" s="29">
        <f t="shared" si="18"/>
        <v>1.0027512709621222</v>
      </c>
      <c r="K79" s="5" t="s">
        <v>34</v>
      </c>
      <c r="M79" s="4" t="s">
        <v>7</v>
      </c>
    </row>
    <row r="80" spans="1:15">
      <c r="A80" s="4" t="s">
        <v>87</v>
      </c>
      <c r="B80" s="29">
        <f t="shared" ref="B80:J80" si="19">B70-B60-B63+B79-B61+B78</f>
        <v>18.084462479946794</v>
      </c>
      <c r="C80" s="29">
        <f t="shared" si="19"/>
        <v>19.934208001816696</v>
      </c>
      <c r="D80" s="29">
        <f t="shared" si="19"/>
        <v>16.500020003411677</v>
      </c>
      <c r="E80" s="29">
        <f t="shared" si="19"/>
        <v>15.452736259318048</v>
      </c>
      <c r="F80" s="29">
        <f t="shared" si="19"/>
        <v>12.31253262275227</v>
      </c>
      <c r="G80" s="29">
        <f t="shared" si="19"/>
        <v>9.6078824113229153</v>
      </c>
      <c r="H80" s="29">
        <f t="shared" si="19"/>
        <v>5.9377422456549702</v>
      </c>
      <c r="I80" s="29">
        <f t="shared" si="19"/>
        <v>6.4258133636968857</v>
      </c>
      <c r="J80" s="29">
        <f t="shared" si="19"/>
        <v>5.5462242049561672</v>
      </c>
      <c r="K80" s="5" t="s">
        <v>34</v>
      </c>
      <c r="M80" s="4" t="s">
        <v>7</v>
      </c>
    </row>
    <row r="82" spans="1:11">
      <c r="A82" s="12" t="s">
        <v>88</v>
      </c>
    </row>
    <row r="84" spans="1:11">
      <c r="B84" s="4">
        <v>2020</v>
      </c>
      <c r="E84" s="4">
        <v>2035</v>
      </c>
      <c r="H84" s="4">
        <v>2050</v>
      </c>
    </row>
    <row r="85" spans="1:11">
      <c r="B85" s="4" t="s">
        <v>42</v>
      </c>
      <c r="C85" s="4" t="s">
        <v>43</v>
      </c>
      <c r="D85" s="4" t="s">
        <v>44</v>
      </c>
      <c r="E85" s="4" t="s">
        <v>42</v>
      </c>
      <c r="F85" s="4" t="s">
        <v>43</v>
      </c>
      <c r="G85" s="4" t="s">
        <v>44</v>
      </c>
      <c r="H85" s="4" t="s">
        <v>42</v>
      </c>
      <c r="I85" s="4" t="s">
        <v>43</v>
      </c>
      <c r="J85" s="4" t="s">
        <v>44</v>
      </c>
    </row>
    <row r="86" spans="1:11">
      <c r="A86" s="4" t="s">
        <v>76</v>
      </c>
      <c r="B86" s="24">
        <v>6.4923365442076388</v>
      </c>
      <c r="C86" s="24">
        <v>8.4678534508277075</v>
      </c>
      <c r="D86" s="24">
        <v>4.5356340843172829</v>
      </c>
      <c r="E86" s="24">
        <v>3.633510721312307</v>
      </c>
      <c r="F86" s="24">
        <v>4.5369679443466282</v>
      </c>
      <c r="G86" s="24">
        <v>2.7386578527830738</v>
      </c>
      <c r="H86" s="24">
        <v>2.6295899131285418</v>
      </c>
      <c r="I86" s="24">
        <v>3.156576833093951</v>
      </c>
      <c r="J86" s="24">
        <v>2.1076219162104222</v>
      </c>
      <c r="K86" s="5" t="s">
        <v>34</v>
      </c>
    </row>
    <row r="87" spans="1:11">
      <c r="A87" s="4" t="s">
        <v>77</v>
      </c>
      <c r="B87" s="24">
        <v>18.245782811140469</v>
      </c>
      <c r="C87" s="24">
        <v>10.238806675019291</v>
      </c>
      <c r="D87" s="24">
        <v>5.7811546778645297</v>
      </c>
      <c r="E87" s="24">
        <v>11.11827664622405</v>
      </c>
      <c r="F87" s="24">
        <v>6.7368291561425453</v>
      </c>
      <c r="G87" s="24">
        <v>5.5395541838642206</v>
      </c>
      <c r="H87" s="24">
        <v>8.2384036235461799</v>
      </c>
      <c r="I87" s="24">
        <v>5.7660648117213924</v>
      </c>
      <c r="J87" s="24">
        <v>5.1405835224224772</v>
      </c>
      <c r="K87" s="5" t="s">
        <v>34</v>
      </c>
    </row>
    <row r="88" spans="1:11">
      <c r="A88" s="4" t="s">
        <v>78</v>
      </c>
      <c r="B88" s="24">
        <v>0.78226718212273949</v>
      </c>
      <c r="C88" s="24">
        <v>0.78226718212273949</v>
      </c>
      <c r="D88" s="24">
        <v>0.78226718212273949</v>
      </c>
      <c r="E88" s="24">
        <v>0.51336283826804774</v>
      </c>
      <c r="F88" s="24">
        <v>0.51336283826804774</v>
      </c>
      <c r="G88" s="24">
        <v>0.51336283826804774</v>
      </c>
      <c r="H88" s="24">
        <v>0.39113359106136969</v>
      </c>
      <c r="I88" s="24">
        <v>0.39113359106136969</v>
      </c>
      <c r="J88" s="24">
        <v>0.39113359106136969</v>
      </c>
      <c r="K88" s="5" t="s">
        <v>34</v>
      </c>
    </row>
    <row r="89" spans="1:11">
      <c r="A89" s="4" t="s">
        <v>79</v>
      </c>
      <c r="B89" s="24">
        <v>0.35</v>
      </c>
      <c r="C89" s="24">
        <v>0.35</v>
      </c>
      <c r="D89" s="24">
        <v>0.35</v>
      </c>
      <c r="E89" s="24">
        <v>0.22968749999999999</v>
      </c>
      <c r="F89" s="24">
        <v>0.22968749999999999</v>
      </c>
      <c r="G89" s="24">
        <v>0.22968749999999999</v>
      </c>
      <c r="H89" s="24">
        <v>0.17499999999999999</v>
      </c>
      <c r="I89" s="24">
        <v>0.17499999999999999</v>
      </c>
      <c r="J89" s="24">
        <v>0.17499999999999999</v>
      </c>
      <c r="K89" s="5" t="s">
        <v>34</v>
      </c>
    </row>
    <row r="90" spans="1:11">
      <c r="A90" s="4" t="s">
        <v>80</v>
      </c>
      <c r="B90" s="24">
        <v>0.12375</v>
      </c>
      <c r="C90" s="24">
        <v>0.12375</v>
      </c>
      <c r="D90" s="24">
        <v>0.12375</v>
      </c>
      <c r="E90" s="24">
        <v>0.12375</v>
      </c>
      <c r="F90" s="24">
        <v>0.12375</v>
      </c>
      <c r="G90" s="24">
        <v>0.12375</v>
      </c>
      <c r="H90" s="24">
        <v>0.12375</v>
      </c>
      <c r="I90" s="24">
        <v>0.12375</v>
      </c>
      <c r="J90" s="24">
        <v>0.12375</v>
      </c>
      <c r="K90" s="5" t="s">
        <v>34</v>
      </c>
    </row>
    <row r="91" spans="1:11">
      <c r="A91" s="4" t="s">
        <v>89</v>
      </c>
      <c r="B91" s="24">
        <v>15.686</v>
      </c>
      <c r="C91" s="24">
        <v>15.686</v>
      </c>
      <c r="D91" s="24">
        <v>15.686</v>
      </c>
      <c r="E91" s="24">
        <v>4.6035000000000004</v>
      </c>
      <c r="F91" s="24">
        <v>4.6035000000000004</v>
      </c>
      <c r="G91" s="24">
        <v>4.6035000000000004</v>
      </c>
      <c r="H91" s="24">
        <v>2.7280000000000002</v>
      </c>
      <c r="I91" s="24">
        <v>2.7280000000000002</v>
      </c>
      <c r="J91" s="24">
        <v>2.7280000000000002</v>
      </c>
      <c r="K91" s="5" t="s">
        <v>34</v>
      </c>
    </row>
    <row r="92" spans="1:11">
      <c r="A92" s="4" t="s">
        <v>90</v>
      </c>
      <c r="B92" s="24">
        <v>0.04</v>
      </c>
      <c r="C92" s="24">
        <v>0.04</v>
      </c>
      <c r="D92" s="24">
        <v>0.04</v>
      </c>
      <c r="E92" s="24">
        <v>0.04</v>
      </c>
      <c r="F92" s="24">
        <v>0.04</v>
      </c>
      <c r="G92" s="24">
        <v>0.04</v>
      </c>
      <c r="H92" s="24">
        <v>0.04</v>
      </c>
      <c r="I92" s="24">
        <v>0.04</v>
      </c>
      <c r="J92" s="24">
        <v>0.04</v>
      </c>
      <c r="K92" s="5" t="s">
        <v>34</v>
      </c>
    </row>
    <row r="93" spans="1:11">
      <c r="A93" s="4" t="s">
        <v>68</v>
      </c>
      <c r="B93" s="24">
        <v>3.7500000000000012E-2</v>
      </c>
      <c r="C93" s="24">
        <v>3.7500000000000012E-2</v>
      </c>
      <c r="D93" s="24">
        <v>3.7500000000000012E-2</v>
      </c>
      <c r="E93" s="24">
        <v>2.1250000000000002E-2</v>
      </c>
      <c r="F93" s="24">
        <v>2.1250000000000002E-2</v>
      </c>
      <c r="G93" s="24">
        <v>2.1250000000000002E-2</v>
      </c>
      <c r="H93" s="24">
        <v>1.2500000000000001E-2</v>
      </c>
      <c r="I93" s="24">
        <v>1.2500000000000001E-2</v>
      </c>
      <c r="J93" s="24">
        <v>1.2500000000000001E-2</v>
      </c>
      <c r="K93" s="5" t="s">
        <v>34</v>
      </c>
    </row>
    <row r="94" spans="1:11">
      <c r="B94" s="24"/>
      <c r="C94" s="24"/>
      <c r="D94" s="24"/>
      <c r="E94" s="24"/>
      <c r="F94" s="24"/>
      <c r="G94" s="24"/>
      <c r="H94" s="24"/>
      <c r="I94" s="24"/>
      <c r="J94" s="24"/>
    </row>
    <row r="95" spans="1:11">
      <c r="A95" s="4" t="s">
        <v>55</v>
      </c>
      <c r="B95" s="24">
        <v>9.4671086031460874</v>
      </c>
      <c r="C95" s="24">
        <v>8.7767882395144916</v>
      </c>
      <c r="D95" s="24">
        <v>6.0304295942816921</v>
      </c>
      <c r="E95" s="24">
        <v>6.1403499917887654</v>
      </c>
      <c r="F95" s="24">
        <v>6.0038345072313506</v>
      </c>
      <c r="G95" s="24">
        <v>3.627438309728872</v>
      </c>
      <c r="H95" s="24">
        <v>4.8195290658634216</v>
      </c>
      <c r="I95" s="24">
        <v>4.5290093043451671</v>
      </c>
      <c r="J95" s="24">
        <v>2.8038047894314619</v>
      </c>
      <c r="K95" s="5" t="s">
        <v>34</v>
      </c>
    </row>
    <row r="96" spans="1:11">
      <c r="A96" s="4" t="s">
        <v>56</v>
      </c>
      <c r="B96" s="24">
        <v>10.904743244305131</v>
      </c>
      <c r="C96" s="24">
        <v>10.48897549394294</v>
      </c>
      <c r="D96" s="24">
        <v>7.3538192514360574</v>
      </c>
      <c r="E96" s="24">
        <v>7.6241063549890242</v>
      </c>
      <c r="F96" s="24">
        <v>7.9644195594050844</v>
      </c>
      <c r="G96" s="24">
        <v>4.8900367285325643</v>
      </c>
      <c r="H96" s="24">
        <v>6.0281735775637886</v>
      </c>
      <c r="I96" s="24">
        <v>5.9505314620820293</v>
      </c>
      <c r="J96" s="24">
        <v>3.8706045609316431</v>
      </c>
      <c r="K96" s="5" t="s">
        <v>34</v>
      </c>
    </row>
    <row r="98" spans="1:11">
      <c r="A98" s="4" t="s">
        <v>91</v>
      </c>
      <c r="B98" s="20">
        <f t="shared" ref="B98:J98" si="20">SUM(B86:B93)</f>
        <v>41.757636537470852</v>
      </c>
      <c r="C98" s="16">
        <f t="shared" si="20"/>
        <v>35.726177307969742</v>
      </c>
      <c r="D98" s="20">
        <f t="shared" si="20"/>
        <v>27.336305944304549</v>
      </c>
      <c r="E98" s="20">
        <f t="shared" si="20"/>
        <v>20.283337705804403</v>
      </c>
      <c r="F98" s="20">
        <f t="shared" si="20"/>
        <v>16.80534743875722</v>
      </c>
      <c r="G98" s="20">
        <f t="shared" si="20"/>
        <v>13.809762374915342</v>
      </c>
      <c r="H98" s="20">
        <f t="shared" si="20"/>
        <v>14.33837712773609</v>
      </c>
      <c r="I98" s="20">
        <f t="shared" si="20"/>
        <v>12.393025235876712</v>
      </c>
      <c r="J98" s="20">
        <f t="shared" si="20"/>
        <v>10.718589029694268</v>
      </c>
      <c r="K98" s="5" t="s">
        <v>34</v>
      </c>
    </row>
    <row r="100" spans="1:11">
      <c r="A100" s="4" t="s">
        <v>70</v>
      </c>
      <c r="B100" s="20">
        <f t="shared" ref="B100:J100" si="21">(B87+B90)/B19</f>
        <v>1.9602460848606786</v>
      </c>
      <c r="C100" s="20">
        <f t="shared" si="21"/>
        <v>1.9705731492023526</v>
      </c>
      <c r="D100" s="20">
        <f t="shared" si="21"/>
        <v>1.9887183768435117</v>
      </c>
      <c r="E100" s="20">
        <f t="shared" si="21"/>
        <v>1.8864371680518126</v>
      </c>
      <c r="F100" s="20">
        <f t="shared" si="21"/>
        <v>1.899942492412384</v>
      </c>
      <c r="G100" s="20">
        <f t="shared" si="21"/>
        <v>1.9073495201921888</v>
      </c>
      <c r="H100" s="20">
        <f t="shared" si="21"/>
        <v>1.7573080228516513</v>
      </c>
      <c r="I100" s="20">
        <f t="shared" si="21"/>
        <v>1.7684587560476237</v>
      </c>
      <c r="J100" s="20">
        <f t="shared" si="21"/>
        <v>1.7729798174593161</v>
      </c>
      <c r="K100" s="5" t="s">
        <v>71</v>
      </c>
    </row>
    <row r="102" spans="1:11">
      <c r="A102" s="4" t="s">
        <v>58</v>
      </c>
      <c r="B102" s="4">
        <v>25</v>
      </c>
      <c r="C102" s="4">
        <v>25</v>
      </c>
      <c r="D102" s="4">
        <v>25</v>
      </c>
      <c r="E102" s="4">
        <v>25</v>
      </c>
      <c r="F102" s="4">
        <v>25</v>
      </c>
      <c r="G102" s="4">
        <v>25</v>
      </c>
      <c r="H102" s="4">
        <v>25</v>
      </c>
      <c r="I102" s="4">
        <v>25</v>
      </c>
      <c r="J102" s="4">
        <v>25</v>
      </c>
      <c r="K102" s="5" t="s">
        <v>59</v>
      </c>
    </row>
    <row r="103" spans="1:11">
      <c r="A103" s="4" t="s">
        <v>52</v>
      </c>
      <c r="B103" s="34">
        <f t="shared" ref="B103:J103" si="22">(B$1*(1+B$1)^B102)/((1+B$1)^B102-1)</f>
        <v>7.8226718212273949E-2</v>
      </c>
      <c r="C103" s="34">
        <f t="shared" si="22"/>
        <v>7.8226718212273949E-2</v>
      </c>
      <c r="D103" s="34">
        <f t="shared" si="22"/>
        <v>7.8226718212273949E-2</v>
      </c>
      <c r="E103" s="34">
        <f t="shared" si="22"/>
        <v>7.8226718212273949E-2</v>
      </c>
      <c r="F103" s="34">
        <f t="shared" si="22"/>
        <v>7.8226718212273949E-2</v>
      </c>
      <c r="G103" s="34">
        <f t="shared" si="22"/>
        <v>7.8226718212273949E-2</v>
      </c>
      <c r="H103" s="34">
        <f t="shared" si="22"/>
        <v>7.8226718212273949E-2</v>
      </c>
      <c r="I103" s="34">
        <f t="shared" si="22"/>
        <v>7.8226718212273949E-2</v>
      </c>
      <c r="J103" s="34">
        <f t="shared" si="22"/>
        <v>7.8226718212273949E-2</v>
      </c>
      <c r="K103" s="5" t="s">
        <v>31</v>
      </c>
    </row>
    <row r="105" spans="1:11">
      <c r="A105" s="4" t="s">
        <v>60</v>
      </c>
      <c r="B105" s="29">
        <f t="shared" ref="B105:J105" si="23">(B$2*(1+B$2)^B102)/((1+B$2)^B102-1)</f>
        <v>8.5810517220665614E-2</v>
      </c>
      <c r="C105" s="29">
        <f t="shared" si="23"/>
        <v>8.5810517220665614E-2</v>
      </c>
      <c r="D105" s="29">
        <f t="shared" si="23"/>
        <v>8.5810517220665614E-2</v>
      </c>
      <c r="E105" s="29">
        <f t="shared" si="23"/>
        <v>8.5810517220665614E-2</v>
      </c>
      <c r="F105" s="29">
        <f t="shared" si="23"/>
        <v>8.5810517220665614E-2</v>
      </c>
      <c r="G105" s="29">
        <f t="shared" si="23"/>
        <v>8.5810517220665614E-2</v>
      </c>
      <c r="H105" s="29">
        <f t="shared" si="23"/>
        <v>8.5810517220665614E-2</v>
      </c>
      <c r="I105" s="29">
        <f t="shared" si="23"/>
        <v>8.5810517220665614E-2</v>
      </c>
      <c r="J105" s="29">
        <f t="shared" si="23"/>
        <v>8.5810517220665614E-2</v>
      </c>
      <c r="K105" s="5" t="s">
        <v>31</v>
      </c>
    </row>
    <row r="106" spans="1:11">
      <c r="A106" s="4" t="s">
        <v>72</v>
      </c>
      <c r="B106" s="29">
        <f t="shared" ref="B106:J106" si="24">B100*B3</f>
        <v>11.291017448797508</v>
      </c>
      <c r="C106" s="29">
        <f t="shared" si="24"/>
        <v>11.35050133940555</v>
      </c>
      <c r="D106" s="29">
        <f t="shared" si="24"/>
        <v>11.455017850618628</v>
      </c>
      <c r="E106" s="29">
        <f t="shared" si="24"/>
        <v>11.242026646224049</v>
      </c>
      <c r="F106" s="29">
        <f t="shared" si="24"/>
        <v>6.8605791561425455</v>
      </c>
      <c r="G106" s="29">
        <f t="shared" si="24"/>
        <v>5.6633041838642217</v>
      </c>
      <c r="H106" s="29">
        <f t="shared" si="24"/>
        <v>1.7397349426231348</v>
      </c>
      <c r="I106" s="29">
        <f t="shared" si="24"/>
        <v>1.7507741684871474</v>
      </c>
      <c r="J106" s="29">
        <f t="shared" si="24"/>
        <v>1.7552500192847229</v>
      </c>
      <c r="K106" s="5" t="s">
        <v>34</v>
      </c>
    </row>
    <row r="107" spans="1:11">
      <c r="A107" s="4" t="s">
        <v>73</v>
      </c>
      <c r="B107" s="29">
        <f t="shared" ref="B107:J107" si="25">B88/B103*B105</f>
        <v>0.85810517220665616</v>
      </c>
      <c r="C107" s="29">
        <f t="shared" si="25"/>
        <v>0.85810517220665616</v>
      </c>
      <c r="D107" s="29">
        <f t="shared" si="25"/>
        <v>0.85810517220665616</v>
      </c>
      <c r="E107" s="29">
        <f t="shared" si="25"/>
        <v>0.563131519260618</v>
      </c>
      <c r="F107" s="29">
        <f t="shared" si="25"/>
        <v>0.563131519260618</v>
      </c>
      <c r="G107" s="29">
        <f t="shared" si="25"/>
        <v>0.563131519260618</v>
      </c>
      <c r="H107" s="29">
        <f t="shared" si="25"/>
        <v>0.42905258610332797</v>
      </c>
      <c r="I107" s="29">
        <f t="shared" si="25"/>
        <v>0.42905258610332797</v>
      </c>
      <c r="J107" s="29">
        <f t="shared" si="25"/>
        <v>0.42905258610332797</v>
      </c>
      <c r="K107" s="5" t="s">
        <v>34</v>
      </c>
    </row>
    <row r="108" spans="1:11">
      <c r="K108" s="4"/>
    </row>
    <row r="109" spans="1:11">
      <c r="A109" s="4" t="s">
        <v>92</v>
      </c>
      <c r="B109" s="29">
        <f t="shared" ref="B109:J109" si="26">B91/B5*B6</f>
        <v>39.344579999999993</v>
      </c>
      <c r="C109" s="29">
        <f t="shared" si="26"/>
        <v>39.344579999999993</v>
      </c>
      <c r="D109" s="29">
        <f t="shared" si="26"/>
        <v>39.344579999999993</v>
      </c>
      <c r="E109" s="29">
        <f t="shared" si="26"/>
        <v>4.6035000000000004</v>
      </c>
      <c r="F109" s="29">
        <f t="shared" si="26"/>
        <v>4.6035000000000004</v>
      </c>
      <c r="G109" s="29">
        <f t="shared" si="26"/>
        <v>4.6035000000000004</v>
      </c>
      <c r="H109" s="29">
        <f t="shared" si="26"/>
        <v>14.731200000000003</v>
      </c>
      <c r="I109" s="29">
        <f t="shared" si="26"/>
        <v>14.731200000000003</v>
      </c>
      <c r="J109" s="29">
        <f t="shared" si="26"/>
        <v>14.731200000000003</v>
      </c>
      <c r="K109" s="5" t="s">
        <v>34</v>
      </c>
    </row>
    <row r="110" spans="1:11">
      <c r="K110" s="4"/>
    </row>
    <row r="111" spans="1:11">
      <c r="A111" s="4" t="s">
        <v>93</v>
      </c>
      <c r="B111" s="29">
        <f t="shared" ref="B111:J111" si="27">B98-B87-B90+B106-B88+B107-B91+B109</f>
        <v>58.413539165211802</v>
      </c>
      <c r="C111" s="29">
        <f t="shared" si="27"/>
        <v>60.448539962439909</v>
      </c>
      <c r="D111" s="29">
        <f t="shared" si="27"/>
        <v>56.620837107142563</v>
      </c>
      <c r="E111" s="29">
        <f t="shared" si="27"/>
        <v>20.333106386796974</v>
      </c>
      <c r="F111" s="29">
        <f t="shared" si="27"/>
        <v>16.855116119749795</v>
      </c>
      <c r="G111" s="29">
        <f t="shared" si="27"/>
        <v>13.859531055907915</v>
      </c>
      <c r="H111" s="29">
        <f t="shared" si="27"/>
        <v>19.757077441855003</v>
      </c>
      <c r="I111" s="29">
        <f t="shared" si="27"/>
        <v>20.295103587684427</v>
      </c>
      <c r="J111" s="29">
        <f t="shared" si="27"/>
        <v>19.250624521598475</v>
      </c>
      <c r="K111" s="5" t="s">
        <v>34</v>
      </c>
    </row>
    <row r="112" spans="1:11">
      <c r="A112" s="4" t="s">
        <v>93</v>
      </c>
      <c r="B112" s="40">
        <f t="shared" ref="B112:J112" si="28">B111/3.6</f>
        <v>16.225983101447721</v>
      </c>
      <c r="C112" s="40">
        <f t="shared" si="28"/>
        <v>16.791261100677751</v>
      </c>
      <c r="D112" s="40">
        <f t="shared" si="28"/>
        <v>15.7280103075396</v>
      </c>
      <c r="E112" s="40">
        <f t="shared" si="28"/>
        <v>5.6480851074436034</v>
      </c>
      <c r="F112" s="40">
        <f t="shared" si="28"/>
        <v>4.6819766999304981</v>
      </c>
      <c r="G112" s="40">
        <f t="shared" si="28"/>
        <v>3.8498697377521984</v>
      </c>
      <c r="H112" s="40">
        <f t="shared" si="28"/>
        <v>5.488077067181945</v>
      </c>
      <c r="I112" s="40">
        <f t="shared" si="28"/>
        <v>5.6375287743567855</v>
      </c>
      <c r="J112" s="40">
        <f t="shared" si="28"/>
        <v>5.3473957004440207</v>
      </c>
      <c r="K112" s="5" t="s">
        <v>94</v>
      </c>
    </row>
    <row r="113" spans="1:11">
      <c r="A113" s="4" t="s">
        <v>93</v>
      </c>
      <c r="B113" s="40">
        <f>B112*Inputs!$C$14 / 100</f>
        <v>5.6287286339598097</v>
      </c>
      <c r="C113" s="40">
        <f>C112*Inputs!$C$14 / 100</f>
        <v>5.8248213107807096</v>
      </c>
      <c r="D113" s="40">
        <f>D112*Inputs!$C$14 / 100</f>
        <v>5.4559838636442581</v>
      </c>
      <c r="E113" s="40">
        <f>E112*Inputs!$C$14 / 100</f>
        <v>1.9592981314317566</v>
      </c>
      <c r="F113" s="40">
        <f>F112*Inputs!$C$14 / 100</f>
        <v>1.6241589892990904</v>
      </c>
      <c r="G113" s="40">
        <f>G112*Inputs!$C$14 / 100</f>
        <v>1.335504412547287</v>
      </c>
      <c r="H113" s="40">
        <f>H112*Inputs!$C$14 / 100</f>
        <v>1.9037919822971483</v>
      </c>
      <c r="I113" s="40">
        <f>I112*Inputs!$C$14 / 100</f>
        <v>1.9556361817092718</v>
      </c>
      <c r="J113" s="40">
        <f>J112*Inputs!$C$14 / 100</f>
        <v>1.8549901789012293</v>
      </c>
      <c r="K113" s="5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topLeftCell="A3" workbookViewId="0">
      <selection activeCell="C14" sqref="C14"/>
    </sheetView>
  </sheetViews>
  <sheetFormatPr defaultColWidth="11.25" defaultRowHeight="15.75"/>
  <cols>
    <col min="1" max="1" width="17" bestFit="1" customWidth="1"/>
    <col min="4" max="4" width="14.25" bestFit="1" customWidth="1"/>
    <col min="5" max="5" width="17.75" bestFit="1" customWidth="1"/>
    <col min="6" max="6" width="15.25" bestFit="1" customWidth="1"/>
    <col min="13" max="13" width="15.25" bestFit="1" customWidth="1"/>
  </cols>
  <sheetData>
    <row r="1" spans="1:13">
      <c r="A1" s="49">
        <v>2024</v>
      </c>
      <c r="B1" s="50"/>
      <c r="C1" s="50"/>
      <c r="D1" s="50"/>
      <c r="E1" s="50"/>
      <c r="F1" s="50"/>
      <c r="H1" s="49">
        <v>2050</v>
      </c>
      <c r="I1" s="50"/>
      <c r="J1" s="50"/>
      <c r="K1" s="50"/>
      <c r="L1" s="50"/>
      <c r="M1" s="50"/>
    </row>
    <row r="2" spans="1:13">
      <c r="A2" s="39" t="s">
        <v>0</v>
      </c>
      <c r="B2" s="39" t="s">
        <v>3</v>
      </c>
      <c r="C2" s="36" t="s">
        <v>96</v>
      </c>
      <c r="D2" s="36" t="s">
        <v>97</v>
      </c>
      <c r="E2" s="36" t="s">
        <v>98</v>
      </c>
      <c r="F2" s="36" t="s">
        <v>99</v>
      </c>
      <c r="H2" s="39" t="s">
        <v>0</v>
      </c>
      <c r="I2" s="39" t="s">
        <v>3</v>
      </c>
      <c r="J2" s="36" t="s">
        <v>96</v>
      </c>
      <c r="K2" s="36" t="s">
        <v>97</v>
      </c>
      <c r="L2" s="36" t="s">
        <v>98</v>
      </c>
      <c r="M2" s="36" t="s">
        <v>99</v>
      </c>
    </row>
    <row r="3" spans="1:13">
      <c r="A3" s="35" t="s">
        <v>100</v>
      </c>
      <c r="B3" s="35" t="s">
        <v>95</v>
      </c>
      <c r="C3" s="37">
        <f>AVERAGE('Base LCOF'!B113:D113)</f>
        <v>3.3668222476466148</v>
      </c>
      <c r="D3" s="37">
        <f>'LCOE Corrected LCOF'!B113</f>
        <v>3.3416801164353238</v>
      </c>
      <c r="E3" s="41">
        <f>AVERAGE('CO2 Price Corrected LCOF'!B113:D113)</f>
        <v>5.6292035207371072</v>
      </c>
      <c r="F3" s="41">
        <f>AVERAGE('WACC Corrected LCOF'!B113:D113)</f>
        <v>5.6365112694615931</v>
      </c>
      <c r="H3" s="35" t="s">
        <v>100</v>
      </c>
      <c r="I3" s="35" t="s">
        <v>95</v>
      </c>
      <c r="J3" s="41">
        <f>AVERAGE('Base LCOF'!H113:J113)</f>
        <v>1.2028937235530233</v>
      </c>
      <c r="K3" s="41">
        <f>AVERAGE('LCOE Corrected LCOF'!H113:J113)</f>
        <v>0.74452388794030655</v>
      </c>
      <c r="L3" s="41">
        <f>AVERAGE('CO2 Price Corrected LCOF'!H113:J113)</f>
        <v>1.9011522399403067</v>
      </c>
      <c r="M3" s="41">
        <f>AVERAGE('WACC Corrected LCOF'!H113:J113)</f>
        <v>1.9048061143025496</v>
      </c>
    </row>
    <row r="4" spans="1:13">
      <c r="A4" s="35" t="s">
        <v>100</v>
      </c>
      <c r="B4" s="35" t="s">
        <v>21</v>
      </c>
      <c r="C4" s="37">
        <f>C3/Inputs!$C$6</f>
        <v>3.7409136084962387</v>
      </c>
      <c r="D4" s="37">
        <f>D3/Inputs!$C$6</f>
        <v>3.7129779071503597</v>
      </c>
      <c r="E4" s="37">
        <f>E3/Inputs!$C$6</f>
        <v>6.2546705785967855</v>
      </c>
      <c r="F4" s="37">
        <f>F3/Inputs!$C$6</f>
        <v>6.2627902994017699</v>
      </c>
      <c r="H4" s="35" t="s">
        <v>100</v>
      </c>
      <c r="I4" s="35" t="s">
        <v>21</v>
      </c>
      <c r="J4" s="37">
        <f>J3/Inputs!$C$6</f>
        <v>1.3365485817255813</v>
      </c>
      <c r="K4" s="37">
        <f>K3/Inputs!$C$6</f>
        <v>0.82724876437811834</v>
      </c>
      <c r="L4" s="37">
        <f>L3/Inputs!$C$6</f>
        <v>2.112391377711452</v>
      </c>
      <c r="M4" s="37">
        <f>M3/Inputs!$C$6</f>
        <v>2.1164512381139442</v>
      </c>
    </row>
    <row r="5" spans="1:13">
      <c r="A5" s="35" t="s">
        <v>101</v>
      </c>
      <c r="B5" s="35" t="s">
        <v>21</v>
      </c>
      <c r="C5" s="37">
        <f>Inputs!$C$16</f>
        <v>0.8</v>
      </c>
      <c r="D5" s="37">
        <f>Inputs!$C$16</f>
        <v>0.8</v>
      </c>
      <c r="E5" s="37">
        <f>Inputs!$C$16</f>
        <v>0.8</v>
      </c>
      <c r="F5" s="37">
        <f>Inputs!$C$16</f>
        <v>0.8</v>
      </c>
      <c r="H5" s="35" t="s">
        <v>101</v>
      </c>
      <c r="I5" s="35" t="s">
        <v>21</v>
      </c>
      <c r="J5" s="37">
        <f>Inputs!$C$18</f>
        <v>0.8</v>
      </c>
      <c r="K5" s="37">
        <f>Inputs!$C$18</f>
        <v>0.8</v>
      </c>
      <c r="L5" s="37">
        <f>Inputs!$C$18</f>
        <v>0.8</v>
      </c>
      <c r="M5" s="37">
        <f>Inputs!$C$18</f>
        <v>0.8</v>
      </c>
    </row>
    <row r="6" spans="1:13">
      <c r="A6" s="35" t="s">
        <v>102</v>
      </c>
      <c r="B6" s="35" t="s">
        <v>103</v>
      </c>
      <c r="C6" s="36">
        <v>13.4</v>
      </c>
      <c r="D6" s="36">
        <v>13.4</v>
      </c>
      <c r="E6" s="36">
        <v>13.4</v>
      </c>
      <c r="F6" s="36">
        <v>13.4</v>
      </c>
      <c r="H6" s="35" t="s">
        <v>102</v>
      </c>
      <c r="I6" s="35" t="s">
        <v>103</v>
      </c>
      <c r="J6" s="36">
        <v>13.4</v>
      </c>
      <c r="K6" s="36">
        <v>13.4</v>
      </c>
      <c r="L6" s="36">
        <v>13.4</v>
      </c>
      <c r="M6" s="36">
        <v>13.4</v>
      </c>
    </row>
    <row r="7" spans="1:13">
      <c r="A7" s="35" t="s">
        <v>104</v>
      </c>
      <c r="B7" s="35" t="s">
        <v>103</v>
      </c>
      <c r="C7" s="37">
        <f>Inputs!$C$11</f>
        <v>88.7</v>
      </c>
      <c r="D7" s="37">
        <f>Inputs!$C$11</f>
        <v>88.7</v>
      </c>
      <c r="E7" s="37">
        <f>Inputs!$C$11</f>
        <v>88.7</v>
      </c>
      <c r="F7" s="37">
        <f>Inputs!$C$11</f>
        <v>88.7</v>
      </c>
      <c r="H7" s="35" t="s">
        <v>104</v>
      </c>
      <c r="I7" s="35" t="s">
        <v>103</v>
      </c>
      <c r="J7" s="37">
        <f>Inputs!$C$11</f>
        <v>88.7</v>
      </c>
      <c r="K7" s="37">
        <f>Inputs!$C$11</f>
        <v>88.7</v>
      </c>
      <c r="L7" s="37">
        <f>Inputs!$C$11</f>
        <v>88.7</v>
      </c>
      <c r="M7" s="37">
        <f>Inputs!$C$11</f>
        <v>88.7</v>
      </c>
    </row>
    <row r="8" spans="1:13">
      <c r="A8" s="35" t="s">
        <v>105</v>
      </c>
      <c r="B8" s="35" t="s">
        <v>103</v>
      </c>
      <c r="C8" s="37">
        <f>C7-C6</f>
        <v>75.3</v>
      </c>
      <c r="D8" s="37">
        <f>D7-D6</f>
        <v>75.3</v>
      </c>
      <c r="E8" s="37">
        <f>E7-E6</f>
        <v>75.3</v>
      </c>
      <c r="F8" s="37">
        <f>F7-F6</f>
        <v>75.3</v>
      </c>
      <c r="H8" s="35" t="s">
        <v>105</v>
      </c>
      <c r="I8" s="35" t="s">
        <v>103</v>
      </c>
      <c r="J8" s="37">
        <f>J7-J6</f>
        <v>75.3</v>
      </c>
      <c r="K8" s="37">
        <f>K7-K6</f>
        <v>75.3</v>
      </c>
      <c r="L8" s="37">
        <f>L7-L6</f>
        <v>75.3</v>
      </c>
      <c r="M8" s="37">
        <f>M7-M6</f>
        <v>75.3</v>
      </c>
    </row>
    <row r="9" spans="1:13">
      <c r="A9" s="35" t="s">
        <v>105</v>
      </c>
      <c r="B9" s="35" t="s">
        <v>106</v>
      </c>
      <c r="C9" s="38">
        <f>C8 * Inputs!$C$14</f>
        <v>2612.1268800000003</v>
      </c>
      <c r="D9" s="38">
        <f>D8*Inputs!$C$14</f>
        <v>2612.1268800000003</v>
      </c>
      <c r="E9" s="38">
        <f>E8*Inputs!$C$14</f>
        <v>2612.1268800000003</v>
      </c>
      <c r="F9" s="38">
        <f>F8*Inputs!$C$14</f>
        <v>2612.1268800000003</v>
      </c>
      <c r="H9" s="35" t="s">
        <v>105</v>
      </c>
      <c r="I9" s="35" t="s">
        <v>106</v>
      </c>
      <c r="J9" s="38">
        <f>J8 * Inputs!$C$14</f>
        <v>2612.1268800000003</v>
      </c>
      <c r="K9" s="38">
        <f>K8 * Inputs!$C$14</f>
        <v>2612.1268800000003</v>
      </c>
      <c r="L9" s="38">
        <f>L8 * Inputs!$C$14</f>
        <v>2612.1268800000003</v>
      </c>
      <c r="M9" s="38">
        <f>M8 * Inputs!$C$14</f>
        <v>2612.1268800000003</v>
      </c>
    </row>
    <row r="10" spans="1:13">
      <c r="A10" s="35" t="s">
        <v>107</v>
      </c>
      <c r="B10" s="35" t="s">
        <v>29</v>
      </c>
      <c r="C10" s="36">
        <f>(C4-C5) / C9 * 10^6</f>
        <v>1125.8693561226389</v>
      </c>
      <c r="D10" s="36">
        <f>(D4-D5) / D9 * 10^6</f>
        <v>1115.174737281659</v>
      </c>
      <c r="E10" s="36">
        <f>(E4-E5) / E9 * 10^6</f>
        <v>2088.2104236057571</v>
      </c>
      <c r="F10" s="36">
        <f>(F4-F5) / F9 * 10^6</f>
        <v>2091.3188946632522</v>
      </c>
      <c r="H10" s="35" t="s">
        <v>107</v>
      </c>
      <c r="I10" s="35" t="s">
        <v>29</v>
      </c>
      <c r="J10" s="36">
        <f>(J4-J5) / J9 * 10^6</f>
        <v>205.40678396356506</v>
      </c>
      <c r="K10" s="36">
        <f>(K4-K5) / K9 * 10^6</f>
        <v>10.431638901904449</v>
      </c>
      <c r="L10" s="36">
        <f>(L4-L5) / L9 * 10^6</f>
        <v>502.42252310173075</v>
      </c>
      <c r="M10" s="36">
        <f>(M4-M5) / M9 * 10^6</f>
        <v>503.97675863047817</v>
      </c>
    </row>
    <row r="12" spans="1:13">
      <c r="A12" s="51" t="s">
        <v>108</v>
      </c>
      <c r="B12" s="51"/>
      <c r="C12" s="51"/>
      <c r="H12" s="51" t="s">
        <v>108</v>
      </c>
      <c r="I12" s="51"/>
      <c r="J12" s="51"/>
    </row>
    <row r="13" spans="1:13">
      <c r="A13" s="43" t="s">
        <v>0</v>
      </c>
      <c r="B13" s="43" t="s">
        <v>3</v>
      </c>
      <c r="C13" t="s">
        <v>2</v>
      </c>
      <c r="H13" s="43" t="s">
        <v>0</v>
      </c>
      <c r="I13" s="43" t="s">
        <v>3</v>
      </c>
      <c r="J13" t="s">
        <v>2</v>
      </c>
    </row>
    <row r="14" spans="1:13">
      <c r="A14" s="43" t="s">
        <v>109</v>
      </c>
      <c r="B14" s="43" t="s">
        <v>106</v>
      </c>
      <c r="C14" s="2">
        <f>C6*Inputs!$C$14</f>
        <v>464.84064000000006</v>
      </c>
      <c r="H14" s="43" t="s">
        <v>109</v>
      </c>
      <c r="I14" s="43" t="s">
        <v>106</v>
      </c>
      <c r="J14" s="2">
        <f>J6*Inputs!$C$14</f>
        <v>464.84064000000006</v>
      </c>
    </row>
    <row r="15" spans="1:13">
      <c r="A15" s="43" t="s">
        <v>110</v>
      </c>
      <c r="B15" s="43" t="s">
        <v>21</v>
      </c>
      <c r="C15" s="44">
        <f>C14*Inputs!$C$32 * 10^-6</f>
        <v>0.59592570048000004</v>
      </c>
      <c r="H15" s="43" t="s">
        <v>110</v>
      </c>
      <c r="I15" s="43" t="s">
        <v>21</v>
      </c>
      <c r="J15" s="44">
        <f>J14*Inputs!$C$32 * 10^-6</f>
        <v>0.59592570048000004</v>
      </c>
    </row>
    <row r="16" spans="1:13">
      <c r="A16" s="43" t="s">
        <v>111</v>
      </c>
      <c r="B16" s="43" t="s">
        <v>21</v>
      </c>
      <c r="C16" s="44">
        <f>F4+C15</f>
        <v>6.8587159998817704</v>
      </c>
      <c r="H16" s="43" t="s">
        <v>111</v>
      </c>
      <c r="I16" s="43" t="s">
        <v>21</v>
      </c>
      <c r="J16" s="44">
        <f>M4+J15</f>
        <v>2.7123769385939442</v>
      </c>
    </row>
    <row r="17" spans="1:10">
      <c r="A17" s="43" t="s">
        <v>112</v>
      </c>
      <c r="B17" s="43" t="s">
        <v>29</v>
      </c>
      <c r="C17" s="2">
        <f>(C16-C5) /C9 * 10^6</f>
        <v>2319.4570088730798</v>
      </c>
      <c r="H17" s="43" t="s">
        <v>112</v>
      </c>
      <c r="I17" s="43" t="s">
        <v>29</v>
      </c>
      <c r="J17" s="2">
        <f>(J16-J5) /J9 * 10^6</f>
        <v>732.11487284030557</v>
      </c>
    </row>
  </sheetData>
  <mergeCells count="4">
    <mergeCell ref="A1:F1"/>
    <mergeCell ref="H1:M1"/>
    <mergeCell ref="A12:C12"/>
    <mergeCell ref="H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Base LCOF</vt:lpstr>
      <vt:lpstr>LCOE Corrected LCOF</vt:lpstr>
      <vt:lpstr>CO2 Price Corrected LCOF</vt:lpstr>
      <vt:lpstr>WACC Corrected LCOF</vt:lpstr>
      <vt:lpstr>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Dubey</dc:creator>
  <cp:keywords/>
  <dc:description/>
  <cp:lastModifiedBy>Dubey  Yash</cp:lastModifiedBy>
  <cp:revision/>
  <dcterms:created xsi:type="dcterms:W3CDTF">2024-06-24T21:49:03Z</dcterms:created>
  <dcterms:modified xsi:type="dcterms:W3CDTF">2025-04-15T12:29:30Z</dcterms:modified>
  <cp:category/>
  <cp:contentStatus/>
</cp:coreProperties>
</file>
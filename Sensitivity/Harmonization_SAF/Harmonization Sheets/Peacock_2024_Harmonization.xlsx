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updateLinks="always"/>
  <mc:AlternateContent xmlns:mc="http://schemas.openxmlformats.org/markup-compatibility/2006">
    <mc:Choice Requires="x15">
      <x15ac:absPath xmlns:x15ac="http://schemas.microsoft.com/office/spreadsheetml/2010/11/ac" url="https://ethz-my.sharepoint.com/personal/ydubey_ethz_ch/Documents/Documents/GitHub/DACCSvDACCU/Sensitivity/Harmonization_SAF/Harmonization Sheets/"/>
    </mc:Choice>
  </mc:AlternateContent>
  <xr:revisionPtr revIDLastSave="100" documentId="13_ncr:1_{EB5A70C5-0542-CC4D-B2C3-B66A3176FC84}" xr6:coauthVersionLast="47" xr6:coauthVersionMax="47" xr10:uidLastSave="{B8978432-6DE3-459E-8395-F72F9F10AC4E}"/>
  <bookViews>
    <workbookView xWindow="1170" yWindow="1170" windowWidth="28800" windowHeight="15345" firstSheet="1" activeTab="1" xr2:uid="{00000000-000D-0000-FFFF-FFFF00000000}"/>
  </bookViews>
  <sheets>
    <sheet name="Legend" sheetId="1" r:id="rId1"/>
    <sheet name="Inputs" sheetId="2" r:id="rId2"/>
    <sheet name="Study Parameters" sheetId="3" r:id="rId3"/>
    <sheet name="NPV DAC CAPEX" sheetId="11" r:id="rId4"/>
    <sheet name="Cost Components" sheetId="4" r:id="rId5"/>
    <sheet name="LCOF Baseline" sheetId="5" r:id="rId6"/>
    <sheet name="LCOF LCOE Corrected" sheetId="6" r:id="rId7"/>
    <sheet name="LCOF CO2 Cost Corrected" sheetId="7" r:id="rId8"/>
    <sheet name="LCOF WACC Corrected " sheetId="8" r:id="rId9"/>
    <sheet name="Cost Breakdowns" sheetId="10" r:id="rId10"/>
    <sheet name="Outputs" sheetId="9" r:id="rId11"/>
  </sheets>
  <externalReferences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AF24" i="4" s="1"/>
  <c r="C32" i="2"/>
  <c r="C30" i="2"/>
  <c r="C29" i="2"/>
  <c r="C27" i="2"/>
  <c r="C26" i="2"/>
  <c r="C24" i="2"/>
  <c r="C23" i="2"/>
  <c r="C21" i="2"/>
  <c r="C20" i="2"/>
  <c r="C18" i="2"/>
  <c r="C16" i="2"/>
  <c r="C15" i="2"/>
  <c r="C14" i="2"/>
  <c r="C13" i="2"/>
  <c r="C12" i="2"/>
  <c r="C11" i="2"/>
  <c r="C9" i="2"/>
  <c r="Z21" i="4" s="1"/>
  <c r="Z22" i="4" s="1"/>
  <c r="C8" i="2"/>
  <c r="H25" i="4" s="1"/>
  <c r="C6" i="2"/>
  <c r="C5" i="2"/>
  <c r="N61" i="8" s="1"/>
  <c r="C4" i="2"/>
  <c r="G11" i="3"/>
  <c r="B14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B12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C11" i="11"/>
  <c r="AF5" i="4"/>
  <c r="AF8" i="4" s="1"/>
  <c r="Z5" i="4"/>
  <c r="Z8" i="4" s="1"/>
  <c r="Z23" i="4" s="1"/>
  <c r="B17" i="10" s="1"/>
  <c r="T5" i="4"/>
  <c r="T8" i="4" s="1"/>
  <c r="B36" i="5" s="1"/>
  <c r="B37" i="5" s="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B8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B4" i="11"/>
  <c r="N5" i="4" s="1"/>
  <c r="N8" i="4" s="1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AA61" i="7"/>
  <c r="Z61" i="7"/>
  <c r="Y61" i="7"/>
  <c r="X61" i="7"/>
  <c r="W61" i="7"/>
  <c r="O61" i="7"/>
  <c r="N61" i="7"/>
  <c r="M61" i="7"/>
  <c r="L61" i="7"/>
  <c r="D61" i="7"/>
  <c r="C61" i="7"/>
  <c r="AF60" i="7"/>
  <c r="AF61" i="7" s="1"/>
  <c r="AE60" i="7"/>
  <c r="AE61" i="7" s="1"/>
  <c r="AD60" i="7"/>
  <c r="AD61" i="7" s="1"/>
  <c r="AC60" i="7"/>
  <c r="AC61" i="7" s="1"/>
  <c r="AB60" i="7"/>
  <c r="AB61" i="7" s="1"/>
  <c r="AA60" i="7"/>
  <c r="Z60" i="7"/>
  <c r="Y60" i="7"/>
  <c r="X60" i="7"/>
  <c r="W60" i="7"/>
  <c r="V60" i="7"/>
  <c r="V61" i="7" s="1"/>
  <c r="U60" i="7"/>
  <c r="U61" i="7" s="1"/>
  <c r="T60" i="7"/>
  <c r="T61" i="7" s="1"/>
  <c r="S60" i="7"/>
  <c r="S61" i="7" s="1"/>
  <c r="R60" i="7"/>
  <c r="R61" i="7" s="1"/>
  <c r="Q60" i="7"/>
  <c r="Q61" i="7" s="1"/>
  <c r="P60" i="7"/>
  <c r="P61" i="7" s="1"/>
  <c r="O60" i="7"/>
  <c r="N60" i="7"/>
  <c r="M60" i="7"/>
  <c r="L60" i="7"/>
  <c r="K60" i="7"/>
  <c r="K61" i="7" s="1"/>
  <c r="J60" i="7"/>
  <c r="J61" i="7" s="1"/>
  <c r="I60" i="7"/>
  <c r="I61" i="7" s="1"/>
  <c r="H60" i="7"/>
  <c r="H61" i="7" s="1"/>
  <c r="G60" i="7"/>
  <c r="G61" i="7" s="1"/>
  <c r="F60" i="7"/>
  <c r="F61" i="7" s="1"/>
  <c r="E60" i="7"/>
  <c r="E61" i="7" s="1"/>
  <c r="D60" i="7"/>
  <c r="C60" i="7"/>
  <c r="Y50" i="7"/>
  <c r="X50" i="7"/>
  <c r="W50" i="7"/>
  <c r="V50" i="7"/>
  <c r="N50" i="7"/>
  <c r="M50" i="7"/>
  <c r="L50" i="7"/>
  <c r="K50" i="7"/>
  <c r="C50" i="7"/>
  <c r="AF49" i="7"/>
  <c r="AF50" i="7" s="1"/>
  <c r="AE49" i="7"/>
  <c r="AE50" i="7" s="1"/>
  <c r="AD49" i="7"/>
  <c r="AD50" i="7" s="1"/>
  <c r="AC49" i="7"/>
  <c r="AC50" i="7" s="1"/>
  <c r="AB49" i="7"/>
  <c r="AB50" i="7" s="1"/>
  <c r="AA49" i="7"/>
  <c r="AA50" i="7" s="1"/>
  <c r="Z49" i="7"/>
  <c r="Z50" i="7" s="1"/>
  <c r="Y49" i="7"/>
  <c r="X49" i="7"/>
  <c r="W49" i="7"/>
  <c r="V49" i="7"/>
  <c r="U49" i="7"/>
  <c r="U50" i="7" s="1"/>
  <c r="T49" i="7"/>
  <c r="T50" i="7" s="1"/>
  <c r="S49" i="7"/>
  <c r="S50" i="7" s="1"/>
  <c r="R49" i="7"/>
  <c r="R50" i="7" s="1"/>
  <c r="Q49" i="7"/>
  <c r="Q50" i="7" s="1"/>
  <c r="P49" i="7"/>
  <c r="P50" i="7" s="1"/>
  <c r="O49" i="7"/>
  <c r="O50" i="7" s="1"/>
  <c r="N49" i="7"/>
  <c r="M49" i="7"/>
  <c r="L49" i="7"/>
  <c r="K49" i="7"/>
  <c r="J49" i="7"/>
  <c r="J50" i="7" s="1"/>
  <c r="I49" i="7"/>
  <c r="I50" i="7" s="1"/>
  <c r="H49" i="7"/>
  <c r="H50" i="7" s="1"/>
  <c r="G49" i="7"/>
  <c r="G50" i="7" s="1"/>
  <c r="F49" i="7"/>
  <c r="F50" i="7" s="1"/>
  <c r="E49" i="7"/>
  <c r="E50" i="7" s="1"/>
  <c r="D49" i="7"/>
  <c r="D50" i="7" s="1"/>
  <c r="C49" i="7"/>
  <c r="AF39" i="7"/>
  <c r="AE39" i="7"/>
  <c r="AD39" i="7"/>
  <c r="AB39" i="7"/>
  <c r="Z39" i="7"/>
  <c r="U39" i="7"/>
  <c r="T39" i="7"/>
  <c r="S39" i="7"/>
  <c r="R39" i="7"/>
  <c r="Q39" i="7"/>
  <c r="P39" i="7"/>
  <c r="O39" i="7"/>
  <c r="J39" i="7"/>
  <c r="I39" i="7"/>
  <c r="H39" i="7"/>
  <c r="F39" i="7"/>
  <c r="E39" i="7"/>
  <c r="D39" i="7"/>
  <c r="AF38" i="7"/>
  <c r="AE38" i="7"/>
  <c r="AD38" i="7"/>
  <c r="AC38" i="7"/>
  <c r="AC39" i="7" s="1"/>
  <c r="AB38" i="7"/>
  <c r="AA38" i="7"/>
  <c r="AA39" i="7" s="1"/>
  <c r="Z38" i="7"/>
  <c r="Y38" i="7"/>
  <c r="Y39" i="7" s="1"/>
  <c r="X38" i="7"/>
  <c r="X39" i="7" s="1"/>
  <c r="W38" i="7"/>
  <c r="W39" i="7" s="1"/>
  <c r="V38" i="7"/>
  <c r="V39" i="7" s="1"/>
  <c r="U38" i="7"/>
  <c r="T38" i="7"/>
  <c r="S38" i="7"/>
  <c r="R38" i="7"/>
  <c r="Q38" i="7"/>
  <c r="P38" i="7"/>
  <c r="O38" i="7"/>
  <c r="N38" i="7"/>
  <c r="N39" i="7" s="1"/>
  <c r="M38" i="7"/>
  <c r="M39" i="7" s="1"/>
  <c r="L38" i="7"/>
  <c r="L39" i="7" s="1"/>
  <c r="K38" i="7"/>
  <c r="K39" i="7" s="1"/>
  <c r="J38" i="7"/>
  <c r="I38" i="7"/>
  <c r="H38" i="7"/>
  <c r="G38" i="7"/>
  <c r="G39" i="7" s="1"/>
  <c r="F38" i="7"/>
  <c r="E38" i="7"/>
  <c r="D38" i="7"/>
  <c r="C38" i="7"/>
  <c r="C39" i="7" s="1"/>
  <c r="AF28" i="7"/>
  <c r="AC28" i="7"/>
  <c r="AB28" i="7"/>
  <c r="AA28" i="7"/>
  <c r="V28" i="7"/>
  <c r="R28" i="7"/>
  <c r="Q28" i="7"/>
  <c r="P28" i="7"/>
  <c r="G28" i="7"/>
  <c r="F28" i="7"/>
  <c r="E28" i="7"/>
  <c r="AF27" i="7"/>
  <c r="AE27" i="7"/>
  <c r="AE28" i="7" s="1"/>
  <c r="AD27" i="7"/>
  <c r="AD28" i="7" s="1"/>
  <c r="AC27" i="7"/>
  <c r="AB27" i="7"/>
  <c r="AA27" i="7"/>
  <c r="Z27" i="7"/>
  <c r="Z28" i="7" s="1"/>
  <c r="Y27" i="7"/>
  <c r="Y28" i="7" s="1"/>
  <c r="X27" i="7"/>
  <c r="X28" i="7" s="1"/>
  <c r="W27" i="7"/>
  <c r="W28" i="7" s="1"/>
  <c r="V27" i="7"/>
  <c r="U27" i="7"/>
  <c r="U28" i="7" s="1"/>
  <c r="T27" i="7"/>
  <c r="T28" i="7" s="1"/>
  <c r="S27" i="7"/>
  <c r="S28" i="7" s="1"/>
  <c r="R27" i="7"/>
  <c r="Q27" i="7"/>
  <c r="P27" i="7"/>
  <c r="O27" i="7"/>
  <c r="O28" i="7" s="1"/>
  <c r="N27" i="7"/>
  <c r="N28" i="7" s="1"/>
  <c r="M27" i="7"/>
  <c r="M28" i="7" s="1"/>
  <c r="L27" i="7"/>
  <c r="L28" i="7" s="1"/>
  <c r="K27" i="7"/>
  <c r="K28" i="7" s="1"/>
  <c r="J27" i="7"/>
  <c r="J28" i="7" s="1"/>
  <c r="I27" i="7"/>
  <c r="I28" i="7" s="1"/>
  <c r="H27" i="7"/>
  <c r="H28" i="7" s="1"/>
  <c r="G27" i="7"/>
  <c r="F27" i="7"/>
  <c r="E27" i="7"/>
  <c r="D27" i="7"/>
  <c r="D28" i="7" s="1"/>
  <c r="C27" i="7"/>
  <c r="C28" i="7" s="1"/>
  <c r="AF17" i="7"/>
  <c r="AE17" i="7"/>
  <c r="AD17" i="7"/>
  <c r="X17" i="7"/>
  <c r="W17" i="7"/>
  <c r="U17" i="7"/>
  <c r="T17" i="7"/>
  <c r="S17" i="7"/>
  <c r="R17" i="7"/>
  <c r="Q17" i="7"/>
  <c r="M17" i="7"/>
  <c r="L17" i="7"/>
  <c r="J17" i="7"/>
  <c r="I17" i="7"/>
  <c r="H17" i="7"/>
  <c r="G17" i="7"/>
  <c r="F17" i="7"/>
  <c r="AF16" i="7"/>
  <c r="AE16" i="7"/>
  <c r="AD16" i="7"/>
  <c r="AC16" i="7"/>
  <c r="AC17" i="7" s="1"/>
  <c r="AB16" i="7"/>
  <c r="AB17" i="7" s="1"/>
  <c r="AA16" i="7"/>
  <c r="AA17" i="7" s="1"/>
  <c r="Z16" i="7"/>
  <c r="Z17" i="7" s="1"/>
  <c r="Y16" i="7"/>
  <c r="Y17" i="7" s="1"/>
  <c r="X16" i="7"/>
  <c r="W16" i="7"/>
  <c r="V16" i="7"/>
  <c r="V17" i="7" s="1"/>
  <c r="U16" i="7"/>
  <c r="T16" i="7"/>
  <c r="S16" i="7"/>
  <c r="R16" i="7"/>
  <c r="Q16" i="7"/>
  <c r="P16" i="7"/>
  <c r="P17" i="7" s="1"/>
  <c r="O16" i="7"/>
  <c r="O17" i="7" s="1"/>
  <c r="N16" i="7"/>
  <c r="N17" i="7" s="1"/>
  <c r="M16" i="7"/>
  <c r="L16" i="7"/>
  <c r="K16" i="7"/>
  <c r="K17" i="7" s="1"/>
  <c r="J16" i="7"/>
  <c r="I16" i="7"/>
  <c r="H16" i="7"/>
  <c r="G16" i="7"/>
  <c r="F16" i="7"/>
  <c r="E16" i="7"/>
  <c r="E17" i="7" s="1"/>
  <c r="D16" i="7"/>
  <c r="D17" i="7" s="1"/>
  <c r="C16" i="7"/>
  <c r="C17" i="7" s="1"/>
  <c r="AF6" i="7"/>
  <c r="AE6" i="7"/>
  <c r="AD6" i="7"/>
  <c r="U6" i="7"/>
  <c r="T6" i="7"/>
  <c r="L6" i="7"/>
  <c r="K6" i="7"/>
  <c r="J6" i="7"/>
  <c r="I6" i="7"/>
  <c r="H6" i="7"/>
  <c r="G6" i="7"/>
  <c r="AF5" i="7"/>
  <c r="AE5" i="7"/>
  <c r="AD5" i="7"/>
  <c r="AC5" i="7"/>
  <c r="AC6" i="7" s="1"/>
  <c r="AB5" i="7"/>
  <c r="AB6" i="7" s="1"/>
  <c r="AA5" i="7"/>
  <c r="AA6" i="7" s="1"/>
  <c r="Z5" i="7"/>
  <c r="Z6" i="7" s="1"/>
  <c r="Y5" i="7"/>
  <c r="Y6" i="7" s="1"/>
  <c r="X5" i="7"/>
  <c r="X6" i="7" s="1"/>
  <c r="W5" i="7"/>
  <c r="W6" i="7" s="1"/>
  <c r="V5" i="7"/>
  <c r="V6" i="7" s="1"/>
  <c r="U5" i="7"/>
  <c r="T5" i="7"/>
  <c r="S5" i="7"/>
  <c r="S6" i="7" s="1"/>
  <c r="R5" i="7"/>
  <c r="R6" i="7" s="1"/>
  <c r="Q5" i="7"/>
  <c r="Q6" i="7" s="1"/>
  <c r="P5" i="7"/>
  <c r="P6" i="7" s="1"/>
  <c r="O5" i="7"/>
  <c r="O6" i="7" s="1"/>
  <c r="N5" i="7"/>
  <c r="N6" i="7" s="1"/>
  <c r="M5" i="7"/>
  <c r="M6" i="7" s="1"/>
  <c r="L5" i="7"/>
  <c r="K5" i="7"/>
  <c r="J5" i="7"/>
  <c r="I5" i="7"/>
  <c r="H5" i="7"/>
  <c r="G5" i="7"/>
  <c r="F5" i="7"/>
  <c r="F6" i="7" s="1"/>
  <c r="E5" i="7"/>
  <c r="E6" i="7" s="1"/>
  <c r="D5" i="7"/>
  <c r="D6" i="7" s="1"/>
  <c r="C5" i="7"/>
  <c r="C6" i="7" s="1"/>
  <c r="AD61" i="6"/>
  <c r="AC61" i="6"/>
  <c r="AB61" i="6"/>
  <c r="AA61" i="6"/>
  <c r="X61" i="6"/>
  <c r="S61" i="6"/>
  <c r="R61" i="6"/>
  <c r="Q61" i="6"/>
  <c r="P61" i="6"/>
  <c r="H61" i="6"/>
  <c r="G61" i="6"/>
  <c r="F61" i="6"/>
  <c r="E61" i="6"/>
  <c r="C61" i="6"/>
  <c r="AF60" i="6"/>
  <c r="AF61" i="6" s="1"/>
  <c r="AE60" i="6"/>
  <c r="AE61" i="6" s="1"/>
  <c r="AD60" i="6"/>
  <c r="AC60" i="6"/>
  <c r="AB60" i="6"/>
  <c r="AA60" i="6"/>
  <c r="Z60" i="6"/>
  <c r="Z61" i="6" s="1"/>
  <c r="Y60" i="6"/>
  <c r="Y61" i="6" s="1"/>
  <c r="X60" i="6"/>
  <c r="W60" i="6"/>
  <c r="W61" i="6" s="1"/>
  <c r="V60" i="6"/>
  <c r="V61" i="6" s="1"/>
  <c r="U60" i="6"/>
  <c r="U61" i="6" s="1"/>
  <c r="T60" i="6"/>
  <c r="T61" i="6" s="1"/>
  <c r="S60" i="6"/>
  <c r="R60" i="6"/>
  <c r="Q60" i="6"/>
  <c r="P60" i="6"/>
  <c r="O60" i="6"/>
  <c r="O61" i="6" s="1"/>
  <c r="N60" i="6"/>
  <c r="N61" i="6" s="1"/>
  <c r="M60" i="6"/>
  <c r="M61" i="6" s="1"/>
  <c r="L60" i="6"/>
  <c r="L61" i="6" s="1"/>
  <c r="K60" i="6"/>
  <c r="K61" i="6" s="1"/>
  <c r="J60" i="6"/>
  <c r="J61" i="6" s="1"/>
  <c r="I60" i="6"/>
  <c r="I61" i="6" s="1"/>
  <c r="H60" i="6"/>
  <c r="G60" i="6"/>
  <c r="F60" i="6"/>
  <c r="E60" i="6"/>
  <c r="D60" i="6"/>
  <c r="D61" i="6" s="1"/>
  <c r="C60" i="6"/>
  <c r="AF50" i="6"/>
  <c r="Z50" i="6"/>
  <c r="Y50" i="6"/>
  <c r="X50" i="6"/>
  <c r="W50" i="6"/>
  <c r="V50" i="6"/>
  <c r="S50" i="6"/>
  <c r="O50" i="6"/>
  <c r="N50" i="6"/>
  <c r="M50" i="6"/>
  <c r="L50" i="6"/>
  <c r="H50" i="6"/>
  <c r="D50" i="6"/>
  <c r="C50" i="6"/>
  <c r="AF49" i="6"/>
  <c r="AE49" i="6"/>
  <c r="AE50" i="6" s="1"/>
  <c r="AD49" i="6"/>
  <c r="AD50" i="6" s="1"/>
  <c r="AC49" i="6"/>
  <c r="AC50" i="6" s="1"/>
  <c r="AB49" i="6"/>
  <c r="AB50" i="6" s="1"/>
  <c r="AA49" i="6"/>
  <c r="AA50" i="6" s="1"/>
  <c r="Z49" i="6"/>
  <c r="Y49" i="6"/>
  <c r="X49" i="6"/>
  <c r="W49" i="6"/>
  <c r="V49" i="6"/>
  <c r="U49" i="6"/>
  <c r="U50" i="6" s="1"/>
  <c r="T49" i="6"/>
  <c r="T50" i="6" s="1"/>
  <c r="S49" i="6"/>
  <c r="R49" i="6"/>
  <c r="R50" i="6" s="1"/>
  <c r="Q49" i="6"/>
  <c r="Q50" i="6" s="1"/>
  <c r="P49" i="6"/>
  <c r="P50" i="6" s="1"/>
  <c r="O49" i="6"/>
  <c r="N49" i="6"/>
  <c r="M49" i="6"/>
  <c r="L49" i="6"/>
  <c r="K49" i="6"/>
  <c r="K50" i="6" s="1"/>
  <c r="J49" i="6"/>
  <c r="J50" i="6" s="1"/>
  <c r="I49" i="6"/>
  <c r="I50" i="6" s="1"/>
  <c r="H49" i="6"/>
  <c r="G49" i="6"/>
  <c r="G50" i="6" s="1"/>
  <c r="F49" i="6"/>
  <c r="F50" i="6" s="1"/>
  <c r="E49" i="6"/>
  <c r="E50" i="6" s="1"/>
  <c r="D49" i="6"/>
  <c r="C49" i="6"/>
  <c r="AF39" i="6"/>
  <c r="AE39" i="6"/>
  <c r="AD39" i="6"/>
  <c r="AB39" i="6"/>
  <c r="AA39" i="6"/>
  <c r="V39" i="6"/>
  <c r="U39" i="6"/>
  <c r="T39" i="6"/>
  <c r="S39" i="6"/>
  <c r="Q39" i="6"/>
  <c r="P39" i="6"/>
  <c r="O39" i="6"/>
  <c r="K39" i="6"/>
  <c r="J39" i="6"/>
  <c r="I39" i="6"/>
  <c r="H39" i="6"/>
  <c r="E39" i="6"/>
  <c r="D39" i="6"/>
  <c r="AF38" i="6"/>
  <c r="AE38" i="6"/>
  <c r="AD38" i="6"/>
  <c r="AC38" i="6"/>
  <c r="AC39" i="6" s="1"/>
  <c r="AB38" i="6"/>
  <c r="AA38" i="6"/>
  <c r="Z38" i="6"/>
  <c r="Z39" i="6" s="1"/>
  <c r="Y38" i="6"/>
  <c r="Y39" i="6" s="1"/>
  <c r="X38" i="6"/>
  <c r="X39" i="6" s="1"/>
  <c r="W38" i="6"/>
  <c r="W39" i="6" s="1"/>
  <c r="V38" i="6"/>
  <c r="U38" i="6"/>
  <c r="T38" i="6"/>
  <c r="S38" i="6"/>
  <c r="R38" i="6"/>
  <c r="R39" i="6" s="1"/>
  <c r="Q38" i="6"/>
  <c r="P38" i="6"/>
  <c r="O38" i="6"/>
  <c r="N38" i="6"/>
  <c r="N39" i="6" s="1"/>
  <c r="M38" i="6"/>
  <c r="M39" i="6" s="1"/>
  <c r="L38" i="6"/>
  <c r="L39" i="6" s="1"/>
  <c r="K38" i="6"/>
  <c r="J38" i="6"/>
  <c r="I38" i="6"/>
  <c r="H38" i="6"/>
  <c r="G38" i="6"/>
  <c r="G39" i="6" s="1"/>
  <c r="F38" i="6"/>
  <c r="F39" i="6" s="1"/>
  <c r="E38" i="6"/>
  <c r="D38" i="6"/>
  <c r="C38" i="6"/>
  <c r="C39" i="6" s="1"/>
  <c r="AC28" i="6"/>
  <c r="AB28" i="6"/>
  <c r="AA28" i="6"/>
  <c r="Z28" i="6"/>
  <c r="Y28" i="6"/>
  <c r="X28" i="6"/>
  <c r="R28" i="6"/>
  <c r="Q28" i="6"/>
  <c r="P28" i="6"/>
  <c r="O28" i="6"/>
  <c r="N28" i="6"/>
  <c r="M28" i="6"/>
  <c r="L28" i="6"/>
  <c r="K28" i="6"/>
  <c r="G28" i="6"/>
  <c r="F28" i="6"/>
  <c r="E28" i="6"/>
  <c r="D28" i="6"/>
  <c r="AF27" i="6"/>
  <c r="AF28" i="6" s="1"/>
  <c r="AE27" i="6"/>
  <c r="AE28" i="6" s="1"/>
  <c r="AD27" i="6"/>
  <c r="AD28" i="6" s="1"/>
  <c r="AC27" i="6"/>
  <c r="AB27" i="6"/>
  <c r="AA27" i="6"/>
  <c r="Z27" i="6"/>
  <c r="Y27" i="6"/>
  <c r="X27" i="6"/>
  <c r="W27" i="6"/>
  <c r="W28" i="6" s="1"/>
  <c r="V27" i="6"/>
  <c r="V28" i="6" s="1"/>
  <c r="U27" i="6"/>
  <c r="U28" i="6" s="1"/>
  <c r="T27" i="6"/>
  <c r="T28" i="6" s="1"/>
  <c r="S27" i="6"/>
  <c r="S28" i="6" s="1"/>
  <c r="R27" i="6"/>
  <c r="Q27" i="6"/>
  <c r="P27" i="6"/>
  <c r="O27" i="6"/>
  <c r="N27" i="6"/>
  <c r="M27" i="6"/>
  <c r="L27" i="6"/>
  <c r="K27" i="6"/>
  <c r="J27" i="6"/>
  <c r="J28" i="6" s="1"/>
  <c r="I27" i="6"/>
  <c r="I28" i="6" s="1"/>
  <c r="H27" i="6"/>
  <c r="H28" i="6" s="1"/>
  <c r="G27" i="6"/>
  <c r="F27" i="6"/>
  <c r="E27" i="6"/>
  <c r="D27" i="6"/>
  <c r="C27" i="6"/>
  <c r="C28" i="6" s="1"/>
  <c r="AE17" i="6"/>
  <c r="AD17" i="6"/>
  <c r="AC17" i="6"/>
  <c r="Y17" i="6"/>
  <c r="X17" i="6"/>
  <c r="W17" i="6"/>
  <c r="V17" i="6"/>
  <c r="N17" i="6"/>
  <c r="M17" i="6"/>
  <c r="L17" i="6"/>
  <c r="K17" i="6"/>
  <c r="J17" i="6"/>
  <c r="I17" i="6"/>
  <c r="C17" i="6"/>
  <c r="AF16" i="6"/>
  <c r="AF17" i="6" s="1"/>
  <c r="AE16" i="6"/>
  <c r="AD16" i="6"/>
  <c r="AC16" i="6"/>
  <c r="AB16" i="6"/>
  <c r="AB17" i="6" s="1"/>
  <c r="AA16" i="6"/>
  <c r="AA17" i="6" s="1"/>
  <c r="Z16" i="6"/>
  <c r="Z17" i="6" s="1"/>
  <c r="Y16" i="6"/>
  <c r="X16" i="6"/>
  <c r="W16" i="6"/>
  <c r="V16" i="6"/>
  <c r="U16" i="6"/>
  <c r="U17" i="6" s="1"/>
  <c r="T16" i="6"/>
  <c r="T17" i="6" s="1"/>
  <c r="S16" i="6"/>
  <c r="S17" i="6" s="1"/>
  <c r="R16" i="6"/>
  <c r="R17" i="6" s="1"/>
  <c r="Q16" i="6"/>
  <c r="Q17" i="6" s="1"/>
  <c r="P16" i="6"/>
  <c r="P17" i="6" s="1"/>
  <c r="O16" i="6"/>
  <c r="O17" i="6" s="1"/>
  <c r="N16" i="6"/>
  <c r="M16" i="6"/>
  <c r="L16" i="6"/>
  <c r="K16" i="6"/>
  <c r="J16" i="6"/>
  <c r="I16" i="6"/>
  <c r="H16" i="6"/>
  <c r="H17" i="6" s="1"/>
  <c r="G16" i="6"/>
  <c r="G17" i="6" s="1"/>
  <c r="F16" i="6"/>
  <c r="F17" i="6" s="1"/>
  <c r="E16" i="6"/>
  <c r="E17" i="6" s="1"/>
  <c r="D16" i="6"/>
  <c r="D17" i="6" s="1"/>
  <c r="C16" i="6"/>
  <c r="AF6" i="6"/>
  <c r="AD6" i="6"/>
  <c r="AA6" i="6"/>
  <c r="Z6" i="6"/>
  <c r="Y6" i="6"/>
  <c r="W6" i="6"/>
  <c r="U6" i="6"/>
  <c r="N6" i="6"/>
  <c r="L6" i="6"/>
  <c r="J6" i="6"/>
  <c r="G6" i="6"/>
  <c r="AF5" i="6"/>
  <c r="AE5" i="6"/>
  <c r="AE6" i="6" s="1"/>
  <c r="AD5" i="6"/>
  <c r="AC5" i="6"/>
  <c r="AC6" i="6" s="1"/>
  <c r="AB5" i="6"/>
  <c r="AB6" i="6" s="1"/>
  <c r="AA5" i="6"/>
  <c r="Z5" i="6"/>
  <c r="Y5" i="6"/>
  <c r="X5" i="6"/>
  <c r="X6" i="6" s="1"/>
  <c r="W5" i="6"/>
  <c r="V5" i="6"/>
  <c r="V6" i="6" s="1"/>
  <c r="U5" i="6"/>
  <c r="T5" i="6"/>
  <c r="T6" i="6" s="1"/>
  <c r="S5" i="6"/>
  <c r="S6" i="6" s="1"/>
  <c r="R5" i="6"/>
  <c r="R6" i="6" s="1"/>
  <c r="Q5" i="6"/>
  <c r="Q6" i="6" s="1"/>
  <c r="P5" i="6"/>
  <c r="P6" i="6" s="1"/>
  <c r="O5" i="6"/>
  <c r="O6" i="6" s="1"/>
  <c r="N5" i="6"/>
  <c r="M5" i="6"/>
  <c r="M6" i="6" s="1"/>
  <c r="L5" i="6"/>
  <c r="K5" i="6"/>
  <c r="K6" i="6" s="1"/>
  <c r="J5" i="6"/>
  <c r="I5" i="6"/>
  <c r="I6" i="6" s="1"/>
  <c r="H5" i="6"/>
  <c r="H6" i="6" s="1"/>
  <c r="G5" i="6"/>
  <c r="F5" i="6"/>
  <c r="F6" i="6" s="1"/>
  <c r="E5" i="6"/>
  <c r="E6" i="6" s="1"/>
  <c r="D5" i="6"/>
  <c r="D6" i="6" s="1"/>
  <c r="C5" i="6"/>
  <c r="C6" i="6" s="1"/>
  <c r="AF3" i="6"/>
  <c r="AF4" i="6" s="1"/>
  <c r="AE3" i="6"/>
  <c r="AE4" i="6" s="1"/>
  <c r="AD3" i="6"/>
  <c r="AD4" i="6" s="1"/>
  <c r="AC3" i="6"/>
  <c r="AC4" i="6" s="1"/>
  <c r="AC61" i="5"/>
  <c r="AB61" i="5"/>
  <c r="AA61" i="5"/>
  <c r="Z61" i="5"/>
  <c r="Y61" i="5"/>
  <c r="X61" i="5"/>
  <c r="Q61" i="5"/>
  <c r="P61" i="5"/>
  <c r="O61" i="5"/>
  <c r="N61" i="5"/>
  <c r="M61" i="5"/>
  <c r="L61" i="5"/>
  <c r="F61" i="5"/>
  <c r="E61" i="5"/>
  <c r="D61" i="5"/>
  <c r="C61" i="5"/>
  <c r="AF60" i="5"/>
  <c r="AF61" i="5" s="1"/>
  <c r="AE60" i="5"/>
  <c r="AE61" i="5" s="1"/>
  <c r="AD60" i="5"/>
  <c r="AD61" i="5" s="1"/>
  <c r="AC60" i="5"/>
  <c r="AB60" i="5"/>
  <c r="AA60" i="5"/>
  <c r="Z60" i="5"/>
  <c r="Y60" i="5"/>
  <c r="X60" i="5"/>
  <c r="W60" i="5"/>
  <c r="W61" i="5" s="1"/>
  <c r="V60" i="5"/>
  <c r="V61" i="5" s="1"/>
  <c r="U60" i="5"/>
  <c r="U61" i="5" s="1"/>
  <c r="T60" i="5"/>
  <c r="T61" i="5" s="1"/>
  <c r="S60" i="5"/>
  <c r="S61" i="5" s="1"/>
  <c r="R60" i="5"/>
  <c r="R61" i="5" s="1"/>
  <c r="Q60" i="5"/>
  <c r="P60" i="5"/>
  <c r="O60" i="5"/>
  <c r="N60" i="5"/>
  <c r="M60" i="5"/>
  <c r="L60" i="5"/>
  <c r="K60" i="5"/>
  <c r="K61" i="5" s="1"/>
  <c r="J60" i="5"/>
  <c r="J61" i="5" s="1"/>
  <c r="I60" i="5"/>
  <c r="I61" i="5" s="1"/>
  <c r="H60" i="5"/>
  <c r="H61" i="5" s="1"/>
  <c r="G60" i="5"/>
  <c r="G61" i="5" s="1"/>
  <c r="F60" i="5"/>
  <c r="E60" i="5"/>
  <c r="D60" i="5"/>
  <c r="C60" i="5"/>
  <c r="AA58" i="5"/>
  <c r="AA59" i="5" s="1"/>
  <c r="Z58" i="5"/>
  <c r="Z59" i="5" s="1"/>
  <c r="Y58" i="5"/>
  <c r="Y59" i="5" s="1"/>
  <c r="X58" i="5"/>
  <c r="X59" i="5" s="1"/>
  <c r="I58" i="5"/>
  <c r="I59" i="5" s="1"/>
  <c r="C58" i="5"/>
  <c r="C59" i="5" s="1"/>
  <c r="AB50" i="5"/>
  <c r="AA50" i="5"/>
  <c r="Z50" i="5"/>
  <c r="Q50" i="5"/>
  <c r="P50" i="5"/>
  <c r="O50" i="5"/>
  <c r="F50" i="5"/>
  <c r="E50" i="5"/>
  <c r="D50" i="5"/>
  <c r="C50" i="5"/>
  <c r="AF49" i="5"/>
  <c r="AF50" i="5" s="1"/>
  <c r="AE49" i="5"/>
  <c r="AE50" i="5" s="1"/>
  <c r="AD49" i="5"/>
  <c r="AD50" i="5" s="1"/>
  <c r="AC49" i="5"/>
  <c r="AC50" i="5" s="1"/>
  <c r="AB49" i="5"/>
  <c r="AA49" i="5"/>
  <c r="Z49" i="5"/>
  <c r="Y49" i="5"/>
  <c r="Y50" i="5" s="1"/>
  <c r="X49" i="5"/>
  <c r="X50" i="5" s="1"/>
  <c r="W49" i="5"/>
  <c r="W50" i="5" s="1"/>
  <c r="V49" i="5"/>
  <c r="V50" i="5" s="1"/>
  <c r="U49" i="5"/>
  <c r="U50" i="5" s="1"/>
  <c r="T49" i="5"/>
  <c r="T50" i="5" s="1"/>
  <c r="S49" i="5"/>
  <c r="S50" i="5" s="1"/>
  <c r="R49" i="5"/>
  <c r="R50" i="5" s="1"/>
  <c r="Q49" i="5"/>
  <c r="P49" i="5"/>
  <c r="O49" i="5"/>
  <c r="N49" i="5"/>
  <c r="N50" i="5" s="1"/>
  <c r="M49" i="5"/>
  <c r="M50" i="5" s="1"/>
  <c r="L49" i="5"/>
  <c r="L50" i="5" s="1"/>
  <c r="K49" i="5"/>
  <c r="K50" i="5" s="1"/>
  <c r="J49" i="5"/>
  <c r="J50" i="5" s="1"/>
  <c r="I49" i="5"/>
  <c r="I50" i="5" s="1"/>
  <c r="H49" i="5"/>
  <c r="H50" i="5" s="1"/>
  <c r="G49" i="5"/>
  <c r="G50" i="5" s="1"/>
  <c r="F49" i="5"/>
  <c r="E49" i="5"/>
  <c r="D49" i="5"/>
  <c r="C49" i="5"/>
  <c r="AE48" i="5"/>
  <c r="AD48" i="5"/>
  <c r="AC48" i="5"/>
  <c r="AB48" i="5"/>
  <c r="T48" i="5"/>
  <c r="S48" i="5"/>
  <c r="R48" i="5"/>
  <c r="Q48" i="5"/>
  <c r="P48" i="5"/>
  <c r="I48" i="5"/>
  <c r="E48" i="5"/>
  <c r="AE47" i="5"/>
  <c r="AD47" i="5"/>
  <c r="AC47" i="5"/>
  <c r="AB47" i="5"/>
  <c r="AA47" i="5"/>
  <c r="AA48" i="5" s="1"/>
  <c r="Z47" i="5"/>
  <c r="Z48" i="5" s="1"/>
  <c r="Y47" i="5"/>
  <c r="Y48" i="5" s="1"/>
  <c r="T47" i="5"/>
  <c r="S47" i="5"/>
  <c r="R47" i="5"/>
  <c r="Q47" i="5"/>
  <c r="P47" i="5"/>
  <c r="O47" i="5"/>
  <c r="O48" i="5" s="1"/>
  <c r="N47" i="5"/>
  <c r="N48" i="5" s="1"/>
  <c r="I47" i="5"/>
  <c r="H47" i="5"/>
  <c r="H48" i="5" s="1"/>
  <c r="G47" i="5"/>
  <c r="G48" i="5" s="1"/>
  <c r="F47" i="5"/>
  <c r="F48" i="5" s="1"/>
  <c r="E47" i="5"/>
  <c r="D47" i="5"/>
  <c r="D48" i="5" s="1"/>
  <c r="C47" i="5"/>
  <c r="C48" i="5" s="1"/>
  <c r="AF39" i="5"/>
  <c r="AE39" i="5"/>
  <c r="AD39" i="5"/>
  <c r="X39" i="5"/>
  <c r="W39" i="5"/>
  <c r="V39" i="5"/>
  <c r="M39" i="5"/>
  <c r="L39" i="5"/>
  <c r="K39" i="5"/>
  <c r="J39" i="5"/>
  <c r="AF38" i="5"/>
  <c r="AE38" i="5"/>
  <c r="AD38" i="5"/>
  <c r="AC38" i="5"/>
  <c r="AC39" i="5" s="1"/>
  <c r="AB38" i="5"/>
  <c r="AB39" i="5" s="1"/>
  <c r="AA38" i="5"/>
  <c r="AA39" i="5" s="1"/>
  <c r="Z38" i="5"/>
  <c r="Z39" i="5" s="1"/>
  <c r="Y38" i="5"/>
  <c r="Y39" i="5" s="1"/>
  <c r="X38" i="5"/>
  <c r="W38" i="5"/>
  <c r="V38" i="5"/>
  <c r="U38" i="5"/>
  <c r="U39" i="5" s="1"/>
  <c r="T38" i="5"/>
  <c r="T39" i="5" s="1"/>
  <c r="S38" i="5"/>
  <c r="S39" i="5" s="1"/>
  <c r="R38" i="5"/>
  <c r="R39" i="5" s="1"/>
  <c r="Q38" i="5"/>
  <c r="Q39" i="5" s="1"/>
  <c r="P38" i="5"/>
  <c r="P39" i="5" s="1"/>
  <c r="O38" i="5"/>
  <c r="O39" i="5" s="1"/>
  <c r="N38" i="5"/>
  <c r="N39" i="5" s="1"/>
  <c r="M38" i="5"/>
  <c r="L38" i="5"/>
  <c r="K38" i="5"/>
  <c r="J38" i="5"/>
  <c r="I38" i="5"/>
  <c r="I39" i="5" s="1"/>
  <c r="H38" i="5"/>
  <c r="H39" i="5" s="1"/>
  <c r="G38" i="5"/>
  <c r="G39" i="5" s="1"/>
  <c r="F38" i="5"/>
  <c r="F39" i="5" s="1"/>
  <c r="E38" i="5"/>
  <c r="E39" i="5" s="1"/>
  <c r="D38" i="5"/>
  <c r="D39" i="5" s="1"/>
  <c r="C38" i="5"/>
  <c r="C39" i="5" s="1"/>
  <c r="AA37" i="5"/>
  <c r="Z37" i="5"/>
  <c r="Y37" i="5"/>
  <c r="X37" i="5"/>
  <c r="W37" i="5"/>
  <c r="P37" i="5"/>
  <c r="L37" i="5"/>
  <c r="E37" i="5"/>
  <c r="D37" i="5"/>
  <c r="C37" i="5"/>
  <c r="AF36" i="5"/>
  <c r="AF37" i="5" s="1"/>
  <c r="AA36" i="5"/>
  <c r="Z36" i="5"/>
  <c r="Y36" i="5"/>
  <c r="X36" i="5"/>
  <c r="W36" i="5"/>
  <c r="V36" i="5"/>
  <c r="V37" i="5" s="1"/>
  <c r="U36" i="5"/>
  <c r="U37" i="5" s="1"/>
  <c r="P36" i="5"/>
  <c r="O36" i="5"/>
  <c r="O37" i="5" s="1"/>
  <c r="N36" i="5"/>
  <c r="N37" i="5" s="1"/>
  <c r="M36" i="5"/>
  <c r="M37" i="5" s="1"/>
  <c r="L36" i="5"/>
  <c r="K36" i="5"/>
  <c r="K37" i="5" s="1"/>
  <c r="J36" i="5"/>
  <c r="J37" i="5" s="1"/>
  <c r="E36" i="5"/>
  <c r="D36" i="5"/>
  <c r="C36" i="5"/>
  <c r="AE28" i="5"/>
  <c r="AD28" i="5"/>
  <c r="AC28" i="5"/>
  <c r="T28" i="5"/>
  <c r="S28" i="5"/>
  <c r="R28" i="5"/>
  <c r="Q28" i="5"/>
  <c r="I28" i="5"/>
  <c r="H28" i="5"/>
  <c r="G28" i="5"/>
  <c r="F28" i="5"/>
  <c r="E28" i="5"/>
  <c r="D28" i="5"/>
  <c r="C28" i="5"/>
  <c r="AF27" i="5"/>
  <c r="AF28" i="5" s="1"/>
  <c r="AE27" i="5"/>
  <c r="AD27" i="5"/>
  <c r="AC27" i="5"/>
  <c r="AB27" i="5"/>
  <c r="AB28" i="5" s="1"/>
  <c r="AA27" i="5"/>
  <c r="AA28" i="5" s="1"/>
  <c r="Z27" i="5"/>
  <c r="Z28" i="5" s="1"/>
  <c r="Y27" i="5"/>
  <c r="Y28" i="5" s="1"/>
  <c r="X27" i="5"/>
  <c r="X28" i="5" s="1"/>
  <c r="W27" i="5"/>
  <c r="W28" i="5" s="1"/>
  <c r="V27" i="5"/>
  <c r="V28" i="5" s="1"/>
  <c r="U27" i="5"/>
  <c r="U28" i="5" s="1"/>
  <c r="T27" i="5"/>
  <c r="S27" i="5"/>
  <c r="R27" i="5"/>
  <c r="Q27" i="5"/>
  <c r="P27" i="5"/>
  <c r="P28" i="5" s="1"/>
  <c r="O27" i="5"/>
  <c r="O28" i="5" s="1"/>
  <c r="N27" i="5"/>
  <c r="N28" i="5" s="1"/>
  <c r="M27" i="5"/>
  <c r="M28" i="5" s="1"/>
  <c r="L27" i="5"/>
  <c r="L28" i="5" s="1"/>
  <c r="K27" i="5"/>
  <c r="K28" i="5" s="1"/>
  <c r="J27" i="5"/>
  <c r="J28" i="5" s="1"/>
  <c r="I27" i="5"/>
  <c r="H27" i="5"/>
  <c r="G27" i="5"/>
  <c r="F27" i="5"/>
  <c r="E27" i="5"/>
  <c r="D27" i="5"/>
  <c r="C27" i="5"/>
  <c r="AF26" i="5"/>
  <c r="AE26" i="5"/>
  <c r="AD26" i="5"/>
  <c r="V26" i="5"/>
  <c r="U26" i="5"/>
  <c r="T26" i="5"/>
  <c r="S26" i="5"/>
  <c r="L26" i="5"/>
  <c r="K26" i="5"/>
  <c r="AF25" i="5"/>
  <c r="AE25" i="5"/>
  <c r="AD25" i="5"/>
  <c r="AC25" i="5"/>
  <c r="AC26" i="5" s="1"/>
  <c r="AB25" i="5"/>
  <c r="AB26" i="5" s="1"/>
  <c r="W25" i="5"/>
  <c r="W26" i="5" s="1"/>
  <c r="V25" i="5"/>
  <c r="U25" i="5"/>
  <c r="T25" i="5"/>
  <c r="S25" i="5"/>
  <c r="R25" i="5"/>
  <c r="R26" i="5" s="1"/>
  <c r="Q25" i="5"/>
  <c r="Q26" i="5" s="1"/>
  <c r="L25" i="5"/>
  <c r="K25" i="5"/>
  <c r="J25" i="5"/>
  <c r="J26" i="5" s="1"/>
  <c r="I25" i="5"/>
  <c r="I26" i="5" s="1"/>
  <c r="H25" i="5"/>
  <c r="H26" i="5" s="1"/>
  <c r="G25" i="5"/>
  <c r="G26" i="5" s="1"/>
  <c r="F25" i="5"/>
  <c r="F26" i="5" s="1"/>
  <c r="AF17" i="5"/>
  <c r="AA17" i="5"/>
  <c r="Z17" i="5"/>
  <c r="Y17" i="5"/>
  <c r="P17" i="5"/>
  <c r="O17" i="5"/>
  <c r="N17" i="5"/>
  <c r="M17" i="5"/>
  <c r="L17" i="5"/>
  <c r="E17" i="5"/>
  <c r="D17" i="5"/>
  <c r="C17" i="5"/>
  <c r="AF16" i="5"/>
  <c r="AE16" i="5"/>
  <c r="AE17" i="5" s="1"/>
  <c r="AD16" i="5"/>
  <c r="AD17" i="5" s="1"/>
  <c r="AC16" i="5"/>
  <c r="AC17" i="5" s="1"/>
  <c r="AB16" i="5"/>
  <c r="AB17" i="5" s="1"/>
  <c r="AA16" i="5"/>
  <c r="Z16" i="5"/>
  <c r="Y16" i="5"/>
  <c r="X16" i="5"/>
  <c r="X17" i="5" s="1"/>
  <c r="W16" i="5"/>
  <c r="W17" i="5" s="1"/>
  <c r="V16" i="5"/>
  <c r="V17" i="5" s="1"/>
  <c r="U16" i="5"/>
  <c r="U17" i="5" s="1"/>
  <c r="T16" i="5"/>
  <c r="T17" i="5" s="1"/>
  <c r="S16" i="5"/>
  <c r="S17" i="5" s="1"/>
  <c r="R16" i="5"/>
  <c r="R17" i="5" s="1"/>
  <c r="Q16" i="5"/>
  <c r="Q17" i="5" s="1"/>
  <c r="P16" i="5"/>
  <c r="O16" i="5"/>
  <c r="N16" i="5"/>
  <c r="M16" i="5"/>
  <c r="L16" i="5"/>
  <c r="K16" i="5"/>
  <c r="K17" i="5" s="1"/>
  <c r="J16" i="5"/>
  <c r="J17" i="5" s="1"/>
  <c r="I16" i="5"/>
  <c r="I17" i="5" s="1"/>
  <c r="H16" i="5"/>
  <c r="H17" i="5" s="1"/>
  <c r="G16" i="5"/>
  <c r="G17" i="5" s="1"/>
  <c r="F16" i="5"/>
  <c r="F17" i="5" s="1"/>
  <c r="E16" i="5"/>
  <c r="D16" i="5"/>
  <c r="C16" i="5"/>
  <c r="AD15" i="5"/>
  <c r="AC15" i="5"/>
  <c r="AB15" i="5"/>
  <c r="AA15" i="5"/>
  <c r="Z15" i="5"/>
  <c r="Q15" i="5"/>
  <c r="P15" i="5"/>
  <c r="O15" i="5"/>
  <c r="H15" i="5"/>
  <c r="G15" i="5"/>
  <c r="F15" i="5"/>
  <c r="AD14" i="5"/>
  <c r="AC14" i="5"/>
  <c r="AB14" i="5"/>
  <c r="AA14" i="5"/>
  <c r="Z14" i="5"/>
  <c r="Y14" i="5"/>
  <c r="Y15" i="5" s="1"/>
  <c r="X14" i="5"/>
  <c r="X15" i="5" s="1"/>
  <c r="S14" i="5"/>
  <c r="S15" i="5" s="1"/>
  <c r="R14" i="5"/>
  <c r="R15" i="5" s="1"/>
  <c r="Q14" i="5"/>
  <c r="P14" i="5"/>
  <c r="O14" i="5"/>
  <c r="N14" i="5"/>
  <c r="N15" i="5" s="1"/>
  <c r="M14" i="5"/>
  <c r="M15" i="5" s="1"/>
  <c r="H14" i="5"/>
  <c r="G14" i="5"/>
  <c r="F14" i="5"/>
  <c r="E14" i="5"/>
  <c r="E15" i="5" s="1"/>
  <c r="D14" i="5"/>
  <c r="D15" i="5" s="1"/>
  <c r="C14" i="5"/>
  <c r="C15" i="5" s="1"/>
  <c r="AF6" i="5"/>
  <c r="AE6" i="5"/>
  <c r="AD6" i="5"/>
  <c r="AC6" i="5"/>
  <c r="AB6" i="5"/>
  <c r="W6" i="5"/>
  <c r="V6" i="5"/>
  <c r="U6" i="5"/>
  <c r="S6" i="5"/>
  <c r="L6" i="5"/>
  <c r="K6" i="5"/>
  <c r="J6" i="5"/>
  <c r="I6" i="5"/>
  <c r="H6" i="5"/>
  <c r="G6" i="5"/>
  <c r="AF5" i="5"/>
  <c r="AE5" i="5"/>
  <c r="AD5" i="5"/>
  <c r="AC5" i="5"/>
  <c r="AB5" i="5"/>
  <c r="AA5" i="5"/>
  <c r="AA6" i="5" s="1"/>
  <c r="Z5" i="5"/>
  <c r="Z6" i="5" s="1"/>
  <c r="Y5" i="5"/>
  <c r="Y6" i="5" s="1"/>
  <c r="X5" i="5"/>
  <c r="X6" i="5" s="1"/>
  <c r="W5" i="5"/>
  <c r="V5" i="5"/>
  <c r="U5" i="5"/>
  <c r="T5" i="5"/>
  <c r="T6" i="5" s="1"/>
  <c r="S5" i="5"/>
  <c r="R5" i="5"/>
  <c r="R6" i="5" s="1"/>
  <c r="Q5" i="5"/>
  <c r="Q6" i="5" s="1"/>
  <c r="P5" i="5"/>
  <c r="P6" i="5" s="1"/>
  <c r="O5" i="5"/>
  <c r="O6" i="5" s="1"/>
  <c r="N5" i="5"/>
  <c r="N6" i="5" s="1"/>
  <c r="M5" i="5"/>
  <c r="M6" i="5" s="1"/>
  <c r="L5" i="5"/>
  <c r="K5" i="5"/>
  <c r="J5" i="5"/>
  <c r="I5" i="5"/>
  <c r="H5" i="5"/>
  <c r="G5" i="5"/>
  <c r="F5" i="5"/>
  <c r="F6" i="5" s="1"/>
  <c r="E5" i="5"/>
  <c r="E6" i="5" s="1"/>
  <c r="D5" i="5"/>
  <c r="D6" i="5" s="1"/>
  <c r="C5" i="5"/>
  <c r="C6" i="5" s="1"/>
  <c r="N4" i="5"/>
  <c r="M4" i="5"/>
  <c r="AF3" i="5"/>
  <c r="AF4" i="5" s="1"/>
  <c r="AE3" i="5"/>
  <c r="AE4" i="5" s="1"/>
  <c r="Z3" i="5"/>
  <c r="Z4" i="5" s="1"/>
  <c r="Y3" i="5"/>
  <c r="Y4" i="5" s="1"/>
  <c r="U3" i="5"/>
  <c r="U4" i="5" s="1"/>
  <c r="N3" i="5"/>
  <c r="M3" i="5"/>
  <c r="L3" i="5"/>
  <c r="L4" i="5" s="1"/>
  <c r="K3" i="5"/>
  <c r="K4" i="5" s="1"/>
  <c r="J3" i="5"/>
  <c r="J4" i="5" s="1"/>
  <c r="AF16" i="4"/>
  <c r="V58" i="5" s="1"/>
  <c r="V59" i="5" s="1"/>
  <c r="Z16" i="4"/>
  <c r="X47" i="5" s="1"/>
  <c r="X48" i="5" s="1"/>
  <c r="T16" i="4"/>
  <c r="AE36" i="5" s="1"/>
  <c r="AE37" i="5" s="1"/>
  <c r="N16" i="4"/>
  <c r="AA25" i="5" s="1"/>
  <c r="AA26" i="5" s="1"/>
  <c r="H16" i="4"/>
  <c r="W14" i="5" s="1"/>
  <c r="W15" i="5" s="1"/>
  <c r="B16" i="4"/>
  <c r="AF7" i="4"/>
  <c r="Z7" i="4"/>
  <c r="T7" i="4"/>
  <c r="N7" i="4"/>
  <c r="D81" i="3"/>
  <c r="D76" i="3"/>
  <c r="D75" i="3"/>
  <c r="D74" i="3"/>
  <c r="D80" i="3" s="1"/>
  <c r="D73" i="3"/>
  <c r="D79" i="3" s="1"/>
  <c r="D72" i="3"/>
  <c r="D78" i="3" s="1"/>
  <c r="D71" i="3"/>
  <c r="D77" i="3" s="1"/>
  <c r="D70" i="3"/>
  <c r="C38" i="3"/>
  <c r="C37" i="3"/>
  <c r="C36" i="3"/>
  <c r="C35" i="3"/>
  <c r="C30" i="3"/>
  <c r="C29" i="3"/>
  <c r="C13" i="3"/>
  <c r="C9" i="3"/>
  <c r="I29" i="6" s="1"/>
  <c r="I30" i="6" s="1"/>
  <c r="B5" i="4" l="1"/>
  <c r="B8" i="4" s="1"/>
  <c r="B3" i="6" s="1"/>
  <c r="B4" i="6" s="1"/>
  <c r="H5" i="4"/>
  <c r="H8" i="4" s="1"/>
  <c r="B14" i="6" s="1"/>
  <c r="B15" i="6" s="1"/>
  <c r="B23" i="4"/>
  <c r="B5" i="10" s="1"/>
  <c r="AB61" i="8"/>
  <c r="C61" i="8"/>
  <c r="O61" i="8"/>
  <c r="D39" i="8"/>
  <c r="I17" i="8"/>
  <c r="L39" i="8"/>
  <c r="W39" i="8"/>
  <c r="G39" i="8"/>
  <c r="P61" i="8"/>
  <c r="AE28" i="8"/>
  <c r="K6" i="8"/>
  <c r="P6" i="10"/>
  <c r="O6" i="8"/>
  <c r="X18" i="10"/>
  <c r="O28" i="8"/>
  <c r="AA61" i="8"/>
  <c r="W6" i="10"/>
  <c r="C6" i="8"/>
  <c r="N6" i="8"/>
  <c r="W18" i="10"/>
  <c r="N28" i="8"/>
  <c r="E61" i="8"/>
  <c r="V6" i="8"/>
  <c r="O6" i="10"/>
  <c r="N18" i="10"/>
  <c r="Y18" i="10"/>
  <c r="F6" i="10"/>
  <c r="Q6" i="10"/>
  <c r="AB6" i="10"/>
  <c r="Z61" i="8"/>
  <c r="F61" i="8"/>
  <c r="X50" i="8"/>
  <c r="X39" i="8"/>
  <c r="C39" i="8"/>
  <c r="AC28" i="8"/>
  <c r="C28" i="8"/>
  <c r="AD17" i="8"/>
  <c r="L17" i="8"/>
  <c r="M6" i="8"/>
  <c r="D18" i="10"/>
  <c r="O18" i="10"/>
  <c r="Z18" i="10"/>
  <c r="G6" i="10"/>
  <c r="R6" i="10"/>
  <c r="AC6" i="10"/>
  <c r="Y61" i="8"/>
  <c r="D61" i="8"/>
  <c r="W50" i="8"/>
  <c r="T39" i="8"/>
  <c r="AA28" i="8"/>
  <c r="AC17" i="8"/>
  <c r="J17" i="8"/>
  <c r="L6" i="8"/>
  <c r="W61" i="8"/>
  <c r="W17" i="8"/>
  <c r="F6" i="8"/>
  <c r="E18" i="10"/>
  <c r="P18" i="10"/>
  <c r="AA18" i="10"/>
  <c r="H6" i="10"/>
  <c r="S6" i="10"/>
  <c r="AD6" i="10"/>
  <c r="X61" i="8"/>
  <c r="V50" i="8"/>
  <c r="R39" i="8"/>
  <c r="Z28" i="8"/>
  <c r="AB17" i="8"/>
  <c r="H17" i="8"/>
  <c r="G6" i="8"/>
  <c r="F18" i="10"/>
  <c r="Q18" i="10"/>
  <c r="AB18" i="10"/>
  <c r="I6" i="10"/>
  <c r="T6" i="10"/>
  <c r="AE6" i="10"/>
  <c r="O50" i="8"/>
  <c r="Q39" i="8"/>
  <c r="Y28" i="8"/>
  <c r="G17" i="8"/>
  <c r="AC6" i="8"/>
  <c r="G18" i="10"/>
  <c r="R18" i="10"/>
  <c r="AC18" i="10"/>
  <c r="J6" i="10"/>
  <c r="U6" i="10"/>
  <c r="AF6" i="10"/>
  <c r="V61" i="8"/>
  <c r="M50" i="8"/>
  <c r="P39" i="8"/>
  <c r="R28" i="8"/>
  <c r="U17" i="8"/>
  <c r="F17" i="8"/>
  <c r="AB6" i="8"/>
  <c r="E6" i="8"/>
  <c r="H18" i="10"/>
  <c r="S18" i="10"/>
  <c r="AD18" i="10"/>
  <c r="K6" i="10"/>
  <c r="V6" i="10"/>
  <c r="C6" i="10"/>
  <c r="Q61" i="8"/>
  <c r="L50" i="8"/>
  <c r="AE39" i="8"/>
  <c r="O39" i="8"/>
  <c r="P28" i="8"/>
  <c r="T17" i="8"/>
  <c r="E17" i="8"/>
  <c r="P6" i="8"/>
  <c r="AF28" i="8"/>
  <c r="I39" i="8"/>
  <c r="N6" i="10"/>
  <c r="Q6" i="8"/>
  <c r="N17" i="8"/>
  <c r="M39" i="8"/>
  <c r="M6" i="10"/>
  <c r="T18" i="10"/>
  <c r="R6" i="8"/>
  <c r="P17" i="8"/>
  <c r="N39" i="8"/>
  <c r="H50" i="8"/>
  <c r="S50" i="8"/>
  <c r="AD50" i="8"/>
  <c r="L6" i="10"/>
  <c r="M18" i="10"/>
  <c r="K18" i="10"/>
  <c r="Q17" i="8"/>
  <c r="E6" i="10"/>
  <c r="R17" i="8"/>
  <c r="Z39" i="8"/>
  <c r="J50" i="8"/>
  <c r="U50" i="8"/>
  <c r="AF50" i="8"/>
  <c r="D6" i="10"/>
  <c r="H6" i="8"/>
  <c r="S6" i="8"/>
  <c r="AD6" i="8"/>
  <c r="S17" i="8"/>
  <c r="D28" i="8"/>
  <c r="AA39" i="8"/>
  <c r="D50" i="8"/>
  <c r="K61" i="8"/>
  <c r="Z6" i="10"/>
  <c r="C18" i="10"/>
  <c r="J18" i="10"/>
  <c r="I50" i="8"/>
  <c r="L18" i="10"/>
  <c r="AA6" i="10"/>
  <c r="I6" i="8"/>
  <c r="T6" i="8"/>
  <c r="AE6" i="8"/>
  <c r="AE17" i="8"/>
  <c r="L28" i="8"/>
  <c r="W28" i="8"/>
  <c r="E28" i="8"/>
  <c r="AB39" i="8"/>
  <c r="K50" i="8"/>
  <c r="L61" i="8"/>
  <c r="Y6" i="10"/>
  <c r="AF18" i="10"/>
  <c r="I18" i="10"/>
  <c r="V18" i="10"/>
  <c r="U18" i="10"/>
  <c r="AA6" i="8"/>
  <c r="E39" i="8"/>
  <c r="Y39" i="8"/>
  <c r="T50" i="8"/>
  <c r="AE50" i="8"/>
  <c r="J6" i="8"/>
  <c r="U6" i="8"/>
  <c r="AF6" i="8"/>
  <c r="AF17" i="8"/>
  <c r="X28" i="8"/>
  <c r="M28" i="8"/>
  <c r="AC39" i="8"/>
  <c r="Z50" i="8"/>
  <c r="M61" i="8"/>
  <c r="X6" i="10"/>
  <c r="AE18" i="10"/>
  <c r="T61" i="8"/>
  <c r="K17" i="8"/>
  <c r="V17" i="8"/>
  <c r="F28" i="8"/>
  <c r="Q28" i="8"/>
  <c r="AB28" i="8"/>
  <c r="F39" i="8"/>
  <c r="G61" i="8"/>
  <c r="R61" i="8"/>
  <c r="AC61" i="8"/>
  <c r="W6" i="8"/>
  <c r="G28" i="8"/>
  <c r="C50" i="8"/>
  <c r="N50" i="8"/>
  <c r="Y50" i="8"/>
  <c r="H61" i="8"/>
  <c r="S61" i="8"/>
  <c r="AD61" i="8"/>
  <c r="X6" i="8"/>
  <c r="M17" i="8"/>
  <c r="H28" i="8"/>
  <c r="S28" i="8"/>
  <c r="H39" i="8"/>
  <c r="AE61" i="8"/>
  <c r="Y6" i="8"/>
  <c r="C17" i="8"/>
  <c r="Y17" i="8"/>
  <c r="I28" i="8"/>
  <c r="T28" i="8"/>
  <c r="E50" i="8"/>
  <c r="P50" i="8"/>
  <c r="AA50" i="8"/>
  <c r="J61" i="8"/>
  <c r="U61" i="8"/>
  <c r="AF61" i="8"/>
  <c r="X17" i="8"/>
  <c r="AD28" i="8"/>
  <c r="S39" i="8"/>
  <c r="AD39" i="8"/>
  <c r="I61" i="8"/>
  <c r="D6" i="8"/>
  <c r="Z6" i="8"/>
  <c r="D17" i="8"/>
  <c r="O17" i="8"/>
  <c r="Z17" i="8"/>
  <c r="J28" i="8"/>
  <c r="U28" i="8"/>
  <c r="J39" i="8"/>
  <c r="U39" i="8"/>
  <c r="AF39" i="8"/>
  <c r="F50" i="8"/>
  <c r="Q50" i="8"/>
  <c r="AB50" i="8"/>
  <c r="AA17" i="8"/>
  <c r="K28" i="8"/>
  <c r="V28" i="8"/>
  <c r="K39" i="8"/>
  <c r="V39" i="8"/>
  <c r="G50" i="8"/>
  <c r="R50" i="8"/>
  <c r="AC50" i="8"/>
  <c r="I4" i="10"/>
  <c r="T4" i="10"/>
  <c r="AE4" i="10"/>
  <c r="M4" i="10"/>
  <c r="X4" i="10"/>
  <c r="N4" i="10"/>
  <c r="Y4" i="10"/>
  <c r="Q4" i="10"/>
  <c r="G4" i="10"/>
  <c r="AC4" i="10"/>
  <c r="J4" i="10"/>
  <c r="U4" i="10"/>
  <c r="AF4" i="10"/>
  <c r="AA4" i="10"/>
  <c r="F4" i="10"/>
  <c r="AB4" i="10"/>
  <c r="R4" i="10"/>
  <c r="K4" i="10"/>
  <c r="V4" i="10"/>
  <c r="C4" i="10"/>
  <c r="D4" i="10"/>
  <c r="O4" i="10"/>
  <c r="E4" i="10"/>
  <c r="L4" i="10"/>
  <c r="W4" i="10"/>
  <c r="Z4" i="10"/>
  <c r="P4" i="10"/>
  <c r="H4" i="10"/>
  <c r="S4" i="10"/>
  <c r="AD4" i="10"/>
  <c r="Z25" i="4"/>
  <c r="T25" i="4"/>
  <c r="H21" i="4"/>
  <c r="H22" i="4" s="1"/>
  <c r="AF14" i="6" s="1"/>
  <c r="AF15" i="6" s="1"/>
  <c r="B21" i="4"/>
  <c r="B22" i="4" s="1"/>
  <c r="N21" i="4"/>
  <c r="N22" i="4" s="1"/>
  <c r="B25" i="4"/>
  <c r="AF25" i="4"/>
  <c r="AF26" i="4" s="1"/>
  <c r="T24" i="4"/>
  <c r="AF21" i="4"/>
  <c r="AF22" i="4" s="1"/>
  <c r="U58" i="6" s="1"/>
  <c r="U59" i="6" s="1"/>
  <c r="B25" i="6"/>
  <c r="B26" i="6" s="1"/>
  <c r="B25" i="5"/>
  <c r="B26" i="5" s="1"/>
  <c r="N23" i="4"/>
  <c r="AF47" i="6"/>
  <c r="AF48" i="6" s="1"/>
  <c r="U47" i="6"/>
  <c r="U48" i="6" s="1"/>
  <c r="J47" i="6"/>
  <c r="J48" i="6" s="1"/>
  <c r="AE47" i="6"/>
  <c r="AE48" i="6" s="1"/>
  <c r="T47" i="6"/>
  <c r="T48" i="6" s="1"/>
  <c r="I47" i="6"/>
  <c r="I48" i="6" s="1"/>
  <c r="AD47" i="6"/>
  <c r="AD48" i="6" s="1"/>
  <c r="S47" i="6"/>
  <c r="S48" i="6" s="1"/>
  <c r="H47" i="6"/>
  <c r="H48" i="6" s="1"/>
  <c r="AC47" i="6"/>
  <c r="AC48" i="6" s="1"/>
  <c r="R47" i="6"/>
  <c r="R48" i="6" s="1"/>
  <c r="G47" i="6"/>
  <c r="G48" i="6" s="1"/>
  <c r="Q47" i="6"/>
  <c r="Q48" i="6" s="1"/>
  <c r="P47" i="6"/>
  <c r="P48" i="6" s="1"/>
  <c r="O47" i="6"/>
  <c r="O48" i="6" s="1"/>
  <c r="N47" i="6"/>
  <c r="N48" i="6" s="1"/>
  <c r="AB47" i="6"/>
  <c r="AB48" i="6" s="1"/>
  <c r="M47" i="6"/>
  <c r="M48" i="6" s="1"/>
  <c r="AA47" i="6"/>
  <c r="AA48" i="6" s="1"/>
  <c r="L47" i="6"/>
  <c r="L48" i="6" s="1"/>
  <c r="Z47" i="6"/>
  <c r="Z48" i="6" s="1"/>
  <c r="K47" i="6"/>
  <c r="K48" i="6" s="1"/>
  <c r="Y47" i="6"/>
  <c r="Y48" i="6" s="1"/>
  <c r="F47" i="6"/>
  <c r="F48" i="6" s="1"/>
  <c r="X47" i="6"/>
  <c r="X48" i="6" s="1"/>
  <c r="E47" i="6"/>
  <c r="E48" i="6" s="1"/>
  <c r="W47" i="6"/>
  <c r="W48" i="6" s="1"/>
  <c r="D47" i="6"/>
  <c r="D48" i="6" s="1"/>
  <c r="V47" i="6"/>
  <c r="V48" i="6" s="1"/>
  <c r="C47" i="6"/>
  <c r="C48" i="6" s="1"/>
  <c r="B58" i="6"/>
  <c r="B59" i="6" s="1"/>
  <c r="AF23" i="4"/>
  <c r="B58" i="5"/>
  <c r="B59" i="5" s="1"/>
  <c r="V62" i="5"/>
  <c r="V63" i="5" s="1"/>
  <c r="B47" i="6"/>
  <c r="B48" i="6" s="1"/>
  <c r="B47" i="5"/>
  <c r="B48" i="5" s="1"/>
  <c r="B36" i="6"/>
  <c r="B37" i="6" s="1"/>
  <c r="B3" i="5"/>
  <c r="B4" i="5" s="1"/>
  <c r="W7" i="5"/>
  <c r="W8" i="5" s="1"/>
  <c r="M18" i="5"/>
  <c r="M19" i="5" s="1"/>
  <c r="K40" i="5"/>
  <c r="K41" i="5" s="1"/>
  <c r="Z40" i="5"/>
  <c r="Z41" i="5" s="1"/>
  <c r="P51" i="5"/>
  <c r="P52" i="5" s="1"/>
  <c r="N58" i="5"/>
  <c r="N59" i="5" s="1"/>
  <c r="K62" i="5"/>
  <c r="K63" i="5" s="1"/>
  <c r="N24" i="4"/>
  <c r="H24" i="4"/>
  <c r="H26" i="4" s="1"/>
  <c r="B24" i="4"/>
  <c r="E5" i="9"/>
  <c r="D5" i="9"/>
  <c r="T5" i="9"/>
  <c r="C5" i="9"/>
  <c r="S5" i="9"/>
  <c r="L5" i="9"/>
  <c r="K5" i="9"/>
  <c r="J5" i="9"/>
  <c r="F5" i="9"/>
  <c r="R5" i="9"/>
  <c r="Q5" i="9"/>
  <c r="M5" i="9"/>
  <c r="AA3" i="6"/>
  <c r="AA4" i="6" s="1"/>
  <c r="Z3" i="6"/>
  <c r="Z4" i="6" s="1"/>
  <c r="AD3" i="5"/>
  <c r="AD4" i="5" s="1"/>
  <c r="S3" i="5"/>
  <c r="S4" i="5" s="1"/>
  <c r="H3" i="5"/>
  <c r="H4" i="5" s="1"/>
  <c r="Y3" i="6"/>
  <c r="Y4" i="6" s="1"/>
  <c r="AC3" i="5"/>
  <c r="AC4" i="5" s="1"/>
  <c r="R3" i="5"/>
  <c r="R4" i="5" s="1"/>
  <c r="G3" i="5"/>
  <c r="G4" i="5" s="1"/>
  <c r="X3" i="6"/>
  <c r="X4" i="6" s="1"/>
  <c r="AB3" i="5"/>
  <c r="AB4" i="5" s="1"/>
  <c r="Q3" i="5"/>
  <c r="Q4" i="5" s="1"/>
  <c r="F3" i="5"/>
  <c r="F4" i="5" s="1"/>
  <c r="W3" i="6"/>
  <c r="W4" i="6" s="1"/>
  <c r="AA3" i="5"/>
  <c r="AA4" i="5" s="1"/>
  <c r="P3" i="5"/>
  <c r="P4" i="5" s="1"/>
  <c r="E3" i="5"/>
  <c r="E4" i="5" s="1"/>
  <c r="AB3" i="6"/>
  <c r="AB4" i="6" s="1"/>
  <c r="I3" i="5"/>
  <c r="I4" i="5" s="1"/>
  <c r="X3" i="5"/>
  <c r="X4" i="5" s="1"/>
  <c r="K7" i="5"/>
  <c r="K8" i="5" s="1"/>
  <c r="Z7" i="5"/>
  <c r="Z8" i="5" s="1"/>
  <c r="P18" i="5"/>
  <c r="P19" i="5" s="1"/>
  <c r="F29" i="5"/>
  <c r="F30" i="5" s="1"/>
  <c r="U29" i="5"/>
  <c r="U30" i="5" s="1"/>
  <c r="N40" i="5"/>
  <c r="N41" i="5" s="1"/>
  <c r="D51" i="5"/>
  <c r="D52" i="5" s="1"/>
  <c r="S51" i="5"/>
  <c r="S52" i="5" s="1"/>
  <c r="T62" i="5"/>
  <c r="T63" i="5" s="1"/>
  <c r="I7" i="6"/>
  <c r="I8" i="6" s="1"/>
  <c r="P18" i="6"/>
  <c r="P19" i="6" s="1"/>
  <c r="O40" i="5"/>
  <c r="O41" i="5" s="1"/>
  <c r="E51" i="5"/>
  <c r="E52" i="5" s="1"/>
  <c r="T51" i="5"/>
  <c r="T52" i="5" s="1"/>
  <c r="U62" i="5"/>
  <c r="U63" i="5" s="1"/>
  <c r="J7" i="6"/>
  <c r="J8" i="6" s="1"/>
  <c r="Z18" i="6"/>
  <c r="Z19" i="6" s="1"/>
  <c r="K17" i="9"/>
  <c r="J17" i="9"/>
  <c r="F17" i="9"/>
  <c r="E17" i="9"/>
  <c r="T17" i="9"/>
  <c r="S17" i="9"/>
  <c r="R17" i="9"/>
  <c r="Q17" i="9"/>
  <c r="M17" i="9"/>
  <c r="L17" i="9"/>
  <c r="D17" i="9"/>
  <c r="C17" i="9"/>
  <c r="N25" i="4"/>
  <c r="K7" i="6"/>
  <c r="K8" i="6" s="1"/>
  <c r="N7" i="5"/>
  <c r="N8" i="5" s="1"/>
  <c r="D18" i="5"/>
  <c r="D19" i="5" s="1"/>
  <c r="S18" i="5"/>
  <c r="S19" i="5" s="1"/>
  <c r="I29" i="5"/>
  <c r="I30" i="5" s="1"/>
  <c r="AB29" i="5"/>
  <c r="AB30" i="5" s="1"/>
  <c r="U40" i="5"/>
  <c r="U41" i="5" s="1"/>
  <c r="G51" i="5"/>
  <c r="G52" i="5" s="1"/>
  <c r="AA51" i="5"/>
  <c r="AA52" i="5" s="1"/>
  <c r="F62" i="5"/>
  <c r="F63" i="5" s="1"/>
  <c r="X62" i="5"/>
  <c r="X63" i="5" s="1"/>
  <c r="U7" i="6"/>
  <c r="U8" i="6" s="1"/>
  <c r="AF18" i="6"/>
  <c r="AF19" i="6" s="1"/>
  <c r="W62" i="8"/>
  <c r="W63" i="8" s="1"/>
  <c r="L62" i="8"/>
  <c r="L63" i="8" s="1"/>
  <c r="AD51" i="8"/>
  <c r="AD52" i="8" s="1"/>
  <c r="S51" i="8"/>
  <c r="S52" i="8" s="1"/>
  <c r="H51" i="8"/>
  <c r="H52" i="8" s="1"/>
  <c r="Z40" i="8"/>
  <c r="Z41" i="8" s="1"/>
  <c r="O40" i="8"/>
  <c r="O41" i="8" s="1"/>
  <c r="D40" i="8"/>
  <c r="D41" i="8" s="1"/>
  <c r="V29" i="8"/>
  <c r="V30" i="8" s="1"/>
  <c r="K29" i="8"/>
  <c r="K30" i="8" s="1"/>
  <c r="AC18" i="8"/>
  <c r="AC19" i="8" s="1"/>
  <c r="R18" i="8"/>
  <c r="R19" i="8" s="1"/>
  <c r="G18" i="8"/>
  <c r="G19" i="8" s="1"/>
  <c r="AF62" i="8"/>
  <c r="AF63" i="8" s="1"/>
  <c r="U62" i="8"/>
  <c r="U63" i="8" s="1"/>
  <c r="J62" i="8"/>
  <c r="J63" i="8" s="1"/>
  <c r="AB51" i="8"/>
  <c r="AB52" i="8" s="1"/>
  <c r="Q51" i="8"/>
  <c r="Q52" i="8" s="1"/>
  <c r="F51" i="8"/>
  <c r="F52" i="8" s="1"/>
  <c r="X40" i="8"/>
  <c r="X41" i="8" s="1"/>
  <c r="M40" i="8"/>
  <c r="M41" i="8" s="1"/>
  <c r="AE29" i="8"/>
  <c r="AE30" i="8" s="1"/>
  <c r="T29" i="8"/>
  <c r="T30" i="8" s="1"/>
  <c r="I29" i="8"/>
  <c r="I30" i="8" s="1"/>
  <c r="AA18" i="8"/>
  <c r="AA19" i="8" s="1"/>
  <c r="P18" i="8"/>
  <c r="P19" i="8" s="1"/>
  <c r="E18" i="8"/>
  <c r="E19" i="8" s="1"/>
  <c r="AD62" i="8"/>
  <c r="AD63" i="8" s="1"/>
  <c r="Q62" i="8"/>
  <c r="Q63" i="8" s="1"/>
  <c r="D62" i="8"/>
  <c r="D63" i="8" s="1"/>
  <c r="T51" i="8"/>
  <c r="T52" i="8" s="1"/>
  <c r="E51" i="8"/>
  <c r="E52" i="8" s="1"/>
  <c r="AF40" i="8"/>
  <c r="AF41" i="8" s="1"/>
  <c r="S40" i="8"/>
  <c r="S41" i="8" s="1"/>
  <c r="F40" i="8"/>
  <c r="F41" i="8" s="1"/>
  <c r="U29" i="8"/>
  <c r="U30" i="8" s="1"/>
  <c r="G29" i="8"/>
  <c r="G30" i="8" s="1"/>
  <c r="W18" i="8"/>
  <c r="W19" i="8" s="1"/>
  <c r="J18" i="8"/>
  <c r="J19" i="8" s="1"/>
  <c r="Y7" i="8"/>
  <c r="Y8" i="8" s="1"/>
  <c r="N7" i="8"/>
  <c r="N8" i="8" s="1"/>
  <c r="C7" i="8"/>
  <c r="C8" i="8" s="1"/>
  <c r="AF62" i="7"/>
  <c r="AF63" i="7" s="1"/>
  <c r="U62" i="7"/>
  <c r="U63" i="7" s="1"/>
  <c r="J62" i="7"/>
  <c r="J63" i="7" s="1"/>
  <c r="AC62" i="8"/>
  <c r="AC63" i="8" s="1"/>
  <c r="P62" i="8"/>
  <c r="P63" i="8" s="1"/>
  <c r="C62" i="8"/>
  <c r="C63" i="8" s="1"/>
  <c r="AF51" i="8"/>
  <c r="AF52" i="8" s="1"/>
  <c r="R51" i="8"/>
  <c r="R52" i="8" s="1"/>
  <c r="D51" i="8"/>
  <c r="D52" i="8" s="1"/>
  <c r="AE40" i="8"/>
  <c r="AE41" i="8" s="1"/>
  <c r="R40" i="8"/>
  <c r="R41" i="8" s="1"/>
  <c r="E40" i="8"/>
  <c r="E41" i="8" s="1"/>
  <c r="S29" i="8"/>
  <c r="S30" i="8" s="1"/>
  <c r="F29" i="8"/>
  <c r="F30" i="8" s="1"/>
  <c r="V18" i="8"/>
  <c r="V19" i="8" s="1"/>
  <c r="I18" i="8"/>
  <c r="I19" i="8" s="1"/>
  <c r="X7" i="8"/>
  <c r="X8" i="8" s="1"/>
  <c r="M7" i="8"/>
  <c r="M8" i="8" s="1"/>
  <c r="AE62" i="7"/>
  <c r="AE63" i="7" s="1"/>
  <c r="T62" i="7"/>
  <c r="T63" i="7" s="1"/>
  <c r="I62" i="7"/>
  <c r="I63" i="7" s="1"/>
  <c r="AB62" i="8"/>
  <c r="AB63" i="8" s="1"/>
  <c r="O62" i="8"/>
  <c r="O63" i="8" s="1"/>
  <c r="AE51" i="8"/>
  <c r="AE52" i="8" s="1"/>
  <c r="P51" i="8"/>
  <c r="P52" i="8" s="1"/>
  <c r="C51" i="8"/>
  <c r="C52" i="8" s="1"/>
  <c r="AD40" i="8"/>
  <c r="AD41" i="8" s="1"/>
  <c r="Q40" i="8"/>
  <c r="Q41" i="8" s="1"/>
  <c r="C40" i="8"/>
  <c r="C41" i="8" s="1"/>
  <c r="AF29" i="8"/>
  <c r="AF30" i="8" s="1"/>
  <c r="R29" i="8"/>
  <c r="R30" i="8" s="1"/>
  <c r="E29" i="8"/>
  <c r="E30" i="8" s="1"/>
  <c r="U18" i="8"/>
  <c r="U19" i="8" s="1"/>
  <c r="H18" i="8"/>
  <c r="H19" i="8" s="1"/>
  <c r="W7" i="8"/>
  <c r="W8" i="8" s="1"/>
  <c r="L7" i="8"/>
  <c r="L8" i="8" s="1"/>
  <c r="AA62" i="8"/>
  <c r="AA63" i="8" s="1"/>
  <c r="N62" i="8"/>
  <c r="N63" i="8" s="1"/>
  <c r="AC51" i="8"/>
  <c r="AC52" i="8" s="1"/>
  <c r="O51" i="8"/>
  <c r="O52" i="8" s="1"/>
  <c r="AC40" i="8"/>
  <c r="AC41" i="8" s="1"/>
  <c r="P40" i="8"/>
  <c r="P41" i="8" s="1"/>
  <c r="AD29" i="8"/>
  <c r="AD30" i="8" s="1"/>
  <c r="Q29" i="8"/>
  <c r="Q30" i="8" s="1"/>
  <c r="D29" i="8"/>
  <c r="D30" i="8" s="1"/>
  <c r="T18" i="8"/>
  <c r="T19" i="8" s="1"/>
  <c r="F18" i="8"/>
  <c r="F19" i="8" s="1"/>
  <c r="V7" i="8"/>
  <c r="V8" i="8" s="1"/>
  <c r="K7" i="8"/>
  <c r="K8" i="8" s="1"/>
  <c r="AE62" i="8"/>
  <c r="AE63" i="8" s="1"/>
  <c r="R62" i="8"/>
  <c r="R63" i="8" s="1"/>
  <c r="E62" i="8"/>
  <c r="E63" i="8" s="1"/>
  <c r="U51" i="8"/>
  <c r="U52" i="8" s="1"/>
  <c r="G51" i="8"/>
  <c r="G52" i="8" s="1"/>
  <c r="T40" i="8"/>
  <c r="T41" i="8" s="1"/>
  <c r="G40" i="8"/>
  <c r="G41" i="8" s="1"/>
  <c r="W29" i="8"/>
  <c r="W30" i="8" s="1"/>
  <c r="H29" i="8"/>
  <c r="H30" i="8" s="1"/>
  <c r="Y62" i="8"/>
  <c r="Y63" i="8" s="1"/>
  <c r="AA51" i="8"/>
  <c r="AA52" i="8" s="1"/>
  <c r="I51" i="8"/>
  <c r="I52" i="8" s="1"/>
  <c r="AB40" i="8"/>
  <c r="AB41" i="8" s="1"/>
  <c r="H40" i="8"/>
  <c r="H41" i="8" s="1"/>
  <c r="P29" i="8"/>
  <c r="P30" i="8" s="1"/>
  <c r="AD18" i="8"/>
  <c r="AD19" i="8" s="1"/>
  <c r="K18" i="8"/>
  <c r="K19" i="8" s="1"/>
  <c r="AC7" i="8"/>
  <c r="AC8" i="8" s="1"/>
  <c r="J7" i="8"/>
  <c r="J8" i="8" s="1"/>
  <c r="AD62" i="7"/>
  <c r="AD63" i="7" s="1"/>
  <c r="Q62" i="7"/>
  <c r="Q63" i="7" s="1"/>
  <c r="D62" i="7"/>
  <c r="D63" i="7" s="1"/>
  <c r="AE51" i="7"/>
  <c r="AE52" i="7" s="1"/>
  <c r="T51" i="7"/>
  <c r="T52" i="7" s="1"/>
  <c r="I51" i="7"/>
  <c r="I52" i="7" s="1"/>
  <c r="AA40" i="7"/>
  <c r="AA41" i="7" s="1"/>
  <c r="P40" i="7"/>
  <c r="P41" i="7" s="1"/>
  <c r="E40" i="7"/>
  <c r="E41" i="7" s="1"/>
  <c r="W29" i="7"/>
  <c r="W30" i="7" s="1"/>
  <c r="L29" i="7"/>
  <c r="L30" i="7" s="1"/>
  <c r="AD18" i="7"/>
  <c r="AD19" i="7" s="1"/>
  <c r="S18" i="7"/>
  <c r="S19" i="7" s="1"/>
  <c r="H18" i="7"/>
  <c r="H19" i="7" s="1"/>
  <c r="Z7" i="7"/>
  <c r="Z8" i="7" s="1"/>
  <c r="O7" i="7"/>
  <c r="O8" i="7" s="1"/>
  <c r="D7" i="7"/>
  <c r="D8" i="7" s="1"/>
  <c r="X62" i="8"/>
  <c r="X63" i="8" s="1"/>
  <c r="Z51" i="8"/>
  <c r="Z52" i="8" s="1"/>
  <c r="AA40" i="8"/>
  <c r="AA41" i="8" s="1"/>
  <c r="O29" i="8"/>
  <c r="O30" i="8" s="1"/>
  <c r="AB18" i="8"/>
  <c r="AB19" i="8" s="1"/>
  <c r="D18" i="8"/>
  <c r="D19" i="8" s="1"/>
  <c r="AB7" i="8"/>
  <c r="AB8" i="8" s="1"/>
  <c r="I7" i="8"/>
  <c r="I8" i="8" s="1"/>
  <c r="AC62" i="7"/>
  <c r="AC63" i="7" s="1"/>
  <c r="P62" i="7"/>
  <c r="P63" i="7" s="1"/>
  <c r="C62" i="7"/>
  <c r="C63" i="7" s="1"/>
  <c r="AD51" i="7"/>
  <c r="AD52" i="7" s="1"/>
  <c r="S51" i="7"/>
  <c r="S52" i="7" s="1"/>
  <c r="H51" i="7"/>
  <c r="H52" i="7" s="1"/>
  <c r="Z40" i="7"/>
  <c r="Z41" i="7" s="1"/>
  <c r="O40" i="7"/>
  <c r="O41" i="7" s="1"/>
  <c r="D40" i="7"/>
  <c r="D41" i="7" s="1"/>
  <c r="V29" i="7"/>
  <c r="V30" i="7" s="1"/>
  <c r="K29" i="7"/>
  <c r="K30" i="7" s="1"/>
  <c r="AC18" i="7"/>
  <c r="AC19" i="7" s="1"/>
  <c r="R18" i="7"/>
  <c r="R19" i="7" s="1"/>
  <c r="G18" i="7"/>
  <c r="G19" i="7" s="1"/>
  <c r="Y7" i="7"/>
  <c r="Y8" i="7" s="1"/>
  <c r="N7" i="7"/>
  <c r="N8" i="7" s="1"/>
  <c r="C7" i="7"/>
  <c r="C8" i="7" s="1"/>
  <c r="V62" i="8"/>
  <c r="V63" i="8" s="1"/>
  <c r="Y51" i="8"/>
  <c r="Y52" i="8" s="1"/>
  <c r="Y40" i="8"/>
  <c r="Y41" i="8" s="1"/>
  <c r="N29" i="8"/>
  <c r="N30" i="8" s="1"/>
  <c r="Z18" i="8"/>
  <c r="Z19" i="8" s="1"/>
  <c r="C18" i="8"/>
  <c r="C19" i="8" s="1"/>
  <c r="AA7" i="8"/>
  <c r="AA8" i="8" s="1"/>
  <c r="H7" i="8"/>
  <c r="H8" i="8" s="1"/>
  <c r="AB62" i="7"/>
  <c r="AB63" i="7" s="1"/>
  <c r="O62" i="7"/>
  <c r="O63" i="7" s="1"/>
  <c r="AC51" i="7"/>
  <c r="AC52" i="7" s="1"/>
  <c r="R51" i="7"/>
  <c r="R52" i="7" s="1"/>
  <c r="G51" i="7"/>
  <c r="G52" i="7" s="1"/>
  <c r="Y40" i="7"/>
  <c r="Y41" i="7" s="1"/>
  <c r="N40" i="7"/>
  <c r="N41" i="7" s="1"/>
  <c r="C40" i="7"/>
  <c r="C41" i="7" s="1"/>
  <c r="AF29" i="7"/>
  <c r="AF30" i="7" s="1"/>
  <c r="U29" i="7"/>
  <c r="U30" i="7" s="1"/>
  <c r="T62" i="8"/>
  <c r="T63" i="8" s="1"/>
  <c r="X51" i="8"/>
  <c r="X52" i="8" s="1"/>
  <c r="W40" i="8"/>
  <c r="W41" i="8" s="1"/>
  <c r="M29" i="8"/>
  <c r="M30" i="8" s="1"/>
  <c r="Y18" i="8"/>
  <c r="Y19" i="8" s="1"/>
  <c r="Z7" i="8"/>
  <c r="Z8" i="8" s="1"/>
  <c r="G7" i="8"/>
  <c r="G8" i="8" s="1"/>
  <c r="AA62" i="7"/>
  <c r="AA63" i="7" s="1"/>
  <c r="N62" i="7"/>
  <c r="N63" i="7" s="1"/>
  <c r="AB51" i="7"/>
  <c r="AB52" i="7" s="1"/>
  <c r="Q51" i="7"/>
  <c r="Q52" i="7" s="1"/>
  <c r="F51" i="7"/>
  <c r="F52" i="7" s="1"/>
  <c r="M62" i="8"/>
  <c r="M63" i="8" s="1"/>
  <c r="K62" i="8"/>
  <c r="K63" i="8" s="1"/>
  <c r="Z62" i="8"/>
  <c r="Z63" i="8" s="1"/>
  <c r="F62" i="8"/>
  <c r="F63" i="8" s="1"/>
  <c r="J51" i="8"/>
  <c r="J52" i="8" s="1"/>
  <c r="I40" i="8"/>
  <c r="I41" i="8" s="1"/>
  <c r="X29" i="8"/>
  <c r="X30" i="8" s="1"/>
  <c r="AE18" i="8"/>
  <c r="AE19" i="8" s="1"/>
  <c r="L18" i="8"/>
  <c r="L19" i="8" s="1"/>
  <c r="AD7" i="8"/>
  <c r="AD8" i="8" s="1"/>
  <c r="O7" i="8"/>
  <c r="O8" i="8" s="1"/>
  <c r="R62" i="7"/>
  <c r="R63" i="7" s="1"/>
  <c r="E62" i="7"/>
  <c r="E63" i="7" s="1"/>
  <c r="AF51" i="7"/>
  <c r="AF52" i="7" s="1"/>
  <c r="U51" i="7"/>
  <c r="U52" i="7" s="1"/>
  <c r="J51" i="7"/>
  <c r="J52" i="7" s="1"/>
  <c r="AB40" i="7"/>
  <c r="AB41" i="7" s="1"/>
  <c r="Q40" i="7"/>
  <c r="Q41" i="7" s="1"/>
  <c r="F40" i="7"/>
  <c r="F41" i="7" s="1"/>
  <c r="M51" i="8"/>
  <c r="M52" i="8" s="1"/>
  <c r="AE7" i="8"/>
  <c r="AE8" i="8" s="1"/>
  <c r="H62" i="7"/>
  <c r="H63" i="7" s="1"/>
  <c r="W51" i="7"/>
  <c r="W52" i="7" s="1"/>
  <c r="R40" i="7"/>
  <c r="R41" i="7" s="1"/>
  <c r="Y29" i="7"/>
  <c r="Y30" i="7" s="1"/>
  <c r="I29" i="7"/>
  <c r="I30" i="7" s="1"/>
  <c r="Y18" i="7"/>
  <c r="Y19" i="7" s="1"/>
  <c r="L18" i="7"/>
  <c r="L19" i="7" s="1"/>
  <c r="X7" i="7"/>
  <c r="X8" i="7" s="1"/>
  <c r="K7" i="7"/>
  <c r="K8" i="7" s="1"/>
  <c r="Y62" i="6"/>
  <c r="Y63" i="6" s="1"/>
  <c r="N62" i="6"/>
  <c r="N63" i="6" s="1"/>
  <c r="C62" i="6"/>
  <c r="C63" i="6" s="1"/>
  <c r="AF51" i="6"/>
  <c r="AF52" i="6" s="1"/>
  <c r="U51" i="6"/>
  <c r="U52" i="6" s="1"/>
  <c r="J51" i="6"/>
  <c r="J52" i="6" s="1"/>
  <c r="AB40" i="6"/>
  <c r="AB41" i="6" s="1"/>
  <c r="Q40" i="6"/>
  <c r="Q41" i="6" s="1"/>
  <c r="F40" i="6"/>
  <c r="F41" i="6" s="1"/>
  <c r="X29" i="6"/>
  <c r="X30" i="6" s="1"/>
  <c r="M29" i="6"/>
  <c r="M30" i="6" s="1"/>
  <c r="AE18" i="6"/>
  <c r="AE19" i="6" s="1"/>
  <c r="T18" i="6"/>
  <c r="T19" i="6" s="1"/>
  <c r="I18" i="6"/>
  <c r="I19" i="6" s="1"/>
  <c r="AA7" i="6"/>
  <c r="AA8" i="6" s="1"/>
  <c r="P7" i="6"/>
  <c r="P8" i="6" s="1"/>
  <c r="E7" i="6"/>
  <c r="E8" i="6" s="1"/>
  <c r="W62" i="5"/>
  <c r="W63" i="5" s="1"/>
  <c r="L62" i="5"/>
  <c r="L63" i="5" s="1"/>
  <c r="L51" i="8"/>
  <c r="L52" i="8" s="1"/>
  <c r="U7" i="8"/>
  <c r="U8" i="8" s="1"/>
  <c r="G62" i="7"/>
  <c r="G63" i="7" s="1"/>
  <c r="V51" i="7"/>
  <c r="V52" i="7" s="1"/>
  <c r="AF40" i="7"/>
  <c r="AF41" i="7" s="1"/>
  <c r="M40" i="7"/>
  <c r="M41" i="7" s="1"/>
  <c r="X29" i="7"/>
  <c r="X30" i="7" s="1"/>
  <c r="H29" i="7"/>
  <c r="H30" i="7" s="1"/>
  <c r="X18" i="7"/>
  <c r="X19" i="7" s="1"/>
  <c r="K18" i="7"/>
  <c r="K19" i="7" s="1"/>
  <c r="W7" i="7"/>
  <c r="W8" i="7" s="1"/>
  <c r="J7" i="7"/>
  <c r="J8" i="7" s="1"/>
  <c r="X62" i="6"/>
  <c r="X63" i="6" s="1"/>
  <c r="M62" i="6"/>
  <c r="M63" i="6" s="1"/>
  <c r="AE51" i="6"/>
  <c r="AE52" i="6" s="1"/>
  <c r="T51" i="6"/>
  <c r="T52" i="6" s="1"/>
  <c r="I51" i="6"/>
  <c r="I52" i="6" s="1"/>
  <c r="AA40" i="6"/>
  <c r="AA41" i="6" s="1"/>
  <c r="P40" i="6"/>
  <c r="P41" i="6" s="1"/>
  <c r="E40" i="6"/>
  <c r="E41" i="6" s="1"/>
  <c r="W29" i="6"/>
  <c r="W30" i="6" s="1"/>
  <c r="L29" i="6"/>
  <c r="L30" i="6" s="1"/>
  <c r="AD18" i="6"/>
  <c r="AD19" i="6" s="1"/>
  <c r="S18" i="6"/>
  <c r="S19" i="6" s="1"/>
  <c r="H18" i="6"/>
  <c r="H19" i="6" s="1"/>
  <c r="Z7" i="6"/>
  <c r="Z8" i="6" s="1"/>
  <c r="O7" i="6"/>
  <c r="O8" i="6" s="1"/>
  <c r="D7" i="6"/>
  <c r="D8" i="6" s="1"/>
  <c r="S62" i="8"/>
  <c r="S63" i="8" s="1"/>
  <c r="K51" i="8"/>
  <c r="K52" i="8" s="1"/>
  <c r="V40" i="8"/>
  <c r="V41" i="8" s="1"/>
  <c r="AC29" i="8"/>
  <c r="AC30" i="8" s="1"/>
  <c r="AF18" i="8"/>
  <c r="AF19" i="8" s="1"/>
  <c r="T7" i="8"/>
  <c r="T8" i="8" s="1"/>
  <c r="Z62" i="7"/>
  <c r="Z63" i="7" s="1"/>
  <c r="F62" i="7"/>
  <c r="F63" i="7" s="1"/>
  <c r="P51" i="7"/>
  <c r="P52" i="7" s="1"/>
  <c r="AE40" i="7"/>
  <c r="AE41" i="7" s="1"/>
  <c r="L40" i="7"/>
  <c r="L41" i="7" s="1"/>
  <c r="T29" i="7"/>
  <c r="T30" i="7" s="1"/>
  <c r="G29" i="7"/>
  <c r="G30" i="7" s="1"/>
  <c r="W18" i="7"/>
  <c r="W19" i="7" s="1"/>
  <c r="J18" i="7"/>
  <c r="J19" i="7" s="1"/>
  <c r="V7" i="7"/>
  <c r="V8" i="7" s="1"/>
  <c r="I7" i="7"/>
  <c r="I8" i="7" s="1"/>
  <c r="W62" i="6"/>
  <c r="W63" i="6" s="1"/>
  <c r="L62" i="6"/>
  <c r="L63" i="6" s="1"/>
  <c r="AD51" i="6"/>
  <c r="AD52" i="6" s="1"/>
  <c r="S51" i="6"/>
  <c r="S52" i="6" s="1"/>
  <c r="H51" i="6"/>
  <c r="H52" i="6" s="1"/>
  <c r="Z40" i="6"/>
  <c r="Z41" i="6" s="1"/>
  <c r="O40" i="6"/>
  <c r="O41" i="6" s="1"/>
  <c r="D40" i="6"/>
  <c r="D41" i="6" s="1"/>
  <c r="V29" i="6"/>
  <c r="V30" i="6" s="1"/>
  <c r="K29" i="6"/>
  <c r="K30" i="6" s="1"/>
  <c r="AC18" i="6"/>
  <c r="AC19" i="6" s="1"/>
  <c r="R18" i="6"/>
  <c r="R19" i="6" s="1"/>
  <c r="G18" i="6"/>
  <c r="G19" i="6" s="1"/>
  <c r="Y7" i="6"/>
  <c r="Y8" i="6" s="1"/>
  <c r="N7" i="6"/>
  <c r="N8" i="6" s="1"/>
  <c r="C7" i="6"/>
  <c r="C8" i="6" s="1"/>
  <c r="I62" i="8"/>
  <c r="I63" i="8" s="1"/>
  <c r="U40" i="8"/>
  <c r="U41" i="8" s="1"/>
  <c r="AB29" i="8"/>
  <c r="AB30" i="8" s="1"/>
  <c r="X18" i="8"/>
  <c r="X19" i="8" s="1"/>
  <c r="S7" i="8"/>
  <c r="S8" i="8" s="1"/>
  <c r="Y62" i="7"/>
  <c r="Y63" i="7" s="1"/>
  <c r="O51" i="7"/>
  <c r="O52" i="7" s="1"/>
  <c r="AD40" i="7"/>
  <c r="AD41" i="7" s="1"/>
  <c r="K40" i="7"/>
  <c r="K41" i="7" s="1"/>
  <c r="S29" i="7"/>
  <c r="S30" i="7" s="1"/>
  <c r="F29" i="7"/>
  <c r="F30" i="7" s="1"/>
  <c r="V18" i="7"/>
  <c r="V19" i="7" s="1"/>
  <c r="I18" i="7"/>
  <c r="I19" i="7" s="1"/>
  <c r="U7" i="7"/>
  <c r="U8" i="7" s="1"/>
  <c r="H7" i="7"/>
  <c r="H8" i="7" s="1"/>
  <c r="V62" i="6"/>
  <c r="V63" i="6" s="1"/>
  <c r="K62" i="6"/>
  <c r="K63" i="6" s="1"/>
  <c r="AC51" i="6"/>
  <c r="AC52" i="6" s="1"/>
  <c r="R51" i="6"/>
  <c r="R52" i="6" s="1"/>
  <c r="G51" i="6"/>
  <c r="G52" i="6" s="1"/>
  <c r="Y40" i="6"/>
  <c r="Y41" i="6" s="1"/>
  <c r="N40" i="6"/>
  <c r="N41" i="6" s="1"/>
  <c r="C40" i="6"/>
  <c r="C41" i="6" s="1"/>
  <c r="AF29" i="6"/>
  <c r="AF30" i="6" s="1"/>
  <c r="U29" i="6"/>
  <c r="U30" i="6" s="1"/>
  <c r="J29" i="6"/>
  <c r="J30" i="6" s="1"/>
  <c r="AB18" i="6"/>
  <c r="AB19" i="6" s="1"/>
  <c r="Q18" i="6"/>
  <c r="Q19" i="6" s="1"/>
  <c r="F18" i="6"/>
  <c r="F19" i="6" s="1"/>
  <c r="X7" i="6"/>
  <c r="X8" i="6" s="1"/>
  <c r="M7" i="6"/>
  <c r="M8" i="6" s="1"/>
  <c r="H62" i="8"/>
  <c r="H63" i="8" s="1"/>
  <c r="N40" i="8"/>
  <c r="N41" i="8" s="1"/>
  <c r="AA29" i="8"/>
  <c r="AA30" i="8" s="1"/>
  <c r="S18" i="8"/>
  <c r="S19" i="8" s="1"/>
  <c r="R7" i="8"/>
  <c r="R8" i="8" s="1"/>
  <c r="X62" i="7"/>
  <c r="X63" i="7" s="1"/>
  <c r="N51" i="7"/>
  <c r="N52" i="7" s="1"/>
  <c r="AC40" i="7"/>
  <c r="AC41" i="7" s="1"/>
  <c r="J40" i="7"/>
  <c r="J41" i="7" s="1"/>
  <c r="G62" i="8"/>
  <c r="G63" i="8" s="1"/>
  <c r="L40" i="8"/>
  <c r="L41" i="8" s="1"/>
  <c r="Z29" i="8"/>
  <c r="Z30" i="8" s="1"/>
  <c r="Q18" i="8"/>
  <c r="Q19" i="8" s="1"/>
  <c r="Q7" i="8"/>
  <c r="Q8" i="8" s="1"/>
  <c r="W62" i="7"/>
  <c r="W63" i="7" s="1"/>
  <c r="M51" i="7"/>
  <c r="M52" i="7" s="1"/>
  <c r="X40" i="7"/>
  <c r="X41" i="7" s="1"/>
  <c r="K40" i="8"/>
  <c r="K41" i="8" s="1"/>
  <c r="Y29" i="8"/>
  <c r="Y30" i="8" s="1"/>
  <c r="O18" i="8"/>
  <c r="O19" i="8" s="1"/>
  <c r="P7" i="8"/>
  <c r="P8" i="8" s="1"/>
  <c r="V62" i="7"/>
  <c r="V63" i="7" s="1"/>
  <c r="J40" i="8"/>
  <c r="J41" i="8" s="1"/>
  <c r="L29" i="8"/>
  <c r="L30" i="8" s="1"/>
  <c r="N18" i="8"/>
  <c r="N19" i="8" s="1"/>
  <c r="F7" i="8"/>
  <c r="F8" i="8" s="1"/>
  <c r="S62" i="7"/>
  <c r="S63" i="7" s="1"/>
  <c r="W51" i="8"/>
  <c r="W52" i="8" s="1"/>
  <c r="J29" i="8"/>
  <c r="J30" i="8" s="1"/>
  <c r="M18" i="8"/>
  <c r="M19" i="8" s="1"/>
  <c r="E7" i="8"/>
  <c r="E8" i="8" s="1"/>
  <c r="M62" i="7"/>
  <c r="M63" i="7" s="1"/>
  <c r="Z51" i="7"/>
  <c r="Z52" i="7" s="1"/>
  <c r="E51" i="7"/>
  <c r="E52" i="7" s="1"/>
  <c r="V51" i="8"/>
  <c r="V52" i="8" s="1"/>
  <c r="C29" i="8"/>
  <c r="C30" i="8" s="1"/>
  <c r="D7" i="8"/>
  <c r="D8" i="8" s="1"/>
  <c r="L62" i="7"/>
  <c r="L63" i="7" s="1"/>
  <c r="Y51" i="7"/>
  <c r="Y52" i="7" s="1"/>
  <c r="D51" i="7"/>
  <c r="D52" i="7" s="1"/>
  <c r="N51" i="8"/>
  <c r="N52" i="8" s="1"/>
  <c r="AF7" i="8"/>
  <c r="AF8" i="8" s="1"/>
  <c r="K62" i="7"/>
  <c r="K63" i="7" s="1"/>
  <c r="X51" i="7"/>
  <c r="X52" i="7" s="1"/>
  <c r="C51" i="7"/>
  <c r="C52" i="7" s="1"/>
  <c r="S40" i="7"/>
  <c r="S41" i="7" s="1"/>
  <c r="Z29" i="7"/>
  <c r="Z30" i="7" s="1"/>
  <c r="J29" i="7"/>
  <c r="J30" i="7" s="1"/>
  <c r="Z18" i="7"/>
  <c r="Z19" i="7" s="1"/>
  <c r="M18" i="7"/>
  <c r="M19" i="7" s="1"/>
  <c r="AA7" i="7"/>
  <c r="AA8" i="7" s="1"/>
  <c r="L7" i="7"/>
  <c r="L8" i="7" s="1"/>
  <c r="R29" i="7"/>
  <c r="R30" i="7" s="1"/>
  <c r="AA18" i="7"/>
  <c r="AA19" i="7" s="1"/>
  <c r="M7" i="7"/>
  <c r="M8" i="7" s="1"/>
  <c r="AF62" i="6"/>
  <c r="AF63" i="6" s="1"/>
  <c r="Q62" i="6"/>
  <c r="Q63" i="6" s="1"/>
  <c r="O51" i="6"/>
  <c r="O52" i="6" s="1"/>
  <c r="AD40" i="6"/>
  <c r="AD41" i="6" s="1"/>
  <c r="K40" i="6"/>
  <c r="K41" i="6" s="1"/>
  <c r="Z29" i="6"/>
  <c r="Z30" i="6" s="1"/>
  <c r="G29" i="6"/>
  <c r="G30" i="6" s="1"/>
  <c r="X18" i="6"/>
  <c r="X19" i="6" s="1"/>
  <c r="E18" i="6"/>
  <c r="E19" i="6" s="1"/>
  <c r="S7" i="6"/>
  <c r="S8" i="6" s="1"/>
  <c r="AB62" i="5"/>
  <c r="AB63" i="5" s="1"/>
  <c r="P62" i="5"/>
  <c r="P63" i="5" s="1"/>
  <c r="D62" i="5"/>
  <c r="D63" i="5" s="1"/>
  <c r="X51" i="5"/>
  <c r="X52" i="5" s="1"/>
  <c r="M51" i="5"/>
  <c r="M52" i="5" s="1"/>
  <c r="AE40" i="5"/>
  <c r="AE41" i="5" s="1"/>
  <c r="T40" i="5"/>
  <c r="T41" i="5" s="1"/>
  <c r="I40" i="5"/>
  <c r="I41" i="5" s="1"/>
  <c r="AA29" i="5"/>
  <c r="AA30" i="5" s="1"/>
  <c r="P29" i="5"/>
  <c r="P30" i="5" s="1"/>
  <c r="E29" i="5"/>
  <c r="E30" i="5" s="1"/>
  <c r="W18" i="5"/>
  <c r="W19" i="5" s="1"/>
  <c r="L18" i="5"/>
  <c r="L19" i="5" s="1"/>
  <c r="AD7" i="5"/>
  <c r="AD8" i="5" s="1"/>
  <c r="S7" i="5"/>
  <c r="S8" i="5" s="1"/>
  <c r="H7" i="5"/>
  <c r="H8" i="5" s="1"/>
  <c r="Q29" i="7"/>
  <c r="Q30" i="7" s="1"/>
  <c r="U18" i="7"/>
  <c r="U19" i="7" s="1"/>
  <c r="AF7" i="7"/>
  <c r="AF8" i="7" s="1"/>
  <c r="G7" i="7"/>
  <c r="G8" i="7" s="1"/>
  <c r="AE62" i="6"/>
  <c r="AE63" i="6" s="1"/>
  <c r="P62" i="6"/>
  <c r="P63" i="6" s="1"/>
  <c r="N51" i="6"/>
  <c r="N52" i="6" s="1"/>
  <c r="AC40" i="6"/>
  <c r="AC41" i="6" s="1"/>
  <c r="J40" i="6"/>
  <c r="J41" i="6" s="1"/>
  <c r="Y29" i="6"/>
  <c r="Y30" i="6" s="1"/>
  <c r="F29" i="6"/>
  <c r="F30" i="6" s="1"/>
  <c r="W18" i="6"/>
  <c r="W19" i="6" s="1"/>
  <c r="D18" i="6"/>
  <c r="D19" i="6" s="1"/>
  <c r="R7" i="6"/>
  <c r="R8" i="6" s="1"/>
  <c r="AA62" i="5"/>
  <c r="AA63" i="5" s="1"/>
  <c r="O62" i="5"/>
  <c r="O63" i="5" s="1"/>
  <c r="C62" i="5"/>
  <c r="C63" i="5" s="1"/>
  <c r="W51" i="5"/>
  <c r="W52" i="5" s="1"/>
  <c r="L51" i="5"/>
  <c r="L52" i="5" s="1"/>
  <c r="AD40" i="5"/>
  <c r="AD41" i="5" s="1"/>
  <c r="S40" i="5"/>
  <c r="S41" i="5" s="1"/>
  <c r="H40" i="5"/>
  <c r="H41" i="5" s="1"/>
  <c r="Z29" i="5"/>
  <c r="Z30" i="5" s="1"/>
  <c r="O29" i="5"/>
  <c r="O30" i="5" s="1"/>
  <c r="D29" i="5"/>
  <c r="D30" i="5" s="1"/>
  <c r="V18" i="5"/>
  <c r="V19" i="5" s="1"/>
  <c r="K18" i="5"/>
  <c r="K19" i="5" s="1"/>
  <c r="AC7" i="5"/>
  <c r="AC8" i="5" s="1"/>
  <c r="R7" i="5"/>
  <c r="R8" i="5" s="1"/>
  <c r="G7" i="5"/>
  <c r="G8" i="5" s="1"/>
  <c r="W40" i="7"/>
  <c r="W41" i="7" s="1"/>
  <c r="P29" i="7"/>
  <c r="P30" i="7" s="1"/>
  <c r="T18" i="7"/>
  <c r="T19" i="7" s="1"/>
  <c r="AE7" i="7"/>
  <c r="AE8" i="7" s="1"/>
  <c r="F7" i="7"/>
  <c r="F8" i="7" s="1"/>
  <c r="AD62" i="6"/>
  <c r="AD63" i="6" s="1"/>
  <c r="O62" i="6"/>
  <c r="O63" i="6" s="1"/>
  <c r="AB51" i="6"/>
  <c r="AB52" i="6" s="1"/>
  <c r="M51" i="6"/>
  <c r="M52" i="6" s="1"/>
  <c r="X40" i="6"/>
  <c r="X41" i="6" s="1"/>
  <c r="I40" i="6"/>
  <c r="I41" i="6" s="1"/>
  <c r="T29" i="6"/>
  <c r="T30" i="6" s="1"/>
  <c r="E29" i="6"/>
  <c r="E30" i="6" s="1"/>
  <c r="V18" i="6"/>
  <c r="V19" i="6" s="1"/>
  <c r="C18" i="6"/>
  <c r="C19" i="6" s="1"/>
  <c r="AF7" i="6"/>
  <c r="AF8" i="6" s="1"/>
  <c r="Q7" i="6"/>
  <c r="Q8" i="6" s="1"/>
  <c r="Z62" i="5"/>
  <c r="Z63" i="5" s="1"/>
  <c r="N62" i="5"/>
  <c r="N63" i="5" s="1"/>
  <c r="V51" i="5"/>
  <c r="V52" i="5" s="1"/>
  <c r="K51" i="5"/>
  <c r="K52" i="5" s="1"/>
  <c r="AC40" i="5"/>
  <c r="AC41" i="5" s="1"/>
  <c r="R40" i="5"/>
  <c r="R41" i="5" s="1"/>
  <c r="G40" i="5"/>
  <c r="G41" i="5" s="1"/>
  <c r="Y29" i="5"/>
  <c r="Y30" i="5" s="1"/>
  <c r="N29" i="5"/>
  <c r="N30" i="5" s="1"/>
  <c r="C29" i="5"/>
  <c r="C30" i="5" s="1"/>
  <c r="AF18" i="5"/>
  <c r="AF19" i="5" s="1"/>
  <c r="U18" i="5"/>
  <c r="U19" i="5" s="1"/>
  <c r="J18" i="5"/>
  <c r="J19" i="5" s="1"/>
  <c r="AB7" i="5"/>
  <c r="AB8" i="5" s="1"/>
  <c r="Q7" i="5"/>
  <c r="Q8" i="5" s="1"/>
  <c r="F7" i="5"/>
  <c r="F8" i="5" s="1"/>
  <c r="V40" i="7"/>
  <c r="V41" i="7" s="1"/>
  <c r="O29" i="7"/>
  <c r="O30" i="7" s="1"/>
  <c r="Q18" i="7"/>
  <c r="Q19" i="7" s="1"/>
  <c r="AD7" i="7"/>
  <c r="AD8" i="7" s="1"/>
  <c r="E7" i="7"/>
  <c r="E8" i="7" s="1"/>
  <c r="AC62" i="6"/>
  <c r="AC63" i="6" s="1"/>
  <c r="J62" i="6"/>
  <c r="J63" i="6" s="1"/>
  <c r="AA51" i="6"/>
  <c r="AA52" i="6" s="1"/>
  <c r="L51" i="6"/>
  <c r="L52" i="6" s="1"/>
  <c r="W40" i="6"/>
  <c r="W41" i="6" s="1"/>
  <c r="H40" i="6"/>
  <c r="H41" i="6" s="1"/>
  <c r="S29" i="6"/>
  <c r="S30" i="6" s="1"/>
  <c r="D29" i="6"/>
  <c r="D30" i="6" s="1"/>
  <c r="U18" i="6"/>
  <c r="U19" i="6" s="1"/>
  <c r="AE7" i="6"/>
  <c r="AE8" i="6" s="1"/>
  <c r="L7" i="6"/>
  <c r="L8" i="6" s="1"/>
  <c r="Y62" i="5"/>
  <c r="Y63" i="5" s="1"/>
  <c r="M62" i="5"/>
  <c r="M63" i="5" s="1"/>
  <c r="AF51" i="5"/>
  <c r="AF52" i="5" s="1"/>
  <c r="U51" i="5"/>
  <c r="U52" i="5" s="1"/>
  <c r="J51" i="5"/>
  <c r="J52" i="5" s="1"/>
  <c r="AB40" i="5"/>
  <c r="AB41" i="5" s="1"/>
  <c r="Q40" i="5"/>
  <c r="Q41" i="5" s="1"/>
  <c r="F40" i="5"/>
  <c r="F41" i="5" s="1"/>
  <c r="X29" i="5"/>
  <c r="X30" i="5" s="1"/>
  <c r="M29" i="5"/>
  <c r="M30" i="5" s="1"/>
  <c r="AE18" i="5"/>
  <c r="AE19" i="5" s="1"/>
  <c r="T18" i="5"/>
  <c r="T19" i="5" s="1"/>
  <c r="I18" i="5"/>
  <c r="I19" i="5" s="1"/>
  <c r="AA7" i="5"/>
  <c r="AA8" i="5" s="1"/>
  <c r="P7" i="5"/>
  <c r="P8" i="5" s="1"/>
  <c r="E7" i="5"/>
  <c r="E8" i="5" s="1"/>
  <c r="U40" i="7"/>
  <c r="U41" i="7" s="1"/>
  <c r="N29" i="7"/>
  <c r="N30" i="7" s="1"/>
  <c r="P18" i="7"/>
  <c r="P19" i="7" s="1"/>
  <c r="AC7" i="7"/>
  <c r="AC8" i="7" s="1"/>
  <c r="AB62" i="6"/>
  <c r="AB63" i="6" s="1"/>
  <c r="I62" i="6"/>
  <c r="I63" i="6" s="1"/>
  <c r="Z51" i="6"/>
  <c r="Z52" i="6" s="1"/>
  <c r="K51" i="6"/>
  <c r="K52" i="6" s="1"/>
  <c r="V40" i="6"/>
  <c r="V41" i="6" s="1"/>
  <c r="G40" i="6"/>
  <c r="G41" i="6" s="1"/>
  <c r="R29" i="6"/>
  <c r="R30" i="6" s="1"/>
  <c r="C29" i="6"/>
  <c r="C30" i="6" s="1"/>
  <c r="T40" i="7"/>
  <c r="T41" i="7" s="1"/>
  <c r="M29" i="7"/>
  <c r="M30" i="7" s="1"/>
  <c r="O18" i="7"/>
  <c r="O19" i="7" s="1"/>
  <c r="AB7" i="7"/>
  <c r="AB8" i="7" s="1"/>
  <c r="AA62" i="6"/>
  <c r="AA63" i="6" s="1"/>
  <c r="H62" i="6"/>
  <c r="H63" i="6" s="1"/>
  <c r="Y51" i="6"/>
  <c r="Y52" i="6" s="1"/>
  <c r="F51" i="6"/>
  <c r="F52" i="6" s="1"/>
  <c r="U40" i="6"/>
  <c r="U41" i="6" s="1"/>
  <c r="Q29" i="6"/>
  <c r="Q30" i="6" s="1"/>
  <c r="I40" i="7"/>
  <c r="I41" i="7" s="1"/>
  <c r="AE29" i="7"/>
  <c r="AE30" i="7" s="1"/>
  <c r="E29" i="7"/>
  <c r="E30" i="7" s="1"/>
  <c r="N18" i="7"/>
  <c r="N19" i="7" s="1"/>
  <c r="T7" i="7"/>
  <c r="T8" i="7" s="1"/>
  <c r="Z62" i="6"/>
  <c r="Z63" i="6" s="1"/>
  <c r="G62" i="6"/>
  <c r="G63" i="6" s="1"/>
  <c r="X51" i="6"/>
  <c r="X52" i="6" s="1"/>
  <c r="E51" i="6"/>
  <c r="E52" i="6" s="1"/>
  <c r="T40" i="6"/>
  <c r="T41" i="6" s="1"/>
  <c r="AE29" i="6"/>
  <c r="AE30" i="6" s="1"/>
  <c r="P29" i="6"/>
  <c r="P30" i="6" s="1"/>
  <c r="AA51" i="7"/>
  <c r="AA52" i="7" s="1"/>
  <c r="H40" i="7"/>
  <c r="H41" i="7" s="1"/>
  <c r="AD29" i="7"/>
  <c r="AD30" i="7" s="1"/>
  <c r="D29" i="7"/>
  <c r="D30" i="7" s="1"/>
  <c r="F18" i="7"/>
  <c r="F19" i="7" s="1"/>
  <c r="S7" i="7"/>
  <c r="S8" i="7" s="1"/>
  <c r="U62" i="6"/>
  <c r="U63" i="6" s="1"/>
  <c r="F62" i="6"/>
  <c r="F63" i="6" s="1"/>
  <c r="W51" i="6"/>
  <c r="W52" i="6" s="1"/>
  <c r="D51" i="6"/>
  <c r="D52" i="6" s="1"/>
  <c r="S40" i="6"/>
  <c r="S41" i="6" s="1"/>
  <c r="AD29" i="6"/>
  <c r="AD30" i="6" s="1"/>
  <c r="O29" i="6"/>
  <c r="O30" i="6" s="1"/>
  <c r="L51" i="7"/>
  <c r="L52" i="7" s="1"/>
  <c r="G40" i="7"/>
  <c r="G41" i="7" s="1"/>
  <c r="AC29" i="7"/>
  <c r="AC30" i="7" s="1"/>
  <c r="C29" i="7"/>
  <c r="C30" i="7" s="1"/>
  <c r="AF18" i="7"/>
  <c r="AF19" i="7" s="1"/>
  <c r="E18" i="7"/>
  <c r="E19" i="7" s="1"/>
  <c r="R7" i="7"/>
  <c r="R8" i="7" s="1"/>
  <c r="T62" i="6"/>
  <c r="T63" i="6" s="1"/>
  <c r="E62" i="6"/>
  <c r="E63" i="6" s="1"/>
  <c r="V51" i="6"/>
  <c r="V52" i="6" s="1"/>
  <c r="C51" i="6"/>
  <c r="C52" i="6" s="1"/>
  <c r="R40" i="6"/>
  <c r="R41" i="6" s="1"/>
  <c r="AC29" i="6"/>
  <c r="AC30" i="6" s="1"/>
  <c r="N29" i="6"/>
  <c r="N30" i="6" s="1"/>
  <c r="K51" i="7"/>
  <c r="K52" i="7" s="1"/>
  <c r="AB29" i="7"/>
  <c r="AB30" i="7" s="1"/>
  <c r="AE18" i="7"/>
  <c r="AE19" i="7" s="1"/>
  <c r="D18" i="7"/>
  <c r="D19" i="7" s="1"/>
  <c r="Q7" i="7"/>
  <c r="Q8" i="7" s="1"/>
  <c r="S62" i="6"/>
  <c r="S63" i="6" s="1"/>
  <c r="D62" i="6"/>
  <c r="D63" i="6" s="1"/>
  <c r="Q51" i="6"/>
  <c r="Q52" i="6" s="1"/>
  <c r="AF40" i="6"/>
  <c r="AF41" i="6" s="1"/>
  <c r="M40" i="6"/>
  <c r="M41" i="6" s="1"/>
  <c r="AA29" i="7"/>
  <c r="AA30" i="7" s="1"/>
  <c r="AB18" i="7"/>
  <c r="AB19" i="7" s="1"/>
  <c r="C18" i="7"/>
  <c r="C19" i="7" s="1"/>
  <c r="P7" i="7"/>
  <c r="P8" i="7" s="1"/>
  <c r="R62" i="6"/>
  <c r="R63" i="6" s="1"/>
  <c r="P51" i="6"/>
  <c r="P52" i="6" s="1"/>
  <c r="AE40" i="6"/>
  <c r="AE41" i="6" s="1"/>
  <c r="L40" i="6"/>
  <c r="L41" i="6" s="1"/>
  <c r="AA29" i="6"/>
  <c r="AA30" i="6" s="1"/>
  <c r="H29" i="6"/>
  <c r="H30" i="6" s="1"/>
  <c r="Y18" i="6"/>
  <c r="Y19" i="6" s="1"/>
  <c r="J18" i="6"/>
  <c r="J19" i="6" s="1"/>
  <c r="T7" i="6"/>
  <c r="T8" i="6" s="1"/>
  <c r="AC62" i="5"/>
  <c r="AC63" i="5" s="1"/>
  <c r="Q62" i="5"/>
  <c r="Q63" i="5" s="1"/>
  <c r="E62" i="5"/>
  <c r="E63" i="5" s="1"/>
  <c r="Y51" i="5"/>
  <c r="Y52" i="5" s="1"/>
  <c r="L7" i="5"/>
  <c r="L8" i="5" s="1"/>
  <c r="Q18" i="5"/>
  <c r="Q19" i="5" s="1"/>
  <c r="G29" i="5"/>
  <c r="G30" i="5" s="1"/>
  <c r="V29" i="5"/>
  <c r="V30" i="5" s="1"/>
  <c r="AF7" i="5"/>
  <c r="AF8" i="5" s="1"/>
  <c r="AA18" i="6"/>
  <c r="AA19" i="6" s="1"/>
  <c r="W58" i="5"/>
  <c r="W59" i="5" s="1"/>
  <c r="L58" i="5"/>
  <c r="L59" i="5" s="1"/>
  <c r="AE58" i="5"/>
  <c r="AE59" i="5" s="1"/>
  <c r="S58" i="5"/>
  <c r="S59" i="5" s="1"/>
  <c r="G58" i="5"/>
  <c r="G59" i="5" s="1"/>
  <c r="AD58" i="5"/>
  <c r="AD59" i="5" s="1"/>
  <c r="R58" i="5"/>
  <c r="R59" i="5" s="1"/>
  <c r="F58" i="5"/>
  <c r="F59" i="5" s="1"/>
  <c r="AC58" i="5"/>
  <c r="AC59" i="5" s="1"/>
  <c r="Q58" i="5"/>
  <c r="Q59" i="5" s="1"/>
  <c r="E58" i="5"/>
  <c r="E59" i="5" s="1"/>
  <c r="AB58" i="5"/>
  <c r="AB59" i="5" s="1"/>
  <c r="P58" i="5"/>
  <c r="P59" i="5" s="1"/>
  <c r="D58" i="5"/>
  <c r="D59" i="5" s="1"/>
  <c r="AF58" i="5"/>
  <c r="AF59" i="5" s="1"/>
  <c r="T58" i="5"/>
  <c r="T59" i="5" s="1"/>
  <c r="H58" i="5"/>
  <c r="H59" i="5" s="1"/>
  <c r="T7" i="5"/>
  <c r="T8" i="5" s="1"/>
  <c r="F18" i="5"/>
  <c r="F19" i="5" s="1"/>
  <c r="Y18" i="5"/>
  <c r="Y19" i="5" s="1"/>
  <c r="K29" i="5"/>
  <c r="K30" i="5" s="1"/>
  <c r="AD29" i="5"/>
  <c r="AD30" i="5" s="1"/>
  <c r="D40" i="5"/>
  <c r="D41" i="5" s="1"/>
  <c r="W40" i="5"/>
  <c r="W41" i="5" s="1"/>
  <c r="I51" i="5"/>
  <c r="I52" i="5" s="1"/>
  <c r="AC51" i="5"/>
  <c r="AC52" i="5" s="1"/>
  <c r="J58" i="5"/>
  <c r="J59" i="5" s="1"/>
  <c r="H62" i="5"/>
  <c r="H63" i="5" s="1"/>
  <c r="AE62" i="5"/>
  <c r="AE63" i="5" s="1"/>
  <c r="W7" i="6"/>
  <c r="W8" i="6" s="1"/>
  <c r="T23" i="4"/>
  <c r="O3" i="5"/>
  <c r="O4" i="5" s="1"/>
  <c r="U7" i="5"/>
  <c r="U8" i="5" s="1"/>
  <c r="G18" i="5"/>
  <c r="G19" i="5" s="1"/>
  <c r="Z18" i="5"/>
  <c r="Z19" i="5" s="1"/>
  <c r="L29" i="5"/>
  <c r="L30" i="5" s="1"/>
  <c r="AE29" i="5"/>
  <c r="AE30" i="5" s="1"/>
  <c r="E40" i="5"/>
  <c r="E41" i="5" s="1"/>
  <c r="X40" i="5"/>
  <c r="X41" i="5" s="1"/>
  <c r="N51" i="5"/>
  <c r="N52" i="5" s="1"/>
  <c r="AD51" i="5"/>
  <c r="AD52" i="5" s="1"/>
  <c r="K58" i="5"/>
  <c r="K59" i="5" s="1"/>
  <c r="I62" i="5"/>
  <c r="I63" i="5" s="1"/>
  <c r="AF62" i="5"/>
  <c r="AF63" i="5" s="1"/>
  <c r="AB7" i="6"/>
  <c r="AB8" i="6" s="1"/>
  <c r="K18" i="6"/>
  <c r="K19" i="6" s="1"/>
  <c r="R18" i="5"/>
  <c r="R19" i="5" s="1"/>
  <c r="W29" i="5"/>
  <c r="W30" i="5" s="1"/>
  <c r="AC29" i="5"/>
  <c r="AC30" i="5" s="1"/>
  <c r="V40" i="5"/>
  <c r="V41" i="5" s="1"/>
  <c r="AB51" i="5"/>
  <c r="AB52" i="5" s="1"/>
  <c r="AD62" i="5"/>
  <c r="AD63" i="5" s="1"/>
  <c r="B47" i="8"/>
  <c r="B48" i="8" s="1"/>
  <c r="B47" i="7"/>
  <c r="B48" i="7" s="1"/>
  <c r="T3" i="5"/>
  <c r="T4" i="5" s="1"/>
  <c r="C7" i="5"/>
  <c r="C8" i="5" s="1"/>
  <c r="V7" i="5"/>
  <c r="V8" i="5" s="1"/>
  <c r="H18" i="5"/>
  <c r="H19" i="5" s="1"/>
  <c r="AA18" i="5"/>
  <c r="AA19" i="5" s="1"/>
  <c r="Q29" i="5"/>
  <c r="Q30" i="5" s="1"/>
  <c r="AF29" i="5"/>
  <c r="AF30" i="5" s="1"/>
  <c r="J40" i="5"/>
  <c r="J41" i="5" s="1"/>
  <c r="Y40" i="5"/>
  <c r="Y41" i="5" s="1"/>
  <c r="O51" i="5"/>
  <c r="O52" i="5" s="1"/>
  <c r="AE51" i="5"/>
  <c r="AE52" i="5" s="1"/>
  <c r="M58" i="5"/>
  <c r="M59" i="5" s="1"/>
  <c r="J62" i="5"/>
  <c r="J63" i="5" s="1"/>
  <c r="AC7" i="6"/>
  <c r="AC8" i="6" s="1"/>
  <c r="L18" i="6"/>
  <c r="L19" i="6" s="1"/>
  <c r="E18" i="5"/>
  <c r="E19" i="5" s="1"/>
  <c r="V7" i="6"/>
  <c r="V8" i="6" s="1"/>
  <c r="AB29" i="6"/>
  <c r="AB30" i="6" s="1"/>
  <c r="O7" i="5"/>
  <c r="O8" i="5" s="1"/>
  <c r="X18" i="5"/>
  <c r="X19" i="5" s="1"/>
  <c r="J29" i="5"/>
  <c r="J30" i="5" s="1"/>
  <c r="C40" i="5"/>
  <c r="C41" i="5" s="1"/>
  <c r="H51" i="5"/>
  <c r="H52" i="5" s="1"/>
  <c r="G62" i="5"/>
  <c r="G63" i="5" s="1"/>
  <c r="D7" i="5"/>
  <c r="D8" i="5" s="1"/>
  <c r="AB18" i="5"/>
  <c r="AB19" i="5" s="1"/>
  <c r="R29" i="5"/>
  <c r="R30" i="5" s="1"/>
  <c r="F7" i="6"/>
  <c r="F8" i="6" s="1"/>
  <c r="AD7" i="6"/>
  <c r="AD8" i="6" s="1"/>
  <c r="M18" i="6"/>
  <c r="M19" i="6" s="1"/>
  <c r="T21" i="4"/>
  <c r="T22" i="4" s="1"/>
  <c r="Z24" i="4"/>
  <c r="C3" i="5"/>
  <c r="C4" i="5" s="1"/>
  <c r="V3" i="5"/>
  <c r="V4" i="5" s="1"/>
  <c r="I7" i="5"/>
  <c r="I8" i="5" s="1"/>
  <c r="X7" i="5"/>
  <c r="X8" i="5" s="1"/>
  <c r="N18" i="5"/>
  <c r="N19" i="5" s="1"/>
  <c r="AC18" i="5"/>
  <c r="AC19" i="5" s="1"/>
  <c r="S29" i="5"/>
  <c r="S30" i="5" s="1"/>
  <c r="L40" i="5"/>
  <c r="L41" i="5" s="1"/>
  <c r="AA40" i="5"/>
  <c r="AA41" i="5" s="1"/>
  <c r="Q51" i="5"/>
  <c r="Q52" i="5" s="1"/>
  <c r="O58" i="5"/>
  <c r="O59" i="5" s="1"/>
  <c r="R62" i="5"/>
  <c r="R63" i="5" s="1"/>
  <c r="G7" i="6"/>
  <c r="G8" i="6" s="1"/>
  <c r="N18" i="6"/>
  <c r="N19" i="6" s="1"/>
  <c r="AE7" i="5"/>
  <c r="AE8" i="5" s="1"/>
  <c r="M7" i="5"/>
  <c r="M8" i="5" s="1"/>
  <c r="C18" i="5"/>
  <c r="C19" i="5" s="1"/>
  <c r="H29" i="5"/>
  <c r="H30" i="5" s="1"/>
  <c r="P40" i="5"/>
  <c r="P41" i="5" s="1"/>
  <c r="F51" i="5"/>
  <c r="F52" i="5" s="1"/>
  <c r="Z51" i="5"/>
  <c r="Z52" i="5" s="1"/>
  <c r="D3" i="5"/>
  <c r="D4" i="5" s="1"/>
  <c r="W3" i="5"/>
  <c r="W4" i="5" s="1"/>
  <c r="J7" i="5"/>
  <c r="J8" i="5" s="1"/>
  <c r="Y7" i="5"/>
  <c r="Y8" i="5" s="1"/>
  <c r="O18" i="5"/>
  <c r="O19" i="5" s="1"/>
  <c r="AD18" i="5"/>
  <c r="AD19" i="5" s="1"/>
  <c r="T29" i="5"/>
  <c r="T30" i="5" s="1"/>
  <c r="M40" i="5"/>
  <c r="M41" i="5" s="1"/>
  <c r="AF40" i="5"/>
  <c r="AF41" i="5" s="1"/>
  <c r="C51" i="5"/>
  <c r="C52" i="5" s="1"/>
  <c r="R51" i="5"/>
  <c r="R52" i="5" s="1"/>
  <c r="U58" i="5"/>
  <c r="U59" i="5" s="1"/>
  <c r="S62" i="5"/>
  <c r="S63" i="5" s="1"/>
  <c r="H7" i="6"/>
  <c r="H8" i="6" s="1"/>
  <c r="O18" i="6"/>
  <c r="O19" i="6" s="1"/>
  <c r="I14" i="5"/>
  <c r="I15" i="5" s="1"/>
  <c r="T14" i="5"/>
  <c r="T15" i="5" s="1"/>
  <c r="AE14" i="5"/>
  <c r="AE15" i="5" s="1"/>
  <c r="M25" i="5"/>
  <c r="M26" i="5" s="1"/>
  <c r="X25" i="5"/>
  <c r="X26" i="5" s="1"/>
  <c r="F36" i="5"/>
  <c r="F37" i="5" s="1"/>
  <c r="B43" i="5" s="1"/>
  <c r="C15" i="9" s="1"/>
  <c r="C16" i="9" s="1"/>
  <c r="Q36" i="5"/>
  <c r="Q37" i="5" s="1"/>
  <c r="AB36" i="5"/>
  <c r="AB37" i="5" s="1"/>
  <c r="J47" i="5"/>
  <c r="J48" i="5" s="1"/>
  <c r="U47" i="5"/>
  <c r="U48" i="5" s="1"/>
  <c r="AF47" i="5"/>
  <c r="AF48" i="5" s="1"/>
  <c r="J14" i="5"/>
  <c r="J15" i="5" s="1"/>
  <c r="U14" i="5"/>
  <c r="U15" i="5" s="1"/>
  <c r="AF14" i="5"/>
  <c r="AF15" i="5" s="1"/>
  <c r="C25" i="5"/>
  <c r="C26" i="5" s="1"/>
  <c r="N25" i="5"/>
  <c r="N26" i="5" s="1"/>
  <c r="Y25" i="5"/>
  <c r="Y26" i="5" s="1"/>
  <c r="G36" i="5"/>
  <c r="G37" i="5" s="1"/>
  <c r="R36" i="5"/>
  <c r="R37" i="5" s="1"/>
  <c r="AC36" i="5"/>
  <c r="AC37" i="5" s="1"/>
  <c r="K47" i="5"/>
  <c r="K48" i="5" s="1"/>
  <c r="V47" i="5"/>
  <c r="V48" i="5" s="1"/>
  <c r="K14" i="5"/>
  <c r="K15" i="5" s="1"/>
  <c r="V14" i="5"/>
  <c r="V15" i="5" s="1"/>
  <c r="D25" i="5"/>
  <c r="D26" i="5" s="1"/>
  <c r="O25" i="5"/>
  <c r="O26" i="5" s="1"/>
  <c r="Z25" i="5"/>
  <c r="Z26" i="5" s="1"/>
  <c r="H36" i="5"/>
  <c r="H37" i="5" s="1"/>
  <c r="S36" i="5"/>
  <c r="S37" i="5" s="1"/>
  <c r="AD36" i="5"/>
  <c r="AD37" i="5" s="1"/>
  <c r="L47" i="5"/>
  <c r="L48" i="5" s="1"/>
  <c r="W47" i="5"/>
  <c r="W48" i="5" s="1"/>
  <c r="F19" i="9"/>
  <c r="J18" i="9"/>
  <c r="T7" i="9"/>
  <c r="C7" i="9"/>
  <c r="D6" i="9"/>
  <c r="E19" i="9"/>
  <c r="F18" i="9"/>
  <c r="C33" i="9" s="1"/>
  <c r="C34" i="9" s="1"/>
  <c r="S7" i="9"/>
  <c r="T6" i="9"/>
  <c r="Q26" i="9" s="1"/>
  <c r="C6" i="9"/>
  <c r="D19" i="9"/>
  <c r="E18" i="9"/>
  <c r="R7" i="9"/>
  <c r="S6" i="9"/>
  <c r="T19" i="9"/>
  <c r="C19" i="9"/>
  <c r="D18" i="9"/>
  <c r="Q7" i="9"/>
  <c r="R6" i="9"/>
  <c r="M19" i="9"/>
  <c r="C18" i="9"/>
  <c r="D7" i="9"/>
  <c r="L19" i="9"/>
  <c r="Q6" i="9"/>
  <c r="K19" i="9"/>
  <c r="M6" i="9"/>
  <c r="J26" i="9" s="1"/>
  <c r="J19" i="9"/>
  <c r="L6" i="9"/>
  <c r="T18" i="9"/>
  <c r="Q33" i="9" s="1"/>
  <c r="Q34" i="9" s="1"/>
  <c r="K6" i="9"/>
  <c r="S18" i="9"/>
  <c r="M7" i="9"/>
  <c r="J6" i="9"/>
  <c r="R18" i="9"/>
  <c r="L7" i="9"/>
  <c r="F6" i="9"/>
  <c r="C26" i="9" s="1"/>
  <c r="C27" i="9" s="1"/>
  <c r="Q18" i="9"/>
  <c r="K7" i="9"/>
  <c r="E6" i="9"/>
  <c r="S19" i="9"/>
  <c r="M18" i="9"/>
  <c r="J33" i="9" s="1"/>
  <c r="J34" i="9" s="1"/>
  <c r="J7" i="9"/>
  <c r="R19" i="9"/>
  <c r="L18" i="9"/>
  <c r="F7" i="9"/>
  <c r="Q19" i="9"/>
  <c r="K18" i="9"/>
  <c r="E7" i="9"/>
  <c r="C66" i="3"/>
  <c r="L14" i="5"/>
  <c r="L15" i="5" s="1"/>
  <c r="E25" i="5"/>
  <c r="E26" i="5" s="1"/>
  <c r="P25" i="5"/>
  <c r="P26" i="5" s="1"/>
  <c r="I36" i="5"/>
  <c r="I37" i="5" s="1"/>
  <c r="T36" i="5"/>
  <c r="T37" i="5" s="1"/>
  <c r="M47" i="5"/>
  <c r="M48" i="5" s="1"/>
  <c r="Q27" i="9" l="1"/>
  <c r="J27" i="9"/>
  <c r="F14" i="6"/>
  <c r="F15" i="6" s="1"/>
  <c r="AE14" i="6"/>
  <c r="AE15" i="6" s="1"/>
  <c r="B14" i="5"/>
  <c r="B15" i="5" s="1"/>
  <c r="B21" i="5" s="1"/>
  <c r="J3" i="9" s="1"/>
  <c r="J4" i="9" s="1"/>
  <c r="H23" i="4"/>
  <c r="B3" i="7"/>
  <c r="B4" i="7" s="1"/>
  <c r="B3" i="8"/>
  <c r="B4" i="8" s="1"/>
  <c r="Q14" i="6"/>
  <c r="Q15" i="6" s="1"/>
  <c r="AC14" i="6"/>
  <c r="AC15" i="6" s="1"/>
  <c r="T14" i="6"/>
  <c r="T15" i="6" s="1"/>
  <c r="M14" i="6"/>
  <c r="M15" i="6" s="1"/>
  <c r="J14" i="6"/>
  <c r="J15" i="6" s="1"/>
  <c r="Y14" i="6"/>
  <c r="Y15" i="6" s="1"/>
  <c r="K14" i="6"/>
  <c r="K15" i="6" s="1"/>
  <c r="Z14" i="6"/>
  <c r="Z15" i="6" s="1"/>
  <c r="X14" i="6"/>
  <c r="X15" i="6" s="1"/>
  <c r="I14" i="6"/>
  <c r="I15" i="6" s="1"/>
  <c r="AB14" i="6"/>
  <c r="AB15" i="6" s="1"/>
  <c r="G14" i="6"/>
  <c r="G15" i="6" s="1"/>
  <c r="C14" i="6"/>
  <c r="C15" i="6" s="1"/>
  <c r="R14" i="6"/>
  <c r="R15" i="6" s="1"/>
  <c r="AA14" i="6"/>
  <c r="AA15" i="6" s="1"/>
  <c r="V14" i="6"/>
  <c r="V15" i="6" s="1"/>
  <c r="L14" i="6"/>
  <c r="L15" i="6" s="1"/>
  <c r="D14" i="6"/>
  <c r="D15" i="6" s="1"/>
  <c r="S14" i="6"/>
  <c r="S15" i="6" s="1"/>
  <c r="E14" i="6"/>
  <c r="E15" i="6" s="1"/>
  <c r="AD14" i="6"/>
  <c r="AD15" i="6" s="1"/>
  <c r="U14" i="6"/>
  <c r="U15" i="6" s="1"/>
  <c r="O14" i="6"/>
  <c r="O15" i="6" s="1"/>
  <c r="N14" i="6"/>
  <c r="N15" i="6" s="1"/>
  <c r="B26" i="4"/>
  <c r="C3" i="8" s="1"/>
  <c r="C4" i="8" s="1"/>
  <c r="T26" i="4"/>
  <c r="X36" i="8" s="1"/>
  <c r="X37" i="8" s="1"/>
  <c r="P14" i="6"/>
  <c r="P15" i="6" s="1"/>
  <c r="W14" i="6"/>
  <c r="W15" i="6" s="1"/>
  <c r="H14" i="6"/>
  <c r="H15" i="6" s="1"/>
  <c r="G16" i="10"/>
  <c r="R16" i="10"/>
  <c r="AC16" i="10"/>
  <c r="V16" i="10"/>
  <c r="C16" i="10"/>
  <c r="W16" i="10"/>
  <c r="Y16" i="10"/>
  <c r="H16" i="10"/>
  <c r="S16" i="10"/>
  <c r="AD16" i="10"/>
  <c r="K16" i="10"/>
  <c r="M16" i="10"/>
  <c r="N16" i="10"/>
  <c r="Z16" i="10"/>
  <c r="I16" i="10"/>
  <c r="T16" i="10"/>
  <c r="AE16" i="10"/>
  <c r="O16" i="10"/>
  <c r="P16" i="10"/>
  <c r="J16" i="10"/>
  <c r="U16" i="10"/>
  <c r="AF16" i="10"/>
  <c r="L16" i="10"/>
  <c r="AA16" i="10"/>
  <c r="F16" i="10"/>
  <c r="Q16" i="10"/>
  <c r="AB16" i="10"/>
  <c r="X16" i="10"/>
  <c r="D16" i="10"/>
  <c r="E16" i="10"/>
  <c r="Z26" i="4"/>
  <c r="X47" i="8" s="1"/>
  <c r="X48" i="8" s="1"/>
  <c r="L15" i="10"/>
  <c r="W15" i="10"/>
  <c r="F15" i="10"/>
  <c r="G15" i="10"/>
  <c r="J15" i="10"/>
  <c r="AF15" i="10"/>
  <c r="M15" i="10"/>
  <c r="X15" i="10"/>
  <c r="AB15" i="10"/>
  <c r="H15" i="10"/>
  <c r="S15" i="10"/>
  <c r="I15" i="10"/>
  <c r="U15" i="10"/>
  <c r="N15" i="10"/>
  <c r="Y15" i="10"/>
  <c r="E15" i="10"/>
  <c r="Q15" i="10"/>
  <c r="R15" i="10"/>
  <c r="AC15" i="10"/>
  <c r="AD15" i="10"/>
  <c r="D15" i="10"/>
  <c r="O15" i="10"/>
  <c r="Z15" i="10"/>
  <c r="AA15" i="10"/>
  <c r="T15" i="10"/>
  <c r="K15" i="10"/>
  <c r="V15" i="10"/>
  <c r="C15" i="10"/>
  <c r="P15" i="10"/>
  <c r="AE15" i="10"/>
  <c r="F3" i="10"/>
  <c r="Q3" i="10"/>
  <c r="AB3" i="10"/>
  <c r="J3" i="10"/>
  <c r="U3" i="10"/>
  <c r="AF3" i="10"/>
  <c r="K3" i="10"/>
  <c r="V3" i="10"/>
  <c r="N3" i="10"/>
  <c r="O3" i="10"/>
  <c r="G3" i="10"/>
  <c r="R3" i="10"/>
  <c r="AC3" i="10"/>
  <c r="M3" i="10"/>
  <c r="X3" i="10"/>
  <c r="Y3" i="10"/>
  <c r="D3" i="10"/>
  <c r="Z3" i="10"/>
  <c r="H3" i="10"/>
  <c r="S3" i="10"/>
  <c r="AD3" i="10"/>
  <c r="C3" i="10"/>
  <c r="L3" i="10"/>
  <c r="I3" i="10"/>
  <c r="T3" i="10"/>
  <c r="AE3" i="10"/>
  <c r="W3" i="10"/>
  <c r="E3" i="10"/>
  <c r="P3" i="10"/>
  <c r="AA3" i="10"/>
  <c r="AF58" i="6"/>
  <c r="AF59" i="6" s="1"/>
  <c r="K58" i="6"/>
  <c r="K59" i="6" s="1"/>
  <c r="S58" i="6"/>
  <c r="S59" i="6" s="1"/>
  <c r="M20" i="9"/>
  <c r="M21" i="9" s="1"/>
  <c r="D58" i="6"/>
  <c r="D59" i="6" s="1"/>
  <c r="Z58" i="6"/>
  <c r="Z59" i="6" s="1"/>
  <c r="Q58" i="6"/>
  <c r="Q59" i="6" s="1"/>
  <c r="H58" i="6"/>
  <c r="H59" i="6" s="1"/>
  <c r="W58" i="6"/>
  <c r="W59" i="6" s="1"/>
  <c r="Q20" i="9"/>
  <c r="Q21" i="9" s="1"/>
  <c r="D20" i="9"/>
  <c r="D21" i="9" s="1"/>
  <c r="AA58" i="6"/>
  <c r="AA59" i="6" s="1"/>
  <c r="M58" i="6"/>
  <c r="M59" i="6" s="1"/>
  <c r="L58" i="6"/>
  <c r="L59" i="6" s="1"/>
  <c r="I58" i="6"/>
  <c r="I59" i="6" s="1"/>
  <c r="X58" i="6"/>
  <c r="X59" i="6" s="1"/>
  <c r="D8" i="9"/>
  <c r="D9" i="9" s="1"/>
  <c r="AB58" i="6"/>
  <c r="AB59" i="6" s="1"/>
  <c r="C58" i="6"/>
  <c r="C59" i="6" s="1"/>
  <c r="P58" i="6"/>
  <c r="P59" i="6" s="1"/>
  <c r="R20" i="9"/>
  <c r="R21" i="9" s="1"/>
  <c r="M8" i="9"/>
  <c r="M9" i="9" s="1"/>
  <c r="R58" i="6"/>
  <c r="R59" i="6" s="1"/>
  <c r="G58" i="6"/>
  <c r="G59" i="6" s="1"/>
  <c r="AE58" i="6"/>
  <c r="AE59" i="6" s="1"/>
  <c r="V58" i="6"/>
  <c r="V59" i="6" s="1"/>
  <c r="J58" i="6"/>
  <c r="J59" i="6" s="1"/>
  <c r="E58" i="6"/>
  <c r="E59" i="6" s="1"/>
  <c r="N58" i="6"/>
  <c r="N59" i="6" s="1"/>
  <c r="T58" i="6"/>
  <c r="T59" i="6" s="1"/>
  <c r="Y58" i="6"/>
  <c r="Y59" i="6" s="1"/>
  <c r="F58" i="6"/>
  <c r="F59" i="6" s="1"/>
  <c r="AC58" i="6"/>
  <c r="AC59" i="6" s="1"/>
  <c r="O58" i="6"/>
  <c r="O59" i="6" s="1"/>
  <c r="AD58" i="6"/>
  <c r="AD59" i="6" s="1"/>
  <c r="S8" i="9"/>
  <c r="S9" i="9" s="1"/>
  <c r="S20" i="9"/>
  <c r="S21" i="9" s="1"/>
  <c r="N26" i="4"/>
  <c r="V25" i="8" s="1"/>
  <c r="V26" i="8" s="1"/>
  <c r="Q8" i="9"/>
  <c r="Q9" i="9" s="1"/>
  <c r="E20" i="9"/>
  <c r="E21" i="9" s="1"/>
  <c r="AA14" i="8"/>
  <c r="AA15" i="8" s="1"/>
  <c r="AD14" i="8"/>
  <c r="AD15" i="8" s="1"/>
  <c r="R14" i="8"/>
  <c r="R15" i="8" s="1"/>
  <c r="G14" i="8"/>
  <c r="G15" i="8" s="1"/>
  <c r="AC14" i="8"/>
  <c r="AC15" i="8" s="1"/>
  <c r="Q14" i="8"/>
  <c r="Q15" i="8" s="1"/>
  <c r="F14" i="8"/>
  <c r="F15" i="8" s="1"/>
  <c r="AB14" i="8"/>
  <c r="AB15" i="8" s="1"/>
  <c r="P14" i="8"/>
  <c r="P15" i="8" s="1"/>
  <c r="E14" i="8"/>
  <c r="E15" i="8" s="1"/>
  <c r="Z14" i="8"/>
  <c r="Z15" i="8" s="1"/>
  <c r="O14" i="8"/>
  <c r="O15" i="8" s="1"/>
  <c r="D14" i="8"/>
  <c r="D15" i="8" s="1"/>
  <c r="T14" i="8"/>
  <c r="T15" i="8" s="1"/>
  <c r="AD14" i="7"/>
  <c r="AD15" i="7" s="1"/>
  <c r="S14" i="7"/>
  <c r="S15" i="7" s="1"/>
  <c r="H14" i="7"/>
  <c r="H15" i="7" s="1"/>
  <c r="S14" i="8"/>
  <c r="S15" i="8" s="1"/>
  <c r="AC14" i="7"/>
  <c r="AC15" i="7" s="1"/>
  <c r="R14" i="7"/>
  <c r="R15" i="7" s="1"/>
  <c r="G14" i="7"/>
  <c r="G15" i="7" s="1"/>
  <c r="N14" i="8"/>
  <c r="N15" i="8" s="1"/>
  <c r="M14" i="8"/>
  <c r="M15" i="8" s="1"/>
  <c r="U14" i="8"/>
  <c r="U15" i="8" s="1"/>
  <c r="AE14" i="8"/>
  <c r="AE15" i="8" s="1"/>
  <c r="AE14" i="7"/>
  <c r="AE15" i="7" s="1"/>
  <c r="P14" i="7"/>
  <c r="P15" i="7" s="1"/>
  <c r="C14" i="7"/>
  <c r="C15" i="7" s="1"/>
  <c r="Y14" i="8"/>
  <c r="Y15" i="8" s="1"/>
  <c r="AB14" i="7"/>
  <c r="AB15" i="7" s="1"/>
  <c r="O14" i="7"/>
  <c r="O15" i="7" s="1"/>
  <c r="X14" i="8"/>
  <c r="X15" i="8" s="1"/>
  <c r="AA14" i="7"/>
  <c r="AA15" i="7" s="1"/>
  <c r="N14" i="7"/>
  <c r="N15" i="7" s="1"/>
  <c r="W14" i="8"/>
  <c r="W15" i="8" s="1"/>
  <c r="Z14" i="7"/>
  <c r="Z15" i="7" s="1"/>
  <c r="M14" i="7"/>
  <c r="M15" i="7" s="1"/>
  <c r="V14" i="8"/>
  <c r="V15" i="8" s="1"/>
  <c r="L14" i="8"/>
  <c r="L15" i="8" s="1"/>
  <c r="K14" i="8"/>
  <c r="K15" i="8" s="1"/>
  <c r="J14" i="8"/>
  <c r="J15" i="8" s="1"/>
  <c r="I14" i="8"/>
  <c r="I15" i="8" s="1"/>
  <c r="H14" i="8"/>
  <c r="H15" i="8" s="1"/>
  <c r="AF14" i="8"/>
  <c r="AF15" i="8" s="1"/>
  <c r="C14" i="8"/>
  <c r="C15" i="8" s="1"/>
  <c r="AF14" i="7"/>
  <c r="AF15" i="7" s="1"/>
  <c r="Q14" i="7"/>
  <c r="Q15" i="7" s="1"/>
  <c r="D14" i="7"/>
  <c r="D15" i="7" s="1"/>
  <c r="W14" i="7"/>
  <c r="W15" i="7" s="1"/>
  <c r="V14" i="7"/>
  <c r="V15" i="7" s="1"/>
  <c r="U14" i="7"/>
  <c r="U15" i="7" s="1"/>
  <c r="T14" i="7"/>
  <c r="T15" i="7" s="1"/>
  <c r="L14" i="7"/>
  <c r="L15" i="7" s="1"/>
  <c r="K14" i="7"/>
  <c r="K15" i="7" s="1"/>
  <c r="J14" i="7"/>
  <c r="J15" i="7" s="1"/>
  <c r="I14" i="7"/>
  <c r="I15" i="7" s="1"/>
  <c r="F14" i="7"/>
  <c r="F15" i="7" s="1"/>
  <c r="Y14" i="7"/>
  <c r="Y15" i="7" s="1"/>
  <c r="E14" i="7"/>
  <c r="E15" i="7" s="1"/>
  <c r="X14" i="7"/>
  <c r="X15" i="7" s="1"/>
  <c r="J8" i="9"/>
  <c r="J9" i="9" s="1"/>
  <c r="B10" i="5"/>
  <c r="C3" i="9" s="1"/>
  <c r="C4" i="9" s="1"/>
  <c r="K8" i="9"/>
  <c r="K9" i="9" s="1"/>
  <c r="J20" i="9"/>
  <c r="J21" i="9" s="1"/>
  <c r="C20" i="9"/>
  <c r="C21" i="9" s="1"/>
  <c r="C22" i="9" s="1"/>
  <c r="AB36" i="6"/>
  <c r="AB37" i="6" s="1"/>
  <c r="Q36" i="6"/>
  <c r="Q37" i="6" s="1"/>
  <c r="F36" i="6"/>
  <c r="F37" i="6" s="1"/>
  <c r="AA36" i="6"/>
  <c r="AA37" i="6" s="1"/>
  <c r="P36" i="6"/>
  <c r="P37" i="6" s="1"/>
  <c r="E36" i="6"/>
  <c r="E37" i="6" s="1"/>
  <c r="Z36" i="6"/>
  <c r="Z37" i="6" s="1"/>
  <c r="O36" i="6"/>
  <c r="O37" i="6" s="1"/>
  <c r="D36" i="6"/>
  <c r="D37" i="6" s="1"/>
  <c r="Y36" i="6"/>
  <c r="Y37" i="6" s="1"/>
  <c r="N36" i="6"/>
  <c r="N37" i="6" s="1"/>
  <c r="C36" i="6"/>
  <c r="C37" i="6" s="1"/>
  <c r="AF36" i="6"/>
  <c r="AF37" i="6" s="1"/>
  <c r="M36" i="6"/>
  <c r="M37" i="6" s="1"/>
  <c r="AE36" i="6"/>
  <c r="AE37" i="6" s="1"/>
  <c r="L36" i="6"/>
  <c r="L37" i="6" s="1"/>
  <c r="AD36" i="6"/>
  <c r="AD37" i="6" s="1"/>
  <c r="K36" i="6"/>
  <c r="K37" i="6" s="1"/>
  <c r="AC36" i="6"/>
  <c r="AC37" i="6" s="1"/>
  <c r="J36" i="6"/>
  <c r="J37" i="6" s="1"/>
  <c r="X36" i="6"/>
  <c r="X37" i="6" s="1"/>
  <c r="I36" i="6"/>
  <c r="I37" i="6" s="1"/>
  <c r="W36" i="6"/>
  <c r="W37" i="6" s="1"/>
  <c r="H36" i="6"/>
  <c r="H37" i="6" s="1"/>
  <c r="V36" i="6"/>
  <c r="V37" i="6" s="1"/>
  <c r="G36" i="6"/>
  <c r="G37" i="6" s="1"/>
  <c r="U36" i="6"/>
  <c r="U37" i="6" s="1"/>
  <c r="T36" i="6"/>
  <c r="T37" i="6" s="1"/>
  <c r="R36" i="6"/>
  <c r="R37" i="6" s="1"/>
  <c r="S36" i="6"/>
  <c r="S37" i="6" s="1"/>
  <c r="W58" i="8"/>
  <c r="W59" i="8" s="1"/>
  <c r="L58" i="8"/>
  <c r="L59" i="8" s="1"/>
  <c r="AF58" i="8"/>
  <c r="AF59" i="8" s="1"/>
  <c r="U58" i="8"/>
  <c r="U59" i="8" s="1"/>
  <c r="J58" i="8"/>
  <c r="J59" i="8" s="1"/>
  <c r="Y58" i="8"/>
  <c r="Y59" i="8" s="1"/>
  <c r="K58" i="8"/>
  <c r="K59" i="8" s="1"/>
  <c r="X58" i="8"/>
  <c r="X59" i="8" s="1"/>
  <c r="I58" i="8"/>
  <c r="I59" i="8" s="1"/>
  <c r="AE58" i="7"/>
  <c r="AE59" i="7" s="1"/>
  <c r="T58" i="7"/>
  <c r="T59" i="7" s="1"/>
  <c r="I58" i="7"/>
  <c r="I59" i="7" s="1"/>
  <c r="V58" i="8"/>
  <c r="V59" i="8" s="1"/>
  <c r="H58" i="8"/>
  <c r="H59" i="8" s="1"/>
  <c r="T58" i="8"/>
  <c r="T59" i="8" s="1"/>
  <c r="G58" i="8"/>
  <c r="G59" i="8" s="1"/>
  <c r="Z58" i="8"/>
  <c r="Z59" i="8" s="1"/>
  <c r="M58" i="8"/>
  <c r="M59" i="8" s="1"/>
  <c r="Q58" i="8"/>
  <c r="Q59" i="8" s="1"/>
  <c r="AC58" i="7"/>
  <c r="AC59" i="7" s="1"/>
  <c r="Q58" i="7"/>
  <c r="Q59" i="7" s="1"/>
  <c r="E58" i="7"/>
  <c r="E59" i="7" s="1"/>
  <c r="P58" i="8"/>
  <c r="P59" i="8" s="1"/>
  <c r="AB58" i="7"/>
  <c r="AB59" i="7" s="1"/>
  <c r="P58" i="7"/>
  <c r="P59" i="7" s="1"/>
  <c r="D58" i="7"/>
  <c r="D59" i="7" s="1"/>
  <c r="O58" i="8"/>
  <c r="O59" i="8" s="1"/>
  <c r="AA58" i="7"/>
  <c r="AA59" i="7" s="1"/>
  <c r="O58" i="7"/>
  <c r="O59" i="7" s="1"/>
  <c r="C58" i="7"/>
  <c r="C59" i="7" s="1"/>
  <c r="N58" i="8"/>
  <c r="N59" i="8" s="1"/>
  <c r="Z58" i="7"/>
  <c r="Z59" i="7" s="1"/>
  <c r="N58" i="7"/>
  <c r="N59" i="7" s="1"/>
  <c r="R58" i="8"/>
  <c r="R59" i="8" s="1"/>
  <c r="AD58" i="7"/>
  <c r="AD59" i="7" s="1"/>
  <c r="R58" i="7"/>
  <c r="R59" i="7" s="1"/>
  <c r="F58" i="7"/>
  <c r="F59" i="7" s="1"/>
  <c r="X58" i="7"/>
  <c r="X59" i="7" s="1"/>
  <c r="AE58" i="8"/>
  <c r="AE59" i="8" s="1"/>
  <c r="W58" i="7"/>
  <c r="W59" i="7" s="1"/>
  <c r="AD58" i="8"/>
  <c r="AD59" i="8" s="1"/>
  <c r="V58" i="7"/>
  <c r="V59" i="7" s="1"/>
  <c r="AC58" i="8"/>
  <c r="AC59" i="8" s="1"/>
  <c r="U58" i="7"/>
  <c r="U59" i="7" s="1"/>
  <c r="AB58" i="8"/>
  <c r="AB59" i="8" s="1"/>
  <c r="S58" i="7"/>
  <c r="S59" i="7" s="1"/>
  <c r="AA58" i="8"/>
  <c r="AA59" i="8" s="1"/>
  <c r="M58" i="7"/>
  <c r="M59" i="7" s="1"/>
  <c r="S58" i="8"/>
  <c r="S59" i="8" s="1"/>
  <c r="L58" i="7"/>
  <c r="L59" i="7" s="1"/>
  <c r="F58" i="8"/>
  <c r="F59" i="8" s="1"/>
  <c r="E58" i="8"/>
  <c r="E59" i="8" s="1"/>
  <c r="J58" i="7"/>
  <c r="J59" i="7" s="1"/>
  <c r="D58" i="8"/>
  <c r="D59" i="8" s="1"/>
  <c r="AF58" i="7"/>
  <c r="AF59" i="7" s="1"/>
  <c r="H58" i="7"/>
  <c r="H59" i="7" s="1"/>
  <c r="C58" i="8"/>
  <c r="C59" i="8" s="1"/>
  <c r="Y58" i="7"/>
  <c r="Y59" i="7" s="1"/>
  <c r="G58" i="7"/>
  <c r="G59" i="7" s="1"/>
  <c r="K58" i="7"/>
  <c r="K59" i="7" s="1"/>
  <c r="E8" i="9"/>
  <c r="E9" i="9" s="1"/>
  <c r="T20" i="9"/>
  <c r="T21" i="9" s="1"/>
  <c r="C8" i="9"/>
  <c r="C9" i="9" s="1"/>
  <c r="B54" i="5"/>
  <c r="J15" i="9" s="1"/>
  <c r="J16" i="9" s="1"/>
  <c r="B65" i="5"/>
  <c r="Q15" i="9" s="1"/>
  <c r="Q16" i="9" s="1"/>
  <c r="K20" i="9"/>
  <c r="K21" i="9" s="1"/>
  <c r="T8" i="9"/>
  <c r="T9" i="9" s="1"/>
  <c r="P3" i="6"/>
  <c r="P4" i="6" s="1"/>
  <c r="E3" i="6"/>
  <c r="E4" i="6" s="1"/>
  <c r="N3" i="6"/>
  <c r="N4" i="6" s="1"/>
  <c r="M3" i="6"/>
  <c r="M4" i="6" s="1"/>
  <c r="L3" i="6"/>
  <c r="L4" i="6" s="1"/>
  <c r="K3" i="6"/>
  <c r="K4" i="6" s="1"/>
  <c r="O3" i="6"/>
  <c r="O4" i="6" s="1"/>
  <c r="C3" i="6"/>
  <c r="C4" i="6" s="1"/>
  <c r="U3" i="6"/>
  <c r="U4" i="6" s="1"/>
  <c r="T3" i="6"/>
  <c r="T4" i="6" s="1"/>
  <c r="S3" i="6"/>
  <c r="S4" i="6" s="1"/>
  <c r="I3" i="6"/>
  <c r="I4" i="6" s="1"/>
  <c r="G3" i="6"/>
  <c r="G4" i="6" s="1"/>
  <c r="R3" i="6"/>
  <c r="R4" i="6" s="1"/>
  <c r="Q3" i="6"/>
  <c r="Q4" i="6" s="1"/>
  <c r="J3" i="6"/>
  <c r="J4" i="6" s="1"/>
  <c r="H3" i="6"/>
  <c r="H4" i="6" s="1"/>
  <c r="F3" i="6"/>
  <c r="F4" i="6" s="1"/>
  <c r="V3" i="6"/>
  <c r="V4" i="6" s="1"/>
  <c r="D3" i="6"/>
  <c r="D4" i="6" s="1"/>
  <c r="B54" i="6"/>
  <c r="K15" i="9" s="1"/>
  <c r="K16" i="9" s="1"/>
  <c r="B58" i="7"/>
  <c r="B59" i="7" s="1"/>
  <c r="B58" i="8"/>
  <c r="B59" i="8" s="1"/>
  <c r="B25" i="8"/>
  <c r="B26" i="8" s="1"/>
  <c r="B25" i="7"/>
  <c r="B26" i="7" s="1"/>
  <c r="B32" i="5"/>
  <c r="Q3" i="9" s="1"/>
  <c r="Q4" i="9" s="1"/>
  <c r="L8" i="9"/>
  <c r="L9" i="9" s="1"/>
  <c r="R8" i="9"/>
  <c r="R9" i="9" s="1"/>
  <c r="F8" i="9"/>
  <c r="F9" i="9" s="1"/>
  <c r="L20" i="9"/>
  <c r="L21" i="9" s="1"/>
  <c r="F20" i="9"/>
  <c r="F21" i="9" s="1"/>
  <c r="X25" i="6"/>
  <c r="X26" i="6" s="1"/>
  <c r="M25" i="6"/>
  <c r="M26" i="6" s="1"/>
  <c r="W25" i="6"/>
  <c r="W26" i="6" s="1"/>
  <c r="L25" i="6"/>
  <c r="L26" i="6" s="1"/>
  <c r="V25" i="6"/>
  <c r="V26" i="6" s="1"/>
  <c r="K25" i="6"/>
  <c r="K26" i="6" s="1"/>
  <c r="AF25" i="6"/>
  <c r="AF26" i="6" s="1"/>
  <c r="U25" i="6"/>
  <c r="U26" i="6" s="1"/>
  <c r="J25" i="6"/>
  <c r="J26" i="6" s="1"/>
  <c r="AD25" i="6"/>
  <c r="AD26" i="6" s="1"/>
  <c r="O25" i="6"/>
  <c r="O26" i="6" s="1"/>
  <c r="AC25" i="6"/>
  <c r="AC26" i="6" s="1"/>
  <c r="N25" i="6"/>
  <c r="N26" i="6" s="1"/>
  <c r="AB25" i="6"/>
  <c r="AB26" i="6" s="1"/>
  <c r="I25" i="6"/>
  <c r="I26" i="6" s="1"/>
  <c r="AA25" i="6"/>
  <c r="AA26" i="6" s="1"/>
  <c r="H25" i="6"/>
  <c r="H26" i="6" s="1"/>
  <c r="S25" i="6"/>
  <c r="S26" i="6" s="1"/>
  <c r="D25" i="6"/>
  <c r="D26" i="6" s="1"/>
  <c r="AE25" i="6"/>
  <c r="AE26" i="6" s="1"/>
  <c r="P25" i="6"/>
  <c r="P26" i="6" s="1"/>
  <c r="Z25" i="6"/>
  <c r="Z26" i="6" s="1"/>
  <c r="Y25" i="6"/>
  <c r="Y26" i="6" s="1"/>
  <c r="T25" i="6"/>
  <c r="T26" i="6" s="1"/>
  <c r="F25" i="6"/>
  <c r="F26" i="6" s="1"/>
  <c r="R25" i="6"/>
  <c r="R26" i="6" s="1"/>
  <c r="Q25" i="6"/>
  <c r="Q26" i="6" s="1"/>
  <c r="G25" i="6"/>
  <c r="G26" i="6" s="1"/>
  <c r="E25" i="6"/>
  <c r="E26" i="6" s="1"/>
  <c r="C25" i="6"/>
  <c r="C26" i="6" s="1"/>
  <c r="B36" i="8"/>
  <c r="B37" i="8" s="1"/>
  <c r="B36" i="7"/>
  <c r="B37" i="7" s="1"/>
  <c r="T3" i="7" l="1"/>
  <c r="T4" i="7" s="1"/>
  <c r="AF3" i="7"/>
  <c r="AF4" i="7" s="1"/>
  <c r="AE3" i="7"/>
  <c r="AE4" i="7" s="1"/>
  <c r="D3" i="7"/>
  <c r="D4" i="7" s="1"/>
  <c r="Z3" i="7"/>
  <c r="Z4" i="7" s="1"/>
  <c r="AC3" i="7"/>
  <c r="AC4" i="7" s="1"/>
  <c r="Y3" i="8"/>
  <c r="Y4" i="8" s="1"/>
  <c r="C36" i="8"/>
  <c r="C37" i="8" s="1"/>
  <c r="P3" i="8"/>
  <c r="P4" i="8" s="1"/>
  <c r="R36" i="8"/>
  <c r="R37" i="8" s="1"/>
  <c r="Z3" i="8"/>
  <c r="Z4" i="8" s="1"/>
  <c r="L3" i="8"/>
  <c r="L4" i="8" s="1"/>
  <c r="M3" i="7"/>
  <c r="M4" i="7" s="1"/>
  <c r="U3" i="7"/>
  <c r="U4" i="7" s="1"/>
  <c r="W3" i="8"/>
  <c r="W4" i="8" s="1"/>
  <c r="N36" i="7"/>
  <c r="N37" i="7" s="1"/>
  <c r="R3" i="8"/>
  <c r="R4" i="8" s="1"/>
  <c r="N3" i="8"/>
  <c r="N4" i="8" s="1"/>
  <c r="S3" i="8"/>
  <c r="S4" i="8" s="1"/>
  <c r="E3" i="7"/>
  <c r="E4" i="7" s="1"/>
  <c r="R3" i="7"/>
  <c r="R4" i="7" s="1"/>
  <c r="F36" i="8"/>
  <c r="F37" i="8" s="1"/>
  <c r="M36" i="8"/>
  <c r="M37" i="8" s="1"/>
  <c r="L36" i="8"/>
  <c r="L37" i="8" s="1"/>
  <c r="AA36" i="7"/>
  <c r="AA37" i="7" s="1"/>
  <c r="C3" i="7"/>
  <c r="C4" i="7" s="1"/>
  <c r="AE3" i="8"/>
  <c r="AE4" i="8" s="1"/>
  <c r="Q3" i="8"/>
  <c r="Q4" i="8" s="1"/>
  <c r="I3" i="8"/>
  <c r="I4" i="8" s="1"/>
  <c r="J3" i="7"/>
  <c r="J4" i="7" s="1"/>
  <c r="W3" i="7"/>
  <c r="W4" i="7" s="1"/>
  <c r="AA3" i="7"/>
  <c r="AA4" i="7" s="1"/>
  <c r="AC3" i="8"/>
  <c r="AC4" i="8" s="1"/>
  <c r="X3" i="7"/>
  <c r="X4" i="7" s="1"/>
  <c r="H3" i="7"/>
  <c r="H4" i="7" s="1"/>
  <c r="P3" i="7"/>
  <c r="P4" i="7" s="1"/>
  <c r="J3" i="8"/>
  <c r="J4" i="8" s="1"/>
  <c r="Y3" i="7"/>
  <c r="Y4" i="7" s="1"/>
  <c r="AD3" i="7"/>
  <c r="AD4" i="7" s="1"/>
  <c r="AB3" i="7"/>
  <c r="AB4" i="7" s="1"/>
  <c r="AF3" i="8"/>
  <c r="AF4" i="8" s="1"/>
  <c r="Q3" i="7"/>
  <c r="Q4" i="7" s="1"/>
  <c r="AD3" i="8"/>
  <c r="AD4" i="8" s="1"/>
  <c r="D3" i="8"/>
  <c r="D4" i="8" s="1"/>
  <c r="K3" i="8"/>
  <c r="K4" i="8" s="1"/>
  <c r="L3" i="7"/>
  <c r="L4" i="7" s="1"/>
  <c r="E3" i="8"/>
  <c r="E4" i="8" s="1"/>
  <c r="U3" i="8"/>
  <c r="U4" i="8" s="1"/>
  <c r="V3" i="8"/>
  <c r="V4" i="8" s="1"/>
  <c r="Z36" i="7"/>
  <c r="Z37" i="7" s="1"/>
  <c r="J36" i="7"/>
  <c r="J37" i="7" s="1"/>
  <c r="AA47" i="8"/>
  <c r="AA48" i="8" s="1"/>
  <c r="X36" i="7"/>
  <c r="X37" i="7" s="1"/>
  <c r="AD36" i="7"/>
  <c r="AD37" i="7" s="1"/>
  <c r="E36" i="8"/>
  <c r="E37" i="8" s="1"/>
  <c r="I36" i="8"/>
  <c r="I37" i="8" s="1"/>
  <c r="Z36" i="8"/>
  <c r="Z37" i="8" s="1"/>
  <c r="N36" i="8"/>
  <c r="N37" i="8" s="1"/>
  <c r="O36" i="7"/>
  <c r="O37" i="7" s="1"/>
  <c r="AC36" i="8"/>
  <c r="AC37" i="8" s="1"/>
  <c r="J36" i="8"/>
  <c r="J37" i="8" s="1"/>
  <c r="AF36" i="8"/>
  <c r="AF37" i="8" s="1"/>
  <c r="J10" i="9"/>
  <c r="B14" i="8"/>
  <c r="B15" i="8" s="1"/>
  <c r="B21" i="8" s="1"/>
  <c r="M3" i="9" s="1"/>
  <c r="M4" i="9" s="1"/>
  <c r="B14" i="7"/>
  <c r="B15" i="7" s="1"/>
  <c r="Q36" i="8"/>
  <c r="Q37" i="8" s="1"/>
  <c r="R36" i="7"/>
  <c r="R37" i="7" s="1"/>
  <c r="AC47" i="8"/>
  <c r="AC48" i="8" s="1"/>
  <c r="K3" i="7"/>
  <c r="K4" i="7" s="1"/>
  <c r="V3" i="7"/>
  <c r="V4" i="7" s="1"/>
  <c r="O3" i="7"/>
  <c r="O4" i="7" s="1"/>
  <c r="G3" i="7"/>
  <c r="G4" i="7" s="1"/>
  <c r="O3" i="8"/>
  <c r="O4" i="8" s="1"/>
  <c r="N47" i="7"/>
  <c r="N48" i="7" s="1"/>
  <c r="S36" i="7"/>
  <c r="S37" i="7" s="1"/>
  <c r="H36" i="7"/>
  <c r="H37" i="7" s="1"/>
  <c r="Y47" i="7"/>
  <c r="Y48" i="7" s="1"/>
  <c r="R47" i="8"/>
  <c r="R48" i="8" s="1"/>
  <c r="F47" i="7"/>
  <c r="F48" i="7" s="1"/>
  <c r="N3" i="7"/>
  <c r="N4" i="7" s="1"/>
  <c r="H3" i="8"/>
  <c r="H4" i="8" s="1"/>
  <c r="AD47" i="7"/>
  <c r="AD48" i="7" s="1"/>
  <c r="C36" i="7"/>
  <c r="C37" i="7" s="1"/>
  <c r="V36" i="7"/>
  <c r="V37" i="7" s="1"/>
  <c r="I36" i="7"/>
  <c r="I37" i="7" s="1"/>
  <c r="Q36" i="7"/>
  <c r="Q37" i="7" s="1"/>
  <c r="F3" i="8"/>
  <c r="F4" i="8" s="1"/>
  <c r="T3" i="8"/>
  <c r="T4" i="8" s="1"/>
  <c r="M3" i="8"/>
  <c r="M4" i="8" s="1"/>
  <c r="I3" i="7"/>
  <c r="I4" i="7" s="1"/>
  <c r="S3" i="7"/>
  <c r="S4" i="7" s="1"/>
  <c r="G3" i="8"/>
  <c r="G4" i="8" s="1"/>
  <c r="F3" i="7"/>
  <c r="F4" i="7" s="1"/>
  <c r="AA3" i="8"/>
  <c r="AA4" i="8" s="1"/>
  <c r="X3" i="8"/>
  <c r="X4" i="8" s="1"/>
  <c r="U47" i="8"/>
  <c r="U48" i="8" s="1"/>
  <c r="AE36" i="8"/>
  <c r="AE37" i="8" s="1"/>
  <c r="T36" i="7"/>
  <c r="T37" i="7" s="1"/>
  <c r="H36" i="8"/>
  <c r="H37" i="8" s="1"/>
  <c r="U36" i="8"/>
  <c r="U37" i="8" s="1"/>
  <c r="V36" i="8"/>
  <c r="V37" i="8" s="1"/>
  <c r="P36" i="7"/>
  <c r="P37" i="7" s="1"/>
  <c r="I47" i="8"/>
  <c r="I48" i="8" s="1"/>
  <c r="Y36" i="7"/>
  <c r="Y37" i="7" s="1"/>
  <c r="AF36" i="7"/>
  <c r="AF37" i="7" s="1"/>
  <c r="O36" i="8"/>
  <c r="O37" i="8" s="1"/>
  <c r="M36" i="7"/>
  <c r="M37" i="7" s="1"/>
  <c r="T36" i="8"/>
  <c r="T37" i="8" s="1"/>
  <c r="AD47" i="8"/>
  <c r="AD48" i="8" s="1"/>
  <c r="G36" i="7"/>
  <c r="G37" i="7" s="1"/>
  <c r="AD36" i="8"/>
  <c r="AD37" i="8" s="1"/>
  <c r="D36" i="7"/>
  <c r="D37" i="7" s="1"/>
  <c r="AE36" i="7"/>
  <c r="AE37" i="7" s="1"/>
  <c r="L36" i="7"/>
  <c r="L37" i="7" s="1"/>
  <c r="G36" i="8"/>
  <c r="G37" i="8" s="1"/>
  <c r="W36" i="7"/>
  <c r="W37" i="7" s="1"/>
  <c r="AB3" i="8"/>
  <c r="AB4" i="8" s="1"/>
  <c r="AC36" i="7"/>
  <c r="AC37" i="7" s="1"/>
  <c r="AB36" i="8"/>
  <c r="AB37" i="8" s="1"/>
  <c r="D47" i="8"/>
  <c r="D48" i="8" s="1"/>
  <c r="I47" i="7"/>
  <c r="I48" i="7" s="1"/>
  <c r="P47" i="7"/>
  <c r="P48" i="7" s="1"/>
  <c r="E47" i="7"/>
  <c r="E48" i="7" s="1"/>
  <c r="T47" i="7"/>
  <c r="T48" i="7" s="1"/>
  <c r="S36" i="8"/>
  <c r="S37" i="8" s="1"/>
  <c r="L47" i="7"/>
  <c r="L48" i="7" s="1"/>
  <c r="T47" i="8"/>
  <c r="T48" i="8" s="1"/>
  <c r="P47" i="8"/>
  <c r="P48" i="8" s="1"/>
  <c r="K36" i="8"/>
  <c r="K37" i="8" s="1"/>
  <c r="AB36" i="7"/>
  <c r="AB37" i="7" s="1"/>
  <c r="Y36" i="8"/>
  <c r="Y37" i="8" s="1"/>
  <c r="P36" i="8"/>
  <c r="P37" i="8" s="1"/>
  <c r="Z47" i="8"/>
  <c r="Z48" i="8" s="1"/>
  <c r="AF47" i="7"/>
  <c r="AF48" i="7" s="1"/>
  <c r="Y47" i="8"/>
  <c r="Y48" i="8" s="1"/>
  <c r="V47" i="7"/>
  <c r="V48" i="7" s="1"/>
  <c r="V47" i="8"/>
  <c r="V48" i="8" s="1"/>
  <c r="C47" i="7"/>
  <c r="C48" i="7" s="1"/>
  <c r="AB47" i="7"/>
  <c r="AB48" i="7" s="1"/>
  <c r="K47" i="8"/>
  <c r="K48" i="8" s="1"/>
  <c r="K36" i="7"/>
  <c r="K37" i="7" s="1"/>
  <c r="E36" i="7"/>
  <c r="E37" i="7" s="1"/>
  <c r="U36" i="7"/>
  <c r="U37" i="7" s="1"/>
  <c r="Q47" i="7"/>
  <c r="Q48" i="7" s="1"/>
  <c r="C47" i="8"/>
  <c r="C48" i="8" s="1"/>
  <c r="G47" i="7"/>
  <c r="G48" i="7" s="1"/>
  <c r="AB47" i="8"/>
  <c r="AB48" i="8" s="1"/>
  <c r="D36" i="8"/>
  <c r="D37" i="8" s="1"/>
  <c r="AA36" i="8"/>
  <c r="AA37" i="8" s="1"/>
  <c r="W36" i="8"/>
  <c r="W37" i="8" s="1"/>
  <c r="F36" i="7"/>
  <c r="F37" i="7" s="1"/>
  <c r="D47" i="7"/>
  <c r="D48" i="7" s="1"/>
  <c r="AC47" i="7"/>
  <c r="AC48" i="7" s="1"/>
  <c r="S47" i="8"/>
  <c r="S48" i="8" s="1"/>
  <c r="Q25" i="7"/>
  <c r="Q26" i="7" s="1"/>
  <c r="B21" i="6"/>
  <c r="K3" i="9" s="1"/>
  <c r="K4" i="9" s="1"/>
  <c r="K10" i="9" s="1"/>
  <c r="AD25" i="7"/>
  <c r="AD26" i="7" s="1"/>
  <c r="Z47" i="7"/>
  <c r="Z48" i="7" s="1"/>
  <c r="H47" i="7"/>
  <c r="H48" i="7" s="1"/>
  <c r="J47" i="8"/>
  <c r="J48" i="8" s="1"/>
  <c r="G25" i="8"/>
  <c r="G26" i="8" s="1"/>
  <c r="K47" i="7"/>
  <c r="K48" i="7" s="1"/>
  <c r="S47" i="7"/>
  <c r="S48" i="7" s="1"/>
  <c r="W47" i="8"/>
  <c r="W48" i="8" s="1"/>
  <c r="AE47" i="8"/>
  <c r="AE48" i="8" s="1"/>
  <c r="U47" i="7"/>
  <c r="U48" i="7" s="1"/>
  <c r="O47" i="8"/>
  <c r="O48" i="8" s="1"/>
  <c r="F47" i="8"/>
  <c r="F48" i="8" s="1"/>
  <c r="B11" i="10"/>
  <c r="Q22" i="9"/>
  <c r="AF25" i="7"/>
  <c r="AF26" i="7" s="1"/>
  <c r="O25" i="8"/>
  <c r="O26" i="8" s="1"/>
  <c r="M47" i="7"/>
  <c r="M48" i="7" s="1"/>
  <c r="W47" i="7"/>
  <c r="W48" i="7" s="1"/>
  <c r="AA47" i="7"/>
  <c r="AA48" i="7" s="1"/>
  <c r="R47" i="7"/>
  <c r="R48" i="7" s="1"/>
  <c r="L47" i="8"/>
  <c r="L48" i="8" s="1"/>
  <c r="Q47" i="8"/>
  <c r="Q48" i="8" s="1"/>
  <c r="L25" i="7"/>
  <c r="L26" i="7" s="1"/>
  <c r="G25" i="7"/>
  <c r="G26" i="7" s="1"/>
  <c r="AA25" i="8"/>
  <c r="AA26" i="8" s="1"/>
  <c r="H25" i="7"/>
  <c r="H26" i="7" s="1"/>
  <c r="AB25" i="8"/>
  <c r="AB26" i="8" s="1"/>
  <c r="X25" i="8"/>
  <c r="X26" i="8" s="1"/>
  <c r="O47" i="7"/>
  <c r="O48" i="7" s="1"/>
  <c r="X47" i="7"/>
  <c r="X48" i="7" s="1"/>
  <c r="J47" i="7"/>
  <c r="J48" i="7" s="1"/>
  <c r="N47" i="8"/>
  <c r="N48" i="8" s="1"/>
  <c r="G47" i="8"/>
  <c r="G48" i="8" s="1"/>
  <c r="H47" i="8"/>
  <c r="H48" i="8" s="1"/>
  <c r="N25" i="7"/>
  <c r="N26" i="7" s="1"/>
  <c r="D25" i="7"/>
  <c r="D26" i="7" s="1"/>
  <c r="B12" i="10"/>
  <c r="B9" i="10"/>
  <c r="B22" i="10"/>
  <c r="B24" i="10"/>
  <c r="B21" i="10"/>
  <c r="B23" i="10"/>
  <c r="W25" i="7"/>
  <c r="W26" i="7" s="1"/>
  <c r="AF47" i="8"/>
  <c r="AF48" i="8" s="1"/>
  <c r="E47" i="8"/>
  <c r="E48" i="8" s="1"/>
  <c r="M47" i="8"/>
  <c r="M48" i="8" s="1"/>
  <c r="AE47" i="7"/>
  <c r="AE48" i="7" s="1"/>
  <c r="B10" i="10"/>
  <c r="AA25" i="7"/>
  <c r="AA26" i="7" s="1"/>
  <c r="R25" i="8"/>
  <c r="R26" i="8" s="1"/>
  <c r="Y25" i="7"/>
  <c r="Y26" i="7" s="1"/>
  <c r="U25" i="7"/>
  <c r="U26" i="7" s="1"/>
  <c r="AE25" i="7"/>
  <c r="AE26" i="7" s="1"/>
  <c r="F25" i="8"/>
  <c r="F26" i="8" s="1"/>
  <c r="Y25" i="8"/>
  <c r="Y26" i="8" s="1"/>
  <c r="S25" i="8"/>
  <c r="S26" i="8" s="1"/>
  <c r="P25" i="7"/>
  <c r="P26" i="7" s="1"/>
  <c r="AF25" i="8"/>
  <c r="AF26" i="8" s="1"/>
  <c r="M25" i="8"/>
  <c r="M26" i="8" s="1"/>
  <c r="F25" i="7"/>
  <c r="F26" i="7" s="1"/>
  <c r="U25" i="8"/>
  <c r="U26" i="8" s="1"/>
  <c r="AC25" i="7"/>
  <c r="AC26" i="7" s="1"/>
  <c r="K25" i="7"/>
  <c r="K26" i="7" s="1"/>
  <c r="Z25" i="8"/>
  <c r="Z26" i="8" s="1"/>
  <c r="Z25" i="7"/>
  <c r="Z26" i="7" s="1"/>
  <c r="W25" i="8"/>
  <c r="W26" i="8" s="1"/>
  <c r="Q25" i="8"/>
  <c r="Q26" i="8" s="1"/>
  <c r="V25" i="7"/>
  <c r="V26" i="7" s="1"/>
  <c r="N25" i="8"/>
  <c r="N26" i="8" s="1"/>
  <c r="I25" i="7"/>
  <c r="I26" i="7" s="1"/>
  <c r="I25" i="8"/>
  <c r="I26" i="8" s="1"/>
  <c r="S25" i="7"/>
  <c r="S26" i="7" s="1"/>
  <c r="J25" i="7"/>
  <c r="J26" i="7" s="1"/>
  <c r="O25" i="7"/>
  <c r="O26" i="7" s="1"/>
  <c r="J25" i="8"/>
  <c r="J26" i="8" s="1"/>
  <c r="P25" i="8"/>
  <c r="P26" i="8" s="1"/>
  <c r="T25" i="8"/>
  <c r="T26" i="8" s="1"/>
  <c r="T25" i="7"/>
  <c r="T26" i="7" s="1"/>
  <c r="E25" i="7"/>
  <c r="E26" i="7" s="1"/>
  <c r="AB25" i="7"/>
  <c r="AB26" i="7" s="1"/>
  <c r="E25" i="8"/>
  <c r="E26" i="8" s="1"/>
  <c r="AC25" i="8"/>
  <c r="AC26" i="8" s="1"/>
  <c r="AE25" i="8"/>
  <c r="AE26" i="8" s="1"/>
  <c r="C25" i="8"/>
  <c r="C26" i="8" s="1"/>
  <c r="R25" i="7"/>
  <c r="R26" i="7" s="1"/>
  <c r="D25" i="8"/>
  <c r="D26" i="8" s="1"/>
  <c r="AD25" i="8"/>
  <c r="AD26" i="8" s="1"/>
  <c r="L25" i="8"/>
  <c r="L26" i="8" s="1"/>
  <c r="K25" i="8"/>
  <c r="K26" i="8" s="1"/>
  <c r="M25" i="7"/>
  <c r="M26" i="7" s="1"/>
  <c r="H25" i="8"/>
  <c r="H26" i="8" s="1"/>
  <c r="Q10" i="9"/>
  <c r="X25" i="7"/>
  <c r="X26" i="7" s="1"/>
  <c r="C25" i="7"/>
  <c r="C26" i="7" s="1"/>
  <c r="B65" i="6"/>
  <c r="R15" i="9" s="1"/>
  <c r="R16" i="9" s="1"/>
  <c r="R22" i="9" s="1"/>
  <c r="B32" i="6"/>
  <c r="R3" i="9" s="1"/>
  <c r="R4" i="9" s="1"/>
  <c r="R10" i="9" s="1"/>
  <c r="J22" i="9"/>
  <c r="B21" i="7"/>
  <c r="L3" i="9" s="1"/>
  <c r="L4" i="9" s="1"/>
  <c r="L10" i="9" s="1"/>
  <c r="B43" i="6"/>
  <c r="D15" i="9" s="1"/>
  <c r="D16" i="9" s="1"/>
  <c r="D22" i="9" s="1"/>
  <c r="C10" i="9"/>
  <c r="B65" i="8"/>
  <c r="T15" i="9" s="1"/>
  <c r="T16" i="9" s="1"/>
  <c r="B65" i="7"/>
  <c r="S15" i="9" s="1"/>
  <c r="S16" i="9" s="1"/>
  <c r="S22" i="9" s="1"/>
  <c r="K22" i="9"/>
  <c r="B10" i="6"/>
  <c r="D3" i="9" s="1"/>
  <c r="D4" i="9" s="1"/>
  <c r="D10" i="9" s="1"/>
  <c r="T22" i="9" l="1"/>
  <c r="Q35" i="9"/>
  <c r="Q36" i="9" s="1"/>
  <c r="M10" i="9"/>
  <c r="J28" i="9"/>
  <c r="J29" i="9" s="1"/>
  <c r="B10" i="7"/>
  <c r="E3" i="9" s="1"/>
  <c r="E4" i="9" s="1"/>
  <c r="E10" i="9" s="1"/>
  <c r="B10" i="8"/>
  <c r="F3" i="9" s="1"/>
  <c r="F4" i="9" s="1"/>
  <c r="B43" i="8"/>
  <c r="F15" i="9" s="1"/>
  <c r="F16" i="9" s="1"/>
  <c r="B43" i="7"/>
  <c r="E15" i="9" s="1"/>
  <c r="E16" i="9" s="1"/>
  <c r="E22" i="9" s="1"/>
  <c r="B54" i="7"/>
  <c r="L15" i="9" s="1"/>
  <c r="L16" i="9" s="1"/>
  <c r="L22" i="9" s="1"/>
  <c r="B54" i="8"/>
  <c r="M15" i="9" s="1"/>
  <c r="M16" i="9" s="1"/>
  <c r="B32" i="8"/>
  <c r="T3" i="9" s="1"/>
  <c r="T4" i="9" s="1"/>
  <c r="B32" i="7"/>
  <c r="S3" i="9" s="1"/>
  <c r="S4" i="9" s="1"/>
  <c r="S10" i="9" s="1"/>
  <c r="T10" i="9" l="1"/>
  <c r="Q28" i="9"/>
  <c r="Q29" i="9" s="1"/>
  <c r="F10" i="9"/>
  <c r="C28" i="9"/>
  <c r="C29" i="9" s="1"/>
  <c r="M22" i="9"/>
  <c r="J35" i="9"/>
  <c r="J36" i="9" s="1"/>
  <c r="F22" i="9"/>
  <c r="C35" i="9"/>
  <c r="C36" i="9" s="1"/>
</calcChain>
</file>

<file path=xl/sharedStrings.xml><?xml version="1.0" encoding="utf-8"?>
<sst xmlns="http://schemas.openxmlformats.org/spreadsheetml/2006/main" count="1117" uniqueCount="194">
  <si>
    <t>Scenario Name</t>
  </si>
  <si>
    <t>Details</t>
  </si>
  <si>
    <t>Notes</t>
  </si>
  <si>
    <t>C-P-N</t>
  </si>
  <si>
    <t>Current - PEM - Nuclear</t>
  </si>
  <si>
    <t>C-P-R</t>
  </si>
  <si>
    <t>Current - PEM - Renewable</t>
  </si>
  <si>
    <t>Very high battery CAPEX, scenario is omitted</t>
  </si>
  <si>
    <t>C-P-N/R</t>
  </si>
  <si>
    <t>Current - PEM - Nuclear/Renewable</t>
  </si>
  <si>
    <t>C-S-N/R</t>
  </si>
  <si>
    <t>Current - SOEC-  Nuclear/Renewable</t>
  </si>
  <si>
    <t>F-P-N</t>
  </si>
  <si>
    <t>2050 - PEM - Nuclear</t>
  </si>
  <si>
    <t>F-P-R</t>
  </si>
  <si>
    <t>2050 - PEM - Renewables</t>
  </si>
  <si>
    <t>F-P-N/R</t>
  </si>
  <si>
    <t>2050 - PEM - Nuclear/Renewables</t>
  </si>
  <si>
    <t>F-S-N/R</t>
  </si>
  <si>
    <t>2050 - SOEC - Nuclear/Renewables</t>
  </si>
  <si>
    <t>Parameter</t>
  </si>
  <si>
    <t>Year</t>
  </si>
  <si>
    <t>Value</t>
  </si>
  <si>
    <t>Unit</t>
  </si>
  <si>
    <t>Standard Values</t>
  </si>
  <si>
    <t>Current Year</t>
  </si>
  <si>
    <t>Inflation</t>
  </si>
  <si>
    <t>WACC</t>
  </si>
  <si>
    <t>USD to EUR</t>
  </si>
  <si>
    <t xml:space="preserve">Electricity </t>
  </si>
  <si>
    <t>LCOE</t>
  </si>
  <si>
    <t>$/MWh</t>
  </si>
  <si>
    <t>Jet Fuel A-1 Characteristics</t>
  </si>
  <si>
    <t>Emissions Intensity</t>
  </si>
  <si>
    <t>gCO2/MJ</t>
  </si>
  <si>
    <t>Energy Density</t>
  </si>
  <si>
    <t>MJ/kg</t>
  </si>
  <si>
    <t>MJ/l</t>
  </si>
  <si>
    <t>Volumetric Density</t>
  </si>
  <si>
    <t>kg/l</t>
  </si>
  <si>
    <t>Jet Fuel A-1 Price</t>
  </si>
  <si>
    <t>$/l</t>
  </si>
  <si>
    <t>Scenario Specific Values</t>
  </si>
  <si>
    <t>IEA Reference</t>
  </si>
  <si>
    <t>EIA Reference</t>
  </si>
  <si>
    <t>EIA Low Oil Price Scenario</t>
  </si>
  <si>
    <t>EIA High Scenario</t>
  </si>
  <si>
    <t>Direct Air Capture</t>
  </si>
  <si>
    <t>LCOR</t>
  </si>
  <si>
    <t>$/tCO2</t>
  </si>
  <si>
    <t>Key Parameters</t>
  </si>
  <si>
    <t>Source</t>
  </si>
  <si>
    <t>Note</t>
  </si>
  <si>
    <t xml:space="preserve">Discount Rate </t>
  </si>
  <si>
    <t>Both</t>
  </si>
  <si>
    <t>Peacock et. al.</t>
  </si>
  <si>
    <t>Lifetime (years)</t>
  </si>
  <si>
    <t>Process Parameters</t>
  </si>
  <si>
    <t>Annual Jet Fuel Production</t>
  </si>
  <si>
    <t>Mbbl</t>
  </si>
  <si>
    <t>l</t>
  </si>
  <si>
    <t>Calculated (1 barrel = 159 litres)</t>
  </si>
  <si>
    <t>Annual CO2 Consumption</t>
  </si>
  <si>
    <t>Mt</t>
  </si>
  <si>
    <t>Annual H2 consumption</t>
  </si>
  <si>
    <t>kt</t>
  </si>
  <si>
    <t>Annual Diesel Production</t>
  </si>
  <si>
    <t>DAC Heat</t>
  </si>
  <si>
    <t>kWh/tCO2</t>
  </si>
  <si>
    <t>Peacock et. al. Table 2</t>
  </si>
  <si>
    <t>DAC Electricity</t>
  </si>
  <si>
    <t>Electrolyzer Electricity Consumption</t>
  </si>
  <si>
    <t>kWh/kg H2</t>
  </si>
  <si>
    <t>Peacock et. al. Table 3</t>
  </si>
  <si>
    <t>Plant Parameters</t>
  </si>
  <si>
    <t>Installed Battery Capacity</t>
  </si>
  <si>
    <t>MWh</t>
  </si>
  <si>
    <t>Peacock et. al. Table 6</t>
  </si>
  <si>
    <t>Number of cycles per day</t>
  </si>
  <si>
    <t>No. of cycles before replacement</t>
  </si>
  <si>
    <t>No. of replacements (Battery)</t>
  </si>
  <si>
    <t>PEM Replacement period (years)</t>
  </si>
  <si>
    <t>SOEC Replacement period (years)</t>
  </si>
  <si>
    <t>Peacock et. al. Table 5</t>
  </si>
  <si>
    <t>No. or replacements (PEM)</t>
  </si>
  <si>
    <t>No. or replacements (SOEC)</t>
  </si>
  <si>
    <t>Cost Parameters</t>
  </si>
  <si>
    <t>Diesel Revenue</t>
  </si>
  <si>
    <t>M€</t>
  </si>
  <si>
    <t>Thermal Energy Cost (C-P-R Scenario)</t>
  </si>
  <si>
    <t>Peacock et. al. Table 1</t>
  </si>
  <si>
    <t>Thermal Energy Cost (F-P-R Scenario)</t>
  </si>
  <si>
    <t>DAC CAPEX</t>
  </si>
  <si>
    <t>PEM CAPEX</t>
  </si>
  <si>
    <t>$/kW</t>
  </si>
  <si>
    <t>PEM Stack Replacement Cost</t>
  </si>
  <si>
    <t>SOEC CAPEX</t>
  </si>
  <si>
    <t>SOEC Stack Replacement Cost</t>
  </si>
  <si>
    <t>Battery CAPEX</t>
  </si>
  <si>
    <t>$/kWh</t>
  </si>
  <si>
    <t>Battery Replacement CAPEX</t>
  </si>
  <si>
    <t>Electricity Price Nuclear</t>
  </si>
  <si>
    <t>Electricity Price Nuclear/Renewables</t>
  </si>
  <si>
    <t>Fuel Characteristics</t>
  </si>
  <si>
    <t>93% savings assumed by study</t>
  </si>
  <si>
    <t>Scenario Specific Parameters</t>
  </si>
  <si>
    <t>Scenario</t>
  </si>
  <si>
    <t>Annual Electricity Consumption</t>
  </si>
  <si>
    <t>Calculated from annual opex and electricity price</t>
  </si>
  <si>
    <t>Annual Electricity Consumption (Without DAC)</t>
  </si>
  <si>
    <t>Cost (€)</t>
  </si>
  <si>
    <t>Discounted Cost (€)</t>
  </si>
  <si>
    <t>CO2 Removed</t>
  </si>
  <si>
    <t>CO2 Removed (Discounted)</t>
  </si>
  <si>
    <t>Economic Assumptions C-P-N</t>
  </si>
  <si>
    <t>Economic Assumptions C-P-N/R</t>
  </si>
  <si>
    <t>Economic Assumptions C-S-N/R</t>
  </si>
  <si>
    <t>Economic Assumptions F-P-N</t>
  </si>
  <si>
    <t>Economic Assumptions F-P-N/R</t>
  </si>
  <si>
    <t>Economic Assumptions F-S-N/R</t>
  </si>
  <si>
    <t>CAPEX</t>
  </si>
  <si>
    <t>Component</t>
  </si>
  <si>
    <t>PEM</t>
  </si>
  <si>
    <t>Peacock et. al. Figure 7</t>
  </si>
  <si>
    <t>SOE</t>
  </si>
  <si>
    <t>SOEC</t>
  </si>
  <si>
    <t>DAC</t>
  </si>
  <si>
    <t>FT</t>
  </si>
  <si>
    <t>PEM Stack Replacement</t>
  </si>
  <si>
    <t>SOE Stack Replacement</t>
  </si>
  <si>
    <t>Calculated</t>
  </si>
  <si>
    <t>SOEC Stack Replacement</t>
  </si>
  <si>
    <t>Total CAPEX</t>
  </si>
  <si>
    <t>OPEX</t>
  </si>
  <si>
    <t>M€/year</t>
  </si>
  <si>
    <t>Peacock et. al. Figure 9</t>
  </si>
  <si>
    <t>Heat</t>
  </si>
  <si>
    <t>Water</t>
  </si>
  <si>
    <t>Fixed Costs</t>
  </si>
  <si>
    <t>Total OPEX</t>
  </si>
  <si>
    <t>Corrected Assumptions C-P-N</t>
  </si>
  <si>
    <t>Corrected Assumptions C-P-N/R</t>
  </si>
  <si>
    <t>Corrected Assumptions C-S-N/R</t>
  </si>
  <si>
    <t>Corrected Assumptions F-P-N</t>
  </si>
  <si>
    <t>Corrected Assumptions F-P-N/R</t>
  </si>
  <si>
    <t>Corrected Assumptions F-S-N/R</t>
  </si>
  <si>
    <t>Electricity</t>
  </si>
  <si>
    <t>Grid Price considered</t>
  </si>
  <si>
    <t>LCOE Corrected OPEX</t>
  </si>
  <si>
    <t>CO2 Corrected CAPEX</t>
  </si>
  <si>
    <t>DAC CAPEX neglected</t>
  </si>
  <si>
    <t>CO2 Cost</t>
  </si>
  <si>
    <t>DAC Electricity requirements subtracted</t>
  </si>
  <si>
    <t>CO2 Corrected OPEX</t>
  </si>
  <si>
    <t>DAC heat requirements subtracted</t>
  </si>
  <si>
    <t>Revenue (€)</t>
  </si>
  <si>
    <t>Discounted Revenue (€)</t>
  </si>
  <si>
    <t>Production (l)</t>
  </si>
  <si>
    <t>Discounted Production (l)</t>
  </si>
  <si>
    <t>Levelised Cost of Fuel (€/l)</t>
  </si>
  <si>
    <t>2024 C-P-N/R</t>
  </si>
  <si>
    <t>CO2</t>
  </si>
  <si>
    <t>Other OPEX</t>
  </si>
  <si>
    <t>Contributions</t>
  </si>
  <si>
    <t>2050 F-P-N/R</t>
  </si>
  <si>
    <t>2024 - C-P-N</t>
  </si>
  <si>
    <t>2024 - C-P-N/R</t>
  </si>
  <si>
    <t>2024 - C-S-N/R</t>
  </si>
  <si>
    <t>Base Case</t>
  </si>
  <si>
    <t>LCOE Corrected</t>
  </si>
  <si>
    <t>CO2 Cost Corrected</t>
  </si>
  <si>
    <t>WACC Corrected</t>
  </si>
  <si>
    <t>Syn-Fuel cost</t>
  </si>
  <si>
    <t>€/l</t>
  </si>
  <si>
    <t>Fossil Fuel cost</t>
  </si>
  <si>
    <t>Syn-Fuel emissions</t>
  </si>
  <si>
    <t>gCO2eq/MJ</t>
  </si>
  <si>
    <t>Fossil Fuel emissions</t>
  </si>
  <si>
    <t>CO2 Abated</t>
  </si>
  <si>
    <t>gCO2eq/l</t>
  </si>
  <si>
    <t>Abatement cost</t>
  </si>
  <si>
    <t>2050 - F-P-N</t>
  </si>
  <si>
    <t>2050 - F-P-N/R</t>
  </si>
  <si>
    <t>2050 - F-S-N/R</t>
  </si>
  <si>
    <t>Full Abatement -2024 -C-P-N</t>
  </si>
  <si>
    <t>Full Abatement -2024 -C-P-N/R</t>
  </si>
  <si>
    <t>Full Abatement -2024 -C-S-N/R</t>
  </si>
  <si>
    <t>Residual Emissions</t>
  </si>
  <si>
    <t>Emissions Reduction Cost</t>
  </si>
  <si>
    <t>Effective Synfuel Cost</t>
  </si>
  <si>
    <t>Effective Abatement Cost</t>
  </si>
  <si>
    <t>Full Abatement -2050 -C-P-N</t>
  </si>
  <si>
    <t>Full Abatement -2050 -C-P-N/R</t>
  </si>
  <si>
    <t>Full Abatement -2050 -C-S-N/R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</si>
</sst>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31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9" fontId="0" fillId="0" borderId="0" xfId="1" applyFont="1"/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1" applyNumberFormat="1" applyFont="1"/>
    <xf numFmtId="0" fontId="3" fillId="0" borderId="1" xfId="0" applyFont="1" applyBorder="1"/>
    <xf numFmtId="0" fontId="2" fillId="0" borderId="1" xfId="0" applyFont="1" applyBorder="1"/>
    <xf numFmtId="1" fontId="0" fillId="0" borderId="0" xfId="0" applyNumberFormat="1"/>
    <xf numFmtId="2" fontId="0" fillId="0" borderId="1" xfId="0" applyNumberFormat="1" applyBorder="1"/>
    <xf numFmtId="2" fontId="2" fillId="0" borderId="1" xfId="0" applyNumberFormat="1" applyFont="1" applyBorder="1"/>
    <xf numFmtId="9" fontId="1" fillId="0" borderId="0" xfId="1"/>
    <xf numFmtId="1" fontId="0" fillId="0" borderId="1" xfId="0" applyNumberFormat="1" applyBorder="1"/>
    <xf numFmtId="0" fontId="3" fillId="0" borderId="0" xfId="0" applyFon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aster%20Standardisation_SAF.xlsx" TargetMode="External"/><Relationship Id="rId1" Type="http://schemas.openxmlformats.org/officeDocument/2006/relationships/externalLinkPath" Target="Master%20Standardisation_S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MZUE4YIPAMGRCJYCYPO4ESO2WS">
      <xxl21:absoluteUrl r:id="rId2"/>
    </xxl21:alternateUrls>
    <sheetNames>
      <sheetName val="Intro"/>
      <sheetName val="Steps"/>
      <sheetName val="Inputs"/>
      <sheetName val="Electricity"/>
      <sheetName val="Standard Input Calculations"/>
      <sheetName val="Sensitivities"/>
      <sheetName val="Notes for Study Parameters"/>
      <sheetName val="Studies current &amp; future cost"/>
      <sheetName val="Study Parameters"/>
      <sheetName val="Study Parameters 2050"/>
      <sheetName val="Standardization Results"/>
      <sheetName val="CO2 Effect"/>
      <sheetName val="Median CO2"/>
      <sheetName val="Low CO2"/>
      <sheetName val="High CO2"/>
      <sheetName val="Reference"/>
      <sheetName val="High Elec High CO2"/>
      <sheetName val="Low Elec Low CO2"/>
      <sheetName val="Results Reference"/>
      <sheetName val="Results Low Fossil Price"/>
      <sheetName val="Results High Fossil Price"/>
      <sheetName val="Full Abatement"/>
      <sheetName val="Descriptive Stats"/>
      <sheetName val="Per Passenger Cost Calculation"/>
    </sheetNames>
    <sheetDataSet>
      <sheetData sheetId="0"/>
      <sheetData sheetId="1"/>
      <sheetData sheetId="2">
        <row r="5">
          <cell r="C5">
            <v>0.02</v>
          </cell>
        </row>
        <row r="6">
          <cell r="C6">
            <v>7.0000000000000007E-2</v>
          </cell>
        </row>
        <row r="7">
          <cell r="C7">
            <v>0.9</v>
          </cell>
        </row>
        <row r="9">
          <cell r="C9">
            <v>64</v>
          </cell>
        </row>
        <row r="10">
          <cell r="C10">
            <v>11</v>
          </cell>
        </row>
        <row r="12">
          <cell r="C12">
            <v>88.7</v>
          </cell>
        </row>
        <row r="13">
          <cell r="C13">
            <v>88.7</v>
          </cell>
        </row>
        <row r="14">
          <cell r="C14">
            <v>43.2</v>
          </cell>
        </row>
        <row r="15">
          <cell r="C15">
            <v>34.689600000000006</v>
          </cell>
        </row>
        <row r="16">
          <cell r="C16">
            <v>0.80300000000000005</v>
          </cell>
        </row>
        <row r="17">
          <cell r="C17">
            <v>0.8</v>
          </cell>
        </row>
        <row r="19">
          <cell r="C19">
            <v>1.7</v>
          </cell>
        </row>
        <row r="21">
          <cell r="C21">
            <v>0.32246153846153797</v>
          </cell>
        </row>
        <row r="22">
          <cell r="C22">
            <v>0.20923076923076925</v>
          </cell>
        </row>
        <row r="24">
          <cell r="C24">
            <v>1.0209014091790563</v>
          </cell>
        </row>
        <row r="25">
          <cell r="C25">
            <v>2.0095593639301876</v>
          </cell>
        </row>
        <row r="27">
          <cell r="C27">
            <v>0.4828683335488041</v>
          </cell>
        </row>
        <row r="28">
          <cell r="C28">
            <v>0.89646574789915967</v>
          </cell>
        </row>
        <row r="30">
          <cell r="C30">
            <v>1.8838712863606983</v>
          </cell>
        </row>
        <row r="31">
          <cell r="C31">
            <v>3.7893730833872015</v>
          </cell>
        </row>
        <row r="33">
          <cell r="C33">
            <v>1371</v>
          </cell>
        </row>
        <row r="34">
          <cell r="C34">
            <v>523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26" sqref="C26"/>
    </sheetView>
  </sheetViews>
  <sheetFormatPr defaultColWidth="11.25" defaultRowHeight="15.75" x14ac:dyDescent="0.25"/>
  <cols>
    <col min="1" max="1" width="13.5" bestFit="1" customWidth="1"/>
    <col min="2" max="2" width="31.5" bestFit="1" customWidth="1"/>
    <col min="3" max="3" width="37.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</row>
    <row r="5" spans="1:3" x14ac:dyDescent="0.25">
      <c r="A5" t="s">
        <v>10</v>
      </c>
      <c r="B5" t="s">
        <v>11</v>
      </c>
    </row>
    <row r="6" spans="1:3" x14ac:dyDescent="0.25">
      <c r="A6" t="s">
        <v>12</v>
      </c>
      <c r="B6" t="s">
        <v>13</v>
      </c>
    </row>
    <row r="7" spans="1:3" x14ac:dyDescent="0.25">
      <c r="A7" t="s">
        <v>14</v>
      </c>
      <c r="B7" t="s">
        <v>15</v>
      </c>
    </row>
    <row r="8" spans="1:3" x14ac:dyDescent="0.25">
      <c r="A8" t="s">
        <v>16</v>
      </c>
      <c r="B8" t="s">
        <v>17</v>
      </c>
    </row>
    <row r="9" spans="1:3" x14ac:dyDescent="0.25">
      <c r="A9" t="s">
        <v>18</v>
      </c>
      <c r="B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tabSelected="1" topLeftCell="A21" workbookViewId="0">
      <selection activeCell="A9" sqref="A9"/>
    </sheetView>
  </sheetViews>
  <sheetFormatPr defaultColWidth="11.25" defaultRowHeight="15.75" x14ac:dyDescent="0.25"/>
  <cols>
    <col min="1" max="1" width="24.25" bestFit="1" customWidth="1"/>
    <col min="2" max="2" width="11.5" bestFit="1" customWidth="1"/>
    <col min="3" max="3" width="14.75" bestFit="1" customWidth="1"/>
  </cols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s="3" customFormat="1" x14ac:dyDescent="0.25">
      <c r="A2" s="2" t="s">
        <v>24</v>
      </c>
    </row>
    <row r="3" spans="1:4" x14ac:dyDescent="0.25">
      <c r="A3" t="s">
        <v>25</v>
      </c>
      <c r="C3">
        <v>2024</v>
      </c>
    </row>
    <row r="4" spans="1:4" x14ac:dyDescent="0.25">
      <c r="A4" t="s">
        <v>26</v>
      </c>
      <c r="C4" s="16">
        <f>[1]Inputs!C5</f>
        <v>0.02</v>
      </c>
    </row>
    <row r="5" spans="1:4" x14ac:dyDescent="0.25">
      <c r="A5" t="s">
        <v>27</v>
      </c>
      <c r="C5" s="16">
        <f>[1]Inputs!C6</f>
        <v>7.0000000000000007E-2</v>
      </c>
    </row>
    <row r="6" spans="1:4" x14ac:dyDescent="0.25">
      <c r="A6" t="s">
        <v>28</v>
      </c>
      <c r="C6">
        <f>[1]Inputs!C7</f>
        <v>0.9</v>
      </c>
    </row>
    <row r="7" spans="1:4" s="3" customFormat="1" x14ac:dyDescent="0.25">
      <c r="A7" s="2" t="s">
        <v>29</v>
      </c>
    </row>
    <row r="8" spans="1:4" x14ac:dyDescent="0.25">
      <c r="A8" s="20" t="s">
        <v>30</v>
      </c>
      <c r="B8">
        <v>2024</v>
      </c>
      <c r="C8" s="5">
        <f>[1]Inputs!C9</f>
        <v>64</v>
      </c>
      <c r="D8" t="s">
        <v>31</v>
      </c>
    </row>
    <row r="9" spans="1:4" x14ac:dyDescent="0.25">
      <c r="A9" s="20" t="s">
        <v>30</v>
      </c>
      <c r="B9">
        <v>2050</v>
      </c>
      <c r="C9" s="5">
        <f>[1]Inputs!C10</f>
        <v>11</v>
      </c>
      <c r="D9" t="s">
        <v>31</v>
      </c>
    </row>
    <row r="10" spans="1:4" s="3" customFormat="1" x14ac:dyDescent="0.25">
      <c r="A10" s="2" t="s">
        <v>32</v>
      </c>
    </row>
    <row r="11" spans="1:4" x14ac:dyDescent="0.25">
      <c r="A11" t="s">
        <v>33</v>
      </c>
      <c r="B11">
        <v>2024</v>
      </c>
      <c r="C11" s="5">
        <f>[1]Inputs!C12</f>
        <v>88.7</v>
      </c>
      <c r="D11" t="s">
        <v>34</v>
      </c>
    </row>
    <row r="12" spans="1:4" x14ac:dyDescent="0.25">
      <c r="A12" t="s">
        <v>33</v>
      </c>
      <c r="B12">
        <v>2050</v>
      </c>
      <c r="C12" s="5">
        <f>[1]Inputs!C13</f>
        <v>88.7</v>
      </c>
      <c r="D12" t="s">
        <v>34</v>
      </c>
    </row>
    <row r="13" spans="1:4" x14ac:dyDescent="0.25">
      <c r="A13" t="s">
        <v>35</v>
      </c>
      <c r="C13" s="5">
        <f>[1]Inputs!C14</f>
        <v>43.2</v>
      </c>
      <c r="D13" t="s">
        <v>36</v>
      </c>
    </row>
    <row r="14" spans="1:4" x14ac:dyDescent="0.25">
      <c r="A14" t="s">
        <v>35</v>
      </c>
      <c r="C14" s="5">
        <f>[1]Inputs!C15</f>
        <v>34.689600000000006</v>
      </c>
      <c r="D14" t="s">
        <v>37</v>
      </c>
    </row>
    <row r="15" spans="1:4" x14ac:dyDescent="0.25">
      <c r="A15" t="s">
        <v>38</v>
      </c>
      <c r="C15" s="5">
        <f>[1]Inputs!C16</f>
        <v>0.80300000000000005</v>
      </c>
      <c r="D15" t="s">
        <v>39</v>
      </c>
    </row>
    <row r="16" spans="1:4" x14ac:dyDescent="0.25">
      <c r="A16" t="s">
        <v>40</v>
      </c>
      <c r="B16">
        <v>2024</v>
      </c>
      <c r="C16" s="5">
        <f>[1]Inputs!C17</f>
        <v>0.8</v>
      </c>
      <c r="D16" t="s">
        <v>41</v>
      </c>
    </row>
    <row r="17" spans="1:4" s="3" customFormat="1" x14ac:dyDescent="0.25">
      <c r="A17" s="2" t="s">
        <v>42</v>
      </c>
    </row>
    <row r="18" spans="1:4" x14ac:dyDescent="0.25">
      <c r="A18" s="20" t="s">
        <v>40</v>
      </c>
      <c r="B18">
        <v>2050</v>
      </c>
      <c r="C18" s="5">
        <f>[1]Inputs!C19</f>
        <v>1.7</v>
      </c>
      <c r="D18" t="s">
        <v>41</v>
      </c>
    </row>
    <row r="19" spans="1:4" s="7" customFormat="1" x14ac:dyDescent="0.25">
      <c r="A19" s="6" t="s">
        <v>43</v>
      </c>
    </row>
    <row r="20" spans="1:4" x14ac:dyDescent="0.25">
      <c r="A20" t="s">
        <v>40</v>
      </c>
      <c r="B20">
        <v>2024</v>
      </c>
      <c r="C20" s="5">
        <f>[1]Inputs!C21</f>
        <v>0.32246153846153797</v>
      </c>
      <c r="D20" t="s">
        <v>41</v>
      </c>
    </row>
    <row r="21" spans="1:4" x14ac:dyDescent="0.25">
      <c r="A21" t="s">
        <v>40</v>
      </c>
      <c r="B21">
        <v>2050</v>
      </c>
      <c r="C21" s="5">
        <f>[1]Inputs!C22</f>
        <v>0.20923076923076925</v>
      </c>
      <c r="D21" t="s">
        <v>41</v>
      </c>
    </row>
    <row r="22" spans="1:4" s="7" customFormat="1" x14ac:dyDescent="0.25">
      <c r="A22" s="6" t="s">
        <v>44</v>
      </c>
    </row>
    <row r="23" spans="1:4" x14ac:dyDescent="0.25">
      <c r="A23" t="s">
        <v>40</v>
      </c>
      <c r="B23">
        <v>2024</v>
      </c>
      <c r="C23" s="5">
        <f>[1]Inputs!C24</f>
        <v>1.0209014091790563</v>
      </c>
      <c r="D23" t="s">
        <v>41</v>
      </c>
    </row>
    <row r="24" spans="1:4" x14ac:dyDescent="0.25">
      <c r="A24" t="s">
        <v>40</v>
      </c>
      <c r="B24">
        <v>2050</v>
      </c>
      <c r="C24" s="5">
        <f>[1]Inputs!C25</f>
        <v>2.0095593639301876</v>
      </c>
      <c r="D24" t="s">
        <v>41</v>
      </c>
    </row>
    <row r="25" spans="1:4" s="7" customFormat="1" x14ac:dyDescent="0.25">
      <c r="A25" s="6" t="s">
        <v>45</v>
      </c>
    </row>
    <row r="26" spans="1:4" x14ac:dyDescent="0.25">
      <c r="A26" t="s">
        <v>40</v>
      </c>
      <c r="B26">
        <v>2024</v>
      </c>
      <c r="C26" s="5">
        <f>[1]Inputs!C27</f>
        <v>0.4828683335488041</v>
      </c>
      <c r="D26" t="s">
        <v>41</v>
      </c>
    </row>
    <row r="27" spans="1:4" x14ac:dyDescent="0.25">
      <c r="A27" t="s">
        <v>40</v>
      </c>
      <c r="B27">
        <v>2050</v>
      </c>
      <c r="C27" s="5">
        <f>[1]Inputs!C28</f>
        <v>0.89646574789915967</v>
      </c>
      <c r="D27" t="s">
        <v>41</v>
      </c>
    </row>
    <row r="28" spans="1:4" s="7" customFormat="1" x14ac:dyDescent="0.25">
      <c r="A28" s="6" t="s">
        <v>46</v>
      </c>
    </row>
    <row r="29" spans="1:4" x14ac:dyDescent="0.25">
      <c r="A29" t="s">
        <v>40</v>
      </c>
      <c r="B29">
        <v>2024</v>
      </c>
      <c r="C29" s="5">
        <f>[1]Inputs!C30</f>
        <v>1.8838712863606983</v>
      </c>
      <c r="D29" t="s">
        <v>41</v>
      </c>
    </row>
    <row r="30" spans="1:4" x14ac:dyDescent="0.25">
      <c r="A30" t="s">
        <v>40</v>
      </c>
      <c r="B30">
        <v>2050</v>
      </c>
      <c r="C30" s="5">
        <f>[1]Inputs!C31</f>
        <v>3.7893730833872015</v>
      </c>
      <c r="D30" t="s">
        <v>41</v>
      </c>
    </row>
    <row r="31" spans="1:4" s="3" customFormat="1" x14ac:dyDescent="0.25">
      <c r="A31" s="2" t="s">
        <v>47</v>
      </c>
    </row>
    <row r="32" spans="1:4" x14ac:dyDescent="0.25">
      <c r="A32" t="s">
        <v>48</v>
      </c>
      <c r="B32">
        <v>2024</v>
      </c>
      <c r="C32" s="5">
        <f>[1]Inputs!C33</f>
        <v>1371</v>
      </c>
      <c r="D32" t="s">
        <v>49</v>
      </c>
    </row>
    <row r="33" spans="1:4" x14ac:dyDescent="0.25">
      <c r="A33" t="s">
        <v>48</v>
      </c>
      <c r="B33">
        <v>2050</v>
      </c>
      <c r="C33" s="5">
        <f>[1]Inputs!C34</f>
        <v>523</v>
      </c>
      <c r="D3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topLeftCell="A58" workbookViewId="0">
      <selection activeCell="C66" sqref="C66"/>
    </sheetView>
  </sheetViews>
  <sheetFormatPr defaultColWidth="11.25" defaultRowHeight="15.75" x14ac:dyDescent="0.25"/>
  <cols>
    <col min="1" max="1" width="39.5" bestFit="1" customWidth="1"/>
    <col min="2" max="2" width="5.25" bestFit="1" customWidth="1"/>
    <col min="3" max="3" width="10.25" bestFit="1" customWidth="1"/>
    <col min="4" max="4" width="12.75" bestFit="1" customWidth="1"/>
    <col min="5" max="5" width="19" bestFit="1" customWidth="1"/>
    <col min="6" max="6" width="27.75" bestFit="1" customWidth="1"/>
    <col min="7" max="7" width="13.75" customWidth="1"/>
  </cols>
  <sheetData>
    <row r="1" spans="1:7" s="2" customFormat="1" x14ac:dyDescent="0.25">
      <c r="A1" s="2" t="s">
        <v>50</v>
      </c>
    </row>
    <row r="2" spans="1:7" s="1" customFormat="1" x14ac:dyDescent="0.25">
      <c r="A2" t="s">
        <v>20</v>
      </c>
      <c r="B2" t="s">
        <v>21</v>
      </c>
      <c r="C2" t="s">
        <v>22</v>
      </c>
      <c r="D2" t="s">
        <v>51</v>
      </c>
      <c r="E2" t="s">
        <v>52</v>
      </c>
    </row>
    <row r="3" spans="1:7" x14ac:dyDescent="0.25">
      <c r="A3" t="s">
        <v>53</v>
      </c>
      <c r="B3" s="8" t="s">
        <v>54</v>
      </c>
      <c r="C3" s="4">
        <v>0.08</v>
      </c>
      <c r="D3" t="s">
        <v>55</v>
      </c>
    </row>
    <row r="4" spans="1:7" x14ac:dyDescent="0.25">
      <c r="A4" t="s">
        <v>56</v>
      </c>
      <c r="B4" s="8" t="s">
        <v>54</v>
      </c>
      <c r="C4">
        <v>30</v>
      </c>
      <c r="D4" t="s">
        <v>55</v>
      </c>
    </row>
    <row r="6" spans="1:7" s="2" customFormat="1" x14ac:dyDescent="0.25">
      <c r="A6" s="2" t="s">
        <v>57</v>
      </c>
    </row>
    <row r="7" spans="1:7" s="1" customFormat="1" x14ac:dyDescent="0.25">
      <c r="A7" t="s">
        <v>20</v>
      </c>
      <c r="B7" t="s">
        <v>21</v>
      </c>
      <c r="C7" t="s">
        <v>22</v>
      </c>
      <c r="D7" t="s">
        <v>23</v>
      </c>
      <c r="E7" t="s">
        <v>51</v>
      </c>
      <c r="F7" t="s">
        <v>52</v>
      </c>
    </row>
    <row r="8" spans="1:7" x14ac:dyDescent="0.25">
      <c r="A8" t="s">
        <v>58</v>
      </c>
      <c r="B8" s="8" t="s">
        <v>54</v>
      </c>
      <c r="C8">
        <v>0.99</v>
      </c>
      <c r="D8" t="s">
        <v>59</v>
      </c>
      <c r="E8" t="s">
        <v>55</v>
      </c>
    </row>
    <row r="9" spans="1:7" x14ac:dyDescent="0.25">
      <c r="A9" t="s">
        <v>58</v>
      </c>
      <c r="B9" s="8" t="s">
        <v>54</v>
      </c>
      <c r="C9">
        <f>C8*159 * 10^6</f>
        <v>157410000</v>
      </c>
      <c r="D9" t="s">
        <v>60</v>
      </c>
      <c r="F9" t="s">
        <v>61</v>
      </c>
    </row>
    <row r="10" spans="1:7" x14ac:dyDescent="0.25">
      <c r="A10" t="s">
        <v>62</v>
      </c>
      <c r="B10" s="8" t="s">
        <v>54</v>
      </c>
      <c r="C10">
        <v>1</v>
      </c>
      <c r="D10" t="s">
        <v>63</v>
      </c>
      <c r="E10" t="s">
        <v>55</v>
      </c>
    </row>
    <row r="11" spans="1:7" x14ac:dyDescent="0.25">
      <c r="A11" t="s">
        <v>64</v>
      </c>
      <c r="B11" s="8" t="s">
        <v>54</v>
      </c>
      <c r="C11">
        <v>94</v>
      </c>
      <c r="D11" t="s">
        <v>65</v>
      </c>
      <c r="E11" t="s">
        <v>55</v>
      </c>
      <c r="G11">
        <f>C10*10^9 / C9*0.8</f>
        <v>5.0822692332126298</v>
      </c>
    </row>
    <row r="12" spans="1:7" x14ac:dyDescent="0.25">
      <c r="A12" t="s">
        <v>66</v>
      </c>
      <c r="B12" s="8" t="s">
        <v>54</v>
      </c>
      <c r="C12">
        <v>0.66</v>
      </c>
      <c r="D12" t="s">
        <v>59</v>
      </c>
      <c r="E12" t="s">
        <v>55</v>
      </c>
    </row>
    <row r="13" spans="1:7" x14ac:dyDescent="0.25">
      <c r="A13" t="s">
        <v>66</v>
      </c>
      <c r="B13" s="8" t="s">
        <v>54</v>
      </c>
      <c r="C13">
        <f>C12*159 * 10^6</f>
        <v>104940000.00000001</v>
      </c>
      <c r="D13" t="s">
        <v>60</v>
      </c>
      <c r="F13" t="s">
        <v>61</v>
      </c>
    </row>
    <row r="14" spans="1:7" x14ac:dyDescent="0.25">
      <c r="A14" t="s">
        <v>67</v>
      </c>
      <c r="B14" s="8">
        <v>2024</v>
      </c>
      <c r="C14">
        <v>1200</v>
      </c>
      <c r="D14" t="s">
        <v>68</v>
      </c>
      <c r="E14" t="s">
        <v>69</v>
      </c>
    </row>
    <row r="15" spans="1:7" x14ac:dyDescent="0.25">
      <c r="A15" t="s">
        <v>67</v>
      </c>
      <c r="B15">
        <v>2050</v>
      </c>
      <c r="C15">
        <v>1100</v>
      </c>
      <c r="D15" t="s">
        <v>68</v>
      </c>
      <c r="E15" t="s">
        <v>69</v>
      </c>
    </row>
    <row r="16" spans="1:7" x14ac:dyDescent="0.25">
      <c r="A16" t="s">
        <v>70</v>
      </c>
      <c r="B16" s="8">
        <v>2024</v>
      </c>
      <c r="C16">
        <v>250</v>
      </c>
      <c r="D16" t="s">
        <v>68</v>
      </c>
      <c r="E16" t="s">
        <v>69</v>
      </c>
    </row>
    <row r="17" spans="1:6" x14ac:dyDescent="0.25">
      <c r="A17" t="s">
        <v>70</v>
      </c>
      <c r="B17" s="8">
        <v>2050</v>
      </c>
      <c r="C17">
        <v>182</v>
      </c>
      <c r="D17" t="s">
        <v>68</v>
      </c>
      <c r="E17" t="s">
        <v>69</v>
      </c>
    </row>
    <row r="18" spans="1:6" x14ac:dyDescent="0.25">
      <c r="A18" t="s">
        <v>71</v>
      </c>
      <c r="B18" s="8">
        <v>2024</v>
      </c>
      <c r="C18">
        <v>55.6</v>
      </c>
      <c r="D18" t="s">
        <v>72</v>
      </c>
      <c r="E18" t="s">
        <v>73</v>
      </c>
    </row>
    <row r="19" spans="1:6" x14ac:dyDescent="0.25">
      <c r="A19" t="s">
        <v>71</v>
      </c>
      <c r="B19" s="8">
        <v>2050</v>
      </c>
      <c r="C19">
        <v>47.5</v>
      </c>
      <c r="D19" t="s">
        <v>72</v>
      </c>
      <c r="E19" t="s">
        <v>73</v>
      </c>
    </row>
    <row r="20" spans="1:6" x14ac:dyDescent="0.25">
      <c r="B20" s="8"/>
    </row>
    <row r="21" spans="1:6" x14ac:dyDescent="0.25">
      <c r="B21" s="8"/>
    </row>
    <row r="22" spans="1:6" s="2" customFormat="1" x14ac:dyDescent="0.25">
      <c r="A22" s="2" t="s">
        <v>74</v>
      </c>
    </row>
    <row r="23" spans="1:6" s="1" customFormat="1" x14ac:dyDescent="0.25">
      <c r="A23" t="s">
        <v>20</v>
      </c>
      <c r="B23" t="s">
        <v>21</v>
      </c>
      <c r="C23" t="s">
        <v>22</v>
      </c>
      <c r="D23" t="s">
        <v>23</v>
      </c>
      <c r="E23" t="s">
        <v>51</v>
      </c>
      <c r="F23" t="s">
        <v>52</v>
      </c>
    </row>
    <row r="24" spans="1:6" x14ac:dyDescent="0.25">
      <c r="A24" t="s">
        <v>75</v>
      </c>
      <c r="B24" s="8">
        <v>2024</v>
      </c>
      <c r="C24">
        <v>18956</v>
      </c>
      <c r="D24" t="s">
        <v>76</v>
      </c>
      <c r="E24" t="s">
        <v>77</v>
      </c>
    </row>
    <row r="25" spans="1:6" x14ac:dyDescent="0.25">
      <c r="A25" t="s">
        <v>75</v>
      </c>
      <c r="B25" s="8">
        <v>2050</v>
      </c>
      <c r="C25">
        <v>16474</v>
      </c>
      <c r="D25" t="s">
        <v>76</v>
      </c>
      <c r="E25" t="s">
        <v>77</v>
      </c>
    </row>
    <row r="26" spans="1:6" x14ac:dyDescent="0.25">
      <c r="A26" t="s">
        <v>78</v>
      </c>
      <c r="B26" s="8" t="s">
        <v>54</v>
      </c>
      <c r="C26">
        <v>2</v>
      </c>
    </row>
    <row r="27" spans="1:6" x14ac:dyDescent="0.25">
      <c r="A27" t="s">
        <v>79</v>
      </c>
      <c r="B27" s="8">
        <v>2024</v>
      </c>
      <c r="C27">
        <v>2750</v>
      </c>
    </row>
    <row r="28" spans="1:6" x14ac:dyDescent="0.25">
      <c r="A28" t="s">
        <v>79</v>
      </c>
      <c r="B28" s="8">
        <v>2050</v>
      </c>
      <c r="C28">
        <v>3500</v>
      </c>
    </row>
    <row r="29" spans="1:6" x14ac:dyDescent="0.25">
      <c r="A29" t="s">
        <v>80</v>
      </c>
      <c r="B29" s="8">
        <v>2024</v>
      </c>
      <c r="C29">
        <f>_xlfn.CEILING.MATH($C$4 / (($C$27/C26) / (365)),1) - 1</f>
        <v>7</v>
      </c>
      <c r="E29" t="s">
        <v>77</v>
      </c>
    </row>
    <row r="30" spans="1:6" x14ac:dyDescent="0.25">
      <c r="A30" t="s">
        <v>80</v>
      </c>
      <c r="B30" s="8">
        <v>2050</v>
      </c>
      <c r="C30">
        <f>_xlfn.CEILING.MATH($C$4 / (($C$28/C26) / (365)),1) - 1</f>
        <v>6</v>
      </c>
      <c r="E30" t="s">
        <v>77</v>
      </c>
    </row>
    <row r="31" spans="1:6" x14ac:dyDescent="0.25">
      <c r="A31" t="s">
        <v>81</v>
      </c>
      <c r="B31" s="8">
        <v>2024</v>
      </c>
      <c r="C31">
        <v>10</v>
      </c>
      <c r="E31" t="s">
        <v>73</v>
      </c>
    </row>
    <row r="32" spans="1:6" x14ac:dyDescent="0.25">
      <c r="A32" t="s">
        <v>81</v>
      </c>
      <c r="B32" s="8">
        <v>2050</v>
      </c>
      <c r="C32">
        <v>12</v>
      </c>
      <c r="E32" t="s">
        <v>73</v>
      </c>
    </row>
    <row r="33" spans="1:6" x14ac:dyDescent="0.25">
      <c r="A33" t="s">
        <v>82</v>
      </c>
      <c r="B33" s="8">
        <v>2024</v>
      </c>
      <c r="C33">
        <v>6</v>
      </c>
      <c r="E33" t="s">
        <v>83</v>
      </c>
    </row>
    <row r="34" spans="1:6" x14ac:dyDescent="0.25">
      <c r="A34" t="s">
        <v>82</v>
      </c>
      <c r="B34" s="8">
        <v>2050</v>
      </c>
      <c r="C34">
        <v>10</v>
      </c>
      <c r="E34" t="s">
        <v>83</v>
      </c>
    </row>
    <row r="35" spans="1:6" x14ac:dyDescent="0.25">
      <c r="A35" t="s">
        <v>84</v>
      </c>
      <c r="B35" s="8">
        <v>2024</v>
      </c>
      <c r="C35">
        <f>C4/C31 - 1</f>
        <v>2</v>
      </c>
      <c r="E35" t="s">
        <v>73</v>
      </c>
    </row>
    <row r="36" spans="1:6" x14ac:dyDescent="0.25">
      <c r="A36" t="s">
        <v>84</v>
      </c>
      <c r="B36" s="8">
        <v>2050</v>
      </c>
      <c r="C36">
        <f>_xlfn.CEILING.MATH(C4/C32 - 1,1)</f>
        <v>2</v>
      </c>
      <c r="E36" t="s">
        <v>73</v>
      </c>
    </row>
    <row r="37" spans="1:6" x14ac:dyDescent="0.25">
      <c r="A37" t="s">
        <v>85</v>
      </c>
      <c r="B37" s="8">
        <v>2024</v>
      </c>
      <c r="C37">
        <f>C4/C33 - 1</f>
        <v>4</v>
      </c>
      <c r="E37" t="s">
        <v>83</v>
      </c>
    </row>
    <row r="38" spans="1:6" x14ac:dyDescent="0.25">
      <c r="A38" t="s">
        <v>85</v>
      </c>
      <c r="B38" s="8">
        <v>2050</v>
      </c>
      <c r="C38">
        <f>C4/C34 - 1</f>
        <v>2</v>
      </c>
      <c r="E38" t="s">
        <v>83</v>
      </c>
    </row>
    <row r="39" spans="1:6" x14ac:dyDescent="0.25">
      <c r="B39" s="8"/>
    </row>
    <row r="40" spans="1:6" s="2" customFormat="1" x14ac:dyDescent="0.25">
      <c r="A40" s="2" t="s">
        <v>86</v>
      </c>
    </row>
    <row r="41" spans="1:6" s="1" customFormat="1" x14ac:dyDescent="0.25">
      <c r="A41" t="s">
        <v>20</v>
      </c>
      <c r="B41" t="s">
        <v>21</v>
      </c>
      <c r="C41" t="s">
        <v>22</v>
      </c>
      <c r="D41" t="s">
        <v>23</v>
      </c>
      <c r="E41" t="s">
        <v>51</v>
      </c>
      <c r="F41" t="s">
        <v>52</v>
      </c>
    </row>
    <row r="42" spans="1:6" x14ac:dyDescent="0.25">
      <c r="A42" t="s">
        <v>87</v>
      </c>
      <c r="B42" s="8" t="s">
        <v>54</v>
      </c>
      <c r="C42">
        <v>122</v>
      </c>
      <c r="D42" t="s">
        <v>88</v>
      </c>
      <c r="E42" t="s">
        <v>55</v>
      </c>
    </row>
    <row r="43" spans="1:6" x14ac:dyDescent="0.25">
      <c r="A43" t="s">
        <v>89</v>
      </c>
      <c r="B43">
        <v>2024</v>
      </c>
      <c r="C43">
        <v>28.5</v>
      </c>
      <c r="D43" t="s">
        <v>31</v>
      </c>
      <c r="E43" t="s">
        <v>90</v>
      </c>
    </row>
    <row r="44" spans="1:6" x14ac:dyDescent="0.25">
      <c r="A44" t="s">
        <v>91</v>
      </c>
      <c r="B44">
        <v>2050</v>
      </c>
      <c r="C44">
        <v>14.2</v>
      </c>
      <c r="D44" t="s">
        <v>31</v>
      </c>
      <c r="E44" t="s">
        <v>90</v>
      </c>
    </row>
    <row r="45" spans="1:6" x14ac:dyDescent="0.25">
      <c r="A45" t="s">
        <v>92</v>
      </c>
      <c r="B45">
        <v>2024</v>
      </c>
      <c r="C45">
        <v>524</v>
      </c>
      <c r="D45" t="s">
        <v>49</v>
      </c>
      <c r="E45" t="s">
        <v>69</v>
      </c>
    </row>
    <row r="46" spans="1:6" x14ac:dyDescent="0.25">
      <c r="A46" t="s">
        <v>92</v>
      </c>
      <c r="B46">
        <v>2050</v>
      </c>
      <c r="C46">
        <v>200</v>
      </c>
      <c r="D46" t="s">
        <v>49</v>
      </c>
      <c r="E46" t="s">
        <v>69</v>
      </c>
    </row>
    <row r="47" spans="1:6" x14ac:dyDescent="0.25">
      <c r="A47" t="s">
        <v>93</v>
      </c>
      <c r="B47">
        <v>2024</v>
      </c>
      <c r="C47">
        <v>772</v>
      </c>
      <c r="D47" t="s">
        <v>94</v>
      </c>
      <c r="E47" t="s">
        <v>73</v>
      </c>
    </row>
    <row r="48" spans="1:6" x14ac:dyDescent="0.25">
      <c r="A48" t="s">
        <v>93</v>
      </c>
      <c r="B48" s="8">
        <v>2050</v>
      </c>
      <c r="C48">
        <v>400</v>
      </c>
      <c r="D48" t="s">
        <v>94</v>
      </c>
      <c r="E48" t="s">
        <v>73</v>
      </c>
    </row>
    <row r="49" spans="1:5" x14ac:dyDescent="0.25">
      <c r="A49" t="s">
        <v>95</v>
      </c>
      <c r="B49" s="8">
        <v>2024</v>
      </c>
      <c r="C49" s="4">
        <v>0.35</v>
      </c>
      <c r="E49" t="s">
        <v>73</v>
      </c>
    </row>
    <row r="50" spans="1:5" x14ac:dyDescent="0.25">
      <c r="A50" t="s">
        <v>95</v>
      </c>
      <c r="B50">
        <v>2050</v>
      </c>
      <c r="C50" s="4">
        <v>0.3</v>
      </c>
      <c r="E50" t="s">
        <v>73</v>
      </c>
    </row>
    <row r="51" spans="1:5" x14ac:dyDescent="0.25">
      <c r="A51" t="s">
        <v>96</v>
      </c>
      <c r="B51">
        <v>2024</v>
      </c>
      <c r="C51" s="10">
        <v>1452</v>
      </c>
      <c r="D51" t="s">
        <v>94</v>
      </c>
      <c r="E51" t="s">
        <v>83</v>
      </c>
    </row>
    <row r="52" spans="1:5" x14ac:dyDescent="0.25">
      <c r="A52" t="s">
        <v>96</v>
      </c>
      <c r="B52">
        <v>2050</v>
      </c>
      <c r="C52" s="10">
        <v>400</v>
      </c>
      <c r="D52" t="s">
        <v>94</v>
      </c>
      <c r="E52" t="s">
        <v>83</v>
      </c>
    </row>
    <row r="53" spans="1:5" x14ac:dyDescent="0.25">
      <c r="A53" t="s">
        <v>97</v>
      </c>
      <c r="B53">
        <v>2024</v>
      </c>
      <c r="C53" s="4">
        <v>0.5</v>
      </c>
      <c r="E53" t="s">
        <v>83</v>
      </c>
    </row>
    <row r="54" spans="1:5" x14ac:dyDescent="0.25">
      <c r="A54" t="s">
        <v>97</v>
      </c>
      <c r="B54">
        <v>2050</v>
      </c>
      <c r="C54" s="4">
        <v>0.4</v>
      </c>
      <c r="E54" t="s">
        <v>83</v>
      </c>
    </row>
    <row r="55" spans="1:5" x14ac:dyDescent="0.25">
      <c r="A55" t="s">
        <v>98</v>
      </c>
      <c r="B55">
        <v>2024</v>
      </c>
      <c r="C55">
        <v>350</v>
      </c>
      <c r="D55" t="s">
        <v>99</v>
      </c>
      <c r="E55" t="s">
        <v>77</v>
      </c>
    </row>
    <row r="56" spans="1:5" x14ac:dyDescent="0.25">
      <c r="A56" t="s">
        <v>98</v>
      </c>
      <c r="B56">
        <v>2050</v>
      </c>
      <c r="C56">
        <v>90</v>
      </c>
      <c r="D56" t="s">
        <v>99</v>
      </c>
      <c r="E56" t="s">
        <v>77</v>
      </c>
    </row>
    <row r="57" spans="1:5" x14ac:dyDescent="0.25">
      <c r="A57" t="s">
        <v>100</v>
      </c>
      <c r="B57">
        <v>2024</v>
      </c>
      <c r="C57">
        <v>145</v>
      </c>
      <c r="D57" t="s">
        <v>99</v>
      </c>
      <c r="E57" t="s">
        <v>77</v>
      </c>
    </row>
    <row r="58" spans="1:5" x14ac:dyDescent="0.25">
      <c r="A58" t="s">
        <v>100</v>
      </c>
      <c r="B58">
        <v>2050</v>
      </c>
      <c r="C58">
        <v>37</v>
      </c>
      <c r="D58" t="s">
        <v>99</v>
      </c>
      <c r="E58" t="s">
        <v>77</v>
      </c>
    </row>
    <row r="59" spans="1:5" x14ac:dyDescent="0.25">
      <c r="A59" t="s">
        <v>101</v>
      </c>
      <c r="B59">
        <v>2024</v>
      </c>
      <c r="C59">
        <v>118</v>
      </c>
      <c r="D59" t="s">
        <v>31</v>
      </c>
      <c r="E59" t="s">
        <v>90</v>
      </c>
    </row>
    <row r="60" spans="1:5" x14ac:dyDescent="0.25">
      <c r="A60" t="s">
        <v>101</v>
      </c>
      <c r="B60">
        <v>2050</v>
      </c>
      <c r="C60">
        <v>50</v>
      </c>
      <c r="D60" t="s">
        <v>31</v>
      </c>
      <c r="E60" t="s">
        <v>90</v>
      </c>
    </row>
    <row r="61" spans="1:5" x14ac:dyDescent="0.25">
      <c r="A61" t="s">
        <v>102</v>
      </c>
      <c r="B61">
        <v>2024</v>
      </c>
      <c r="C61">
        <v>79.8</v>
      </c>
      <c r="D61" t="s">
        <v>31</v>
      </c>
      <c r="E61" t="s">
        <v>90</v>
      </c>
    </row>
    <row r="62" spans="1:5" x14ac:dyDescent="0.25">
      <c r="A62" t="s">
        <v>102</v>
      </c>
      <c r="B62">
        <v>2050</v>
      </c>
      <c r="C62">
        <v>38</v>
      </c>
      <c r="D62" t="s">
        <v>31</v>
      </c>
      <c r="E62" t="s">
        <v>90</v>
      </c>
    </row>
    <row r="64" spans="1:5" s="2" customFormat="1" x14ac:dyDescent="0.25">
      <c r="A64" s="2" t="s">
        <v>103</v>
      </c>
    </row>
    <row r="65" spans="1:7" s="1" customFormat="1" x14ac:dyDescent="0.25">
      <c r="A65" t="s">
        <v>20</v>
      </c>
      <c r="B65" t="s">
        <v>21</v>
      </c>
      <c r="C65" t="s">
        <v>22</v>
      </c>
      <c r="D65" t="s">
        <v>23</v>
      </c>
      <c r="E65" t="s">
        <v>51</v>
      </c>
      <c r="F65" t="s">
        <v>52</v>
      </c>
    </row>
    <row r="66" spans="1:7" x14ac:dyDescent="0.25">
      <c r="A66" t="s">
        <v>33</v>
      </c>
      <c r="B66" t="s">
        <v>54</v>
      </c>
      <c r="C66" s="5">
        <f>0.07 * Inputs!C11</f>
        <v>6.2090000000000005</v>
      </c>
      <c r="D66" t="s">
        <v>34</v>
      </c>
      <c r="E66" t="s">
        <v>55</v>
      </c>
      <c r="F66" t="s">
        <v>104</v>
      </c>
    </row>
    <row r="68" spans="1:7" s="2" customFormat="1" x14ac:dyDescent="0.25">
      <c r="A68" s="2" t="s">
        <v>105</v>
      </c>
    </row>
    <row r="69" spans="1:7" s="1" customFormat="1" x14ac:dyDescent="0.25">
      <c r="A69" t="s">
        <v>20</v>
      </c>
      <c r="B69" t="s">
        <v>21</v>
      </c>
      <c r="C69" s="20" t="s">
        <v>106</v>
      </c>
      <c r="D69" t="s">
        <v>22</v>
      </c>
      <c r="E69" t="s">
        <v>23</v>
      </c>
      <c r="F69" t="s">
        <v>51</v>
      </c>
      <c r="G69" t="s">
        <v>52</v>
      </c>
    </row>
    <row r="70" spans="1:7" x14ac:dyDescent="0.25">
      <c r="A70" s="23" t="s">
        <v>107</v>
      </c>
      <c r="B70">
        <v>2024</v>
      </c>
      <c r="C70" t="s">
        <v>3</v>
      </c>
      <c r="D70" s="13">
        <f>'Cost Components'!B12 * 10^6 / 'Study Parameters'!C59</f>
        <v>5932203.3898305083</v>
      </c>
      <c r="E70" t="s">
        <v>76</v>
      </c>
      <c r="G70" s="21" t="s">
        <v>108</v>
      </c>
    </row>
    <row r="71" spans="1:7" x14ac:dyDescent="0.25">
      <c r="A71" s="22"/>
      <c r="B71">
        <v>2050</v>
      </c>
      <c r="C71" t="s">
        <v>12</v>
      </c>
      <c r="D71">
        <f>'Cost Components'!T12*10^6 / 'Study Parameters'!C60</f>
        <v>5060000</v>
      </c>
      <c r="E71" t="s">
        <v>76</v>
      </c>
      <c r="G71" s="22"/>
    </row>
    <row r="72" spans="1:7" x14ac:dyDescent="0.25">
      <c r="A72" s="22"/>
      <c r="B72">
        <v>2024</v>
      </c>
      <c r="C72" t="s">
        <v>8</v>
      </c>
      <c r="D72" s="13">
        <f>'Cost Components'!H12 * 10^6/'Study Parameters'!C61</f>
        <v>6390977.4436090225</v>
      </c>
      <c r="E72" t="s">
        <v>76</v>
      </c>
      <c r="G72" s="22"/>
    </row>
    <row r="73" spans="1:7" x14ac:dyDescent="0.25">
      <c r="A73" s="22"/>
      <c r="B73">
        <v>2050</v>
      </c>
      <c r="C73" t="s">
        <v>16</v>
      </c>
      <c r="D73" s="13">
        <f>'Cost Components'!Z12 * 10^6 /'Study Parameters'!C62</f>
        <v>4842105.2631578948</v>
      </c>
      <c r="E73" t="s">
        <v>76</v>
      </c>
      <c r="G73" s="22"/>
    </row>
    <row r="74" spans="1:7" x14ac:dyDescent="0.25">
      <c r="A74" s="22"/>
      <c r="B74">
        <v>2024</v>
      </c>
      <c r="C74" t="s">
        <v>10</v>
      </c>
      <c r="D74" s="13">
        <f>'Cost Components'!N12 * 10^6 /'Study Parameters'!C61</f>
        <v>4761904.7619047621</v>
      </c>
      <c r="E74" t="s">
        <v>76</v>
      </c>
      <c r="G74" s="22"/>
    </row>
    <row r="75" spans="1:7" x14ac:dyDescent="0.25">
      <c r="A75" s="22"/>
      <c r="B75">
        <v>2050</v>
      </c>
      <c r="C75" t="s">
        <v>18</v>
      </c>
      <c r="D75" s="13">
        <f>'Cost Components'!AF12 * 10^6 / 'Study Parameters'!C62</f>
        <v>4078947.3684210526</v>
      </c>
      <c r="E75" t="s">
        <v>76</v>
      </c>
      <c r="G75" s="22"/>
    </row>
    <row r="76" spans="1:7" x14ac:dyDescent="0.25">
      <c r="A76" s="23" t="s">
        <v>109</v>
      </c>
      <c r="B76">
        <v>2024</v>
      </c>
      <c r="C76" t="s">
        <v>3</v>
      </c>
      <c r="D76" s="13">
        <f>D70-$C$16  * 10^3</f>
        <v>5682203.3898305083</v>
      </c>
      <c r="E76" t="s">
        <v>76</v>
      </c>
    </row>
    <row r="77" spans="1:7" x14ac:dyDescent="0.25">
      <c r="A77" s="22"/>
      <c r="B77">
        <v>2050</v>
      </c>
      <c r="C77" t="s">
        <v>12</v>
      </c>
      <c r="D77">
        <f>D71-$C$17 * 10^3</f>
        <v>4878000</v>
      </c>
      <c r="E77" t="s">
        <v>76</v>
      </c>
    </row>
    <row r="78" spans="1:7" x14ac:dyDescent="0.25">
      <c r="A78" s="22"/>
      <c r="B78">
        <v>2024</v>
      </c>
      <c r="C78" t="s">
        <v>8</v>
      </c>
      <c r="D78" s="13">
        <f>D72-$C$16  * 10^3</f>
        <v>6140977.4436090225</v>
      </c>
      <c r="E78" t="s">
        <v>76</v>
      </c>
    </row>
    <row r="79" spans="1:7" x14ac:dyDescent="0.25">
      <c r="A79" s="22"/>
      <c r="B79">
        <v>2050</v>
      </c>
      <c r="C79" t="s">
        <v>16</v>
      </c>
      <c r="D79" s="13">
        <f>D73-$C$17 * 10^3</f>
        <v>4660105.2631578948</v>
      </c>
      <c r="E79" t="s">
        <v>76</v>
      </c>
    </row>
    <row r="80" spans="1:7" x14ac:dyDescent="0.25">
      <c r="A80" s="22"/>
      <c r="B80">
        <v>2024</v>
      </c>
      <c r="C80" t="s">
        <v>10</v>
      </c>
      <c r="D80" s="13">
        <f>D74-$C$16  * 10^3</f>
        <v>4511904.7619047621</v>
      </c>
      <c r="E80" t="s">
        <v>76</v>
      </c>
    </row>
    <row r="81" spans="1:5" x14ac:dyDescent="0.25">
      <c r="A81" s="22"/>
      <c r="B81">
        <v>2050</v>
      </c>
      <c r="C81" t="s">
        <v>18</v>
      </c>
      <c r="D81" s="13">
        <f>D75-$C$17 * 10^3</f>
        <v>3896947.3684210526</v>
      </c>
      <c r="E81" t="s">
        <v>76</v>
      </c>
    </row>
  </sheetData>
  <mergeCells count="3">
    <mergeCell ref="G70:G75"/>
    <mergeCell ref="A70:A75"/>
    <mergeCell ref="A76:A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CC0E-99DC-B545-8492-9611BCF80569}">
  <dimension ref="A1:AF14"/>
  <sheetViews>
    <sheetView topLeftCell="A2" workbookViewId="0">
      <selection activeCell="A16" sqref="A16"/>
    </sheetView>
  </sheetViews>
  <sheetFormatPr defaultColWidth="11.25" defaultRowHeight="15.75" x14ac:dyDescent="0.25"/>
  <cols>
    <col min="3" max="3" width="11.25" bestFit="1" customWidth="1"/>
  </cols>
  <sheetData>
    <row r="1" spans="1:32" x14ac:dyDescent="0.25">
      <c r="A1" t="s">
        <v>21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2024</v>
      </c>
    </row>
    <row r="3" spans="1:32" x14ac:dyDescent="0.25">
      <c r="A3" t="s">
        <v>110</v>
      </c>
      <c r="B3">
        <v>524</v>
      </c>
      <c r="C3">
        <v>524</v>
      </c>
      <c r="D3">
        <v>524</v>
      </c>
      <c r="E3">
        <v>524</v>
      </c>
      <c r="F3">
        <v>524</v>
      </c>
      <c r="G3">
        <v>524</v>
      </c>
      <c r="H3">
        <v>524</v>
      </c>
      <c r="I3">
        <v>524</v>
      </c>
      <c r="J3">
        <v>524</v>
      </c>
      <c r="K3">
        <v>524</v>
      </c>
      <c r="L3">
        <v>524</v>
      </c>
      <c r="M3">
        <v>524</v>
      </c>
      <c r="N3">
        <v>524</v>
      </c>
      <c r="O3">
        <v>524</v>
      </c>
      <c r="P3">
        <v>524</v>
      </c>
      <c r="Q3">
        <v>524</v>
      </c>
      <c r="R3">
        <v>524</v>
      </c>
      <c r="S3">
        <v>524</v>
      </c>
      <c r="T3">
        <v>524</v>
      </c>
      <c r="U3">
        <v>524</v>
      </c>
      <c r="V3">
        <v>524</v>
      </c>
      <c r="W3">
        <v>524</v>
      </c>
      <c r="X3">
        <v>524</v>
      </c>
      <c r="Y3">
        <v>524</v>
      </c>
      <c r="Z3">
        <v>524</v>
      </c>
      <c r="AA3">
        <v>524</v>
      </c>
      <c r="AB3">
        <v>524</v>
      </c>
      <c r="AC3">
        <v>524</v>
      </c>
      <c r="AD3">
        <v>524</v>
      </c>
      <c r="AE3">
        <v>524</v>
      </c>
      <c r="AF3">
        <v>524</v>
      </c>
    </row>
    <row r="4" spans="1:32" x14ac:dyDescent="0.25">
      <c r="A4" t="s">
        <v>111</v>
      </c>
      <c r="B4">
        <f>B3/(1+'Study Parameters'!$C$3)^'NPV DAC CAPEX'!B1</f>
        <v>524</v>
      </c>
      <c r="C4">
        <f>C3/(1+'Study Parameters'!$C$3)^'NPV DAC CAPEX'!C1</f>
        <v>485.18518518518516</v>
      </c>
      <c r="D4">
        <f>D3/(1+'Study Parameters'!$C$3)^'NPV DAC CAPEX'!D1</f>
        <v>449.24554183813439</v>
      </c>
      <c r="E4">
        <f>E3/(1+'Study Parameters'!$C$3)^'NPV DAC CAPEX'!E1</f>
        <v>415.96809429456886</v>
      </c>
      <c r="F4">
        <f>F3/(1+'Study Parameters'!$C$3)^'NPV DAC CAPEX'!F1</f>
        <v>385.15564286534152</v>
      </c>
      <c r="G4">
        <f>G3/(1+'Study Parameters'!$C$3)^'NPV DAC CAPEX'!G1</f>
        <v>356.62559524568655</v>
      </c>
      <c r="H4">
        <f>H3/(1+'Study Parameters'!$C$3)^'NPV DAC CAPEX'!H1</f>
        <v>330.2088844867468</v>
      </c>
      <c r="I4">
        <f>I3/(1+'Study Parameters'!$C$3)^'NPV DAC CAPEX'!I1</f>
        <v>305.74896711735812</v>
      </c>
      <c r="J4">
        <f>J3/(1+'Study Parameters'!$C$3)^'NPV DAC CAPEX'!J1</f>
        <v>283.10089547903533</v>
      </c>
      <c r="K4">
        <f>K3/(1+'Study Parameters'!$C$3)^'NPV DAC CAPEX'!K1</f>
        <v>262.1304587768845</v>
      </c>
      <c r="L4">
        <f>L3/(1+'Study Parameters'!$C$3)^'NPV DAC CAPEX'!L1</f>
        <v>242.71338775637454</v>
      </c>
      <c r="M4">
        <f>M3/(1+'Study Parameters'!$C$3)^'NPV DAC CAPEX'!M1</f>
        <v>224.73461829293939</v>
      </c>
      <c r="N4">
        <f>N3/(1+'Study Parameters'!$C$3)^'NPV DAC CAPEX'!N1</f>
        <v>208.08760953049944</v>
      </c>
      <c r="O4">
        <f>O3/(1+'Study Parameters'!$C$3)^'NPV DAC CAPEX'!O1</f>
        <v>192.6737125282402</v>
      </c>
      <c r="P4">
        <f>P3/(1+'Study Parameters'!$C$3)^'NPV DAC CAPEX'!P1</f>
        <v>178.40158567429646</v>
      </c>
      <c r="Q4">
        <f>Q3/(1+'Study Parameters'!$C$3)^'NPV DAC CAPEX'!Q1</f>
        <v>165.18665340212632</v>
      </c>
      <c r="R4">
        <f>R3/(1+'Study Parameters'!$C$3)^'NPV DAC CAPEX'!R1</f>
        <v>152.95060500196882</v>
      </c>
      <c r="S4">
        <f>S3/(1+'Study Parameters'!$C$3)^'NPV DAC CAPEX'!S1</f>
        <v>141.62093055737856</v>
      </c>
      <c r="T4">
        <f>T3/(1+'Study Parameters'!$C$3)^'NPV DAC CAPEX'!T1</f>
        <v>131.13049125683199</v>
      </c>
      <c r="U4">
        <f>U3/(1+'Study Parameters'!$C$3)^'NPV DAC CAPEX'!U1</f>
        <v>121.41712153410367</v>
      </c>
      <c r="V4">
        <f>V3/(1+'Study Parameters'!$C$3)^'NPV DAC CAPEX'!V1</f>
        <v>112.42326067972563</v>
      </c>
      <c r="W4">
        <f>W3/(1+'Study Parameters'!$C$3)^'NPV DAC CAPEX'!W1</f>
        <v>104.09561174048669</v>
      </c>
      <c r="X4">
        <f>X3/(1+'Study Parameters'!$C$3)^'NPV DAC CAPEX'!X1</f>
        <v>96.384825685635803</v>
      </c>
      <c r="Y4">
        <f>Y3/(1+'Study Parameters'!$C$3)^'NPV DAC CAPEX'!Y1</f>
        <v>89.245208968181302</v>
      </c>
      <c r="Z4">
        <f>Z3/(1+'Study Parameters'!$C$3)^'NPV DAC CAPEX'!Z1</f>
        <v>82.634452748316022</v>
      </c>
      <c r="AA4">
        <f>AA3/(1+'Study Parameters'!$C$3)^'NPV DAC CAPEX'!AA1</f>
        <v>76.513382174366669</v>
      </c>
      <c r="AB4">
        <f>AB3/(1+'Study Parameters'!$C$3)^'NPV DAC CAPEX'!AB1</f>
        <v>70.845724235524699</v>
      </c>
      <c r="AC4">
        <f>AC3/(1+'Study Parameters'!$C$3)^'NPV DAC CAPEX'!AC1</f>
        <v>65.597892810671027</v>
      </c>
      <c r="AD4">
        <f>AD3/(1+'Study Parameters'!$C$3)^'NPV DAC CAPEX'!AD1</f>
        <v>60.738789639510202</v>
      </c>
      <c r="AE4">
        <f>AE3/(1+'Study Parameters'!$C$3)^'NPV DAC CAPEX'!AE1</f>
        <v>56.239620036583517</v>
      </c>
      <c r="AF4">
        <f>AF3/(1+'Study Parameters'!$C$3)^'NPV DAC CAPEX'!AF1</f>
        <v>52.073722256095841</v>
      </c>
    </row>
    <row r="6" spans="1:32" x14ac:dyDescent="0.25">
      <c r="A6">
        <v>2050</v>
      </c>
    </row>
    <row r="7" spans="1:32" x14ac:dyDescent="0.25">
      <c r="A7" t="s">
        <v>110</v>
      </c>
      <c r="B7">
        <v>200</v>
      </c>
      <c r="C7">
        <v>200</v>
      </c>
      <c r="D7">
        <v>200</v>
      </c>
      <c r="E7">
        <v>200</v>
      </c>
      <c r="F7">
        <v>200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</row>
    <row r="8" spans="1:32" x14ac:dyDescent="0.25">
      <c r="A8" t="s">
        <v>111</v>
      </c>
      <c r="B8">
        <f>B7/(1+'Study Parameters'!$C$3)^'NPV DAC CAPEX'!B1</f>
        <v>200</v>
      </c>
      <c r="C8">
        <f>C7/(1+'Study Parameters'!$C$3)^'NPV DAC CAPEX'!C1</f>
        <v>185.18518518518516</v>
      </c>
      <c r="D8">
        <f>D7/(1+'Study Parameters'!$C$3)^'NPV DAC CAPEX'!D1</f>
        <v>171.46776406035664</v>
      </c>
      <c r="E8">
        <f>E7/(1+'Study Parameters'!$C$3)^'NPV DAC CAPEX'!E1</f>
        <v>158.76644820403391</v>
      </c>
      <c r="F8">
        <f>F7/(1+'Study Parameters'!$C$3)^'NPV DAC CAPEX'!F1</f>
        <v>147.00597055929066</v>
      </c>
      <c r="G8">
        <f>G7/(1+'Study Parameters'!$C$3)^'NPV DAC CAPEX'!G1</f>
        <v>136.11663940675061</v>
      </c>
      <c r="H8">
        <f>H7/(1+'Study Parameters'!$C$3)^'NPV DAC CAPEX'!H1</f>
        <v>126.03392537662091</v>
      </c>
      <c r="I8">
        <f>I7/(1+'Study Parameters'!$C$3)^'NPV DAC CAPEX'!I1</f>
        <v>116.69807905242676</v>
      </c>
      <c r="J8">
        <f>J7/(1+'Study Parameters'!$C$3)^'NPV DAC CAPEX'!J1</f>
        <v>108.05377690039515</v>
      </c>
      <c r="K8">
        <f>K7/(1+'Study Parameters'!$C$3)^'NPV DAC CAPEX'!K1</f>
        <v>100.0497934262918</v>
      </c>
      <c r="L8">
        <f>L7/(1+'Study Parameters'!$C$3)^'NPV DAC CAPEX'!L1</f>
        <v>92.638697616936852</v>
      </c>
      <c r="M8">
        <f>M7/(1+'Study Parameters'!$C$3)^'NPV DAC CAPEX'!M1</f>
        <v>85.776571867534116</v>
      </c>
      <c r="N8">
        <f>N7/(1+'Study Parameters'!$C$3)^'NPV DAC CAPEX'!N1</f>
        <v>79.422751729198254</v>
      </c>
      <c r="O8">
        <f>O7/(1+'Study Parameters'!$C$3)^'NPV DAC CAPEX'!O1</f>
        <v>73.539584934442829</v>
      </c>
      <c r="P8">
        <f>P7/(1+'Study Parameters'!$C$3)^'NPV DAC CAPEX'!P1</f>
        <v>68.092208272632234</v>
      </c>
      <c r="Q8">
        <f>Q7/(1+'Study Parameters'!$C$3)^'NPV DAC CAPEX'!Q1</f>
        <v>63.048340993177995</v>
      </c>
      <c r="R8">
        <f>R7/(1+'Study Parameters'!$C$3)^'NPV DAC CAPEX'!R1</f>
        <v>58.378093512201843</v>
      </c>
      <c r="S8">
        <f>S7/(1+'Study Parameters'!$C$3)^'NPV DAC CAPEX'!S1</f>
        <v>54.053790289075785</v>
      </c>
      <c r="T8">
        <f>T7/(1+'Study Parameters'!$C$3)^'NPV DAC CAPEX'!T1</f>
        <v>50.049805823218314</v>
      </c>
      <c r="U8">
        <f>U7/(1+'Study Parameters'!$C$3)^'NPV DAC CAPEX'!U1</f>
        <v>46.342412799276211</v>
      </c>
      <c r="V8">
        <f>V7/(1+'Study Parameters'!$C$3)^'NPV DAC CAPEX'!V1</f>
        <v>42.90964148081131</v>
      </c>
      <c r="W8">
        <f>W7/(1+'Study Parameters'!$C$3)^'NPV DAC CAPEX'!W1</f>
        <v>39.731149519269728</v>
      </c>
      <c r="X8">
        <f>X7/(1+'Study Parameters'!$C$3)^'NPV DAC CAPEX'!X1</f>
        <v>36.788101406731222</v>
      </c>
      <c r="Y8">
        <f>Y7/(1+'Study Parameters'!$C$3)^'NPV DAC CAPEX'!Y1</f>
        <v>34.063056858084465</v>
      </c>
      <c r="Z8">
        <f>Z7/(1+'Study Parameters'!$C$3)^'NPV DAC CAPEX'!Z1</f>
        <v>31.539867461189321</v>
      </c>
      <c r="AA8">
        <f>AA7/(1+'Study Parameters'!$C$3)^'NPV DAC CAPEX'!AA1</f>
        <v>29.2035809825827</v>
      </c>
      <c r="AB8">
        <f>AB7/(1+'Study Parameters'!$C$3)^'NPV DAC CAPEX'!AB1</f>
        <v>27.040352761650649</v>
      </c>
      <c r="AC8">
        <f>AC7/(1+'Study Parameters'!$C$3)^'NPV DAC CAPEX'!AC1</f>
        <v>25.037363668195045</v>
      </c>
      <c r="AD8">
        <f>AD7/(1+'Study Parameters'!$C$3)^'NPV DAC CAPEX'!AD1</f>
        <v>23.182744137217636</v>
      </c>
      <c r="AE8">
        <f>AE7/(1+'Study Parameters'!$C$3)^'NPV DAC CAPEX'!AE1</f>
        <v>21.465503830757068</v>
      </c>
      <c r="AF8">
        <f>AF7/(1+'Study Parameters'!$C$3)^'NPV DAC CAPEX'!AF1</f>
        <v>19.875466509960244</v>
      </c>
    </row>
    <row r="10" spans="1:32" x14ac:dyDescent="0.25">
      <c r="A10">
        <v>2024</v>
      </c>
    </row>
    <row r="11" spans="1:32" x14ac:dyDescent="0.25">
      <c r="A11" t="s">
        <v>112</v>
      </c>
      <c r="B11">
        <v>0</v>
      </c>
      <c r="C11">
        <f>10^6</f>
        <v>1000000</v>
      </c>
      <c r="D11">
        <f t="shared" ref="D11:AF11" si="0">10^6</f>
        <v>1000000</v>
      </c>
      <c r="E11">
        <f t="shared" si="0"/>
        <v>1000000</v>
      </c>
      <c r="F11">
        <f t="shared" si="0"/>
        <v>1000000</v>
      </c>
      <c r="G11">
        <f t="shared" si="0"/>
        <v>1000000</v>
      </c>
      <c r="H11">
        <f t="shared" si="0"/>
        <v>1000000</v>
      </c>
      <c r="I11">
        <f t="shared" si="0"/>
        <v>1000000</v>
      </c>
      <c r="J11">
        <f t="shared" si="0"/>
        <v>1000000</v>
      </c>
      <c r="K11">
        <f t="shared" si="0"/>
        <v>1000000</v>
      </c>
      <c r="L11">
        <f t="shared" si="0"/>
        <v>1000000</v>
      </c>
      <c r="M11">
        <f t="shared" si="0"/>
        <v>1000000</v>
      </c>
      <c r="N11">
        <f t="shared" si="0"/>
        <v>1000000</v>
      </c>
      <c r="O11">
        <f t="shared" si="0"/>
        <v>1000000</v>
      </c>
      <c r="P11">
        <f t="shared" si="0"/>
        <v>1000000</v>
      </c>
      <c r="Q11">
        <f t="shared" si="0"/>
        <v>1000000</v>
      </c>
      <c r="R11">
        <f t="shared" si="0"/>
        <v>1000000</v>
      </c>
      <c r="S11">
        <f t="shared" si="0"/>
        <v>1000000</v>
      </c>
      <c r="T11">
        <f t="shared" si="0"/>
        <v>1000000</v>
      </c>
      <c r="U11">
        <f t="shared" si="0"/>
        <v>1000000</v>
      </c>
      <c r="V11">
        <f t="shared" si="0"/>
        <v>1000000</v>
      </c>
      <c r="W11">
        <f t="shared" si="0"/>
        <v>1000000</v>
      </c>
      <c r="X11">
        <f t="shared" si="0"/>
        <v>1000000</v>
      </c>
      <c r="Y11">
        <f t="shared" si="0"/>
        <v>1000000</v>
      </c>
      <c r="Z11">
        <f t="shared" si="0"/>
        <v>1000000</v>
      </c>
      <c r="AA11">
        <f t="shared" si="0"/>
        <v>1000000</v>
      </c>
      <c r="AB11">
        <f t="shared" si="0"/>
        <v>1000000</v>
      </c>
      <c r="AC11">
        <f t="shared" si="0"/>
        <v>1000000</v>
      </c>
      <c r="AD11">
        <f t="shared" si="0"/>
        <v>1000000</v>
      </c>
      <c r="AE11">
        <f t="shared" si="0"/>
        <v>1000000</v>
      </c>
      <c r="AF11">
        <f t="shared" si="0"/>
        <v>1000000</v>
      </c>
    </row>
    <row r="12" spans="1:32" x14ac:dyDescent="0.25">
      <c r="A12" t="s">
        <v>113</v>
      </c>
      <c r="B12">
        <f>B11/(1+'Study Parameters'!$C$3)^'NPV DAC CAPEX'!B1</f>
        <v>0</v>
      </c>
      <c r="C12">
        <f>C11/(1+'Study Parameters'!$C$3)^'NPV DAC CAPEX'!C1</f>
        <v>925925.92592592584</v>
      </c>
      <c r="D12">
        <f>D11/(1+'Study Parameters'!$C$3)^'NPV DAC CAPEX'!D1</f>
        <v>857338.82030178315</v>
      </c>
      <c r="E12">
        <f>E11/(1+'Study Parameters'!$C$3)^'NPV DAC CAPEX'!E1</f>
        <v>793832.24102016957</v>
      </c>
      <c r="F12">
        <f>F11/(1+'Study Parameters'!$C$3)^'NPV DAC CAPEX'!F1</f>
        <v>735029.85279645328</v>
      </c>
      <c r="G12">
        <f>G11/(1+'Study Parameters'!$C$3)^'NPV DAC CAPEX'!G1</f>
        <v>680583.19703375304</v>
      </c>
      <c r="H12">
        <f>H11/(1+'Study Parameters'!$C$3)^'NPV DAC CAPEX'!H1</f>
        <v>630169.62688310456</v>
      </c>
      <c r="I12">
        <f>I11/(1+'Study Parameters'!$C$3)^'NPV DAC CAPEX'!I1</f>
        <v>583490.3952621338</v>
      </c>
      <c r="J12">
        <f>J11/(1+'Study Parameters'!$C$3)^'NPV DAC CAPEX'!J1</f>
        <v>540268.88450197573</v>
      </c>
      <c r="K12">
        <f>K11/(1+'Study Parameters'!$C$3)^'NPV DAC CAPEX'!K1</f>
        <v>500248.96713145898</v>
      </c>
      <c r="L12">
        <f>L11/(1+'Study Parameters'!$C$3)^'NPV DAC CAPEX'!L1</f>
        <v>463193.48808468424</v>
      </c>
      <c r="M12">
        <f>M11/(1+'Study Parameters'!$C$3)^'NPV DAC CAPEX'!M1</f>
        <v>428882.85933767061</v>
      </c>
      <c r="N12">
        <f>N11/(1+'Study Parameters'!$C$3)^'NPV DAC CAPEX'!N1</f>
        <v>397113.75864599127</v>
      </c>
      <c r="O12">
        <f>O11/(1+'Study Parameters'!$C$3)^'NPV DAC CAPEX'!O1</f>
        <v>367697.92467221414</v>
      </c>
      <c r="P12">
        <f>P11/(1+'Study Parameters'!$C$3)^'NPV DAC CAPEX'!P1</f>
        <v>340461.04136316117</v>
      </c>
      <c r="Q12">
        <f>Q11/(1+'Study Parameters'!$C$3)^'NPV DAC CAPEX'!Q1</f>
        <v>315241.70496588998</v>
      </c>
      <c r="R12">
        <f>R11/(1+'Study Parameters'!$C$3)^'NPV DAC CAPEX'!R1</f>
        <v>291890.46756100922</v>
      </c>
      <c r="S12">
        <f>S11/(1+'Study Parameters'!$C$3)^'NPV DAC CAPEX'!S1</f>
        <v>270268.95144537889</v>
      </c>
      <c r="T12">
        <f>T11/(1+'Study Parameters'!$C$3)^'NPV DAC CAPEX'!T1</f>
        <v>250249.02911609155</v>
      </c>
      <c r="U12">
        <f>U11/(1+'Study Parameters'!$C$3)^'NPV DAC CAPEX'!U1</f>
        <v>231712.06399638104</v>
      </c>
      <c r="V12">
        <f>V11/(1+'Study Parameters'!$C$3)^'NPV DAC CAPEX'!V1</f>
        <v>214548.20740405653</v>
      </c>
      <c r="W12">
        <f>W11/(1+'Study Parameters'!$C$3)^'NPV DAC CAPEX'!W1</f>
        <v>198655.74759634864</v>
      </c>
      <c r="X12">
        <f>X11/(1+'Study Parameters'!$C$3)^'NPV DAC CAPEX'!X1</f>
        <v>183940.50703365612</v>
      </c>
      <c r="Y12">
        <f>Y11/(1+'Study Parameters'!$C$3)^'NPV DAC CAPEX'!Y1</f>
        <v>170315.28429042234</v>
      </c>
      <c r="Z12">
        <f>Z11/(1+'Study Parameters'!$C$3)^'NPV DAC CAPEX'!Z1</f>
        <v>157699.3373059466</v>
      </c>
      <c r="AA12">
        <f>AA11/(1+'Study Parameters'!$C$3)^'NPV DAC CAPEX'!AA1</f>
        <v>146017.90491291351</v>
      </c>
      <c r="AB12">
        <f>AB11/(1+'Study Parameters'!$C$3)^'NPV DAC CAPEX'!AB1</f>
        <v>135201.76380825325</v>
      </c>
      <c r="AC12">
        <f>AC11/(1+'Study Parameters'!$C$3)^'NPV DAC CAPEX'!AC1</f>
        <v>125186.81834097522</v>
      </c>
      <c r="AD12">
        <f>AD11/(1+'Study Parameters'!$C$3)^'NPV DAC CAPEX'!AD1</f>
        <v>115913.72068608817</v>
      </c>
      <c r="AE12">
        <f>AE11/(1+'Study Parameters'!$C$3)^'NPV DAC CAPEX'!AE1</f>
        <v>107327.51915378534</v>
      </c>
      <c r="AF12">
        <f>AF11/(1+'Study Parameters'!$C$3)^'NPV DAC CAPEX'!AF1</f>
        <v>99377.332549801227</v>
      </c>
    </row>
    <row r="14" spans="1:32" x14ac:dyDescent="0.25">
      <c r="A14" t="s">
        <v>48</v>
      </c>
      <c r="B14">
        <f>(SUM(B4:AF4) * 10^6) / SUM(B12:AF12)</f>
        <v>570.54557509493065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6"/>
  <sheetViews>
    <sheetView workbookViewId="0">
      <selection activeCell="T21" sqref="T21"/>
    </sheetView>
  </sheetViews>
  <sheetFormatPr defaultColWidth="11.25" defaultRowHeight="15.75" x14ac:dyDescent="0.25"/>
  <cols>
    <col min="1" max="1" width="20.75" bestFit="1" customWidth="1"/>
    <col min="2" max="2" width="17.25" bestFit="1" customWidth="1"/>
    <col min="5" max="5" width="19" bestFit="1" customWidth="1"/>
    <col min="19" max="19" width="20.75" bestFit="1" customWidth="1"/>
  </cols>
  <sheetData>
    <row r="1" spans="1:35" x14ac:dyDescent="0.25">
      <c r="A1" s="27" t="s">
        <v>114</v>
      </c>
      <c r="B1" s="25"/>
      <c r="C1" s="25"/>
      <c r="D1" s="25"/>
      <c r="E1" s="26"/>
      <c r="G1" s="27" t="s">
        <v>115</v>
      </c>
      <c r="H1" s="25"/>
      <c r="I1" s="25"/>
      <c r="J1" s="25"/>
      <c r="K1" s="26"/>
      <c r="M1" s="27" t="s">
        <v>116</v>
      </c>
      <c r="N1" s="25"/>
      <c r="O1" s="25"/>
      <c r="P1" s="25"/>
      <c r="Q1" s="26"/>
      <c r="S1" s="27" t="s">
        <v>117</v>
      </c>
      <c r="T1" s="25"/>
      <c r="U1" s="25"/>
      <c r="V1" s="25"/>
      <c r="W1" s="26"/>
      <c r="Y1" s="27" t="s">
        <v>118</v>
      </c>
      <c r="Z1" s="25"/>
      <c r="AA1" s="25"/>
      <c r="AB1" s="25"/>
      <c r="AC1" s="26"/>
      <c r="AE1" s="27" t="s">
        <v>119</v>
      </c>
      <c r="AF1" s="25"/>
      <c r="AG1" s="25"/>
      <c r="AH1" s="25"/>
      <c r="AI1" s="26"/>
    </row>
    <row r="2" spans="1:35" x14ac:dyDescent="0.25">
      <c r="A2" s="24" t="s">
        <v>120</v>
      </c>
      <c r="B2" s="25"/>
      <c r="C2" s="25"/>
      <c r="D2" s="25"/>
      <c r="E2" s="26"/>
      <c r="G2" s="24" t="s">
        <v>120</v>
      </c>
      <c r="H2" s="25"/>
      <c r="I2" s="25"/>
      <c r="J2" s="25"/>
      <c r="K2" s="26"/>
      <c r="M2" s="24" t="s">
        <v>120</v>
      </c>
      <c r="N2" s="25"/>
      <c r="O2" s="25"/>
      <c r="P2" s="25"/>
      <c r="Q2" s="26"/>
      <c r="S2" s="24" t="s">
        <v>120</v>
      </c>
      <c r="T2" s="25"/>
      <c r="U2" s="25"/>
      <c r="V2" s="25"/>
      <c r="W2" s="26"/>
      <c r="Y2" s="24" t="s">
        <v>120</v>
      </c>
      <c r="Z2" s="25"/>
      <c r="AA2" s="25"/>
      <c r="AB2" s="25"/>
      <c r="AC2" s="26"/>
      <c r="AE2" s="24" t="s">
        <v>120</v>
      </c>
      <c r="AF2" s="25"/>
      <c r="AG2" s="25"/>
      <c r="AH2" s="25"/>
      <c r="AI2" s="26"/>
    </row>
    <row r="3" spans="1:35" x14ac:dyDescent="0.25">
      <c r="A3" s="9" t="s">
        <v>121</v>
      </c>
      <c r="B3" s="9" t="s">
        <v>22</v>
      </c>
      <c r="C3" s="9" t="s">
        <v>23</v>
      </c>
      <c r="D3" s="9" t="s">
        <v>51</v>
      </c>
      <c r="E3" s="9" t="s">
        <v>2</v>
      </c>
      <c r="G3" s="9" t="s">
        <v>121</v>
      </c>
      <c r="H3" s="9" t="s">
        <v>22</v>
      </c>
      <c r="I3" s="9" t="s">
        <v>23</v>
      </c>
      <c r="J3" s="9" t="s">
        <v>51</v>
      </c>
      <c r="K3" s="9" t="s">
        <v>2</v>
      </c>
      <c r="M3" s="9" t="s">
        <v>121</v>
      </c>
      <c r="N3" s="9" t="s">
        <v>22</v>
      </c>
      <c r="O3" s="9" t="s">
        <v>23</v>
      </c>
      <c r="P3" s="9" t="s">
        <v>51</v>
      </c>
      <c r="Q3" s="9" t="s">
        <v>2</v>
      </c>
      <c r="S3" s="9" t="s">
        <v>121</v>
      </c>
      <c r="T3" s="9" t="s">
        <v>22</v>
      </c>
      <c r="U3" s="9" t="s">
        <v>23</v>
      </c>
      <c r="V3" s="9" t="s">
        <v>51</v>
      </c>
      <c r="W3" s="9" t="s">
        <v>2</v>
      </c>
      <c r="Y3" s="9" t="s">
        <v>121</v>
      </c>
      <c r="Z3" s="9" t="s">
        <v>22</v>
      </c>
      <c r="AA3" s="9" t="s">
        <v>23</v>
      </c>
      <c r="AB3" s="9" t="s">
        <v>51</v>
      </c>
      <c r="AC3" s="9" t="s">
        <v>2</v>
      </c>
      <c r="AE3" s="9" t="s">
        <v>121</v>
      </c>
      <c r="AF3" s="9" t="s">
        <v>22</v>
      </c>
      <c r="AG3" s="9" t="s">
        <v>23</v>
      </c>
      <c r="AH3" s="9" t="s">
        <v>51</v>
      </c>
      <c r="AI3" s="9" t="s">
        <v>2</v>
      </c>
    </row>
    <row r="4" spans="1:35" x14ac:dyDescent="0.25">
      <c r="A4" s="9" t="s">
        <v>122</v>
      </c>
      <c r="B4" s="9">
        <v>480</v>
      </c>
      <c r="C4" s="9" t="s">
        <v>88</v>
      </c>
      <c r="D4" s="9" t="s">
        <v>123</v>
      </c>
      <c r="E4" s="9"/>
      <c r="G4" s="9" t="s">
        <v>122</v>
      </c>
      <c r="H4" s="9">
        <v>480</v>
      </c>
      <c r="I4" s="9" t="s">
        <v>88</v>
      </c>
      <c r="J4" s="9" t="s">
        <v>123</v>
      </c>
      <c r="K4" s="9"/>
      <c r="M4" s="9" t="s">
        <v>124</v>
      </c>
      <c r="N4" s="9">
        <v>750</v>
      </c>
      <c r="O4" s="9" t="s">
        <v>88</v>
      </c>
      <c r="P4" s="9" t="s">
        <v>123</v>
      </c>
      <c r="Q4" s="9"/>
      <c r="S4" s="9" t="s">
        <v>122</v>
      </c>
      <c r="T4" s="9">
        <v>230</v>
      </c>
      <c r="U4" s="9" t="s">
        <v>88</v>
      </c>
      <c r="V4" s="9" t="s">
        <v>123</v>
      </c>
      <c r="W4" s="9"/>
      <c r="Y4" s="9" t="s">
        <v>122</v>
      </c>
      <c r="Z4" s="9">
        <v>230</v>
      </c>
      <c r="AA4" s="9" t="s">
        <v>88</v>
      </c>
      <c r="AB4" s="9" t="s">
        <v>123</v>
      </c>
      <c r="AC4" s="9"/>
      <c r="AE4" s="9" t="s">
        <v>125</v>
      </c>
      <c r="AF4" s="9">
        <v>175</v>
      </c>
      <c r="AG4" s="9" t="s">
        <v>88</v>
      </c>
      <c r="AH4" s="9" t="s">
        <v>123</v>
      </c>
      <c r="AI4" s="9"/>
    </row>
    <row r="5" spans="1:35" x14ac:dyDescent="0.25">
      <c r="A5" s="9" t="s">
        <v>126</v>
      </c>
      <c r="B5" s="17">
        <f>SUM('NPV DAC CAPEX'!$B$4:$AF$4)</f>
        <v>6423.0784717987963</v>
      </c>
      <c r="C5" s="9" t="s">
        <v>88</v>
      </c>
      <c r="D5" s="9" t="s">
        <v>123</v>
      </c>
      <c r="E5" s="9"/>
      <c r="G5" s="9" t="s">
        <v>126</v>
      </c>
      <c r="H5" s="17">
        <f>SUM('NPV DAC CAPEX'!$B$4:$AF$4)</f>
        <v>6423.0784717987963</v>
      </c>
      <c r="I5" s="9" t="s">
        <v>88</v>
      </c>
      <c r="J5" s="9" t="s">
        <v>123</v>
      </c>
      <c r="K5" s="9"/>
      <c r="M5" s="9" t="s">
        <v>126</v>
      </c>
      <c r="N5" s="17">
        <f>SUM('NPV DAC CAPEX'!$B$4:$AF$4)</f>
        <v>6423.0784717987963</v>
      </c>
      <c r="O5" s="9" t="s">
        <v>88</v>
      </c>
      <c r="P5" s="9" t="s">
        <v>123</v>
      </c>
      <c r="Q5" s="9"/>
      <c r="S5" s="9" t="s">
        <v>126</v>
      </c>
      <c r="T5" s="9">
        <f>SUM('NPV DAC CAPEX'!$B$8:$AF$8)</f>
        <v>2451.5566686254956</v>
      </c>
      <c r="U5" s="9" t="s">
        <v>88</v>
      </c>
      <c r="V5" s="9" t="s">
        <v>123</v>
      </c>
      <c r="W5" s="9"/>
      <c r="Y5" s="9" t="s">
        <v>126</v>
      </c>
      <c r="Z5" s="9">
        <f>SUM('NPV DAC CAPEX'!$B$8:$AF$8)</f>
        <v>2451.5566686254956</v>
      </c>
      <c r="AA5" s="9" t="s">
        <v>88</v>
      </c>
      <c r="AB5" s="9" t="s">
        <v>123</v>
      </c>
      <c r="AC5" s="9"/>
      <c r="AE5" s="9" t="s">
        <v>126</v>
      </c>
      <c r="AF5" s="9">
        <f>SUM('NPV DAC CAPEX'!$B$8:$AF$8)</f>
        <v>2451.5566686254956</v>
      </c>
      <c r="AG5" s="9" t="s">
        <v>88</v>
      </c>
      <c r="AH5" s="9" t="s">
        <v>123</v>
      </c>
      <c r="AI5" s="9"/>
    </row>
    <row r="6" spans="1:35" x14ac:dyDescent="0.25">
      <c r="A6" s="9" t="s">
        <v>127</v>
      </c>
      <c r="B6" s="9">
        <v>620</v>
      </c>
      <c r="C6" s="9" t="s">
        <v>88</v>
      </c>
      <c r="D6" s="9" t="s">
        <v>123</v>
      </c>
      <c r="E6" s="9"/>
      <c r="G6" s="9" t="s">
        <v>127</v>
      </c>
      <c r="H6" s="9">
        <v>620</v>
      </c>
      <c r="I6" s="9" t="s">
        <v>88</v>
      </c>
      <c r="J6" s="9" t="s">
        <v>123</v>
      </c>
      <c r="K6" s="9"/>
      <c r="M6" s="9" t="s">
        <v>127</v>
      </c>
      <c r="N6" s="9">
        <v>620</v>
      </c>
      <c r="O6" s="9" t="s">
        <v>88</v>
      </c>
      <c r="P6" s="9" t="s">
        <v>123</v>
      </c>
      <c r="Q6" s="9"/>
      <c r="S6" s="9" t="s">
        <v>127</v>
      </c>
      <c r="T6" s="9">
        <v>620</v>
      </c>
      <c r="U6" s="9" t="s">
        <v>88</v>
      </c>
      <c r="V6" s="9" t="s">
        <v>123</v>
      </c>
      <c r="W6" s="9"/>
      <c r="Y6" s="9" t="s">
        <v>127</v>
      </c>
      <c r="Z6" s="9">
        <v>620</v>
      </c>
      <c r="AA6" s="9" t="s">
        <v>88</v>
      </c>
      <c r="AB6" s="9" t="s">
        <v>123</v>
      </c>
      <c r="AC6" s="9"/>
      <c r="AE6" s="9" t="s">
        <v>127</v>
      </c>
      <c r="AF6" s="9">
        <v>620</v>
      </c>
      <c r="AG6" s="9" t="s">
        <v>88</v>
      </c>
      <c r="AH6" s="9" t="s">
        <v>123</v>
      </c>
      <c r="AI6" s="9"/>
    </row>
    <row r="7" spans="1:35" x14ac:dyDescent="0.25">
      <c r="A7" s="9" t="s">
        <v>128</v>
      </c>
      <c r="B7" s="9">
        <v>177</v>
      </c>
      <c r="C7" s="9" t="s">
        <v>88</v>
      </c>
      <c r="D7" s="9"/>
      <c r="E7" s="9"/>
      <c r="G7" s="9" t="s">
        <v>128</v>
      </c>
      <c r="H7" s="9">
        <v>177</v>
      </c>
      <c r="I7" s="9" t="s">
        <v>88</v>
      </c>
      <c r="J7" s="9"/>
      <c r="K7" s="9"/>
      <c r="M7" s="9" t="s">
        <v>129</v>
      </c>
      <c r="N7" s="9">
        <f>'Study Parameters'!C53*'Cost Components'!N4</f>
        <v>375</v>
      </c>
      <c r="O7" s="9" t="s">
        <v>88</v>
      </c>
      <c r="P7" s="9"/>
      <c r="Q7" s="9"/>
      <c r="S7" s="9" t="s">
        <v>128</v>
      </c>
      <c r="T7" s="9">
        <f>'Study Parameters'!$C$50*'Cost Components'!T4</f>
        <v>69</v>
      </c>
      <c r="U7" s="9" t="s">
        <v>88</v>
      </c>
      <c r="V7" s="9"/>
      <c r="W7" s="9" t="s">
        <v>130</v>
      </c>
      <c r="Y7" s="9" t="s">
        <v>128</v>
      </c>
      <c r="Z7" s="9">
        <f>'Study Parameters'!$C$50*'Cost Components'!Z4</f>
        <v>69</v>
      </c>
      <c r="AA7" s="9" t="s">
        <v>88</v>
      </c>
      <c r="AB7" s="9"/>
      <c r="AC7" s="9" t="s">
        <v>130</v>
      </c>
      <c r="AE7" s="9" t="s">
        <v>131</v>
      </c>
      <c r="AF7" s="9">
        <f>'Study Parameters'!C54*'Cost Components'!AF4</f>
        <v>70</v>
      </c>
      <c r="AG7" s="9" t="s">
        <v>88</v>
      </c>
      <c r="AH7" s="9"/>
      <c r="AI7" s="9" t="s">
        <v>130</v>
      </c>
    </row>
    <row r="8" spans="1:35" s="1" customFormat="1" x14ac:dyDescent="0.25">
      <c r="A8" s="12" t="s">
        <v>132</v>
      </c>
      <c r="B8" s="12">
        <f>SUM(B4:B6)</f>
        <v>7523.0784717987963</v>
      </c>
      <c r="C8" s="12" t="s">
        <v>88</v>
      </c>
      <c r="D8" s="12"/>
      <c r="E8" s="12"/>
      <c r="G8" s="12" t="s">
        <v>132</v>
      </c>
      <c r="H8" s="12">
        <f>SUM(H4:H6)</f>
        <v>7523.0784717987963</v>
      </c>
      <c r="I8" s="12" t="s">
        <v>88</v>
      </c>
      <c r="J8" s="12"/>
      <c r="K8" s="12"/>
      <c r="M8" s="12" t="s">
        <v>132</v>
      </c>
      <c r="N8" s="12">
        <f>SUM(N4:N6)</f>
        <v>7793.0784717987963</v>
      </c>
      <c r="O8" s="12" t="s">
        <v>88</v>
      </c>
      <c r="P8" s="12"/>
      <c r="Q8" s="12"/>
      <c r="S8" s="12" t="s">
        <v>132</v>
      </c>
      <c r="T8" s="12">
        <f>SUM(T4:T6)</f>
        <v>3301.5566686254956</v>
      </c>
      <c r="U8" s="12" t="s">
        <v>88</v>
      </c>
      <c r="V8" s="12"/>
      <c r="W8" s="12"/>
      <c r="Y8" s="12" t="s">
        <v>132</v>
      </c>
      <c r="Z8" s="12">
        <f>SUM(Z4:Z6)</f>
        <v>3301.5566686254956</v>
      </c>
      <c r="AA8" s="12" t="s">
        <v>88</v>
      </c>
      <c r="AB8" s="12"/>
      <c r="AC8" s="12"/>
      <c r="AE8" s="12" t="s">
        <v>132</v>
      </c>
      <c r="AF8" s="12">
        <f>SUM(AF4:AF6)</f>
        <v>3246.5566686254956</v>
      </c>
      <c r="AG8" s="12" t="s">
        <v>88</v>
      </c>
      <c r="AH8" s="12"/>
      <c r="AI8" s="12"/>
    </row>
    <row r="10" spans="1:35" x14ac:dyDescent="0.25">
      <c r="A10" s="24" t="s">
        <v>133</v>
      </c>
      <c r="B10" s="25"/>
      <c r="C10" s="25"/>
      <c r="D10" s="25"/>
      <c r="E10" s="26"/>
      <c r="G10" s="24" t="s">
        <v>133</v>
      </c>
      <c r="H10" s="25"/>
      <c r="I10" s="25"/>
      <c r="J10" s="25"/>
      <c r="K10" s="26"/>
      <c r="M10" s="24" t="s">
        <v>133</v>
      </c>
      <c r="N10" s="25"/>
      <c r="O10" s="25"/>
      <c r="P10" s="25"/>
      <c r="Q10" s="26"/>
      <c r="S10" s="24" t="s">
        <v>133</v>
      </c>
      <c r="T10" s="25"/>
      <c r="U10" s="25"/>
      <c r="V10" s="25"/>
      <c r="W10" s="26"/>
      <c r="Y10" s="24" t="s">
        <v>133</v>
      </c>
      <c r="Z10" s="25"/>
      <c r="AA10" s="25"/>
      <c r="AB10" s="25"/>
      <c r="AC10" s="26"/>
      <c r="AE10" s="24" t="s">
        <v>133</v>
      </c>
      <c r="AF10" s="25"/>
      <c r="AG10" s="25"/>
      <c r="AH10" s="25"/>
      <c r="AI10" s="26"/>
    </row>
    <row r="11" spans="1:35" x14ac:dyDescent="0.25">
      <c r="A11" s="9" t="s">
        <v>121</v>
      </c>
      <c r="B11" s="9" t="s">
        <v>22</v>
      </c>
      <c r="C11" s="9" t="s">
        <v>23</v>
      </c>
      <c r="D11" s="9" t="s">
        <v>51</v>
      </c>
      <c r="E11" s="9" t="s">
        <v>2</v>
      </c>
      <c r="G11" s="9" t="s">
        <v>121</v>
      </c>
      <c r="H11" s="9" t="s">
        <v>22</v>
      </c>
      <c r="I11" s="9" t="s">
        <v>23</v>
      </c>
      <c r="J11" s="9" t="s">
        <v>51</v>
      </c>
      <c r="K11" s="9" t="s">
        <v>2</v>
      </c>
      <c r="M11" s="9" t="s">
        <v>121</v>
      </c>
      <c r="N11" s="9" t="s">
        <v>22</v>
      </c>
      <c r="O11" s="9" t="s">
        <v>23</v>
      </c>
      <c r="P11" s="9" t="s">
        <v>51</v>
      </c>
      <c r="Q11" s="9" t="s">
        <v>2</v>
      </c>
      <c r="S11" s="9" t="s">
        <v>121</v>
      </c>
      <c r="T11" s="9" t="s">
        <v>22</v>
      </c>
      <c r="U11" s="9" t="s">
        <v>23</v>
      </c>
      <c r="V11" s="9" t="s">
        <v>51</v>
      </c>
      <c r="W11" s="9" t="s">
        <v>2</v>
      </c>
      <c r="Y11" s="9" t="s">
        <v>121</v>
      </c>
      <c r="Z11" s="9" t="s">
        <v>22</v>
      </c>
      <c r="AA11" s="9" t="s">
        <v>23</v>
      </c>
      <c r="AB11" s="9" t="s">
        <v>51</v>
      </c>
      <c r="AC11" s="9" t="s">
        <v>2</v>
      </c>
      <c r="AE11" s="9" t="s">
        <v>121</v>
      </c>
      <c r="AF11" s="9" t="s">
        <v>22</v>
      </c>
      <c r="AG11" s="9" t="s">
        <v>23</v>
      </c>
      <c r="AH11" s="9" t="s">
        <v>51</v>
      </c>
      <c r="AI11" s="9" t="s">
        <v>2</v>
      </c>
    </row>
    <row r="12" spans="1:35" x14ac:dyDescent="0.25">
      <c r="A12" s="9" t="s">
        <v>29</v>
      </c>
      <c r="B12" s="9">
        <v>700</v>
      </c>
      <c r="C12" s="9" t="s">
        <v>134</v>
      </c>
      <c r="D12" s="9" t="s">
        <v>135</v>
      </c>
      <c r="E12" s="9"/>
      <c r="G12" s="9" t="s">
        <v>29</v>
      </c>
      <c r="H12" s="9">
        <v>510</v>
      </c>
      <c r="I12" s="9" t="s">
        <v>134</v>
      </c>
      <c r="J12" s="9" t="s">
        <v>135</v>
      </c>
      <c r="K12" s="9"/>
      <c r="M12" s="9" t="s">
        <v>29</v>
      </c>
      <c r="N12" s="9">
        <v>380</v>
      </c>
      <c r="O12" s="9" t="s">
        <v>134</v>
      </c>
      <c r="P12" s="9" t="s">
        <v>135</v>
      </c>
      <c r="Q12" s="9"/>
      <c r="S12" s="9" t="s">
        <v>29</v>
      </c>
      <c r="T12" s="9">
        <v>253</v>
      </c>
      <c r="U12" s="9" t="s">
        <v>134</v>
      </c>
      <c r="V12" s="9" t="s">
        <v>135</v>
      </c>
      <c r="W12" s="9"/>
      <c r="Y12" s="9" t="s">
        <v>29</v>
      </c>
      <c r="Z12" s="9">
        <v>184</v>
      </c>
      <c r="AA12" s="9" t="s">
        <v>134</v>
      </c>
      <c r="AB12" s="9" t="s">
        <v>135</v>
      </c>
      <c r="AC12" s="9"/>
      <c r="AE12" s="9" t="s">
        <v>29</v>
      </c>
      <c r="AF12" s="9">
        <v>155</v>
      </c>
      <c r="AG12" s="9" t="s">
        <v>134</v>
      </c>
      <c r="AH12" s="9" t="s">
        <v>135</v>
      </c>
      <c r="AI12" s="9"/>
    </row>
    <row r="13" spans="1:35" x14ac:dyDescent="0.25">
      <c r="A13" s="9" t="s">
        <v>136</v>
      </c>
      <c r="B13" s="9">
        <v>44.2</v>
      </c>
      <c r="C13" s="9" t="s">
        <v>134</v>
      </c>
      <c r="D13" s="9" t="s">
        <v>135</v>
      </c>
      <c r="E13" s="9"/>
      <c r="G13" s="9" t="s">
        <v>136</v>
      </c>
      <c r="H13" s="9">
        <v>44.2</v>
      </c>
      <c r="I13" s="9" t="s">
        <v>134</v>
      </c>
      <c r="J13" s="9" t="s">
        <v>135</v>
      </c>
      <c r="K13" s="9"/>
      <c r="M13" s="9" t="s">
        <v>136</v>
      </c>
      <c r="N13" s="9">
        <v>55</v>
      </c>
      <c r="O13" s="9" t="s">
        <v>134</v>
      </c>
      <c r="P13" s="9" t="s">
        <v>135</v>
      </c>
      <c r="Q13" s="9"/>
      <c r="S13" s="9" t="s">
        <v>136</v>
      </c>
      <c r="T13" s="9">
        <v>25</v>
      </c>
      <c r="U13" s="9" t="s">
        <v>134</v>
      </c>
      <c r="V13" s="9" t="s">
        <v>135</v>
      </c>
      <c r="W13" s="9"/>
      <c r="Y13" s="9" t="s">
        <v>136</v>
      </c>
      <c r="Z13" s="9">
        <v>25</v>
      </c>
      <c r="AA13" s="9" t="s">
        <v>134</v>
      </c>
      <c r="AB13" s="9" t="s">
        <v>135</v>
      </c>
      <c r="AC13" s="9"/>
      <c r="AE13" s="9" t="s">
        <v>136</v>
      </c>
      <c r="AF13" s="9">
        <v>27</v>
      </c>
      <c r="AG13" s="9" t="s">
        <v>134</v>
      </c>
      <c r="AH13" s="9" t="s">
        <v>135</v>
      </c>
      <c r="AI13" s="9"/>
    </row>
    <row r="14" spans="1:35" x14ac:dyDescent="0.25">
      <c r="A14" s="9" t="s">
        <v>137</v>
      </c>
      <c r="B14" s="9">
        <v>14.7</v>
      </c>
      <c r="C14" s="9" t="s">
        <v>134</v>
      </c>
      <c r="D14" s="9" t="s">
        <v>135</v>
      </c>
      <c r="E14" s="9"/>
      <c r="G14" s="9" t="s">
        <v>137</v>
      </c>
      <c r="H14" s="9">
        <v>14.7</v>
      </c>
      <c r="I14" s="9" t="s">
        <v>134</v>
      </c>
      <c r="J14" s="9" t="s">
        <v>135</v>
      </c>
      <c r="K14" s="9"/>
      <c r="M14" s="9" t="s">
        <v>137</v>
      </c>
      <c r="N14" s="9">
        <v>9.8000000000000007</v>
      </c>
      <c r="O14" s="9" t="s">
        <v>134</v>
      </c>
      <c r="P14" s="9" t="s">
        <v>135</v>
      </c>
      <c r="Q14" s="9"/>
      <c r="S14" s="9" t="s">
        <v>137</v>
      </c>
      <c r="T14" s="9">
        <v>25</v>
      </c>
      <c r="U14" s="9" t="s">
        <v>134</v>
      </c>
      <c r="V14" s="9" t="s">
        <v>135</v>
      </c>
      <c r="W14" s="9"/>
      <c r="Y14" s="9" t="s">
        <v>137</v>
      </c>
      <c r="Z14" s="9">
        <v>26</v>
      </c>
      <c r="AA14" s="9" t="s">
        <v>134</v>
      </c>
      <c r="AB14" s="9" t="s">
        <v>135</v>
      </c>
      <c r="AC14" s="9"/>
      <c r="AE14" s="9" t="s">
        <v>137</v>
      </c>
      <c r="AF14" s="9">
        <v>6</v>
      </c>
      <c r="AG14" s="9" t="s">
        <v>134</v>
      </c>
      <c r="AH14" s="9" t="s">
        <v>135</v>
      </c>
      <c r="AI14" s="9"/>
    </row>
    <row r="15" spans="1:35" x14ac:dyDescent="0.25">
      <c r="A15" s="9" t="s">
        <v>138</v>
      </c>
      <c r="B15" s="9">
        <v>121.6</v>
      </c>
      <c r="C15" s="9" t="s">
        <v>134</v>
      </c>
      <c r="D15" s="9" t="s">
        <v>135</v>
      </c>
      <c r="E15" s="9"/>
      <c r="G15" s="9" t="s">
        <v>138</v>
      </c>
      <c r="H15" s="9">
        <v>121.6</v>
      </c>
      <c r="I15" s="9" t="s">
        <v>134</v>
      </c>
      <c r="J15" s="9" t="s">
        <v>135</v>
      </c>
      <c r="K15" s="9"/>
      <c r="M15" s="9" t="s">
        <v>138</v>
      </c>
      <c r="N15" s="9">
        <v>141</v>
      </c>
      <c r="O15" s="9" t="s">
        <v>134</v>
      </c>
      <c r="P15" s="9" t="s">
        <v>135</v>
      </c>
      <c r="Q15" s="9"/>
      <c r="S15" s="9" t="s">
        <v>138</v>
      </c>
      <c r="T15" s="9">
        <v>90</v>
      </c>
      <c r="U15" s="9" t="s">
        <v>134</v>
      </c>
      <c r="V15" s="9" t="s">
        <v>135</v>
      </c>
      <c r="W15" s="9"/>
      <c r="Y15" s="9" t="s">
        <v>138</v>
      </c>
      <c r="Z15" s="9">
        <v>90</v>
      </c>
      <c r="AA15" s="9" t="s">
        <v>134</v>
      </c>
      <c r="AB15" s="9" t="s">
        <v>135</v>
      </c>
      <c r="AC15" s="9"/>
      <c r="AE15" s="9" t="s">
        <v>138</v>
      </c>
      <c r="AF15" s="9">
        <v>90</v>
      </c>
      <c r="AG15" s="9" t="s">
        <v>134</v>
      </c>
      <c r="AH15" s="9" t="s">
        <v>135</v>
      </c>
      <c r="AI15" s="9"/>
    </row>
    <row r="16" spans="1:35" s="1" customFormat="1" x14ac:dyDescent="0.25">
      <c r="A16" s="12" t="s">
        <v>139</v>
      </c>
      <c r="B16" s="12">
        <f>SUM(B12:B15)</f>
        <v>880.50000000000011</v>
      </c>
      <c r="C16" s="12"/>
      <c r="D16" s="12"/>
      <c r="E16" s="12"/>
      <c r="G16" s="12" t="s">
        <v>139</v>
      </c>
      <c r="H16" s="12">
        <f>SUM(H12:H15)</f>
        <v>690.50000000000011</v>
      </c>
      <c r="I16" s="12"/>
      <c r="J16" s="12"/>
      <c r="K16" s="12"/>
      <c r="M16" s="12" t="s">
        <v>139</v>
      </c>
      <c r="N16" s="12">
        <f>SUM(N12:N15)</f>
        <v>585.79999999999995</v>
      </c>
      <c r="O16" s="12"/>
      <c r="P16" s="12"/>
      <c r="Q16" s="12"/>
      <c r="S16" s="12" t="s">
        <v>139</v>
      </c>
      <c r="T16" s="12">
        <f>SUM(T12:T15)</f>
        <v>393</v>
      </c>
      <c r="U16" s="12"/>
      <c r="V16" s="12"/>
      <c r="W16" s="12"/>
      <c r="Y16" s="12" t="s">
        <v>139</v>
      </c>
      <c r="Z16" s="12">
        <f>SUM(Z12:Z15)</f>
        <v>325</v>
      </c>
      <c r="AA16" s="12"/>
      <c r="AB16" s="12"/>
      <c r="AC16" s="12"/>
      <c r="AE16" s="12" t="s">
        <v>139</v>
      </c>
      <c r="AF16" s="12">
        <f>SUM(AF12:AF15)</f>
        <v>278</v>
      </c>
      <c r="AG16" s="12"/>
      <c r="AH16" s="12"/>
      <c r="AI16" s="12"/>
    </row>
    <row r="18" spans="1:35" x14ac:dyDescent="0.25">
      <c r="A18" s="27" t="s">
        <v>140</v>
      </c>
      <c r="B18" s="25"/>
      <c r="C18" s="25"/>
      <c r="D18" s="25"/>
      <c r="E18" s="26"/>
      <c r="G18" s="27" t="s">
        <v>141</v>
      </c>
      <c r="H18" s="25"/>
      <c r="I18" s="25"/>
      <c r="J18" s="25"/>
      <c r="K18" s="26"/>
      <c r="M18" s="27" t="s">
        <v>142</v>
      </c>
      <c r="N18" s="25"/>
      <c r="O18" s="25"/>
      <c r="P18" s="25"/>
      <c r="Q18" s="26"/>
      <c r="S18" s="27" t="s">
        <v>143</v>
      </c>
      <c r="T18" s="25"/>
      <c r="U18" s="25"/>
      <c r="V18" s="25"/>
      <c r="W18" s="26"/>
      <c r="Y18" s="27" t="s">
        <v>144</v>
      </c>
      <c r="Z18" s="25"/>
      <c r="AA18" s="25"/>
      <c r="AB18" s="25"/>
      <c r="AC18" s="26"/>
      <c r="AE18" s="27" t="s">
        <v>145</v>
      </c>
      <c r="AF18" s="25"/>
      <c r="AG18" s="25"/>
      <c r="AH18" s="25"/>
      <c r="AI18" s="26"/>
    </row>
    <row r="19" spans="1:35" x14ac:dyDescent="0.25">
      <c r="A19" s="24" t="s">
        <v>133</v>
      </c>
      <c r="B19" s="25"/>
      <c r="C19" s="25"/>
      <c r="D19" s="25"/>
      <c r="E19" s="26"/>
      <c r="G19" s="24" t="s">
        <v>133</v>
      </c>
      <c r="H19" s="25"/>
      <c r="I19" s="25"/>
      <c r="J19" s="25"/>
      <c r="K19" s="26"/>
      <c r="M19" s="24" t="s">
        <v>133</v>
      </c>
      <c r="N19" s="25"/>
      <c r="O19" s="25"/>
      <c r="P19" s="25"/>
      <c r="Q19" s="26"/>
      <c r="S19" s="24" t="s">
        <v>133</v>
      </c>
      <c r="T19" s="25"/>
      <c r="U19" s="25"/>
      <c r="V19" s="25"/>
      <c r="W19" s="26"/>
      <c r="Y19" s="24" t="s">
        <v>133</v>
      </c>
      <c r="Z19" s="25"/>
      <c r="AA19" s="25"/>
      <c r="AB19" s="25"/>
      <c r="AC19" s="26"/>
      <c r="AE19" s="24" t="s">
        <v>133</v>
      </c>
      <c r="AF19" s="25"/>
      <c r="AG19" s="25"/>
      <c r="AH19" s="25"/>
      <c r="AI19" s="26"/>
    </row>
    <row r="20" spans="1:35" x14ac:dyDescent="0.25">
      <c r="A20" s="9" t="s">
        <v>121</v>
      </c>
      <c r="B20" s="9" t="s">
        <v>22</v>
      </c>
      <c r="C20" s="9" t="s">
        <v>23</v>
      </c>
      <c r="D20" s="9" t="s">
        <v>51</v>
      </c>
      <c r="E20" s="9" t="s">
        <v>2</v>
      </c>
      <c r="G20" s="9" t="s">
        <v>121</v>
      </c>
      <c r="H20" s="9" t="s">
        <v>22</v>
      </c>
      <c r="I20" s="9" t="s">
        <v>23</v>
      </c>
      <c r="J20" s="9" t="s">
        <v>51</v>
      </c>
      <c r="K20" s="9" t="s">
        <v>2</v>
      </c>
      <c r="M20" s="9" t="s">
        <v>121</v>
      </c>
      <c r="N20" s="9" t="s">
        <v>22</v>
      </c>
      <c r="O20" s="9" t="s">
        <v>23</v>
      </c>
      <c r="P20" s="9" t="s">
        <v>51</v>
      </c>
      <c r="Q20" s="9" t="s">
        <v>2</v>
      </c>
      <c r="S20" s="9" t="s">
        <v>121</v>
      </c>
      <c r="T20" s="9" t="s">
        <v>22</v>
      </c>
      <c r="U20" s="9" t="s">
        <v>23</v>
      </c>
      <c r="V20" s="9" t="s">
        <v>51</v>
      </c>
      <c r="W20" s="9" t="s">
        <v>2</v>
      </c>
      <c r="Y20" s="9" t="s">
        <v>121</v>
      </c>
      <c r="Z20" s="9" t="s">
        <v>22</v>
      </c>
      <c r="AA20" s="9" t="s">
        <v>23</v>
      </c>
      <c r="AB20" s="9" t="s">
        <v>51</v>
      </c>
      <c r="AC20" s="9" t="s">
        <v>2</v>
      </c>
      <c r="AE20" s="9" t="s">
        <v>121</v>
      </c>
      <c r="AF20" s="9" t="s">
        <v>22</v>
      </c>
      <c r="AG20" s="9" t="s">
        <v>23</v>
      </c>
      <c r="AH20" s="9" t="s">
        <v>51</v>
      </c>
      <c r="AI20" s="9" t="s">
        <v>2</v>
      </c>
    </row>
    <row r="21" spans="1:35" x14ac:dyDescent="0.25">
      <c r="A21" s="9" t="s">
        <v>146</v>
      </c>
      <c r="B21" s="14">
        <f>Inputs!$C$8/'Study Parameters'!$C$59 * 'Cost Components'!B12</f>
        <v>379.66101694915255</v>
      </c>
      <c r="C21" s="9" t="s">
        <v>134</v>
      </c>
      <c r="D21" s="9"/>
      <c r="E21" t="s">
        <v>147</v>
      </c>
      <c r="G21" t="s">
        <v>146</v>
      </c>
      <c r="H21">
        <f>Inputs!$C$8/'Study Parameters'!$C$61 * 'Cost Components'!H12</f>
        <v>409.02255639097746</v>
      </c>
      <c r="I21" s="9" t="s">
        <v>134</v>
      </c>
      <c r="K21" t="s">
        <v>147</v>
      </c>
      <c r="M21" t="s">
        <v>146</v>
      </c>
      <c r="N21">
        <f>Inputs!$C$8/'Study Parameters'!$C$61 * 'Cost Components'!N12</f>
        <v>304.76190476190476</v>
      </c>
      <c r="O21" s="9" t="s">
        <v>134</v>
      </c>
      <c r="Q21" t="s">
        <v>147</v>
      </c>
      <c r="S21" t="s">
        <v>146</v>
      </c>
      <c r="T21">
        <f>Inputs!$C$9/'Study Parameters'!$C$60 * 'Cost Components'!T12</f>
        <v>55.660000000000004</v>
      </c>
      <c r="U21" s="9" t="s">
        <v>134</v>
      </c>
      <c r="W21" t="s">
        <v>147</v>
      </c>
      <c r="Y21" t="s">
        <v>146</v>
      </c>
      <c r="Z21">
        <f>Inputs!$C$9/'Study Parameters'!$C$62 * 'Cost Components'!Z12</f>
        <v>53.263157894736842</v>
      </c>
      <c r="AA21" s="9" t="s">
        <v>134</v>
      </c>
      <c r="AC21" t="s">
        <v>147</v>
      </c>
      <c r="AE21" t="s">
        <v>146</v>
      </c>
      <c r="AF21">
        <f>Inputs!$C$9/'Study Parameters'!$C$62 * 'Cost Components'!AF12</f>
        <v>44.868421052631582</v>
      </c>
      <c r="AG21" s="9" t="s">
        <v>134</v>
      </c>
      <c r="AI21" t="s">
        <v>147</v>
      </c>
    </row>
    <row r="22" spans="1:35" s="1" customFormat="1" x14ac:dyDescent="0.25">
      <c r="A22" s="12" t="s">
        <v>148</v>
      </c>
      <c r="B22" s="15">
        <f>B16-B12+B21</f>
        <v>560.16101694915267</v>
      </c>
      <c r="C22" s="12" t="s">
        <v>134</v>
      </c>
      <c r="D22" s="12"/>
      <c r="G22" s="1" t="s">
        <v>148</v>
      </c>
      <c r="H22" s="1">
        <f>H16-H12+H21</f>
        <v>589.52255639097757</v>
      </c>
      <c r="I22" s="12" t="s">
        <v>134</v>
      </c>
      <c r="M22" s="1" t="s">
        <v>148</v>
      </c>
      <c r="N22" s="1">
        <f>N16-N12+N21</f>
        <v>510.56190476190471</v>
      </c>
      <c r="O22" s="12" t="s">
        <v>134</v>
      </c>
      <c r="S22" s="1" t="s">
        <v>148</v>
      </c>
      <c r="T22" s="1">
        <f>T16-T12+T21</f>
        <v>195.66</v>
      </c>
      <c r="U22" s="12" t="s">
        <v>134</v>
      </c>
      <c r="Y22" s="1" t="s">
        <v>148</v>
      </c>
      <c r="Z22" s="1">
        <f>Z16-Z12+Z21</f>
        <v>194.26315789473685</v>
      </c>
      <c r="AA22" s="12" t="s">
        <v>134</v>
      </c>
      <c r="AE22" s="1" t="s">
        <v>148</v>
      </c>
      <c r="AF22" s="1">
        <f>AF16-AF12+AF21</f>
        <v>167.86842105263159</v>
      </c>
      <c r="AG22" s="12" t="s">
        <v>134</v>
      </c>
    </row>
    <row r="23" spans="1:35" s="1" customFormat="1" x14ac:dyDescent="0.25">
      <c r="A23" s="12" t="s">
        <v>149</v>
      </c>
      <c r="B23" s="12">
        <f>B8-B5</f>
        <v>1100</v>
      </c>
      <c r="C23" s="12" t="s">
        <v>88</v>
      </c>
      <c r="D23" s="12"/>
      <c r="E23" s="1" t="s">
        <v>150</v>
      </c>
      <c r="G23" s="1" t="s">
        <v>149</v>
      </c>
      <c r="H23" s="1">
        <f>H8-H5</f>
        <v>1100</v>
      </c>
      <c r="I23" s="1" t="s">
        <v>88</v>
      </c>
      <c r="K23" s="1" t="s">
        <v>150</v>
      </c>
      <c r="M23" s="1" t="s">
        <v>149</v>
      </c>
      <c r="N23" s="1">
        <f>N8-N5</f>
        <v>1370</v>
      </c>
      <c r="O23" s="1" t="s">
        <v>88</v>
      </c>
      <c r="Q23" s="1" t="s">
        <v>150</v>
      </c>
      <c r="S23" s="1" t="s">
        <v>149</v>
      </c>
      <c r="T23" s="1">
        <f>T8-T5</f>
        <v>850</v>
      </c>
      <c r="U23" s="1" t="s">
        <v>88</v>
      </c>
      <c r="W23" s="1" t="s">
        <v>150</v>
      </c>
      <c r="Y23" s="1" t="s">
        <v>149</v>
      </c>
      <c r="Z23" s="1">
        <f>Z8-Z5</f>
        <v>850</v>
      </c>
      <c r="AA23" s="1" t="s">
        <v>88</v>
      </c>
      <c r="AC23" s="1" t="s">
        <v>150</v>
      </c>
      <c r="AE23" s="1" t="s">
        <v>149</v>
      </c>
      <c r="AF23" s="1">
        <f>AF8-AF5</f>
        <v>795</v>
      </c>
      <c r="AG23" s="1" t="s">
        <v>88</v>
      </c>
      <c r="AI23" s="1" t="s">
        <v>150</v>
      </c>
    </row>
    <row r="24" spans="1:35" x14ac:dyDescent="0.25">
      <c r="A24" s="9" t="s">
        <v>151</v>
      </c>
      <c r="B24" s="14">
        <f>(Inputs!$C$32*'Study Parameters'!$C$10*10^6) / 10^6</f>
        <v>1371</v>
      </c>
      <c r="C24" s="9" t="s">
        <v>134</v>
      </c>
      <c r="D24" s="9"/>
      <c r="G24" s="9" t="s">
        <v>151</v>
      </c>
      <c r="H24" s="14">
        <f>(Inputs!$C$32*'Study Parameters'!$C$10*10^6) / 10^6</f>
        <v>1371</v>
      </c>
      <c r="I24" s="9" t="s">
        <v>134</v>
      </c>
      <c r="M24" s="9" t="s">
        <v>151</v>
      </c>
      <c r="N24" s="14">
        <f>(Inputs!$C$32*'Study Parameters'!$C$10*10^6) / 10^6</f>
        <v>1371</v>
      </c>
      <c r="O24" s="9" t="s">
        <v>134</v>
      </c>
      <c r="S24" s="9" t="s">
        <v>151</v>
      </c>
      <c r="T24" s="14">
        <f>(Inputs!$C$33*'Study Parameters'!$C$10*10^6) / 10^6</f>
        <v>523</v>
      </c>
      <c r="U24" s="9" t="s">
        <v>134</v>
      </c>
      <c r="Y24" s="9" t="s">
        <v>151</v>
      </c>
      <c r="Z24" s="14">
        <f>(Inputs!$C$33*'Study Parameters'!$C$10*10^6) / 10^6</f>
        <v>523</v>
      </c>
      <c r="AA24" s="9" t="s">
        <v>134</v>
      </c>
      <c r="AE24" s="9" t="s">
        <v>151</v>
      </c>
      <c r="AF24" s="14">
        <f>(Inputs!$C$33*'Study Parameters'!$C$10*10^6) / 10^6</f>
        <v>523</v>
      </c>
      <c r="AG24" s="9" t="s">
        <v>134</v>
      </c>
    </row>
    <row r="25" spans="1:35" x14ac:dyDescent="0.25">
      <c r="A25" s="9" t="s">
        <v>146</v>
      </c>
      <c r="B25" s="14">
        <f>(Inputs!$C$8*'Study Parameters'!D76) / 10^6</f>
        <v>363.66101694915255</v>
      </c>
      <c r="C25" s="9" t="s">
        <v>134</v>
      </c>
      <c r="D25" s="9"/>
      <c r="E25" t="s">
        <v>152</v>
      </c>
      <c r="G25" s="9" t="s">
        <v>146</v>
      </c>
      <c r="H25" s="14">
        <f>(Inputs!$C$8*'Study Parameters'!D72) / 10^6</f>
        <v>409.02255639097746</v>
      </c>
      <c r="I25" s="9" t="s">
        <v>134</v>
      </c>
      <c r="K25" t="s">
        <v>152</v>
      </c>
      <c r="M25" s="9" t="s">
        <v>146</v>
      </c>
      <c r="N25" s="14">
        <f>(Inputs!$C$8*'Study Parameters'!D74) / 10^6</f>
        <v>304.76190476190476</v>
      </c>
      <c r="O25" s="9" t="s">
        <v>134</v>
      </c>
      <c r="Q25" t="s">
        <v>152</v>
      </c>
      <c r="S25" s="9" t="s">
        <v>146</v>
      </c>
      <c r="T25" s="14">
        <f>(Inputs!$C$8*'Study Parameters'!D71) / 10^6</f>
        <v>323.83999999999997</v>
      </c>
      <c r="U25" s="9" t="s">
        <v>134</v>
      </c>
      <c r="W25" t="s">
        <v>152</v>
      </c>
      <c r="Y25" s="9" t="s">
        <v>146</v>
      </c>
      <c r="Z25" s="14">
        <f>(Inputs!$C$8*'Study Parameters'!D79) / 10^6</f>
        <v>298.24673684210529</v>
      </c>
      <c r="AA25" s="9" t="s">
        <v>134</v>
      </c>
      <c r="AC25" t="s">
        <v>152</v>
      </c>
      <c r="AE25" s="9" t="s">
        <v>146</v>
      </c>
      <c r="AF25" s="14">
        <f>(Inputs!$C$8*'Study Parameters'!D81) / 10^6</f>
        <v>249.40463157894737</v>
      </c>
      <c r="AG25" s="9" t="s">
        <v>134</v>
      </c>
      <c r="AI25" t="s">
        <v>152</v>
      </c>
    </row>
    <row r="26" spans="1:35" s="1" customFormat="1" x14ac:dyDescent="0.25">
      <c r="A26" s="12" t="s">
        <v>153</v>
      </c>
      <c r="B26" s="15">
        <f>B16-B12 - B13 - B14+B25+B24</f>
        <v>1856.2610169491527</v>
      </c>
      <c r="C26" s="12" t="s">
        <v>134</v>
      </c>
      <c r="D26" s="12"/>
      <c r="E26" s="1" t="s">
        <v>154</v>
      </c>
      <c r="G26" s="12" t="s">
        <v>153</v>
      </c>
      <c r="H26" s="15">
        <f>H16-H12 - H13 - H14+H25+H24</f>
        <v>1901.6225563909775</v>
      </c>
      <c r="I26" s="12" t="s">
        <v>134</v>
      </c>
      <c r="K26" s="1" t="s">
        <v>154</v>
      </c>
      <c r="M26" s="12" t="s">
        <v>153</v>
      </c>
      <c r="N26" s="15">
        <f>N16-N12 - N13 - N14+N25+N24</f>
        <v>1816.7619047619046</v>
      </c>
      <c r="O26" s="12" t="s">
        <v>134</v>
      </c>
      <c r="Q26" s="1" t="s">
        <v>154</v>
      </c>
      <c r="S26" s="12" t="s">
        <v>153</v>
      </c>
      <c r="T26" s="15">
        <f>T16-T12 - T13 - T14+T25+T24</f>
        <v>936.83999999999992</v>
      </c>
      <c r="U26" s="12" t="s">
        <v>134</v>
      </c>
      <c r="W26" s="1" t="s">
        <v>154</v>
      </c>
      <c r="Y26" s="12" t="s">
        <v>153</v>
      </c>
      <c r="Z26" s="15">
        <f>Z16-Z12 - Z13 - Z14+Z25+Z24</f>
        <v>911.24673684210529</v>
      </c>
      <c r="AA26" s="12" t="s">
        <v>134</v>
      </c>
      <c r="AC26" s="1" t="s">
        <v>154</v>
      </c>
      <c r="AE26" s="12" t="s">
        <v>153</v>
      </c>
      <c r="AF26" s="15">
        <f>AF16-AF12 - AF13 - AF14+AF25+AF24</f>
        <v>862.40463157894737</v>
      </c>
      <c r="AG26" s="12" t="s">
        <v>134</v>
      </c>
      <c r="AI26" s="1" t="s">
        <v>154</v>
      </c>
    </row>
  </sheetData>
  <mergeCells count="30">
    <mergeCell ref="Y2:AC2"/>
    <mergeCell ref="AE2:AI2"/>
    <mergeCell ref="M10:Q10"/>
    <mergeCell ref="G10:K10"/>
    <mergeCell ref="AE1:AI1"/>
    <mergeCell ref="Y1:AC1"/>
    <mergeCell ref="G1:K1"/>
    <mergeCell ref="S1:W1"/>
    <mergeCell ref="A1:E1"/>
    <mergeCell ref="M1:Q1"/>
    <mergeCell ref="S18:W18"/>
    <mergeCell ref="M2:Q2"/>
    <mergeCell ref="S2:W2"/>
    <mergeCell ref="A18:E18"/>
    <mergeCell ref="G18:K18"/>
    <mergeCell ref="A2:E2"/>
    <mergeCell ref="S10:W10"/>
    <mergeCell ref="G2:K2"/>
    <mergeCell ref="AE19:AI19"/>
    <mergeCell ref="AE10:AI10"/>
    <mergeCell ref="M18:Q18"/>
    <mergeCell ref="Y18:AC18"/>
    <mergeCell ref="A10:E10"/>
    <mergeCell ref="A19:E19"/>
    <mergeCell ref="M19:Q19"/>
    <mergeCell ref="G19:K19"/>
    <mergeCell ref="AE18:AI18"/>
    <mergeCell ref="Y19:AC19"/>
    <mergeCell ref="Y10:AC10"/>
    <mergeCell ref="S19:W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65"/>
  <sheetViews>
    <sheetView workbookViewId="0">
      <selection activeCell="I25" sqref="I25"/>
    </sheetView>
  </sheetViews>
  <sheetFormatPr defaultColWidth="11.25" defaultRowHeight="15.75" x14ac:dyDescent="0.25"/>
  <cols>
    <col min="1" max="1" width="22.25" bestFit="1" customWidth="1"/>
    <col min="2" max="2" width="12.25" bestFit="1" customWidth="1"/>
    <col min="12" max="12" width="11.25" bestFit="1" customWidth="1"/>
    <col min="22" max="22" width="11.25" bestFit="1" customWidth="1"/>
  </cols>
  <sheetData>
    <row r="1" spans="1:32" x14ac:dyDescent="0.25">
      <c r="A1" s="1" t="s">
        <v>3</v>
      </c>
    </row>
    <row r="2" spans="1:32" x14ac:dyDescent="0.25">
      <c r="A2" t="s">
        <v>21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 x14ac:dyDescent="0.25">
      <c r="A3" t="s">
        <v>110</v>
      </c>
      <c r="B3">
        <f>'Cost Components'!B8*10^6</f>
        <v>7523078471.7987967</v>
      </c>
      <c r="C3">
        <f>'Cost Components'!$B$16 * 10^6</f>
        <v>880500000.00000012</v>
      </c>
      <c r="D3">
        <f>'Cost Components'!$B$16 * 10^6</f>
        <v>880500000.00000012</v>
      </c>
      <c r="E3">
        <f>'Cost Components'!$B$16 * 10^6</f>
        <v>880500000.00000012</v>
      </c>
      <c r="F3">
        <f>'Cost Components'!$B$16 * 10^6</f>
        <v>880500000.00000012</v>
      </c>
      <c r="G3">
        <f>'Cost Components'!$B$16 * 10^6</f>
        <v>880500000.00000012</v>
      </c>
      <c r="H3">
        <f>'Cost Components'!$B$16 * 10^6</f>
        <v>880500000.00000012</v>
      </c>
      <c r="I3">
        <f>'Cost Components'!$B$16 * 10^6</f>
        <v>880500000.00000012</v>
      </c>
      <c r="J3">
        <f>'Cost Components'!$B$16 * 10^6</f>
        <v>880500000.00000012</v>
      </c>
      <c r="K3">
        <f>'Cost Components'!$B$16 * 10^6</f>
        <v>880500000.00000012</v>
      </c>
      <c r="L3">
        <f>'Cost Components'!$B$16 * 10^6 + 'Cost Components'!$B$7*10^6</f>
        <v>1057500000.0000001</v>
      </c>
      <c r="M3">
        <f>'Cost Components'!$B$16 * 10^6</f>
        <v>880500000.00000012</v>
      </c>
      <c r="N3">
        <f>'Cost Components'!$B$16 * 10^6</f>
        <v>880500000.00000012</v>
      </c>
      <c r="O3">
        <f>'Cost Components'!$B$16 * 10^6</f>
        <v>880500000.00000012</v>
      </c>
      <c r="P3">
        <f>'Cost Components'!$B$16 * 10^6</f>
        <v>880500000.00000012</v>
      </c>
      <c r="Q3">
        <f>'Cost Components'!$B$16 * 10^6</f>
        <v>880500000.00000012</v>
      </c>
      <c r="R3">
        <f>'Cost Components'!$B$16 * 10^6</f>
        <v>880500000.00000012</v>
      </c>
      <c r="S3">
        <f>'Cost Components'!$B$16 * 10^6</f>
        <v>880500000.00000012</v>
      </c>
      <c r="T3">
        <f>'Cost Components'!$B$16 * 10^6</f>
        <v>880500000.00000012</v>
      </c>
      <c r="U3">
        <f>'Cost Components'!$B$16 * 10^6</f>
        <v>880500000.00000012</v>
      </c>
      <c r="V3">
        <f>'Cost Components'!$B$16 * 10^6 + 'Cost Components'!$B$7*10^6</f>
        <v>1057500000.0000001</v>
      </c>
      <c r="W3">
        <f>'Cost Components'!$B$16 * 10^6</f>
        <v>880500000.00000012</v>
      </c>
      <c r="X3">
        <f>'Cost Components'!$B$16 * 10^6</f>
        <v>880500000.00000012</v>
      </c>
      <c r="Y3">
        <f>'Cost Components'!$B$16 * 10^6</f>
        <v>880500000.00000012</v>
      </c>
      <c r="Z3">
        <f>'Cost Components'!$B$16 * 10^6</f>
        <v>880500000.00000012</v>
      </c>
      <c r="AA3">
        <f>'Cost Components'!$B$16 * 10^6</f>
        <v>880500000.00000012</v>
      </c>
      <c r="AB3">
        <f>'Cost Components'!$B$16 * 10^6</f>
        <v>880500000.00000012</v>
      </c>
      <c r="AC3">
        <f>'Cost Components'!$B$16 * 10^6</f>
        <v>880500000.00000012</v>
      </c>
      <c r="AD3">
        <f>'Cost Components'!$B$16 * 10^6</f>
        <v>880500000.00000012</v>
      </c>
      <c r="AE3">
        <f>'Cost Components'!$B$16 * 10^6</f>
        <v>880500000.00000012</v>
      </c>
      <c r="AF3">
        <f>'Cost Components'!$B$16 * 10^6</f>
        <v>880500000.00000012</v>
      </c>
    </row>
    <row r="4" spans="1:32" x14ac:dyDescent="0.25">
      <c r="A4" t="s">
        <v>111</v>
      </c>
      <c r="B4">
        <f>B3/(1+'Study Parameters'!$C$3) ^ 'LCOF Baseline'!B2</f>
        <v>7523078471.7987967</v>
      </c>
      <c r="C4">
        <f>C3/(1+'Study Parameters'!$C$3) ^ 'LCOF Baseline'!C2</f>
        <v>815277777.77777779</v>
      </c>
      <c r="D4">
        <f>D3/(1+'Study Parameters'!$C$3) ^ 'LCOF Baseline'!D2</f>
        <v>754886831.27572024</v>
      </c>
      <c r="E4">
        <f>E3/(1+'Study Parameters'!$C$3) ^ 'LCOF Baseline'!E2</f>
        <v>698969288.21825945</v>
      </c>
      <c r="F4">
        <f>F3/(1+'Study Parameters'!$C$3) ^ 'LCOF Baseline'!F2</f>
        <v>647193785.38727713</v>
      </c>
      <c r="G4">
        <f>G3/(1+'Study Parameters'!$C$3) ^ 'LCOF Baseline'!G2</f>
        <v>599253504.98821962</v>
      </c>
      <c r="H4">
        <f>H3/(1+'Study Parameters'!$C$3) ^ 'LCOF Baseline'!H2</f>
        <v>554864356.47057366</v>
      </c>
      <c r="I4">
        <f>I3/(1+'Study Parameters'!$C$3) ^ 'LCOF Baseline'!I2</f>
        <v>513763293.02830893</v>
      </c>
      <c r="J4">
        <f>J3/(1+'Study Parameters'!$C$3) ^ 'LCOF Baseline'!J2</f>
        <v>475706752.80398971</v>
      </c>
      <c r="K4">
        <f>K3/(1+'Study Parameters'!$C$3) ^ 'LCOF Baseline'!K2</f>
        <v>440469215.5592497</v>
      </c>
      <c r="L4">
        <f>L3/(1+'Study Parameters'!$C$3) ^ 'LCOF Baseline'!L2</f>
        <v>489827113.64955366</v>
      </c>
      <c r="M4">
        <f>M3/(1+'Study Parameters'!$C$3) ^ 'LCOF Baseline'!M2</f>
        <v>377631357.646819</v>
      </c>
      <c r="N4">
        <f>N3/(1+'Study Parameters'!$C$3) ^ 'LCOF Baseline'!N2</f>
        <v>349658664.48779535</v>
      </c>
      <c r="O4">
        <f>O3/(1+'Study Parameters'!$C$3) ^ 'LCOF Baseline'!O2</f>
        <v>323758022.67388457</v>
      </c>
      <c r="P4">
        <f>P3/(1+'Study Parameters'!$C$3) ^ 'LCOF Baseline'!P2</f>
        <v>299775946.92026347</v>
      </c>
      <c r="Q4">
        <f>Q3/(1+'Study Parameters'!$C$3) ^ 'LCOF Baseline'!Q2</f>
        <v>277570321.22246617</v>
      </c>
      <c r="R4">
        <f>R3/(1+'Study Parameters'!$C$3) ^ 'LCOF Baseline'!R2</f>
        <v>257009556.68746865</v>
      </c>
      <c r="S4">
        <f>S3/(1+'Study Parameters'!$C$3) ^ 'LCOF Baseline'!S2</f>
        <v>237971811.74765617</v>
      </c>
      <c r="T4">
        <f>T3/(1+'Study Parameters'!$C$3) ^ 'LCOF Baseline'!T2</f>
        <v>220344270.13671866</v>
      </c>
      <c r="U4">
        <f>U3/(1+'Study Parameters'!$C$3) ^ 'LCOF Baseline'!U2</f>
        <v>204022472.34881353</v>
      </c>
      <c r="V4">
        <f>V3/(1+'Study Parameters'!$C$3) ^ 'LCOF Baseline'!V2</f>
        <v>226884729.32978982</v>
      </c>
      <c r="W4">
        <f>W3/(1+'Study Parameters'!$C$3) ^ 'LCOF Baseline'!W2</f>
        <v>174916385.75858501</v>
      </c>
      <c r="X4">
        <f>X3/(1+'Study Parameters'!$C$3) ^ 'LCOF Baseline'!X2</f>
        <v>161959616.44313425</v>
      </c>
      <c r="Y4">
        <f>Y3/(1+'Study Parameters'!$C$3) ^ 'LCOF Baseline'!Y2</f>
        <v>149962607.8177169</v>
      </c>
      <c r="Z4">
        <f>Z3/(1+'Study Parameters'!$C$3) ^ 'LCOF Baseline'!Z2</f>
        <v>138854266.497886</v>
      </c>
      <c r="AA4">
        <f>AA3/(1+'Study Parameters'!$C$3) ^ 'LCOF Baseline'!AA2</f>
        <v>128568765.27582036</v>
      </c>
      <c r="AB4">
        <f>AB3/(1+'Study Parameters'!$C$3) ^ 'LCOF Baseline'!AB2</f>
        <v>119045153.033167</v>
      </c>
      <c r="AC4">
        <f>AC3/(1+'Study Parameters'!$C$3) ^ 'LCOF Baseline'!AC2</f>
        <v>110226993.5492287</v>
      </c>
      <c r="AD4">
        <f>AD3/(1+'Study Parameters'!$C$3) ^ 'LCOF Baseline'!AD2</f>
        <v>102062031.06410065</v>
      </c>
      <c r="AE4">
        <f>AE3/(1+'Study Parameters'!$C$3) ^ 'LCOF Baseline'!AE2</f>
        <v>94501880.61490801</v>
      </c>
      <c r="AF4">
        <f>AF3/(1+'Study Parameters'!$C$3) ^ 'LCOF Baseline'!AF2</f>
        <v>87501741.310099989</v>
      </c>
    </row>
    <row r="5" spans="1:32" x14ac:dyDescent="0.25">
      <c r="A5" t="s">
        <v>155</v>
      </c>
      <c r="B5">
        <v>0</v>
      </c>
      <c r="C5">
        <f>'Study Parameters'!$C$42*10^6</f>
        <v>122000000</v>
      </c>
      <c r="D5">
        <f>'Study Parameters'!$C$42*10^6</f>
        <v>122000000</v>
      </c>
      <c r="E5">
        <f>'Study Parameters'!$C$42*10^6</f>
        <v>122000000</v>
      </c>
      <c r="F5">
        <f>'Study Parameters'!$C$42*10^6</f>
        <v>122000000</v>
      </c>
      <c r="G5">
        <f>'Study Parameters'!$C$42*10^6</f>
        <v>122000000</v>
      </c>
      <c r="H5">
        <f>'Study Parameters'!$C$42*10^6</f>
        <v>122000000</v>
      </c>
      <c r="I5">
        <f>'Study Parameters'!$C$42*10^6</f>
        <v>122000000</v>
      </c>
      <c r="J5">
        <f>'Study Parameters'!$C$42*10^6</f>
        <v>122000000</v>
      </c>
      <c r="K5">
        <f>'Study Parameters'!$C$42*10^6</f>
        <v>122000000</v>
      </c>
      <c r="L5">
        <f>'Study Parameters'!$C$42*10^6</f>
        <v>122000000</v>
      </c>
      <c r="M5">
        <f>'Study Parameters'!$C$42*10^6</f>
        <v>122000000</v>
      </c>
      <c r="N5">
        <f>'Study Parameters'!$C$42*10^6</f>
        <v>122000000</v>
      </c>
      <c r="O5">
        <f>'Study Parameters'!$C$42*10^6</f>
        <v>122000000</v>
      </c>
      <c r="P5">
        <f>'Study Parameters'!$C$42*10^6</f>
        <v>122000000</v>
      </c>
      <c r="Q5">
        <f>'Study Parameters'!$C$42*10^6</f>
        <v>122000000</v>
      </c>
      <c r="R5">
        <f>'Study Parameters'!$C$42*10^6</f>
        <v>122000000</v>
      </c>
      <c r="S5">
        <f>'Study Parameters'!$C$42*10^6</f>
        <v>122000000</v>
      </c>
      <c r="T5">
        <f>'Study Parameters'!$C$42*10^6</f>
        <v>122000000</v>
      </c>
      <c r="U5">
        <f>'Study Parameters'!$C$42*10^6</f>
        <v>122000000</v>
      </c>
      <c r="V5">
        <f>'Study Parameters'!$C$42*10^6</f>
        <v>122000000</v>
      </c>
      <c r="W5">
        <f>'Study Parameters'!$C$42*10^6</f>
        <v>122000000</v>
      </c>
      <c r="X5">
        <f>'Study Parameters'!$C$42*10^6</f>
        <v>122000000</v>
      </c>
      <c r="Y5">
        <f>'Study Parameters'!$C$42*10^6</f>
        <v>122000000</v>
      </c>
      <c r="Z5">
        <f>'Study Parameters'!$C$42*10^6</f>
        <v>122000000</v>
      </c>
      <c r="AA5">
        <f>'Study Parameters'!$C$42*10^6</f>
        <v>122000000</v>
      </c>
      <c r="AB5">
        <f>'Study Parameters'!$C$42*10^6</f>
        <v>122000000</v>
      </c>
      <c r="AC5">
        <f>'Study Parameters'!$C$42*10^6</f>
        <v>122000000</v>
      </c>
      <c r="AD5">
        <f>'Study Parameters'!$C$42*10^6</f>
        <v>122000000</v>
      </c>
      <c r="AE5">
        <f>'Study Parameters'!$C$42*10^6</f>
        <v>122000000</v>
      </c>
      <c r="AF5">
        <f>'Study Parameters'!$C$42*10^6</f>
        <v>122000000</v>
      </c>
    </row>
    <row r="6" spans="1:32" x14ac:dyDescent="0.25">
      <c r="A6" t="s">
        <v>156</v>
      </c>
      <c r="B6">
        <v>0</v>
      </c>
      <c r="C6">
        <f>C5/(1+'Study Parameters'!$C$3) ^'LCOF Baseline'!C2</f>
        <v>112962962.96296296</v>
      </c>
      <c r="D6">
        <f>D5/(1+'Study Parameters'!$C$3) ^'LCOF Baseline'!D2</f>
        <v>104595336.07681754</v>
      </c>
      <c r="E6">
        <f>E5/(1+'Study Parameters'!$C$3) ^'LCOF Baseline'!E2</f>
        <v>96847533.404460683</v>
      </c>
      <c r="F6">
        <f>F5/(1+'Study Parameters'!$C$3) ^'LCOF Baseline'!F2</f>
        <v>89673642.041167304</v>
      </c>
      <c r="G6">
        <f>G5/(1+'Study Parameters'!$C$3) ^'LCOF Baseline'!G2</f>
        <v>83031150.038117871</v>
      </c>
      <c r="H6">
        <f>H5/(1+'Study Parameters'!$C$3) ^'LCOF Baseline'!H2</f>
        <v>76880694.479738757</v>
      </c>
      <c r="I6">
        <f>I5/(1+'Study Parameters'!$C$3) ^'LCOF Baseline'!I2</f>
        <v>71185828.221980333</v>
      </c>
      <c r="J6">
        <f>J5/(1+'Study Parameters'!$C$3) ^'LCOF Baseline'!J2</f>
        <v>65912803.909241043</v>
      </c>
      <c r="K6">
        <f>K5/(1+'Study Parameters'!$C$3) ^'LCOF Baseline'!K2</f>
        <v>61030373.990038</v>
      </c>
      <c r="L6">
        <f>L5/(1+'Study Parameters'!$C$3) ^'LCOF Baseline'!L2</f>
        <v>56509605.54633148</v>
      </c>
      <c r="M6">
        <f>M5/(1+'Study Parameters'!$C$3) ^'LCOF Baseline'!M2</f>
        <v>52323708.839195818</v>
      </c>
      <c r="N6">
        <f>N5/(1+'Study Parameters'!$C$3) ^'LCOF Baseline'!N2</f>
        <v>48447878.554810934</v>
      </c>
      <c r="O6">
        <f>O5/(1+'Study Parameters'!$C$3) ^'LCOF Baseline'!O2</f>
        <v>44859146.810010128</v>
      </c>
      <c r="P6">
        <f>P5/(1+'Study Parameters'!$C$3) ^'LCOF Baseline'!P2</f>
        <v>41536247.046305664</v>
      </c>
      <c r="Q6">
        <f>Q5/(1+'Study Parameters'!$C$3) ^'LCOF Baseline'!Q2</f>
        <v>38459488.005838573</v>
      </c>
      <c r="R6">
        <f>R5/(1+'Study Parameters'!$C$3) ^'LCOF Baseline'!R2</f>
        <v>35610637.042443126</v>
      </c>
      <c r="S6">
        <f>S5/(1+'Study Parameters'!$C$3) ^'LCOF Baseline'!S2</f>
        <v>32972812.076336227</v>
      </c>
      <c r="T6">
        <f>T5/(1+'Study Parameters'!$C$3) ^'LCOF Baseline'!T2</f>
        <v>30530381.552163169</v>
      </c>
      <c r="U6">
        <f>U5/(1+'Study Parameters'!$C$3) ^'LCOF Baseline'!U2</f>
        <v>28268871.807558488</v>
      </c>
      <c r="V6">
        <f>V5/(1+'Study Parameters'!$C$3) ^'LCOF Baseline'!V2</f>
        <v>26174881.303294897</v>
      </c>
      <c r="W6">
        <f>W5/(1+'Study Parameters'!$C$3) ^'LCOF Baseline'!W2</f>
        <v>24236001.206754535</v>
      </c>
      <c r="X6">
        <f>X5/(1+'Study Parameters'!$C$3) ^'LCOF Baseline'!X2</f>
        <v>22440741.858106047</v>
      </c>
      <c r="Y6">
        <f>Y5/(1+'Study Parameters'!$C$3) ^'LCOF Baseline'!Y2</f>
        <v>20778464.683431525</v>
      </c>
      <c r="Z6">
        <f>Z5/(1+'Study Parameters'!$C$3) ^'LCOF Baseline'!Z2</f>
        <v>19239319.151325487</v>
      </c>
      <c r="AA6">
        <f>AA5/(1+'Study Parameters'!$C$3) ^'LCOF Baseline'!AA2</f>
        <v>17814184.399375446</v>
      </c>
      <c r="AB6">
        <f>AB5/(1+'Study Parameters'!$C$3) ^'LCOF Baseline'!AB2</f>
        <v>16494615.184606897</v>
      </c>
      <c r="AC6">
        <f>AC5/(1+'Study Parameters'!$C$3) ^'LCOF Baseline'!AC2</f>
        <v>15272791.837598978</v>
      </c>
      <c r="AD6">
        <f>AD5/(1+'Study Parameters'!$C$3) ^'LCOF Baseline'!AD2</f>
        <v>14141473.923702758</v>
      </c>
      <c r="AE6">
        <f>AE5/(1+'Study Parameters'!$C$3) ^'LCOF Baseline'!AE2</f>
        <v>13093957.336761812</v>
      </c>
      <c r="AF6">
        <f>AF5/(1+'Study Parameters'!$C$3) ^'LCOF Baseline'!AF2</f>
        <v>12124034.571075751</v>
      </c>
    </row>
    <row r="7" spans="1:32" x14ac:dyDescent="0.25">
      <c r="A7" t="s">
        <v>157</v>
      </c>
      <c r="B7">
        <v>0</v>
      </c>
      <c r="C7">
        <f>'Study Parameters'!$C$9</f>
        <v>157410000</v>
      </c>
      <c r="D7">
        <f>'Study Parameters'!$C$9</f>
        <v>157410000</v>
      </c>
      <c r="E7">
        <f>'Study Parameters'!$C$9</f>
        <v>157410000</v>
      </c>
      <c r="F7">
        <f>'Study Parameters'!$C$9</f>
        <v>157410000</v>
      </c>
      <c r="G7">
        <f>'Study Parameters'!$C$9</f>
        <v>157410000</v>
      </c>
      <c r="H7">
        <f>'Study Parameters'!$C$9</f>
        <v>157410000</v>
      </c>
      <c r="I7">
        <f>'Study Parameters'!$C$9</f>
        <v>157410000</v>
      </c>
      <c r="J7">
        <f>'Study Parameters'!$C$9</f>
        <v>157410000</v>
      </c>
      <c r="K7">
        <f>'Study Parameters'!$C$9</f>
        <v>157410000</v>
      </c>
      <c r="L7">
        <f>'Study Parameters'!$C$9</f>
        <v>157410000</v>
      </c>
      <c r="M7">
        <f>'Study Parameters'!$C$9</f>
        <v>157410000</v>
      </c>
      <c r="N7">
        <f>'Study Parameters'!$C$9</f>
        <v>157410000</v>
      </c>
      <c r="O7">
        <f>'Study Parameters'!$C$9</f>
        <v>157410000</v>
      </c>
      <c r="P7">
        <f>'Study Parameters'!$C$9</f>
        <v>157410000</v>
      </c>
      <c r="Q7">
        <f>'Study Parameters'!$C$9</f>
        <v>157410000</v>
      </c>
      <c r="R7">
        <f>'Study Parameters'!$C$9</f>
        <v>157410000</v>
      </c>
      <c r="S7">
        <f>'Study Parameters'!$C$9</f>
        <v>157410000</v>
      </c>
      <c r="T7">
        <f>'Study Parameters'!$C$9</f>
        <v>157410000</v>
      </c>
      <c r="U7">
        <f>'Study Parameters'!$C$9</f>
        <v>157410000</v>
      </c>
      <c r="V7">
        <f>'Study Parameters'!$C$9</f>
        <v>157410000</v>
      </c>
      <c r="W7">
        <f>'Study Parameters'!$C$9</f>
        <v>157410000</v>
      </c>
      <c r="X7">
        <f>'Study Parameters'!$C$9</f>
        <v>157410000</v>
      </c>
      <c r="Y7">
        <f>'Study Parameters'!$C$9</f>
        <v>157410000</v>
      </c>
      <c r="Z7">
        <f>'Study Parameters'!$C$9</f>
        <v>157410000</v>
      </c>
      <c r="AA7">
        <f>'Study Parameters'!$C$9</f>
        <v>157410000</v>
      </c>
      <c r="AB7">
        <f>'Study Parameters'!$C$9</f>
        <v>157410000</v>
      </c>
      <c r="AC7">
        <f>'Study Parameters'!$C$9</f>
        <v>157410000</v>
      </c>
      <c r="AD7">
        <f>'Study Parameters'!$C$9</f>
        <v>157410000</v>
      </c>
      <c r="AE7">
        <f>'Study Parameters'!$C$9</f>
        <v>157410000</v>
      </c>
      <c r="AF7">
        <f>'Study Parameters'!$C$9</f>
        <v>157410000</v>
      </c>
    </row>
    <row r="8" spans="1:32" x14ac:dyDescent="0.25">
      <c r="A8" t="s">
        <v>158</v>
      </c>
      <c r="B8">
        <v>0</v>
      </c>
      <c r="C8">
        <f>C7/(1+'Study Parameters'!$C$3) ^ 'LCOF Baseline'!C2</f>
        <v>145750000</v>
      </c>
      <c r="D8">
        <f>D7/(1+'Study Parameters'!$C$3) ^ 'LCOF Baseline'!D2</f>
        <v>134953703.7037037</v>
      </c>
      <c r="E8">
        <f>E7/(1+'Study Parameters'!$C$3) ^ 'LCOF Baseline'!E2</f>
        <v>124957133.05898489</v>
      </c>
      <c r="F8">
        <f>F7/(1+'Study Parameters'!$C$3) ^ 'LCOF Baseline'!F2</f>
        <v>115701049.12868971</v>
      </c>
      <c r="G8">
        <f>G7/(1+'Study Parameters'!$C$3) ^ 'LCOF Baseline'!G2</f>
        <v>107130601.04508306</v>
      </c>
      <c r="H8">
        <f>H7/(1+'Study Parameters'!$C$3) ^ 'LCOF Baseline'!H2</f>
        <v>99195000.967669487</v>
      </c>
      <c r="I8">
        <f>I7/(1+'Study Parameters'!$C$3) ^ 'LCOF Baseline'!I2</f>
        <v>91847223.118212491</v>
      </c>
      <c r="J8">
        <f>J7/(1+'Study Parameters'!$C$3) ^ 'LCOF Baseline'!J2</f>
        <v>85043725.109456003</v>
      </c>
      <c r="K8">
        <f>K7/(1+'Study Parameters'!$C$3) ^ 'LCOF Baseline'!K2</f>
        <v>78744189.916162968</v>
      </c>
      <c r="L8">
        <f>L7/(1+'Study Parameters'!$C$3) ^ 'LCOF Baseline'!L2</f>
        <v>72911286.959410146</v>
      </c>
      <c r="M8">
        <f>M7/(1+'Study Parameters'!$C$3) ^ 'LCOF Baseline'!M2</f>
        <v>67510450.888342723</v>
      </c>
      <c r="N8">
        <f>N7/(1+'Study Parameters'!$C$3) ^ 'LCOF Baseline'!N2</f>
        <v>62509676.748465486</v>
      </c>
      <c r="O8">
        <f>O7/(1+'Study Parameters'!$C$3) ^ 'LCOF Baseline'!O2</f>
        <v>57879330.322653227</v>
      </c>
      <c r="P8">
        <f>P7/(1+'Study Parameters'!$C$3) ^ 'LCOF Baseline'!P2</f>
        <v>53591972.520975202</v>
      </c>
      <c r="Q8">
        <f>Q7/(1+'Study Parameters'!$C$3) ^ 'LCOF Baseline'!Q2</f>
        <v>49622196.778680742</v>
      </c>
      <c r="R8">
        <f>R7/(1+'Study Parameters'!$C$3) ^ 'LCOF Baseline'!R2</f>
        <v>45946478.498778462</v>
      </c>
      <c r="S8">
        <f>S7/(1+'Study Parameters'!$C$3) ^ 'LCOF Baseline'!S2</f>
        <v>42543035.647017092</v>
      </c>
      <c r="T8">
        <f>T7/(1+'Study Parameters'!$C$3) ^ 'LCOF Baseline'!T2</f>
        <v>39391699.673163973</v>
      </c>
      <c r="U8">
        <f>U7/(1+'Study Parameters'!$C$3) ^ 'LCOF Baseline'!U2</f>
        <v>36473795.993670344</v>
      </c>
      <c r="V8">
        <f>V7/(1+'Study Parameters'!$C$3) ^ 'LCOF Baseline'!V2</f>
        <v>33772033.327472538</v>
      </c>
      <c r="W8">
        <f>W7/(1+'Study Parameters'!$C$3) ^ 'LCOF Baseline'!W2</f>
        <v>31270401.229141239</v>
      </c>
      <c r="X8">
        <f>X7/(1+'Study Parameters'!$C$3) ^ 'LCOF Baseline'!X2</f>
        <v>28954075.212167811</v>
      </c>
      <c r="Y8">
        <f>Y7/(1+'Study Parameters'!$C$3) ^ 'LCOF Baseline'!Y2</f>
        <v>26809328.90015538</v>
      </c>
      <c r="Z8">
        <f>Z7/(1+'Study Parameters'!$C$3) ^ 'LCOF Baseline'!Z2</f>
        <v>24823452.685329054</v>
      </c>
      <c r="AA8">
        <f>AA7/(1+'Study Parameters'!$C$3) ^ 'LCOF Baseline'!AA2</f>
        <v>22984678.412341714</v>
      </c>
      <c r="AB8">
        <f>AB7/(1+'Study Parameters'!$C$3) ^ 'LCOF Baseline'!AB2</f>
        <v>21282109.641057145</v>
      </c>
      <c r="AC8">
        <f>AC7/(1+'Study Parameters'!$C$3) ^ 'LCOF Baseline'!AC2</f>
        <v>19705657.07505291</v>
      </c>
      <c r="AD8">
        <f>AD7/(1+'Study Parameters'!$C$3) ^ 'LCOF Baseline'!AD2</f>
        <v>18245978.773197141</v>
      </c>
      <c r="AE8">
        <f>AE7/(1+'Study Parameters'!$C$3) ^ 'LCOF Baseline'!AE2</f>
        <v>16894424.78999735</v>
      </c>
      <c r="AF8">
        <f>AF7/(1+'Study Parameters'!$C$3) ^ 'LCOF Baseline'!AF2</f>
        <v>15642985.916664211</v>
      </c>
    </row>
    <row r="10" spans="1:32" x14ac:dyDescent="0.25">
      <c r="A10" t="s">
        <v>159</v>
      </c>
      <c r="B10">
        <f>(SUM(B4:AF4) - SUM(B6:AF6)) / SUM(B8:AF8)</f>
        <v>9.1316404015676635</v>
      </c>
    </row>
    <row r="12" spans="1:32" x14ac:dyDescent="0.25">
      <c r="A12" s="1" t="s">
        <v>8</v>
      </c>
    </row>
    <row r="13" spans="1:32" x14ac:dyDescent="0.25">
      <c r="A13" t="s">
        <v>21</v>
      </c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  <c r="AB13">
        <v>26</v>
      </c>
      <c r="AC13">
        <v>27</v>
      </c>
      <c r="AD13">
        <v>28</v>
      </c>
      <c r="AE13">
        <v>29</v>
      </c>
      <c r="AF13">
        <v>30</v>
      </c>
    </row>
    <row r="14" spans="1:32" x14ac:dyDescent="0.25">
      <c r="A14" t="s">
        <v>110</v>
      </c>
      <c r="B14">
        <f>'Cost Components'!H8*10^6</f>
        <v>7523078471.7987967</v>
      </c>
      <c r="C14">
        <f>'Cost Components'!$H$16*10^6</f>
        <v>690500000.00000012</v>
      </c>
      <c r="D14">
        <f>'Cost Components'!$H$16*10^6</f>
        <v>690500000.00000012</v>
      </c>
      <c r="E14">
        <f>'Cost Components'!$H$16*10^6</f>
        <v>690500000.00000012</v>
      </c>
      <c r="F14">
        <f>'Cost Components'!$H$16*10^6</f>
        <v>690500000.00000012</v>
      </c>
      <c r="G14">
        <f>'Cost Components'!$H$16*10^6</f>
        <v>690500000.00000012</v>
      </c>
      <c r="H14">
        <f>'Cost Components'!$H$16*10^6</f>
        <v>690500000.00000012</v>
      </c>
      <c r="I14">
        <f>'Cost Components'!$H$16*10^6</f>
        <v>690500000.00000012</v>
      </c>
      <c r="J14">
        <f>'Cost Components'!$H$16*10^6</f>
        <v>690500000.00000012</v>
      </c>
      <c r="K14">
        <f>'Cost Components'!$H$16*10^6</f>
        <v>690500000.00000012</v>
      </c>
      <c r="L14">
        <f>'Cost Components'!$H$16*10^6 + 'Cost Components'!$H$7 * 10^6</f>
        <v>867500000.00000012</v>
      </c>
      <c r="M14">
        <f>'Cost Components'!$H$16*10^6</f>
        <v>690500000.00000012</v>
      </c>
      <c r="N14">
        <f>'Cost Components'!$H$16*10^6</f>
        <v>690500000.00000012</v>
      </c>
      <c r="O14">
        <f>'Cost Components'!$H$16*10^6</f>
        <v>690500000.00000012</v>
      </c>
      <c r="P14">
        <f>'Cost Components'!$H$16*10^6</f>
        <v>690500000.00000012</v>
      </c>
      <c r="Q14">
        <f>'Cost Components'!$H$16*10^6</f>
        <v>690500000.00000012</v>
      </c>
      <c r="R14">
        <f>'Cost Components'!$H$16*10^6</f>
        <v>690500000.00000012</v>
      </c>
      <c r="S14">
        <f>'Cost Components'!$H$16*10^6</f>
        <v>690500000.00000012</v>
      </c>
      <c r="T14">
        <f>'Cost Components'!$H$16*10^6</f>
        <v>690500000.00000012</v>
      </c>
      <c r="U14">
        <f>'Cost Components'!$H$16*10^6</f>
        <v>690500000.00000012</v>
      </c>
      <c r="V14">
        <f>'Cost Components'!$H$16*10^6 + 'Cost Components'!$H$7 * 10^6</f>
        <v>867500000.00000012</v>
      </c>
      <c r="W14">
        <f>'Cost Components'!$H$16*10^6</f>
        <v>690500000.00000012</v>
      </c>
      <c r="X14">
        <f>'Cost Components'!$H$16*10^6</f>
        <v>690500000.00000012</v>
      </c>
      <c r="Y14">
        <f>'Cost Components'!$H$16*10^6</f>
        <v>690500000.00000012</v>
      </c>
      <c r="Z14">
        <f>'Cost Components'!$H$16*10^6</f>
        <v>690500000.00000012</v>
      </c>
      <c r="AA14">
        <f>'Cost Components'!$H$16*10^6</f>
        <v>690500000.00000012</v>
      </c>
      <c r="AB14">
        <f>'Cost Components'!$H$16*10^6</f>
        <v>690500000.00000012</v>
      </c>
      <c r="AC14">
        <f>'Cost Components'!$H$16*10^6</f>
        <v>690500000.00000012</v>
      </c>
      <c r="AD14">
        <f>'Cost Components'!$H$16*10^6</f>
        <v>690500000.00000012</v>
      </c>
      <c r="AE14">
        <f>'Cost Components'!$H$16*10^6</f>
        <v>690500000.00000012</v>
      </c>
      <c r="AF14">
        <f>'Cost Components'!$H$16*10^6</f>
        <v>690500000.00000012</v>
      </c>
    </row>
    <row r="15" spans="1:32" x14ac:dyDescent="0.25">
      <c r="A15" t="s">
        <v>111</v>
      </c>
      <c r="B15">
        <f>B14/(1+'Study Parameters'!$C$3) ^'LCOF Baseline'!B$13</f>
        <v>7523078471.7987967</v>
      </c>
      <c r="C15">
        <f>C14/(1+'Study Parameters'!$C$3) ^'LCOF Baseline'!C$13</f>
        <v>639351851.85185194</v>
      </c>
      <c r="D15">
        <f>D14/(1+'Study Parameters'!$C$3) ^'LCOF Baseline'!D$13</f>
        <v>591992455.41838145</v>
      </c>
      <c r="E15">
        <f>E14/(1+'Study Parameters'!$C$3) ^'LCOF Baseline'!E$13</f>
        <v>548141162.42442715</v>
      </c>
      <c r="F15">
        <f>F14/(1+'Study Parameters'!$C$3) ^'LCOF Baseline'!F$13</f>
        <v>507538113.35595107</v>
      </c>
      <c r="G15">
        <f>G14/(1+'Study Parameters'!$C$3) ^'LCOF Baseline'!G$13</f>
        <v>469942697.55180651</v>
      </c>
      <c r="H15">
        <f>H14/(1+'Study Parameters'!$C$3) ^'LCOF Baseline'!H$13</f>
        <v>435132127.36278379</v>
      </c>
      <c r="I15">
        <f>I14/(1+'Study Parameters'!$C$3) ^'LCOF Baseline'!I$13</f>
        <v>402900117.92850345</v>
      </c>
      <c r="J15">
        <f>J14/(1+'Study Parameters'!$C$3) ^'LCOF Baseline'!J$13</f>
        <v>373055664.74861431</v>
      </c>
      <c r="K15">
        <f>K14/(1+'Study Parameters'!$C$3) ^'LCOF Baseline'!K$13</f>
        <v>345421911.80427253</v>
      </c>
      <c r="L15">
        <f>L14/(1+'Study Parameters'!$C$3) ^'LCOF Baseline'!L$13</f>
        <v>401820350.91346365</v>
      </c>
      <c r="M15">
        <f>M14/(1+'Study Parameters'!$C$3) ^'LCOF Baseline'!M$13</f>
        <v>296143614.37266159</v>
      </c>
      <c r="N15">
        <f>N14/(1+'Study Parameters'!$C$3) ^'LCOF Baseline'!N$13</f>
        <v>274207050.34505701</v>
      </c>
      <c r="O15">
        <f>O14/(1+'Study Parameters'!$C$3) ^'LCOF Baseline'!O$13</f>
        <v>253895416.98616391</v>
      </c>
      <c r="P15">
        <f>P14/(1+'Study Parameters'!$C$3) ^'LCOF Baseline'!P$13</f>
        <v>235088349.06126285</v>
      </c>
      <c r="Q15">
        <f>Q14/(1+'Study Parameters'!$C$3) ^'LCOF Baseline'!Q$13</f>
        <v>217674397.27894706</v>
      </c>
      <c r="R15">
        <f>R14/(1+'Study Parameters'!$C$3) ^'LCOF Baseline'!R$13</f>
        <v>201550367.8508769</v>
      </c>
      <c r="S15">
        <f>S14/(1+'Study Parameters'!$C$3) ^'LCOF Baseline'!S$13</f>
        <v>186620710.97303417</v>
      </c>
      <c r="T15">
        <f>T14/(1+'Study Parameters'!$C$3) ^'LCOF Baseline'!T$13</f>
        <v>172796954.60466126</v>
      </c>
      <c r="U15">
        <f>U14/(1+'Study Parameters'!$C$3) ^'LCOF Baseline'!U$13</f>
        <v>159997180.18950114</v>
      </c>
      <c r="V15">
        <f>V14/(1+'Study Parameters'!$C$3) ^'LCOF Baseline'!V$13</f>
        <v>186120569.92301908</v>
      </c>
      <c r="W15">
        <f>W14/(1+'Study Parameters'!$C$3) ^'LCOF Baseline'!W$13</f>
        <v>137171793.71527874</v>
      </c>
      <c r="X15">
        <f>X14/(1+'Study Parameters'!$C$3) ^'LCOF Baseline'!X$13</f>
        <v>127010920.10673958</v>
      </c>
      <c r="Y15">
        <f>Y14/(1+'Study Parameters'!$C$3) ^'LCOF Baseline'!Y$13</f>
        <v>117602703.80253664</v>
      </c>
      <c r="Z15">
        <f>Z14/(1+'Study Parameters'!$C$3) ^'LCOF Baseline'!Z$13</f>
        <v>108891392.40975615</v>
      </c>
      <c r="AA15">
        <f>AA14/(1+'Study Parameters'!$C$3) ^'LCOF Baseline'!AA$13</f>
        <v>100825363.34236678</v>
      </c>
      <c r="AB15">
        <f>AB14/(1+'Study Parameters'!$C$3) ^'LCOF Baseline'!AB$13</f>
        <v>93356817.909598887</v>
      </c>
      <c r="AC15">
        <f>AC14/(1+'Study Parameters'!$C$3) ^'LCOF Baseline'!AC$13</f>
        <v>86441498.064443409</v>
      </c>
      <c r="AD15">
        <f>AD14/(1+'Study Parameters'!$C$3) ^'LCOF Baseline'!AD$13</f>
        <v>80038424.133743897</v>
      </c>
      <c r="AE15">
        <f>AE14/(1+'Study Parameters'!$C$3) ^'LCOF Baseline'!AE$13</f>
        <v>74109651.975688785</v>
      </c>
      <c r="AF15">
        <f>AF14/(1+'Study Parameters'!$C$3) ^'LCOF Baseline'!AF$13</f>
        <v>68620048.125637755</v>
      </c>
    </row>
    <row r="16" spans="1:32" x14ac:dyDescent="0.25">
      <c r="A16" t="s">
        <v>155</v>
      </c>
      <c r="B16">
        <v>0</v>
      </c>
      <c r="C16">
        <f>'Study Parameters'!$C$42 * 10^6</f>
        <v>122000000</v>
      </c>
      <c r="D16">
        <f>'Study Parameters'!$C$42 * 10^6</f>
        <v>122000000</v>
      </c>
      <c r="E16">
        <f>'Study Parameters'!$C$42 * 10^6</f>
        <v>122000000</v>
      </c>
      <c r="F16">
        <f>'Study Parameters'!$C$42 * 10^6</f>
        <v>122000000</v>
      </c>
      <c r="G16">
        <f>'Study Parameters'!$C$42 * 10^6</f>
        <v>122000000</v>
      </c>
      <c r="H16">
        <f>'Study Parameters'!$C$42 * 10^6</f>
        <v>122000000</v>
      </c>
      <c r="I16">
        <f>'Study Parameters'!$C$42 * 10^6</f>
        <v>122000000</v>
      </c>
      <c r="J16">
        <f>'Study Parameters'!$C$42 * 10^6</f>
        <v>122000000</v>
      </c>
      <c r="K16">
        <f>'Study Parameters'!$C$42 * 10^6</f>
        <v>122000000</v>
      </c>
      <c r="L16">
        <f>'Study Parameters'!$C$42 * 10^6</f>
        <v>122000000</v>
      </c>
      <c r="M16">
        <f>'Study Parameters'!$C$42 * 10^6</f>
        <v>122000000</v>
      </c>
      <c r="N16">
        <f>'Study Parameters'!$C$42 * 10^6</f>
        <v>122000000</v>
      </c>
      <c r="O16">
        <f>'Study Parameters'!$C$42 * 10^6</f>
        <v>122000000</v>
      </c>
      <c r="P16">
        <f>'Study Parameters'!$C$42 * 10^6</f>
        <v>122000000</v>
      </c>
      <c r="Q16">
        <f>'Study Parameters'!$C$42 * 10^6</f>
        <v>122000000</v>
      </c>
      <c r="R16">
        <f>'Study Parameters'!$C$42 * 10^6</f>
        <v>122000000</v>
      </c>
      <c r="S16">
        <f>'Study Parameters'!$C$42 * 10^6</f>
        <v>122000000</v>
      </c>
      <c r="T16">
        <f>'Study Parameters'!$C$42 * 10^6</f>
        <v>122000000</v>
      </c>
      <c r="U16">
        <f>'Study Parameters'!$C$42 * 10^6</f>
        <v>122000000</v>
      </c>
      <c r="V16">
        <f>'Study Parameters'!$C$42 * 10^6</f>
        <v>122000000</v>
      </c>
      <c r="W16">
        <f>'Study Parameters'!$C$42 * 10^6</f>
        <v>122000000</v>
      </c>
      <c r="X16">
        <f>'Study Parameters'!$C$42 * 10^6</f>
        <v>122000000</v>
      </c>
      <c r="Y16">
        <f>'Study Parameters'!$C$42 * 10^6</f>
        <v>122000000</v>
      </c>
      <c r="Z16">
        <f>'Study Parameters'!$C$42 * 10^6</f>
        <v>122000000</v>
      </c>
      <c r="AA16">
        <f>'Study Parameters'!$C$42 * 10^6</f>
        <v>122000000</v>
      </c>
      <c r="AB16">
        <f>'Study Parameters'!$C$42 * 10^6</f>
        <v>122000000</v>
      </c>
      <c r="AC16">
        <f>'Study Parameters'!$C$42 * 10^6</f>
        <v>122000000</v>
      </c>
      <c r="AD16">
        <f>'Study Parameters'!$C$42 * 10^6</f>
        <v>122000000</v>
      </c>
      <c r="AE16">
        <f>'Study Parameters'!$C$42 * 10^6</f>
        <v>122000000</v>
      </c>
      <c r="AF16">
        <f>'Study Parameters'!$C$42 * 10^6</f>
        <v>122000000</v>
      </c>
    </row>
    <row r="17" spans="1:32" x14ac:dyDescent="0.25">
      <c r="A17" t="s">
        <v>156</v>
      </c>
      <c r="B17">
        <v>0</v>
      </c>
      <c r="C17">
        <f>C16/(1+'Study Parameters'!$C$3) ^'LCOF Baseline'!C$13</f>
        <v>112962962.96296296</v>
      </c>
      <c r="D17">
        <f>D16/(1+'Study Parameters'!$C$3) ^'LCOF Baseline'!D$13</f>
        <v>104595336.07681754</v>
      </c>
      <c r="E17">
        <f>E16/(1+'Study Parameters'!$C$3) ^'LCOF Baseline'!E$13</f>
        <v>96847533.404460683</v>
      </c>
      <c r="F17">
        <f>F16/(1+'Study Parameters'!$C$3) ^'LCOF Baseline'!F$13</f>
        <v>89673642.041167304</v>
      </c>
      <c r="G17">
        <f>G16/(1+'Study Parameters'!$C$3) ^'LCOF Baseline'!G$13</f>
        <v>83031150.038117871</v>
      </c>
      <c r="H17">
        <f>H16/(1+'Study Parameters'!$C$3) ^'LCOF Baseline'!H$13</f>
        <v>76880694.479738757</v>
      </c>
      <c r="I17">
        <f>I16/(1+'Study Parameters'!$C$3) ^'LCOF Baseline'!I$13</f>
        <v>71185828.221980333</v>
      </c>
      <c r="J17">
        <f>J16/(1+'Study Parameters'!$C$3) ^'LCOF Baseline'!J$13</f>
        <v>65912803.909241043</v>
      </c>
      <c r="K17">
        <f>K16/(1+'Study Parameters'!$C$3) ^'LCOF Baseline'!K$13</f>
        <v>61030373.990038</v>
      </c>
      <c r="L17">
        <f>L16/(1+'Study Parameters'!$C$3) ^'LCOF Baseline'!L$13</f>
        <v>56509605.54633148</v>
      </c>
      <c r="M17">
        <f>M16/(1+'Study Parameters'!$C$3) ^'LCOF Baseline'!M$13</f>
        <v>52323708.839195818</v>
      </c>
      <c r="N17">
        <f>N16/(1+'Study Parameters'!$C$3) ^'LCOF Baseline'!N$13</f>
        <v>48447878.554810934</v>
      </c>
      <c r="O17">
        <f>O16/(1+'Study Parameters'!$C$3) ^'LCOF Baseline'!O$13</f>
        <v>44859146.810010128</v>
      </c>
      <c r="P17">
        <f>P16/(1+'Study Parameters'!$C$3) ^'LCOF Baseline'!P$13</f>
        <v>41536247.046305664</v>
      </c>
      <c r="Q17">
        <f>Q16/(1+'Study Parameters'!$C$3) ^'LCOF Baseline'!Q$13</f>
        <v>38459488.005838573</v>
      </c>
      <c r="R17">
        <f>R16/(1+'Study Parameters'!$C$3) ^'LCOF Baseline'!R$13</f>
        <v>35610637.042443126</v>
      </c>
      <c r="S17">
        <f>S16/(1+'Study Parameters'!$C$3) ^'LCOF Baseline'!S$13</f>
        <v>32972812.076336227</v>
      </c>
      <c r="T17">
        <f>T16/(1+'Study Parameters'!$C$3) ^'LCOF Baseline'!T$13</f>
        <v>30530381.552163169</v>
      </c>
      <c r="U17">
        <f>U16/(1+'Study Parameters'!$C$3) ^'LCOF Baseline'!U$13</f>
        <v>28268871.807558488</v>
      </c>
      <c r="V17">
        <f>V16/(1+'Study Parameters'!$C$3) ^'LCOF Baseline'!V$13</f>
        <v>26174881.303294897</v>
      </c>
      <c r="W17">
        <f>W16/(1+'Study Parameters'!$C$3) ^'LCOF Baseline'!W$13</f>
        <v>24236001.206754535</v>
      </c>
      <c r="X17">
        <f>X16/(1+'Study Parameters'!$C$3) ^'LCOF Baseline'!X$13</f>
        <v>22440741.858106047</v>
      </c>
      <c r="Y17">
        <f>Y16/(1+'Study Parameters'!$C$3) ^'LCOF Baseline'!Y$13</f>
        <v>20778464.683431525</v>
      </c>
      <c r="Z17">
        <f>Z16/(1+'Study Parameters'!$C$3) ^'LCOF Baseline'!Z$13</f>
        <v>19239319.151325487</v>
      </c>
      <c r="AA17">
        <f>AA16/(1+'Study Parameters'!$C$3) ^'LCOF Baseline'!AA$13</f>
        <v>17814184.399375446</v>
      </c>
      <c r="AB17">
        <f>AB16/(1+'Study Parameters'!$C$3) ^'LCOF Baseline'!AB$13</f>
        <v>16494615.184606897</v>
      </c>
      <c r="AC17">
        <f>AC16/(1+'Study Parameters'!$C$3) ^'LCOF Baseline'!AC$13</f>
        <v>15272791.837598978</v>
      </c>
      <c r="AD17">
        <f>AD16/(1+'Study Parameters'!$C$3) ^'LCOF Baseline'!AD$13</f>
        <v>14141473.923702758</v>
      </c>
      <c r="AE17">
        <f>AE16/(1+'Study Parameters'!$C$3) ^'LCOF Baseline'!AE$13</f>
        <v>13093957.336761812</v>
      </c>
      <c r="AF17">
        <f>AF16/(1+'Study Parameters'!$C$3) ^'LCOF Baseline'!AF$13</f>
        <v>12124034.571075751</v>
      </c>
    </row>
    <row r="18" spans="1:32" x14ac:dyDescent="0.25">
      <c r="A18" t="s">
        <v>157</v>
      </c>
      <c r="B18">
        <v>0</v>
      </c>
      <c r="C18">
        <f>'Study Parameters'!$C$9</f>
        <v>157410000</v>
      </c>
      <c r="D18">
        <f>'Study Parameters'!$C$9</f>
        <v>157410000</v>
      </c>
      <c r="E18">
        <f>'Study Parameters'!$C$9</f>
        <v>157410000</v>
      </c>
      <c r="F18">
        <f>'Study Parameters'!$C$9</f>
        <v>157410000</v>
      </c>
      <c r="G18">
        <f>'Study Parameters'!$C$9</f>
        <v>157410000</v>
      </c>
      <c r="H18">
        <f>'Study Parameters'!$C$9</f>
        <v>157410000</v>
      </c>
      <c r="I18">
        <f>'Study Parameters'!$C$9</f>
        <v>157410000</v>
      </c>
      <c r="J18">
        <f>'Study Parameters'!$C$9</f>
        <v>157410000</v>
      </c>
      <c r="K18">
        <f>'Study Parameters'!$C$9</f>
        <v>157410000</v>
      </c>
      <c r="L18">
        <f>'Study Parameters'!$C$9</f>
        <v>157410000</v>
      </c>
      <c r="M18">
        <f>'Study Parameters'!$C$9</f>
        <v>157410000</v>
      </c>
      <c r="N18">
        <f>'Study Parameters'!$C$9</f>
        <v>157410000</v>
      </c>
      <c r="O18">
        <f>'Study Parameters'!$C$9</f>
        <v>157410000</v>
      </c>
      <c r="P18">
        <f>'Study Parameters'!$C$9</f>
        <v>157410000</v>
      </c>
      <c r="Q18">
        <f>'Study Parameters'!$C$9</f>
        <v>157410000</v>
      </c>
      <c r="R18">
        <f>'Study Parameters'!$C$9</f>
        <v>157410000</v>
      </c>
      <c r="S18">
        <f>'Study Parameters'!$C$9</f>
        <v>157410000</v>
      </c>
      <c r="T18">
        <f>'Study Parameters'!$C$9</f>
        <v>157410000</v>
      </c>
      <c r="U18">
        <f>'Study Parameters'!$C$9</f>
        <v>157410000</v>
      </c>
      <c r="V18">
        <f>'Study Parameters'!$C$9</f>
        <v>157410000</v>
      </c>
      <c r="W18">
        <f>'Study Parameters'!$C$9</f>
        <v>157410000</v>
      </c>
      <c r="X18">
        <f>'Study Parameters'!$C$9</f>
        <v>157410000</v>
      </c>
      <c r="Y18">
        <f>'Study Parameters'!$C$9</f>
        <v>157410000</v>
      </c>
      <c r="Z18">
        <f>'Study Parameters'!$C$9</f>
        <v>157410000</v>
      </c>
      <c r="AA18">
        <f>'Study Parameters'!$C$9</f>
        <v>157410000</v>
      </c>
      <c r="AB18">
        <f>'Study Parameters'!$C$9</f>
        <v>157410000</v>
      </c>
      <c r="AC18">
        <f>'Study Parameters'!$C$9</f>
        <v>157410000</v>
      </c>
      <c r="AD18">
        <f>'Study Parameters'!$C$9</f>
        <v>157410000</v>
      </c>
      <c r="AE18">
        <f>'Study Parameters'!$C$9</f>
        <v>157410000</v>
      </c>
      <c r="AF18">
        <f>'Study Parameters'!$C$9</f>
        <v>157410000</v>
      </c>
    </row>
    <row r="19" spans="1:32" x14ac:dyDescent="0.25">
      <c r="A19" t="s">
        <v>158</v>
      </c>
      <c r="B19">
        <v>0</v>
      </c>
      <c r="C19">
        <f>C18/(1+'Study Parameters'!$C$3) ^'LCOF Baseline'!C$13</f>
        <v>145750000</v>
      </c>
      <c r="D19">
        <f>D18/(1+'Study Parameters'!$C$3) ^'LCOF Baseline'!D$13</f>
        <v>134953703.7037037</v>
      </c>
      <c r="E19">
        <f>E18/(1+'Study Parameters'!$C$3) ^'LCOF Baseline'!E$13</f>
        <v>124957133.05898489</v>
      </c>
      <c r="F19">
        <f>F18/(1+'Study Parameters'!$C$3) ^'LCOF Baseline'!F$13</f>
        <v>115701049.12868971</v>
      </c>
      <c r="G19">
        <f>G18/(1+'Study Parameters'!$C$3) ^'LCOF Baseline'!G$13</f>
        <v>107130601.04508306</v>
      </c>
      <c r="H19">
        <f>H18/(1+'Study Parameters'!$C$3) ^'LCOF Baseline'!H$13</f>
        <v>99195000.967669487</v>
      </c>
      <c r="I19">
        <f>I18/(1+'Study Parameters'!$C$3) ^'LCOF Baseline'!I$13</f>
        <v>91847223.118212491</v>
      </c>
      <c r="J19">
        <f>J18/(1+'Study Parameters'!$C$3) ^'LCOF Baseline'!J$13</f>
        <v>85043725.109456003</v>
      </c>
      <c r="K19">
        <f>K18/(1+'Study Parameters'!$C$3) ^'LCOF Baseline'!K$13</f>
        <v>78744189.916162968</v>
      </c>
      <c r="L19">
        <f>L18/(1+'Study Parameters'!$C$3) ^'LCOF Baseline'!L$13</f>
        <v>72911286.959410146</v>
      </c>
      <c r="M19">
        <f>M18/(1+'Study Parameters'!$C$3) ^'LCOF Baseline'!M$13</f>
        <v>67510450.888342723</v>
      </c>
      <c r="N19">
        <f>N18/(1+'Study Parameters'!$C$3) ^'LCOF Baseline'!N$13</f>
        <v>62509676.748465486</v>
      </c>
      <c r="O19">
        <f>O18/(1+'Study Parameters'!$C$3) ^'LCOF Baseline'!O$13</f>
        <v>57879330.322653227</v>
      </c>
      <c r="P19">
        <f>P18/(1+'Study Parameters'!$C$3) ^'LCOF Baseline'!P$13</f>
        <v>53591972.520975202</v>
      </c>
      <c r="Q19">
        <f>Q18/(1+'Study Parameters'!$C$3) ^'LCOF Baseline'!Q$13</f>
        <v>49622196.778680742</v>
      </c>
      <c r="R19">
        <f>R18/(1+'Study Parameters'!$C$3) ^'LCOF Baseline'!R$13</f>
        <v>45946478.498778462</v>
      </c>
      <c r="S19">
        <f>S18/(1+'Study Parameters'!$C$3) ^'LCOF Baseline'!S$13</f>
        <v>42543035.647017092</v>
      </c>
      <c r="T19">
        <f>T18/(1+'Study Parameters'!$C$3) ^'LCOF Baseline'!T$13</f>
        <v>39391699.673163973</v>
      </c>
      <c r="U19">
        <f>U18/(1+'Study Parameters'!$C$3) ^'LCOF Baseline'!U$13</f>
        <v>36473795.993670344</v>
      </c>
      <c r="V19">
        <f>V18/(1+'Study Parameters'!$C$3) ^'LCOF Baseline'!V$13</f>
        <v>33772033.327472538</v>
      </c>
      <c r="W19">
        <f>W18/(1+'Study Parameters'!$C$3) ^'LCOF Baseline'!W$13</f>
        <v>31270401.229141239</v>
      </c>
      <c r="X19">
        <f>X18/(1+'Study Parameters'!$C$3) ^'LCOF Baseline'!X$13</f>
        <v>28954075.212167811</v>
      </c>
      <c r="Y19">
        <f>Y18/(1+'Study Parameters'!$C$3) ^'LCOF Baseline'!Y$13</f>
        <v>26809328.90015538</v>
      </c>
      <c r="Z19">
        <f>Z18/(1+'Study Parameters'!$C$3) ^'LCOF Baseline'!Z$13</f>
        <v>24823452.685329054</v>
      </c>
      <c r="AA19">
        <f>AA18/(1+'Study Parameters'!$C$3) ^'LCOF Baseline'!AA$13</f>
        <v>22984678.412341714</v>
      </c>
      <c r="AB19">
        <f>AB18/(1+'Study Parameters'!$C$3) ^'LCOF Baseline'!AB$13</f>
        <v>21282109.641057145</v>
      </c>
      <c r="AC19">
        <f>AC18/(1+'Study Parameters'!$C$3) ^'LCOF Baseline'!AC$13</f>
        <v>19705657.07505291</v>
      </c>
      <c r="AD19">
        <f>AD18/(1+'Study Parameters'!$C$3) ^'LCOF Baseline'!AD$13</f>
        <v>18245978.773197141</v>
      </c>
      <c r="AE19">
        <f>AE18/(1+'Study Parameters'!$C$3) ^'LCOF Baseline'!AE$13</f>
        <v>16894424.78999735</v>
      </c>
      <c r="AF19">
        <f>AF18/(1+'Study Parameters'!$C$3) ^'LCOF Baseline'!AF$13</f>
        <v>15642985.916664211</v>
      </c>
    </row>
    <row r="21" spans="1:32" x14ac:dyDescent="0.25">
      <c r="A21" t="s">
        <v>159</v>
      </c>
      <c r="B21">
        <f>(SUM(B15:AF15) - SUM(B17:AF17)) / SUM(B19:AF19)</f>
        <v>7.9246014586796623</v>
      </c>
    </row>
    <row r="23" spans="1:32" x14ac:dyDescent="0.25">
      <c r="A23" s="1" t="s">
        <v>10</v>
      </c>
    </row>
    <row r="24" spans="1:32" x14ac:dyDescent="0.25">
      <c r="A24" t="s">
        <v>21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  <c r="O24">
        <v>13</v>
      </c>
      <c r="P24">
        <v>14</v>
      </c>
      <c r="Q24">
        <v>15</v>
      </c>
      <c r="R24">
        <v>16</v>
      </c>
      <c r="S24">
        <v>17</v>
      </c>
      <c r="T24">
        <v>18</v>
      </c>
      <c r="U24">
        <v>19</v>
      </c>
      <c r="V24">
        <v>20</v>
      </c>
      <c r="W24">
        <v>21</v>
      </c>
      <c r="X24">
        <v>22</v>
      </c>
      <c r="Y24">
        <v>23</v>
      </c>
      <c r="Z24">
        <v>24</v>
      </c>
      <c r="AA24">
        <v>25</v>
      </c>
      <c r="AB24">
        <v>26</v>
      </c>
      <c r="AC24">
        <v>27</v>
      </c>
      <c r="AD24">
        <v>28</v>
      </c>
      <c r="AE24">
        <v>29</v>
      </c>
      <c r="AF24">
        <v>30</v>
      </c>
    </row>
    <row r="25" spans="1:32" x14ac:dyDescent="0.25">
      <c r="A25" t="s">
        <v>110</v>
      </c>
      <c r="B25">
        <f>'Cost Components'!N8 * 10^6</f>
        <v>7793078471.7987967</v>
      </c>
      <c r="C25">
        <f>'Cost Components'!$N$16 * 10^6</f>
        <v>585800000</v>
      </c>
      <c r="D25">
        <f>'Cost Components'!$N$16 * 10^6</f>
        <v>585800000</v>
      </c>
      <c r="E25">
        <f>'Cost Components'!$N$16 * 10^6</f>
        <v>585800000</v>
      </c>
      <c r="F25">
        <f>'Cost Components'!$N$16 * 10^6</f>
        <v>585800000</v>
      </c>
      <c r="G25">
        <f>'Cost Components'!$N$16 * 10^6</f>
        <v>585800000</v>
      </c>
      <c r="H25">
        <f>'Cost Components'!$N$16 * 10^6</f>
        <v>585800000</v>
      </c>
      <c r="I25">
        <f>'Cost Components'!$N$16 * 10^6 + 'Cost Components'!$N$7 * 10^6</f>
        <v>960800000</v>
      </c>
      <c r="J25">
        <f>'Cost Components'!$N$16 * 10^6</f>
        <v>585800000</v>
      </c>
      <c r="K25">
        <f>'Cost Components'!$N$16 * 10^6</f>
        <v>585800000</v>
      </c>
      <c r="L25">
        <f>'Cost Components'!$N$16 * 10^6</f>
        <v>585800000</v>
      </c>
      <c r="M25">
        <f>'Cost Components'!$N$16 * 10^6</f>
        <v>585800000</v>
      </c>
      <c r="N25">
        <f>'Cost Components'!$N$16 * 10^6</f>
        <v>585800000</v>
      </c>
      <c r="O25">
        <f>'Cost Components'!$N$16 * 10^6 + 'Cost Components'!$N$7 * 10^6</f>
        <v>960800000</v>
      </c>
      <c r="P25">
        <f>'Cost Components'!$N$16 * 10^6</f>
        <v>585800000</v>
      </c>
      <c r="Q25">
        <f>'Cost Components'!$N$16 * 10^6</f>
        <v>585800000</v>
      </c>
      <c r="R25">
        <f>'Cost Components'!$N$16 * 10^6</f>
        <v>585800000</v>
      </c>
      <c r="S25">
        <f>'Cost Components'!$N$16 * 10^6</f>
        <v>585800000</v>
      </c>
      <c r="T25">
        <f>'Cost Components'!$N$16 * 10^6</f>
        <v>585800000</v>
      </c>
      <c r="U25">
        <f>'Cost Components'!$N$16 * 10^6 + 'Cost Components'!$N$7 * 10^6</f>
        <v>960800000</v>
      </c>
      <c r="V25">
        <f>'Cost Components'!$N$16 * 10^6</f>
        <v>585800000</v>
      </c>
      <c r="W25">
        <f>'Cost Components'!$N$16 * 10^6</f>
        <v>585800000</v>
      </c>
      <c r="X25">
        <f>'Cost Components'!$N$16 * 10^6</f>
        <v>585800000</v>
      </c>
      <c r="Y25">
        <f>'Cost Components'!$N$16 * 10^6</f>
        <v>585800000</v>
      </c>
      <c r="Z25">
        <f>'Cost Components'!$N$16 * 10^6</f>
        <v>585800000</v>
      </c>
      <c r="AA25">
        <f>'Cost Components'!$N$16 * 10^6 + 'Cost Components'!$N$7 * 10^6</f>
        <v>960800000</v>
      </c>
      <c r="AB25">
        <f>'Cost Components'!$N$16 * 10^6</f>
        <v>585800000</v>
      </c>
      <c r="AC25">
        <f>'Cost Components'!$N$16 * 10^6</f>
        <v>585800000</v>
      </c>
      <c r="AD25">
        <f>'Cost Components'!$N$16 * 10^6</f>
        <v>585800000</v>
      </c>
      <c r="AE25">
        <f>'Cost Components'!$N$16 * 10^6</f>
        <v>585800000</v>
      </c>
      <c r="AF25">
        <f>'Cost Components'!$N$16 * 10^6</f>
        <v>585800000</v>
      </c>
    </row>
    <row r="26" spans="1:32" x14ac:dyDescent="0.25">
      <c r="A26" t="s">
        <v>111</v>
      </c>
      <c r="B26">
        <f>B25/(1+'Study Parameters'!$C$3)^'LCOF Baseline'!B$24</f>
        <v>7793078471.7987967</v>
      </c>
      <c r="C26">
        <f>C25/(1+'Study Parameters'!$C$3)^'LCOF Baseline'!C$24</f>
        <v>542407407.4074074</v>
      </c>
      <c r="D26">
        <f>D25/(1+'Study Parameters'!$C$3)^'LCOF Baseline'!D$24</f>
        <v>502229080.93278462</v>
      </c>
      <c r="E26">
        <f>E25/(1+'Study Parameters'!$C$3)^'LCOF Baseline'!E$24</f>
        <v>465026926.78961533</v>
      </c>
      <c r="F26">
        <f>F25/(1+'Study Parameters'!$C$3)^'LCOF Baseline'!F$24</f>
        <v>430580487.76816231</v>
      </c>
      <c r="G26">
        <f>G25/(1+'Study Parameters'!$C$3)^'LCOF Baseline'!G$24</f>
        <v>398685636.8223725</v>
      </c>
      <c r="H26">
        <f>H25/(1+'Study Parameters'!$C$3)^'LCOF Baseline'!H$24</f>
        <v>369153367.42812264</v>
      </c>
      <c r="I26">
        <f>I25/(1+'Study Parameters'!$C$3)^'LCOF Baseline'!I$24</f>
        <v>560617571.76785815</v>
      </c>
      <c r="J26">
        <f>J25/(1+'Study Parameters'!$C$3)^'LCOF Baseline'!J$24</f>
        <v>316489512.54125738</v>
      </c>
      <c r="K26">
        <f>K25/(1+'Study Parameters'!$C$3)^'LCOF Baseline'!K$24</f>
        <v>293045844.94560868</v>
      </c>
      <c r="L26">
        <f>L25/(1+'Study Parameters'!$C$3)^'LCOF Baseline'!L$24</f>
        <v>271338745.32000804</v>
      </c>
      <c r="M26">
        <f>M25/(1+'Study Parameters'!$C$3)^'LCOF Baseline'!M$24</f>
        <v>251239579.00000745</v>
      </c>
      <c r="N26">
        <f>N25/(1+'Study Parameters'!$C$3)^'LCOF Baseline'!N$24</f>
        <v>232629239.81482169</v>
      </c>
      <c r="O26">
        <f>O25/(1+'Study Parameters'!$C$3)^'LCOF Baseline'!O$24</f>
        <v>353284166.02506334</v>
      </c>
      <c r="P26">
        <f>P25/(1+'Study Parameters'!$C$3)^'LCOF Baseline'!P$24</f>
        <v>199442078.03053981</v>
      </c>
      <c r="Q26">
        <f>Q25/(1+'Study Parameters'!$C$3)^'LCOF Baseline'!Q$24</f>
        <v>184668590.76901835</v>
      </c>
      <c r="R26">
        <f>R25/(1+'Study Parameters'!$C$3)^'LCOF Baseline'!R$24</f>
        <v>170989435.89723921</v>
      </c>
      <c r="S26">
        <f>S25/(1+'Study Parameters'!$C$3)^'LCOF Baseline'!S$24</f>
        <v>158323551.75670296</v>
      </c>
      <c r="T26">
        <f>T25/(1+'Study Parameters'!$C$3)^'LCOF Baseline'!T$24</f>
        <v>146595881.25620642</v>
      </c>
      <c r="U26">
        <f>U25/(1+'Study Parameters'!$C$3)^'LCOF Baseline'!U$24</f>
        <v>222628951.08772293</v>
      </c>
      <c r="V26">
        <f>V25/(1+'Study Parameters'!$C$3)^'LCOF Baseline'!V$24</f>
        <v>125682339.89729632</v>
      </c>
      <c r="W26">
        <f>W25/(1+'Study Parameters'!$C$3)^'LCOF Baseline'!W$24</f>
        <v>116372536.94194104</v>
      </c>
      <c r="X26">
        <f>X25/(1+'Study Parameters'!$C$3)^'LCOF Baseline'!X$24</f>
        <v>107752349.02031575</v>
      </c>
      <c r="Y26">
        <f>Y25/(1+'Study Parameters'!$C$3)^'LCOF Baseline'!Y$24</f>
        <v>99770693.537329406</v>
      </c>
      <c r="Z26">
        <f>Z25/(1+'Study Parameters'!$C$3)^'LCOF Baseline'!Z$24</f>
        <v>92380271.793823525</v>
      </c>
      <c r="AA26">
        <f>AA25/(1+'Study Parameters'!$C$3)^'LCOF Baseline'!AA$24</f>
        <v>140294003.04032728</v>
      </c>
      <c r="AB26">
        <f>AB25/(1+'Study Parameters'!$C$3)^'LCOF Baseline'!AB$24</f>
        <v>79201193.238874748</v>
      </c>
      <c r="AC26">
        <f>AC25/(1+'Study Parameters'!$C$3)^'LCOF Baseline'!AC$24</f>
        <v>73334438.18414329</v>
      </c>
      <c r="AD26">
        <f>AD25/(1+'Study Parameters'!$C$3)^'LCOF Baseline'!AD$24</f>
        <v>67902257.577910453</v>
      </c>
      <c r="AE26">
        <f>AE25/(1+'Study Parameters'!$C$3)^'LCOF Baseline'!AE$24</f>
        <v>62872460.72028745</v>
      </c>
      <c r="AF26">
        <f>AF25/(1+'Study Parameters'!$C$3)^'LCOF Baseline'!AF$24</f>
        <v>58215241.40767356</v>
      </c>
    </row>
    <row r="27" spans="1:32" x14ac:dyDescent="0.25">
      <c r="A27" t="s">
        <v>155</v>
      </c>
      <c r="B27">
        <v>0</v>
      </c>
      <c r="C27">
        <f>'Study Parameters'!$C$42 * 10^6</f>
        <v>122000000</v>
      </c>
      <c r="D27">
        <f>'Study Parameters'!$C$42 * 10^6</f>
        <v>122000000</v>
      </c>
      <c r="E27">
        <f>'Study Parameters'!$C$42 * 10^6</f>
        <v>122000000</v>
      </c>
      <c r="F27">
        <f>'Study Parameters'!$C$42 * 10^6</f>
        <v>122000000</v>
      </c>
      <c r="G27">
        <f>'Study Parameters'!$C$42 * 10^6</f>
        <v>122000000</v>
      </c>
      <c r="H27">
        <f>'Study Parameters'!$C$42 * 10^6</f>
        <v>122000000</v>
      </c>
      <c r="I27">
        <f>'Study Parameters'!$C$42 * 10^6</f>
        <v>122000000</v>
      </c>
      <c r="J27">
        <f>'Study Parameters'!$C$42 * 10^6</f>
        <v>122000000</v>
      </c>
      <c r="K27">
        <f>'Study Parameters'!$C$42 * 10^6</f>
        <v>122000000</v>
      </c>
      <c r="L27">
        <f>'Study Parameters'!$C$42 * 10^6</f>
        <v>122000000</v>
      </c>
      <c r="M27">
        <f>'Study Parameters'!$C$42 * 10^6</f>
        <v>122000000</v>
      </c>
      <c r="N27">
        <f>'Study Parameters'!$C$42 * 10^6</f>
        <v>122000000</v>
      </c>
      <c r="O27">
        <f>'Study Parameters'!$C$42 * 10^6</f>
        <v>122000000</v>
      </c>
      <c r="P27">
        <f>'Study Parameters'!$C$42 * 10^6</f>
        <v>122000000</v>
      </c>
      <c r="Q27">
        <f>'Study Parameters'!$C$42 * 10^6</f>
        <v>122000000</v>
      </c>
      <c r="R27">
        <f>'Study Parameters'!$C$42 * 10^6</f>
        <v>122000000</v>
      </c>
      <c r="S27">
        <f>'Study Parameters'!$C$42 * 10^6</f>
        <v>122000000</v>
      </c>
      <c r="T27">
        <f>'Study Parameters'!$C$42 * 10^6</f>
        <v>122000000</v>
      </c>
      <c r="U27">
        <f>'Study Parameters'!$C$42 * 10^6</f>
        <v>122000000</v>
      </c>
      <c r="V27">
        <f>'Study Parameters'!$C$42 * 10^6</f>
        <v>122000000</v>
      </c>
      <c r="W27">
        <f>'Study Parameters'!$C$42 * 10^6</f>
        <v>122000000</v>
      </c>
      <c r="X27">
        <f>'Study Parameters'!$C$42 * 10^6</f>
        <v>122000000</v>
      </c>
      <c r="Y27">
        <f>'Study Parameters'!$C$42 * 10^6</f>
        <v>122000000</v>
      </c>
      <c r="Z27">
        <f>'Study Parameters'!$C$42 * 10^6</f>
        <v>122000000</v>
      </c>
      <c r="AA27">
        <f>'Study Parameters'!$C$42 * 10^6</f>
        <v>122000000</v>
      </c>
      <c r="AB27">
        <f>'Study Parameters'!$C$42 * 10^6</f>
        <v>122000000</v>
      </c>
      <c r="AC27">
        <f>'Study Parameters'!$C$42 * 10^6</f>
        <v>122000000</v>
      </c>
      <c r="AD27">
        <f>'Study Parameters'!$C$42 * 10^6</f>
        <v>122000000</v>
      </c>
      <c r="AE27">
        <f>'Study Parameters'!$C$42 * 10^6</f>
        <v>122000000</v>
      </c>
      <c r="AF27">
        <f>'Study Parameters'!$C$42 * 10^6</f>
        <v>122000000</v>
      </c>
    </row>
    <row r="28" spans="1:32" x14ac:dyDescent="0.25">
      <c r="A28" t="s">
        <v>156</v>
      </c>
      <c r="B28">
        <v>0</v>
      </c>
      <c r="C28">
        <f>C27/(1+'Study Parameters'!$C$3)^'LCOF Baseline'!C$24</f>
        <v>112962962.96296296</v>
      </c>
      <c r="D28">
        <f>D27/(1+'Study Parameters'!$C$3)^'LCOF Baseline'!D$24</f>
        <v>104595336.07681754</v>
      </c>
      <c r="E28">
        <f>E27/(1+'Study Parameters'!$C$3)^'LCOF Baseline'!E$24</f>
        <v>96847533.404460683</v>
      </c>
      <c r="F28">
        <f>F27/(1+'Study Parameters'!$C$3)^'LCOF Baseline'!F$24</f>
        <v>89673642.041167304</v>
      </c>
      <c r="G28">
        <f>G27/(1+'Study Parameters'!$C$3)^'LCOF Baseline'!G$24</f>
        <v>83031150.038117871</v>
      </c>
      <c r="H28">
        <f>H27/(1+'Study Parameters'!$C$3)^'LCOF Baseline'!H$24</f>
        <v>76880694.479738757</v>
      </c>
      <c r="I28">
        <f>I27/(1+'Study Parameters'!$C$3)^'LCOF Baseline'!I$24</f>
        <v>71185828.221980333</v>
      </c>
      <c r="J28">
        <f>J27/(1+'Study Parameters'!$C$3)^'LCOF Baseline'!J$24</f>
        <v>65912803.909241043</v>
      </c>
      <c r="K28">
        <f>K27/(1+'Study Parameters'!$C$3)^'LCOF Baseline'!K$24</f>
        <v>61030373.990038</v>
      </c>
      <c r="L28">
        <f>L27/(1+'Study Parameters'!$C$3)^'LCOF Baseline'!L$24</f>
        <v>56509605.54633148</v>
      </c>
      <c r="M28">
        <f>M27/(1+'Study Parameters'!$C$3)^'LCOF Baseline'!M$24</f>
        <v>52323708.839195818</v>
      </c>
      <c r="N28">
        <f>N27/(1+'Study Parameters'!$C$3)^'LCOF Baseline'!N$24</f>
        <v>48447878.554810934</v>
      </c>
      <c r="O28">
        <f>O27/(1+'Study Parameters'!$C$3)^'LCOF Baseline'!O$24</f>
        <v>44859146.810010128</v>
      </c>
      <c r="P28">
        <f>P27/(1+'Study Parameters'!$C$3)^'LCOF Baseline'!P$24</f>
        <v>41536247.046305664</v>
      </c>
      <c r="Q28">
        <f>Q27/(1+'Study Parameters'!$C$3)^'LCOF Baseline'!Q$24</f>
        <v>38459488.005838573</v>
      </c>
      <c r="R28">
        <f>R27/(1+'Study Parameters'!$C$3)^'LCOF Baseline'!R$24</f>
        <v>35610637.042443126</v>
      </c>
      <c r="S28">
        <f>S27/(1+'Study Parameters'!$C$3)^'LCOF Baseline'!S$24</f>
        <v>32972812.076336227</v>
      </c>
      <c r="T28">
        <f>T27/(1+'Study Parameters'!$C$3)^'LCOF Baseline'!T$24</f>
        <v>30530381.552163169</v>
      </c>
      <c r="U28">
        <f>U27/(1+'Study Parameters'!$C$3)^'LCOF Baseline'!U$24</f>
        <v>28268871.807558488</v>
      </c>
      <c r="V28">
        <f>V27/(1+'Study Parameters'!$C$3)^'LCOF Baseline'!V$24</f>
        <v>26174881.303294897</v>
      </c>
      <c r="W28">
        <f>W27/(1+'Study Parameters'!$C$3)^'LCOF Baseline'!W$24</f>
        <v>24236001.206754535</v>
      </c>
      <c r="X28">
        <f>X27/(1+'Study Parameters'!$C$3)^'LCOF Baseline'!X$24</f>
        <v>22440741.858106047</v>
      </c>
      <c r="Y28">
        <f>Y27/(1+'Study Parameters'!$C$3)^'LCOF Baseline'!Y$24</f>
        <v>20778464.683431525</v>
      </c>
      <c r="Z28">
        <f>Z27/(1+'Study Parameters'!$C$3)^'LCOF Baseline'!Z$24</f>
        <v>19239319.151325487</v>
      </c>
      <c r="AA28">
        <f>AA27/(1+'Study Parameters'!$C$3)^'LCOF Baseline'!AA$24</f>
        <v>17814184.399375446</v>
      </c>
      <c r="AB28">
        <f>AB27/(1+'Study Parameters'!$C$3)^'LCOF Baseline'!AB$24</f>
        <v>16494615.184606897</v>
      </c>
      <c r="AC28">
        <f>AC27/(1+'Study Parameters'!$C$3)^'LCOF Baseline'!AC$24</f>
        <v>15272791.837598978</v>
      </c>
      <c r="AD28">
        <f>AD27/(1+'Study Parameters'!$C$3)^'LCOF Baseline'!AD$24</f>
        <v>14141473.923702758</v>
      </c>
      <c r="AE28">
        <f>AE27/(1+'Study Parameters'!$C$3)^'LCOF Baseline'!AE$24</f>
        <v>13093957.336761812</v>
      </c>
      <c r="AF28">
        <f>AF27/(1+'Study Parameters'!$C$3)^'LCOF Baseline'!AF$24</f>
        <v>12124034.571075751</v>
      </c>
    </row>
    <row r="29" spans="1:32" x14ac:dyDescent="0.25">
      <c r="A29" t="s">
        <v>157</v>
      </c>
      <c r="B29">
        <v>0</v>
      </c>
      <c r="C29">
        <f>'Study Parameters'!$C$9</f>
        <v>157410000</v>
      </c>
      <c r="D29">
        <f>'Study Parameters'!$C$9</f>
        <v>157410000</v>
      </c>
      <c r="E29">
        <f>'Study Parameters'!$C$9</f>
        <v>157410000</v>
      </c>
      <c r="F29">
        <f>'Study Parameters'!$C$9</f>
        <v>157410000</v>
      </c>
      <c r="G29">
        <f>'Study Parameters'!$C$9</f>
        <v>157410000</v>
      </c>
      <c r="H29">
        <f>'Study Parameters'!$C$9</f>
        <v>157410000</v>
      </c>
      <c r="I29">
        <f>'Study Parameters'!$C$9</f>
        <v>157410000</v>
      </c>
      <c r="J29">
        <f>'Study Parameters'!$C$9</f>
        <v>157410000</v>
      </c>
      <c r="K29">
        <f>'Study Parameters'!$C$9</f>
        <v>157410000</v>
      </c>
      <c r="L29">
        <f>'Study Parameters'!$C$9</f>
        <v>157410000</v>
      </c>
      <c r="M29">
        <f>'Study Parameters'!$C$9</f>
        <v>157410000</v>
      </c>
      <c r="N29">
        <f>'Study Parameters'!$C$9</f>
        <v>157410000</v>
      </c>
      <c r="O29">
        <f>'Study Parameters'!$C$9</f>
        <v>157410000</v>
      </c>
      <c r="P29">
        <f>'Study Parameters'!$C$9</f>
        <v>157410000</v>
      </c>
      <c r="Q29">
        <f>'Study Parameters'!$C$9</f>
        <v>157410000</v>
      </c>
      <c r="R29">
        <f>'Study Parameters'!$C$9</f>
        <v>157410000</v>
      </c>
      <c r="S29">
        <f>'Study Parameters'!$C$9</f>
        <v>157410000</v>
      </c>
      <c r="T29">
        <f>'Study Parameters'!$C$9</f>
        <v>157410000</v>
      </c>
      <c r="U29">
        <f>'Study Parameters'!$C$9</f>
        <v>157410000</v>
      </c>
      <c r="V29">
        <f>'Study Parameters'!$C$9</f>
        <v>157410000</v>
      </c>
      <c r="W29">
        <f>'Study Parameters'!$C$9</f>
        <v>157410000</v>
      </c>
      <c r="X29">
        <f>'Study Parameters'!$C$9</f>
        <v>157410000</v>
      </c>
      <c r="Y29">
        <f>'Study Parameters'!$C$9</f>
        <v>157410000</v>
      </c>
      <c r="Z29">
        <f>'Study Parameters'!$C$9</f>
        <v>157410000</v>
      </c>
      <c r="AA29">
        <f>'Study Parameters'!$C$9</f>
        <v>157410000</v>
      </c>
      <c r="AB29">
        <f>'Study Parameters'!$C$9</f>
        <v>157410000</v>
      </c>
      <c r="AC29">
        <f>'Study Parameters'!$C$9</f>
        <v>157410000</v>
      </c>
      <c r="AD29">
        <f>'Study Parameters'!$C$9</f>
        <v>157410000</v>
      </c>
      <c r="AE29">
        <f>'Study Parameters'!$C$9</f>
        <v>157410000</v>
      </c>
      <c r="AF29">
        <f>'Study Parameters'!$C$9</f>
        <v>157410000</v>
      </c>
    </row>
    <row r="30" spans="1:32" x14ac:dyDescent="0.25">
      <c r="A30" t="s">
        <v>158</v>
      </c>
      <c r="B30">
        <v>0</v>
      </c>
      <c r="C30">
        <f>C29/(1+'Study Parameters'!$C$3)^'LCOF Baseline'!C$24</f>
        <v>145750000</v>
      </c>
      <c r="D30">
        <f>D29/(1+'Study Parameters'!$C$3)^'LCOF Baseline'!D$24</f>
        <v>134953703.7037037</v>
      </c>
      <c r="E30">
        <f>E29/(1+'Study Parameters'!$C$3)^'LCOF Baseline'!E$24</f>
        <v>124957133.05898489</v>
      </c>
      <c r="F30">
        <f>F29/(1+'Study Parameters'!$C$3)^'LCOF Baseline'!F$24</f>
        <v>115701049.12868971</v>
      </c>
      <c r="G30">
        <f>G29/(1+'Study Parameters'!$C$3)^'LCOF Baseline'!G$24</f>
        <v>107130601.04508306</v>
      </c>
      <c r="H30">
        <f>H29/(1+'Study Parameters'!$C$3)^'LCOF Baseline'!H$24</f>
        <v>99195000.967669487</v>
      </c>
      <c r="I30">
        <f>I29/(1+'Study Parameters'!$C$3)^'LCOF Baseline'!I$24</f>
        <v>91847223.118212491</v>
      </c>
      <c r="J30">
        <f>J29/(1+'Study Parameters'!$C$3)^'LCOF Baseline'!J$24</f>
        <v>85043725.109456003</v>
      </c>
      <c r="K30">
        <f>K29/(1+'Study Parameters'!$C$3)^'LCOF Baseline'!K$24</f>
        <v>78744189.916162968</v>
      </c>
      <c r="L30">
        <f>L29/(1+'Study Parameters'!$C$3)^'LCOF Baseline'!L$24</f>
        <v>72911286.959410146</v>
      </c>
      <c r="M30">
        <f>M29/(1+'Study Parameters'!$C$3)^'LCOF Baseline'!M$24</f>
        <v>67510450.888342723</v>
      </c>
      <c r="N30">
        <f>N29/(1+'Study Parameters'!$C$3)^'LCOF Baseline'!N$24</f>
        <v>62509676.748465486</v>
      </c>
      <c r="O30">
        <f>O29/(1+'Study Parameters'!$C$3)^'LCOF Baseline'!O$24</f>
        <v>57879330.322653227</v>
      </c>
      <c r="P30">
        <f>P29/(1+'Study Parameters'!$C$3)^'LCOF Baseline'!P$24</f>
        <v>53591972.520975202</v>
      </c>
      <c r="Q30">
        <f>Q29/(1+'Study Parameters'!$C$3)^'LCOF Baseline'!Q$24</f>
        <v>49622196.778680742</v>
      </c>
      <c r="R30">
        <f>R29/(1+'Study Parameters'!$C$3)^'LCOF Baseline'!R$24</f>
        <v>45946478.498778462</v>
      </c>
      <c r="S30">
        <f>S29/(1+'Study Parameters'!$C$3)^'LCOF Baseline'!S$24</f>
        <v>42543035.647017092</v>
      </c>
      <c r="T30">
        <f>T29/(1+'Study Parameters'!$C$3)^'LCOF Baseline'!T$24</f>
        <v>39391699.673163973</v>
      </c>
      <c r="U30">
        <f>U29/(1+'Study Parameters'!$C$3)^'LCOF Baseline'!U$24</f>
        <v>36473795.993670344</v>
      </c>
      <c r="V30">
        <f>V29/(1+'Study Parameters'!$C$3)^'LCOF Baseline'!V$24</f>
        <v>33772033.327472538</v>
      </c>
      <c r="W30">
        <f>W29/(1+'Study Parameters'!$C$3)^'LCOF Baseline'!W$24</f>
        <v>31270401.229141239</v>
      </c>
      <c r="X30">
        <f>X29/(1+'Study Parameters'!$C$3)^'LCOF Baseline'!X$24</f>
        <v>28954075.212167811</v>
      </c>
      <c r="Y30">
        <f>Y29/(1+'Study Parameters'!$C$3)^'LCOF Baseline'!Y$24</f>
        <v>26809328.90015538</v>
      </c>
      <c r="Z30">
        <f>Z29/(1+'Study Parameters'!$C$3)^'LCOF Baseline'!Z$24</f>
        <v>24823452.685329054</v>
      </c>
      <c r="AA30">
        <f>AA29/(1+'Study Parameters'!$C$3)^'LCOF Baseline'!AA$24</f>
        <v>22984678.412341714</v>
      </c>
      <c r="AB30">
        <f>AB29/(1+'Study Parameters'!$C$3)^'LCOF Baseline'!AB$24</f>
        <v>21282109.641057145</v>
      </c>
      <c r="AC30">
        <f>AC29/(1+'Study Parameters'!$C$3)^'LCOF Baseline'!AC$24</f>
        <v>19705657.07505291</v>
      </c>
      <c r="AD30">
        <f>AD29/(1+'Study Parameters'!$C$3)^'LCOF Baseline'!AD$24</f>
        <v>18245978.773197141</v>
      </c>
      <c r="AE30">
        <f>AE29/(1+'Study Parameters'!$C$3)^'LCOF Baseline'!AE$24</f>
        <v>16894424.78999735</v>
      </c>
      <c r="AF30">
        <f>AF29/(1+'Study Parameters'!$C$3)^'LCOF Baseline'!AF$24</f>
        <v>15642985.916664211</v>
      </c>
    </row>
    <row r="32" spans="1:32" x14ac:dyDescent="0.25">
      <c r="A32" t="s">
        <v>159</v>
      </c>
      <c r="B32">
        <f>(SUM(B26:AF26) - SUM(B28:AF28)) / SUM(B30:AF30)</f>
        <v>7.6253466052205301</v>
      </c>
    </row>
    <row r="34" spans="1:32" x14ac:dyDescent="0.25">
      <c r="A34" s="1" t="s">
        <v>12</v>
      </c>
    </row>
    <row r="35" spans="1:32" x14ac:dyDescent="0.25">
      <c r="A35" t="s">
        <v>21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</row>
    <row r="36" spans="1:32" x14ac:dyDescent="0.25">
      <c r="A36" t="s">
        <v>110</v>
      </c>
      <c r="B36">
        <f>'Cost Components'!T8 * 10^6</f>
        <v>3301556668.6254954</v>
      </c>
      <c r="C36">
        <f>'Cost Components'!$T$16 * 10^6</f>
        <v>393000000</v>
      </c>
      <c r="D36">
        <f>'Cost Components'!$T$16 * 10^6</f>
        <v>393000000</v>
      </c>
      <c r="E36">
        <f>'Cost Components'!$T$16 * 10^6</f>
        <v>393000000</v>
      </c>
      <c r="F36">
        <f>'Cost Components'!$T$16 * 10^6</f>
        <v>393000000</v>
      </c>
      <c r="G36">
        <f>'Cost Components'!$T$16 * 10^6</f>
        <v>393000000</v>
      </c>
      <c r="H36">
        <f>'Cost Components'!$T$16 * 10^6</f>
        <v>393000000</v>
      </c>
      <c r="I36">
        <f>'Cost Components'!$T$16 * 10^6</f>
        <v>393000000</v>
      </c>
      <c r="J36">
        <f>'Cost Components'!$T$16 * 10^6</f>
        <v>393000000</v>
      </c>
      <c r="K36">
        <f>'Cost Components'!$T$16 * 10^6</f>
        <v>393000000</v>
      </c>
      <c r="L36">
        <f>'Cost Components'!$T$16 * 10^6</f>
        <v>393000000</v>
      </c>
      <c r="M36">
        <f>'Cost Components'!$T$16 * 10^6</f>
        <v>393000000</v>
      </c>
      <c r="N36">
        <f>'Cost Components'!$T$16 * 10^6 + 'Cost Components'!$T$7 * 10^6</f>
        <v>462000000</v>
      </c>
      <c r="O36">
        <f>'Cost Components'!$T$16 * 10^6</f>
        <v>393000000</v>
      </c>
      <c r="P36">
        <f>'Cost Components'!$T$16 * 10^6</f>
        <v>393000000</v>
      </c>
      <c r="Q36">
        <f>'Cost Components'!$T$16 * 10^6</f>
        <v>393000000</v>
      </c>
      <c r="R36">
        <f>'Cost Components'!$T$16 * 10^6</f>
        <v>393000000</v>
      </c>
      <c r="S36">
        <f>'Cost Components'!$T$16 * 10^6</f>
        <v>393000000</v>
      </c>
      <c r="T36">
        <f>'Cost Components'!$T$16 * 10^6</f>
        <v>393000000</v>
      </c>
      <c r="U36">
        <f>'Cost Components'!$T$16 * 10^6</f>
        <v>393000000</v>
      </c>
      <c r="V36">
        <f>'Cost Components'!$T$16 * 10^6</f>
        <v>393000000</v>
      </c>
      <c r="W36">
        <f>'Cost Components'!$T$16 * 10^6</f>
        <v>393000000</v>
      </c>
      <c r="X36">
        <f>'Cost Components'!$T$16 * 10^6</f>
        <v>393000000</v>
      </c>
      <c r="Y36">
        <f>'Cost Components'!$T$16 * 10^6</f>
        <v>393000000</v>
      </c>
      <c r="Z36">
        <f>'Cost Components'!$T$16 * 10^6 + 'Cost Components'!$T$7 * 10^6</f>
        <v>462000000</v>
      </c>
      <c r="AA36">
        <f>'Cost Components'!$T$16 * 10^6</f>
        <v>393000000</v>
      </c>
      <c r="AB36">
        <f>'Cost Components'!$T$16 * 10^6</f>
        <v>393000000</v>
      </c>
      <c r="AC36">
        <f>'Cost Components'!$T$16 * 10^6</f>
        <v>393000000</v>
      </c>
      <c r="AD36">
        <f>'Cost Components'!$T$16 * 10^6</f>
        <v>393000000</v>
      </c>
      <c r="AE36">
        <f>'Cost Components'!$T$16 * 10^6</f>
        <v>393000000</v>
      </c>
      <c r="AF36">
        <f>'Cost Components'!$T$16 * 10^6</f>
        <v>393000000</v>
      </c>
    </row>
    <row r="37" spans="1:32" x14ac:dyDescent="0.25">
      <c r="A37" t="s">
        <v>111</v>
      </c>
      <c r="B37">
        <f>B36/(1+'Study Parameters'!$C$3)^'LCOF Baseline'!B$35</f>
        <v>3301556668.6254954</v>
      </c>
      <c r="C37">
        <f>C36/(1+'Study Parameters'!$C$3)^'LCOF Baseline'!C$35</f>
        <v>363888888.88888884</v>
      </c>
      <c r="D37">
        <f>D36/(1+'Study Parameters'!$C$3)^'LCOF Baseline'!D$35</f>
        <v>336934156.37860078</v>
      </c>
      <c r="E37">
        <f>E36/(1+'Study Parameters'!$C$3)^'LCOF Baseline'!E$35</f>
        <v>311976070.72092664</v>
      </c>
      <c r="F37">
        <f>F36/(1+'Study Parameters'!$C$3)^'LCOF Baseline'!F$35</f>
        <v>288866732.14900613</v>
      </c>
      <c r="G37">
        <f>G36/(1+'Study Parameters'!$C$3)^'LCOF Baseline'!G$35</f>
        <v>267469196.43426493</v>
      </c>
      <c r="H37">
        <f>H36/(1+'Study Parameters'!$C$3)^'LCOF Baseline'!H$35</f>
        <v>247656663.36506009</v>
      </c>
      <c r="I37">
        <f>I36/(1+'Study Parameters'!$C$3)^'LCOF Baseline'!I$35</f>
        <v>229311725.3380186</v>
      </c>
      <c r="J37">
        <f>J36/(1+'Study Parameters'!$C$3)^'LCOF Baseline'!J$35</f>
        <v>212325671.60927647</v>
      </c>
      <c r="K37">
        <f>K36/(1+'Study Parameters'!$C$3)^'LCOF Baseline'!K$35</f>
        <v>196597844.08266339</v>
      </c>
      <c r="L37">
        <f>L36/(1+'Study Parameters'!$C$3)^'LCOF Baseline'!L$35</f>
        <v>182035040.81728092</v>
      </c>
      <c r="M37">
        <f>M36/(1+'Study Parameters'!$C$3)^'LCOF Baseline'!M$35</f>
        <v>168550963.71970454</v>
      </c>
      <c r="N37">
        <f>N36/(1+'Study Parameters'!$C$3)^'LCOF Baseline'!N$35</f>
        <v>183466556.49444798</v>
      </c>
      <c r="O37">
        <f>O36/(1+'Study Parameters'!$C$3)^'LCOF Baseline'!O$35</f>
        <v>144505284.39618015</v>
      </c>
      <c r="P37">
        <f>P36/(1+'Study Parameters'!$C$3)^'LCOF Baseline'!P$35</f>
        <v>133801189.25572234</v>
      </c>
      <c r="Q37">
        <f>Q36/(1+'Study Parameters'!$C$3)^'LCOF Baseline'!Q$35</f>
        <v>123889990.05159475</v>
      </c>
      <c r="R37">
        <f>R36/(1+'Study Parameters'!$C$3)^'LCOF Baseline'!R$35</f>
        <v>114712953.75147663</v>
      </c>
      <c r="S37">
        <f>S36/(1+'Study Parameters'!$C$3)^'LCOF Baseline'!S$35</f>
        <v>106215697.91803391</v>
      </c>
      <c r="T37">
        <f>T36/(1+'Study Parameters'!$C$3)^'LCOF Baseline'!T$35</f>
        <v>98347868.442623988</v>
      </c>
      <c r="U37">
        <f>U36/(1+'Study Parameters'!$C$3)^'LCOF Baseline'!U$35</f>
        <v>91062841.150577754</v>
      </c>
      <c r="V37">
        <f>V36/(1+'Study Parameters'!$C$3)^'LCOF Baseline'!V$35</f>
        <v>84317445.50979422</v>
      </c>
      <c r="W37">
        <f>W36/(1+'Study Parameters'!$C$3)^'LCOF Baseline'!W$35</f>
        <v>78071708.805365011</v>
      </c>
      <c r="X37">
        <f>X36/(1+'Study Parameters'!$C$3)^'LCOF Baseline'!X$35</f>
        <v>72288619.264226854</v>
      </c>
      <c r="Y37">
        <f>Y36/(1+'Study Parameters'!$C$3)^'LCOF Baseline'!Y$35</f>
        <v>66933906.726135977</v>
      </c>
      <c r="Z37">
        <f>Z36/(1+'Study Parameters'!$C$3)^'LCOF Baseline'!Z$35</f>
        <v>72857093.835347325</v>
      </c>
      <c r="AA37">
        <f>AA36/(1+'Study Parameters'!$C$3)^'LCOF Baseline'!AA$35</f>
        <v>57385036.630775005</v>
      </c>
      <c r="AB37">
        <f>AB36/(1+'Study Parameters'!$C$3)^'LCOF Baseline'!AB$35</f>
        <v>53134293.176643528</v>
      </c>
      <c r="AC37">
        <f>AC36/(1+'Study Parameters'!$C$3)^'LCOF Baseline'!AC$35</f>
        <v>49198419.608003266</v>
      </c>
      <c r="AD37">
        <f>AD36/(1+'Study Parameters'!$C$3)^'LCOF Baseline'!AD$35</f>
        <v>45554092.229632653</v>
      </c>
      <c r="AE37">
        <f>AE36/(1+'Study Parameters'!$C$3)^'LCOF Baseline'!AE$35</f>
        <v>42179715.027437635</v>
      </c>
      <c r="AF37">
        <f>AF36/(1+'Study Parameters'!$C$3)^'LCOF Baseline'!AF$35</f>
        <v>39055291.692071885</v>
      </c>
    </row>
    <row r="38" spans="1:32" x14ac:dyDescent="0.25">
      <c r="A38" t="s">
        <v>155</v>
      </c>
      <c r="B38">
        <v>0</v>
      </c>
      <c r="C38">
        <f>'Study Parameters'!$C$42 * 10^6</f>
        <v>122000000</v>
      </c>
      <c r="D38">
        <f>'Study Parameters'!$C$42 * 10^6</f>
        <v>122000000</v>
      </c>
      <c r="E38">
        <f>'Study Parameters'!$C$42 * 10^6</f>
        <v>122000000</v>
      </c>
      <c r="F38">
        <f>'Study Parameters'!$C$42 * 10^6</f>
        <v>122000000</v>
      </c>
      <c r="G38">
        <f>'Study Parameters'!$C$42 * 10^6</f>
        <v>122000000</v>
      </c>
      <c r="H38">
        <f>'Study Parameters'!$C$42 * 10^6</f>
        <v>122000000</v>
      </c>
      <c r="I38">
        <f>'Study Parameters'!$C$42 * 10^6</f>
        <v>122000000</v>
      </c>
      <c r="J38">
        <f>'Study Parameters'!$C$42 * 10^6</f>
        <v>122000000</v>
      </c>
      <c r="K38">
        <f>'Study Parameters'!$C$42 * 10^6</f>
        <v>122000000</v>
      </c>
      <c r="L38">
        <f>'Study Parameters'!$C$42 * 10^6</f>
        <v>122000000</v>
      </c>
      <c r="M38">
        <f>'Study Parameters'!$C$42 * 10^6</f>
        <v>122000000</v>
      </c>
      <c r="N38">
        <f>'Study Parameters'!$C$42 * 10^6</f>
        <v>122000000</v>
      </c>
      <c r="O38">
        <f>'Study Parameters'!$C$42 * 10^6</f>
        <v>122000000</v>
      </c>
      <c r="P38">
        <f>'Study Parameters'!$C$42 * 10^6</f>
        <v>122000000</v>
      </c>
      <c r="Q38">
        <f>'Study Parameters'!$C$42 * 10^6</f>
        <v>122000000</v>
      </c>
      <c r="R38">
        <f>'Study Parameters'!$C$42 * 10^6</f>
        <v>122000000</v>
      </c>
      <c r="S38">
        <f>'Study Parameters'!$C$42 * 10^6</f>
        <v>122000000</v>
      </c>
      <c r="T38">
        <f>'Study Parameters'!$C$42 * 10^6</f>
        <v>122000000</v>
      </c>
      <c r="U38">
        <f>'Study Parameters'!$C$42 * 10^6</f>
        <v>122000000</v>
      </c>
      <c r="V38">
        <f>'Study Parameters'!$C$42 * 10^6</f>
        <v>122000000</v>
      </c>
      <c r="W38">
        <f>'Study Parameters'!$C$42 * 10^6</f>
        <v>122000000</v>
      </c>
      <c r="X38">
        <f>'Study Parameters'!$C$42 * 10^6</f>
        <v>122000000</v>
      </c>
      <c r="Y38">
        <f>'Study Parameters'!$C$42 * 10^6</f>
        <v>122000000</v>
      </c>
      <c r="Z38">
        <f>'Study Parameters'!$C$42 * 10^6</f>
        <v>122000000</v>
      </c>
      <c r="AA38">
        <f>'Study Parameters'!$C$42 * 10^6</f>
        <v>122000000</v>
      </c>
      <c r="AB38">
        <f>'Study Parameters'!$C$42 * 10^6</f>
        <v>122000000</v>
      </c>
      <c r="AC38">
        <f>'Study Parameters'!$C$42 * 10^6</f>
        <v>122000000</v>
      </c>
      <c r="AD38">
        <f>'Study Parameters'!$C$42 * 10^6</f>
        <v>122000000</v>
      </c>
      <c r="AE38">
        <f>'Study Parameters'!$C$42 * 10^6</f>
        <v>122000000</v>
      </c>
      <c r="AF38">
        <f>'Study Parameters'!$C$42 * 10^6</f>
        <v>122000000</v>
      </c>
    </row>
    <row r="39" spans="1:32" x14ac:dyDescent="0.25">
      <c r="A39" t="s">
        <v>156</v>
      </c>
      <c r="B39">
        <v>0</v>
      </c>
      <c r="C39">
        <f>C38/(1+'Study Parameters'!$C$3)^'LCOF Baseline'!C$35</f>
        <v>112962962.96296296</v>
      </c>
      <c r="D39">
        <f>D38/(1+'Study Parameters'!$C$3)^'LCOF Baseline'!D$35</f>
        <v>104595336.07681754</v>
      </c>
      <c r="E39">
        <f>E38/(1+'Study Parameters'!$C$3)^'LCOF Baseline'!E$35</f>
        <v>96847533.404460683</v>
      </c>
      <c r="F39">
        <f>F38/(1+'Study Parameters'!$C$3)^'LCOF Baseline'!F$35</f>
        <v>89673642.041167304</v>
      </c>
      <c r="G39">
        <f>G38/(1+'Study Parameters'!$C$3)^'LCOF Baseline'!G$35</f>
        <v>83031150.038117871</v>
      </c>
      <c r="H39">
        <f>H38/(1+'Study Parameters'!$C$3)^'LCOF Baseline'!H$35</f>
        <v>76880694.479738757</v>
      </c>
      <c r="I39">
        <f>I38/(1+'Study Parameters'!$C$3)^'LCOF Baseline'!I$35</f>
        <v>71185828.221980333</v>
      </c>
      <c r="J39">
        <f>J38/(1+'Study Parameters'!$C$3)^'LCOF Baseline'!J$35</f>
        <v>65912803.909241043</v>
      </c>
      <c r="K39">
        <f>K38/(1+'Study Parameters'!$C$3)^'LCOF Baseline'!K$35</f>
        <v>61030373.990038</v>
      </c>
      <c r="L39">
        <f>L38/(1+'Study Parameters'!$C$3)^'LCOF Baseline'!L$35</f>
        <v>56509605.54633148</v>
      </c>
      <c r="M39">
        <f>M38/(1+'Study Parameters'!$C$3)^'LCOF Baseline'!M$35</f>
        <v>52323708.839195818</v>
      </c>
      <c r="N39">
        <f>N38/(1+'Study Parameters'!$C$3)^'LCOF Baseline'!N$35</f>
        <v>48447878.554810934</v>
      </c>
      <c r="O39">
        <f>O38/(1+'Study Parameters'!$C$3)^'LCOF Baseline'!O$35</f>
        <v>44859146.810010128</v>
      </c>
      <c r="P39">
        <f>P38/(1+'Study Parameters'!$C$3)^'LCOF Baseline'!P$35</f>
        <v>41536247.046305664</v>
      </c>
      <c r="Q39">
        <f>Q38/(1+'Study Parameters'!$C$3)^'LCOF Baseline'!Q$35</f>
        <v>38459488.005838573</v>
      </c>
      <c r="R39">
        <f>R38/(1+'Study Parameters'!$C$3)^'LCOF Baseline'!R$35</f>
        <v>35610637.042443126</v>
      </c>
      <c r="S39">
        <f>S38/(1+'Study Parameters'!$C$3)^'LCOF Baseline'!S$35</f>
        <v>32972812.076336227</v>
      </c>
      <c r="T39">
        <f>T38/(1+'Study Parameters'!$C$3)^'LCOF Baseline'!T$35</f>
        <v>30530381.552163169</v>
      </c>
      <c r="U39">
        <f>U38/(1+'Study Parameters'!$C$3)^'LCOF Baseline'!U$35</f>
        <v>28268871.807558488</v>
      </c>
      <c r="V39">
        <f>V38/(1+'Study Parameters'!$C$3)^'LCOF Baseline'!V$35</f>
        <v>26174881.303294897</v>
      </c>
      <c r="W39">
        <f>W38/(1+'Study Parameters'!$C$3)^'LCOF Baseline'!W$35</f>
        <v>24236001.206754535</v>
      </c>
      <c r="X39">
        <f>X38/(1+'Study Parameters'!$C$3)^'LCOF Baseline'!X$35</f>
        <v>22440741.858106047</v>
      </c>
      <c r="Y39">
        <f>Y38/(1+'Study Parameters'!$C$3)^'LCOF Baseline'!Y$35</f>
        <v>20778464.683431525</v>
      </c>
      <c r="Z39">
        <f>Z38/(1+'Study Parameters'!$C$3)^'LCOF Baseline'!Z$35</f>
        <v>19239319.151325487</v>
      </c>
      <c r="AA39">
        <f>AA38/(1+'Study Parameters'!$C$3)^'LCOF Baseline'!AA$35</f>
        <v>17814184.399375446</v>
      </c>
      <c r="AB39">
        <f>AB38/(1+'Study Parameters'!$C$3)^'LCOF Baseline'!AB$35</f>
        <v>16494615.184606897</v>
      </c>
      <c r="AC39">
        <f>AC38/(1+'Study Parameters'!$C$3)^'LCOF Baseline'!AC$35</f>
        <v>15272791.837598978</v>
      </c>
      <c r="AD39">
        <f>AD38/(1+'Study Parameters'!$C$3)^'LCOF Baseline'!AD$35</f>
        <v>14141473.923702758</v>
      </c>
      <c r="AE39">
        <f>AE38/(1+'Study Parameters'!$C$3)^'LCOF Baseline'!AE$35</f>
        <v>13093957.336761812</v>
      </c>
      <c r="AF39">
        <f>AF38/(1+'Study Parameters'!$C$3)^'LCOF Baseline'!AF$35</f>
        <v>12124034.571075751</v>
      </c>
    </row>
    <row r="40" spans="1:32" x14ac:dyDescent="0.25">
      <c r="A40" t="s">
        <v>157</v>
      </c>
      <c r="B40">
        <v>0</v>
      </c>
      <c r="C40">
        <f>'Study Parameters'!$C$9</f>
        <v>157410000</v>
      </c>
      <c r="D40">
        <f>'Study Parameters'!$C$9</f>
        <v>157410000</v>
      </c>
      <c r="E40">
        <f>'Study Parameters'!$C$9</f>
        <v>157410000</v>
      </c>
      <c r="F40">
        <f>'Study Parameters'!$C$9</f>
        <v>157410000</v>
      </c>
      <c r="G40">
        <f>'Study Parameters'!$C$9</f>
        <v>157410000</v>
      </c>
      <c r="H40">
        <f>'Study Parameters'!$C$9</f>
        <v>157410000</v>
      </c>
      <c r="I40">
        <f>'Study Parameters'!$C$9</f>
        <v>157410000</v>
      </c>
      <c r="J40">
        <f>'Study Parameters'!$C$9</f>
        <v>157410000</v>
      </c>
      <c r="K40">
        <f>'Study Parameters'!$C$9</f>
        <v>157410000</v>
      </c>
      <c r="L40">
        <f>'Study Parameters'!$C$9</f>
        <v>157410000</v>
      </c>
      <c r="M40">
        <f>'Study Parameters'!$C$9</f>
        <v>157410000</v>
      </c>
      <c r="N40">
        <f>'Study Parameters'!$C$9</f>
        <v>157410000</v>
      </c>
      <c r="O40">
        <f>'Study Parameters'!$C$9</f>
        <v>157410000</v>
      </c>
      <c r="P40">
        <f>'Study Parameters'!$C$9</f>
        <v>157410000</v>
      </c>
      <c r="Q40">
        <f>'Study Parameters'!$C$9</f>
        <v>157410000</v>
      </c>
      <c r="R40">
        <f>'Study Parameters'!$C$9</f>
        <v>157410000</v>
      </c>
      <c r="S40">
        <f>'Study Parameters'!$C$9</f>
        <v>157410000</v>
      </c>
      <c r="T40">
        <f>'Study Parameters'!$C$9</f>
        <v>157410000</v>
      </c>
      <c r="U40">
        <f>'Study Parameters'!$C$9</f>
        <v>157410000</v>
      </c>
      <c r="V40">
        <f>'Study Parameters'!$C$9</f>
        <v>157410000</v>
      </c>
      <c r="W40">
        <f>'Study Parameters'!$C$9</f>
        <v>157410000</v>
      </c>
      <c r="X40">
        <f>'Study Parameters'!$C$9</f>
        <v>157410000</v>
      </c>
      <c r="Y40">
        <f>'Study Parameters'!$C$9</f>
        <v>157410000</v>
      </c>
      <c r="Z40">
        <f>'Study Parameters'!$C$9</f>
        <v>157410000</v>
      </c>
      <c r="AA40">
        <f>'Study Parameters'!$C$9</f>
        <v>157410000</v>
      </c>
      <c r="AB40">
        <f>'Study Parameters'!$C$9</f>
        <v>157410000</v>
      </c>
      <c r="AC40">
        <f>'Study Parameters'!$C$9</f>
        <v>157410000</v>
      </c>
      <c r="AD40">
        <f>'Study Parameters'!$C$9</f>
        <v>157410000</v>
      </c>
      <c r="AE40">
        <f>'Study Parameters'!$C$9</f>
        <v>157410000</v>
      </c>
      <c r="AF40">
        <f>'Study Parameters'!$C$9</f>
        <v>157410000</v>
      </c>
    </row>
    <row r="41" spans="1:32" x14ac:dyDescent="0.25">
      <c r="A41" t="s">
        <v>158</v>
      </c>
      <c r="B41">
        <v>0</v>
      </c>
      <c r="C41">
        <f>C40/(1+'Study Parameters'!$C$3)^'LCOF Baseline'!C$35</f>
        <v>145750000</v>
      </c>
      <c r="D41">
        <f>D40/(1+'Study Parameters'!$C$3)^'LCOF Baseline'!D$35</f>
        <v>134953703.7037037</v>
      </c>
      <c r="E41">
        <f>E40/(1+'Study Parameters'!$C$3)^'LCOF Baseline'!E$35</f>
        <v>124957133.05898489</v>
      </c>
      <c r="F41">
        <f>F40/(1+'Study Parameters'!$C$3)^'LCOF Baseline'!F$35</f>
        <v>115701049.12868971</v>
      </c>
      <c r="G41">
        <f>G40/(1+'Study Parameters'!$C$3)^'LCOF Baseline'!G$35</f>
        <v>107130601.04508306</v>
      </c>
      <c r="H41">
        <f>H40/(1+'Study Parameters'!$C$3)^'LCOF Baseline'!H$35</f>
        <v>99195000.967669487</v>
      </c>
      <c r="I41">
        <f>I40/(1+'Study Parameters'!$C$3)^'LCOF Baseline'!I$35</f>
        <v>91847223.118212491</v>
      </c>
      <c r="J41">
        <f>J40/(1+'Study Parameters'!$C$3)^'LCOF Baseline'!J$35</f>
        <v>85043725.109456003</v>
      </c>
      <c r="K41">
        <f>K40/(1+'Study Parameters'!$C$3)^'LCOF Baseline'!K$35</f>
        <v>78744189.916162968</v>
      </c>
      <c r="L41">
        <f>L40/(1+'Study Parameters'!$C$3)^'LCOF Baseline'!L$35</f>
        <v>72911286.959410146</v>
      </c>
      <c r="M41">
        <f>M40/(1+'Study Parameters'!$C$3)^'LCOF Baseline'!M$35</f>
        <v>67510450.888342723</v>
      </c>
      <c r="N41">
        <f>N40/(1+'Study Parameters'!$C$3)^'LCOF Baseline'!N$35</f>
        <v>62509676.748465486</v>
      </c>
      <c r="O41">
        <f>O40/(1+'Study Parameters'!$C$3)^'LCOF Baseline'!O$35</f>
        <v>57879330.322653227</v>
      </c>
      <c r="P41">
        <f>P40/(1+'Study Parameters'!$C$3)^'LCOF Baseline'!P$35</f>
        <v>53591972.520975202</v>
      </c>
      <c r="Q41">
        <f>Q40/(1+'Study Parameters'!$C$3)^'LCOF Baseline'!Q$35</f>
        <v>49622196.778680742</v>
      </c>
      <c r="R41">
        <f>R40/(1+'Study Parameters'!$C$3)^'LCOF Baseline'!R$35</f>
        <v>45946478.498778462</v>
      </c>
      <c r="S41">
        <f>S40/(1+'Study Parameters'!$C$3)^'LCOF Baseline'!S$35</f>
        <v>42543035.647017092</v>
      </c>
      <c r="T41">
        <f>T40/(1+'Study Parameters'!$C$3)^'LCOF Baseline'!T$35</f>
        <v>39391699.673163973</v>
      </c>
      <c r="U41">
        <f>U40/(1+'Study Parameters'!$C$3)^'LCOF Baseline'!U$35</f>
        <v>36473795.993670344</v>
      </c>
      <c r="V41">
        <f>V40/(1+'Study Parameters'!$C$3)^'LCOF Baseline'!V$35</f>
        <v>33772033.327472538</v>
      </c>
      <c r="W41">
        <f>W40/(1+'Study Parameters'!$C$3)^'LCOF Baseline'!W$35</f>
        <v>31270401.229141239</v>
      </c>
      <c r="X41">
        <f>X40/(1+'Study Parameters'!$C$3)^'LCOF Baseline'!X$35</f>
        <v>28954075.212167811</v>
      </c>
      <c r="Y41">
        <f>Y40/(1+'Study Parameters'!$C$3)^'LCOF Baseline'!Y$35</f>
        <v>26809328.90015538</v>
      </c>
      <c r="Z41">
        <f>Z40/(1+'Study Parameters'!$C$3)^'LCOF Baseline'!Z$35</f>
        <v>24823452.685329054</v>
      </c>
      <c r="AA41">
        <f>AA40/(1+'Study Parameters'!$C$3)^'LCOF Baseline'!AA$35</f>
        <v>22984678.412341714</v>
      </c>
      <c r="AB41">
        <f>AB40/(1+'Study Parameters'!$C$3)^'LCOF Baseline'!AB$35</f>
        <v>21282109.641057145</v>
      </c>
      <c r="AC41">
        <f>AC40/(1+'Study Parameters'!$C$3)^'LCOF Baseline'!AC$35</f>
        <v>19705657.07505291</v>
      </c>
      <c r="AD41">
        <f>AD40/(1+'Study Parameters'!$C$3)^'LCOF Baseline'!AD$35</f>
        <v>18245978.773197141</v>
      </c>
      <c r="AE41">
        <f>AE40/(1+'Study Parameters'!$C$3)^'LCOF Baseline'!AE$35</f>
        <v>16894424.78999735</v>
      </c>
      <c r="AF41">
        <f>AF40/(1+'Study Parameters'!$C$3)^'LCOF Baseline'!AF$35</f>
        <v>15642985.916664211</v>
      </c>
    </row>
    <row r="43" spans="1:32" x14ac:dyDescent="0.25">
      <c r="A43" t="s">
        <v>159</v>
      </c>
      <c r="B43">
        <f>(SUM(B37:AF37) - SUM(B39:AF39)) / SUM(B41:AF41)</f>
        <v>3.6063103110725292</v>
      </c>
    </row>
    <row r="45" spans="1:32" x14ac:dyDescent="0.25">
      <c r="A45" s="1" t="s">
        <v>16</v>
      </c>
    </row>
    <row r="46" spans="1:32" x14ac:dyDescent="0.25">
      <c r="A46" t="s">
        <v>21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6</v>
      </c>
      <c r="I46">
        <v>7</v>
      </c>
      <c r="J46">
        <v>8</v>
      </c>
      <c r="K46">
        <v>9</v>
      </c>
      <c r="L46">
        <v>10</v>
      </c>
      <c r="M46">
        <v>11</v>
      </c>
      <c r="N46">
        <v>12</v>
      </c>
      <c r="O46">
        <v>13</v>
      </c>
      <c r="P46">
        <v>14</v>
      </c>
      <c r="Q46">
        <v>15</v>
      </c>
      <c r="R46">
        <v>16</v>
      </c>
      <c r="S46">
        <v>17</v>
      </c>
      <c r="T46">
        <v>18</v>
      </c>
      <c r="U46">
        <v>19</v>
      </c>
      <c r="V46">
        <v>20</v>
      </c>
      <c r="W46">
        <v>21</v>
      </c>
      <c r="X46">
        <v>22</v>
      </c>
      <c r="Y46">
        <v>23</v>
      </c>
      <c r="Z46">
        <v>24</v>
      </c>
      <c r="AA46">
        <v>25</v>
      </c>
      <c r="AB46">
        <v>26</v>
      </c>
      <c r="AC46">
        <v>27</v>
      </c>
      <c r="AD46">
        <v>28</v>
      </c>
      <c r="AE46">
        <v>29</v>
      </c>
      <c r="AF46">
        <v>30</v>
      </c>
    </row>
    <row r="47" spans="1:32" x14ac:dyDescent="0.25">
      <c r="A47" t="s">
        <v>110</v>
      </c>
      <c r="B47">
        <f>'Cost Components'!T8 * 10^6</f>
        <v>3301556668.6254954</v>
      </c>
      <c r="C47">
        <f>'Cost Components'!$Z$16 * 10^6</f>
        <v>325000000</v>
      </c>
      <c r="D47">
        <f>'Cost Components'!$Z$16 * 10^6</f>
        <v>325000000</v>
      </c>
      <c r="E47">
        <f>'Cost Components'!$Z$16 * 10^6</f>
        <v>325000000</v>
      </c>
      <c r="F47">
        <f>'Cost Components'!$Z$16 * 10^6</f>
        <v>325000000</v>
      </c>
      <c r="G47">
        <f>'Cost Components'!$Z$16 * 10^6</f>
        <v>325000000</v>
      </c>
      <c r="H47">
        <f>'Cost Components'!$Z$16 * 10^6</f>
        <v>325000000</v>
      </c>
      <c r="I47">
        <f>'Cost Components'!$Z$16 * 10^6</f>
        <v>325000000</v>
      </c>
      <c r="J47">
        <f>'Cost Components'!$Z$16 * 10^6</f>
        <v>325000000</v>
      </c>
      <c r="K47">
        <f>'Cost Components'!$Z$16 * 10^6</f>
        <v>325000000</v>
      </c>
      <c r="L47">
        <f>'Cost Components'!$Z$16 * 10^6</f>
        <v>325000000</v>
      </c>
      <c r="M47">
        <f>'Cost Components'!$Z$16 * 10^6</f>
        <v>325000000</v>
      </c>
      <c r="N47">
        <f>'Cost Components'!$Z$16 * 10^6 + 'Cost Components'!$Z$7 * 10^6</f>
        <v>394000000</v>
      </c>
      <c r="O47">
        <f>'Cost Components'!$Z$16 * 10^6</f>
        <v>325000000</v>
      </c>
      <c r="P47">
        <f>'Cost Components'!$Z$16 * 10^6</f>
        <v>325000000</v>
      </c>
      <c r="Q47">
        <f>'Cost Components'!$Z$16 * 10^6</f>
        <v>325000000</v>
      </c>
      <c r="R47">
        <f>'Cost Components'!$Z$16 * 10^6</f>
        <v>325000000</v>
      </c>
      <c r="S47">
        <f>'Cost Components'!$Z$16 * 10^6</f>
        <v>325000000</v>
      </c>
      <c r="T47">
        <f>'Cost Components'!$Z$16 * 10^6</f>
        <v>325000000</v>
      </c>
      <c r="U47">
        <f>'Cost Components'!$Z$16 * 10^6</f>
        <v>325000000</v>
      </c>
      <c r="V47">
        <f>'Cost Components'!$Z$16 * 10^6</f>
        <v>325000000</v>
      </c>
      <c r="W47">
        <f>'Cost Components'!$Z$16 * 10^6</f>
        <v>325000000</v>
      </c>
      <c r="X47">
        <f>'Cost Components'!$Z$16 * 10^6</f>
        <v>325000000</v>
      </c>
      <c r="Y47">
        <f>'Cost Components'!$Z$16 * 10^6</f>
        <v>325000000</v>
      </c>
      <c r="Z47">
        <f>'Cost Components'!$Z$16 * 10^6 + 'Cost Components'!$Z$7 * 10^6</f>
        <v>394000000</v>
      </c>
      <c r="AA47">
        <f>'Cost Components'!$Z$16 * 10^6</f>
        <v>325000000</v>
      </c>
      <c r="AB47">
        <f>'Cost Components'!$Z$16 * 10^6</f>
        <v>325000000</v>
      </c>
      <c r="AC47">
        <f>'Cost Components'!$Z$16 * 10^6</f>
        <v>325000000</v>
      </c>
      <c r="AD47">
        <f>'Cost Components'!$Z$16 * 10^6</f>
        <v>325000000</v>
      </c>
      <c r="AE47">
        <f>'Cost Components'!$Z$16 * 10^6</f>
        <v>325000000</v>
      </c>
      <c r="AF47">
        <f>'Cost Components'!$Z$16 * 10^6</f>
        <v>325000000</v>
      </c>
    </row>
    <row r="48" spans="1:32" x14ac:dyDescent="0.25">
      <c r="A48" t="s">
        <v>111</v>
      </c>
      <c r="B48">
        <f>B47/(1+'Study Parameters'!$C$3)^'LCOF Baseline'!B$46</f>
        <v>3301556668.6254954</v>
      </c>
      <c r="C48">
        <f>C47/(1+'Study Parameters'!$C$3)^'LCOF Baseline'!C$46</f>
        <v>300925925.92592591</v>
      </c>
      <c r="D48">
        <f>D47/(1+'Study Parameters'!$C$3)^'LCOF Baseline'!D$46</f>
        <v>278635116.59807956</v>
      </c>
      <c r="E48">
        <f>E47/(1+'Study Parameters'!$C$3)^'LCOF Baseline'!E$46</f>
        <v>257995478.33155513</v>
      </c>
      <c r="F48">
        <f>F47/(1+'Study Parameters'!$C$3)^'LCOF Baseline'!F$46</f>
        <v>238884702.1588473</v>
      </c>
      <c r="G48">
        <f>G47/(1+'Study Parameters'!$C$3)^'LCOF Baseline'!G$46</f>
        <v>221189539.03596973</v>
      </c>
      <c r="H48">
        <f>H47/(1+'Study Parameters'!$C$3)^'LCOF Baseline'!H$46</f>
        <v>204805128.73700899</v>
      </c>
      <c r="I48">
        <f>I47/(1+'Study Parameters'!$C$3)^'LCOF Baseline'!I$46</f>
        <v>189634378.46019349</v>
      </c>
      <c r="J48">
        <f>J47/(1+'Study Parameters'!$C$3)^'LCOF Baseline'!J$46</f>
        <v>175587387.46314213</v>
      </c>
      <c r="K48">
        <f>K47/(1+'Study Parameters'!$C$3)^'LCOF Baseline'!K$46</f>
        <v>162580914.31772417</v>
      </c>
      <c r="L48">
        <f>L47/(1+'Study Parameters'!$C$3)^'LCOF Baseline'!L$46</f>
        <v>150537883.62752238</v>
      </c>
      <c r="M48">
        <f>M47/(1+'Study Parameters'!$C$3)^'LCOF Baseline'!M$46</f>
        <v>139386929.28474295</v>
      </c>
      <c r="N48">
        <f>N47/(1+'Study Parameters'!$C$3)^'LCOF Baseline'!N$46</f>
        <v>156462820.90652055</v>
      </c>
      <c r="O48">
        <f>O47/(1+'Study Parameters'!$C$3)^'LCOF Baseline'!O$46</f>
        <v>119501825.5184696</v>
      </c>
      <c r="P48">
        <f>P47/(1+'Study Parameters'!$C$3)^'LCOF Baseline'!P$46</f>
        <v>110649838.44302738</v>
      </c>
      <c r="Q48">
        <f>Q47/(1+'Study Parameters'!$C$3)^'LCOF Baseline'!Q$46</f>
        <v>102453554.11391424</v>
      </c>
      <c r="R48">
        <f>R47/(1+'Study Parameters'!$C$3)^'LCOF Baseline'!R$46</f>
        <v>94864401.957328007</v>
      </c>
      <c r="S48">
        <f>S47/(1+'Study Parameters'!$C$3)^'LCOF Baseline'!S$46</f>
        <v>87837409.219748139</v>
      </c>
      <c r="T48">
        <f>T47/(1+'Study Parameters'!$C$3)^'LCOF Baseline'!T$46</f>
        <v>81330934.462729752</v>
      </c>
      <c r="U48">
        <f>U47/(1+'Study Parameters'!$C$3)^'LCOF Baseline'!U$46</f>
        <v>75306420.798823848</v>
      </c>
      <c r="V48">
        <f>V47/(1+'Study Parameters'!$C$3)^'LCOF Baseline'!V$46</f>
        <v>69728167.406318381</v>
      </c>
      <c r="W48">
        <f>W47/(1+'Study Parameters'!$C$3)^'LCOF Baseline'!W$46</f>
        <v>64563117.968813308</v>
      </c>
      <c r="X48">
        <f>X47/(1+'Study Parameters'!$C$3)^'LCOF Baseline'!X$46</f>
        <v>59780664.785938241</v>
      </c>
      <c r="Y48">
        <f>Y47/(1+'Study Parameters'!$C$3)^'LCOF Baseline'!Y$46</f>
        <v>55352467.39438726</v>
      </c>
      <c r="Z48">
        <f>Z47/(1+'Study Parameters'!$C$3)^'LCOF Baseline'!Z$46</f>
        <v>62133538.898542963</v>
      </c>
      <c r="AA48">
        <f>AA47/(1+'Study Parameters'!$C$3)^'LCOF Baseline'!AA$46</f>
        <v>47455819.096696891</v>
      </c>
      <c r="AB48">
        <f>AB47/(1+'Study Parameters'!$C$3)^'LCOF Baseline'!AB$46</f>
        <v>43940573.237682305</v>
      </c>
      <c r="AC48">
        <f>AC47/(1+'Study Parameters'!$C$3)^'LCOF Baseline'!AC$46</f>
        <v>40685715.96081695</v>
      </c>
      <c r="AD48">
        <f>AD47/(1+'Study Parameters'!$C$3)^'LCOF Baseline'!AD$46</f>
        <v>37671959.222978659</v>
      </c>
      <c r="AE48">
        <f>AE47/(1+'Study Parameters'!$C$3)^'LCOF Baseline'!AE$46</f>
        <v>34881443.724980235</v>
      </c>
      <c r="AF48">
        <f>AF47/(1+'Study Parameters'!$C$3)^'LCOF Baseline'!AF$46</f>
        <v>32297633.078685399</v>
      </c>
    </row>
    <row r="49" spans="1:32" x14ac:dyDescent="0.25">
      <c r="A49" t="s">
        <v>155</v>
      </c>
      <c r="B49">
        <v>0</v>
      </c>
      <c r="C49">
        <f>'Study Parameters'!$C$42 * 10^6</f>
        <v>122000000</v>
      </c>
      <c r="D49">
        <f>'Study Parameters'!$C$42 * 10^6</f>
        <v>122000000</v>
      </c>
      <c r="E49">
        <f>'Study Parameters'!$C$42 * 10^6</f>
        <v>122000000</v>
      </c>
      <c r="F49">
        <f>'Study Parameters'!$C$42 * 10^6</f>
        <v>122000000</v>
      </c>
      <c r="G49">
        <f>'Study Parameters'!$C$42 * 10^6</f>
        <v>122000000</v>
      </c>
      <c r="H49">
        <f>'Study Parameters'!$C$42 * 10^6</f>
        <v>122000000</v>
      </c>
      <c r="I49">
        <f>'Study Parameters'!$C$42 * 10^6</f>
        <v>122000000</v>
      </c>
      <c r="J49">
        <f>'Study Parameters'!$C$42 * 10^6</f>
        <v>122000000</v>
      </c>
      <c r="K49">
        <f>'Study Parameters'!$C$42 * 10^6</f>
        <v>122000000</v>
      </c>
      <c r="L49">
        <f>'Study Parameters'!$C$42 * 10^6</f>
        <v>122000000</v>
      </c>
      <c r="M49">
        <f>'Study Parameters'!$C$42 * 10^6</f>
        <v>122000000</v>
      </c>
      <c r="N49">
        <f>'Study Parameters'!$C$42 * 10^6</f>
        <v>122000000</v>
      </c>
      <c r="O49">
        <f>'Study Parameters'!$C$42 * 10^6</f>
        <v>122000000</v>
      </c>
      <c r="P49">
        <f>'Study Parameters'!$C$42 * 10^6</f>
        <v>122000000</v>
      </c>
      <c r="Q49">
        <f>'Study Parameters'!$C$42 * 10^6</f>
        <v>122000000</v>
      </c>
      <c r="R49">
        <f>'Study Parameters'!$C$42 * 10^6</f>
        <v>122000000</v>
      </c>
      <c r="S49">
        <f>'Study Parameters'!$C$42 * 10^6</f>
        <v>122000000</v>
      </c>
      <c r="T49">
        <f>'Study Parameters'!$C$42 * 10^6</f>
        <v>122000000</v>
      </c>
      <c r="U49">
        <f>'Study Parameters'!$C$42 * 10^6</f>
        <v>122000000</v>
      </c>
      <c r="V49">
        <f>'Study Parameters'!$C$42 * 10^6</f>
        <v>122000000</v>
      </c>
      <c r="W49">
        <f>'Study Parameters'!$C$42 * 10^6</f>
        <v>122000000</v>
      </c>
      <c r="X49">
        <f>'Study Parameters'!$C$42 * 10^6</f>
        <v>122000000</v>
      </c>
      <c r="Y49">
        <f>'Study Parameters'!$C$42 * 10^6</f>
        <v>122000000</v>
      </c>
      <c r="Z49">
        <f>'Study Parameters'!$C$42 * 10^6</f>
        <v>122000000</v>
      </c>
      <c r="AA49">
        <f>'Study Parameters'!$C$42 * 10^6</f>
        <v>122000000</v>
      </c>
      <c r="AB49">
        <f>'Study Parameters'!$C$42 * 10^6</f>
        <v>122000000</v>
      </c>
      <c r="AC49">
        <f>'Study Parameters'!$C$42 * 10^6</f>
        <v>122000000</v>
      </c>
      <c r="AD49">
        <f>'Study Parameters'!$C$42 * 10^6</f>
        <v>122000000</v>
      </c>
      <c r="AE49">
        <f>'Study Parameters'!$C$42 * 10^6</f>
        <v>122000000</v>
      </c>
      <c r="AF49">
        <f>'Study Parameters'!$C$42 * 10^6</f>
        <v>122000000</v>
      </c>
    </row>
    <row r="50" spans="1:32" x14ac:dyDescent="0.25">
      <c r="A50" t="s">
        <v>156</v>
      </c>
      <c r="B50">
        <v>0</v>
      </c>
      <c r="C50">
        <f>C49/(1+'Study Parameters'!$C$3)^'LCOF Baseline'!C$46</f>
        <v>112962962.96296296</v>
      </c>
      <c r="D50">
        <f>D49/(1+'Study Parameters'!$C$3)^'LCOF Baseline'!D$46</f>
        <v>104595336.07681754</v>
      </c>
      <c r="E50">
        <f>E49/(1+'Study Parameters'!$C$3)^'LCOF Baseline'!E$46</f>
        <v>96847533.404460683</v>
      </c>
      <c r="F50">
        <f>F49/(1+'Study Parameters'!$C$3)^'LCOF Baseline'!F$46</f>
        <v>89673642.041167304</v>
      </c>
      <c r="G50">
        <f>G49/(1+'Study Parameters'!$C$3)^'LCOF Baseline'!G$46</f>
        <v>83031150.038117871</v>
      </c>
      <c r="H50">
        <f>H49/(1+'Study Parameters'!$C$3)^'LCOF Baseline'!H$46</f>
        <v>76880694.479738757</v>
      </c>
      <c r="I50">
        <f>I49/(1+'Study Parameters'!$C$3)^'LCOF Baseline'!I$46</f>
        <v>71185828.221980333</v>
      </c>
      <c r="J50">
        <f>J49/(1+'Study Parameters'!$C$3)^'LCOF Baseline'!J$46</f>
        <v>65912803.909241043</v>
      </c>
      <c r="K50">
        <f>K49/(1+'Study Parameters'!$C$3)^'LCOF Baseline'!K$46</f>
        <v>61030373.990038</v>
      </c>
      <c r="L50">
        <f>L49/(1+'Study Parameters'!$C$3)^'LCOF Baseline'!L$46</f>
        <v>56509605.54633148</v>
      </c>
      <c r="M50">
        <f>M49/(1+'Study Parameters'!$C$3)^'LCOF Baseline'!M$46</f>
        <v>52323708.839195818</v>
      </c>
      <c r="N50">
        <f>N49/(1+'Study Parameters'!$C$3)^'LCOF Baseline'!N$46</f>
        <v>48447878.554810934</v>
      </c>
      <c r="O50">
        <f>O49/(1+'Study Parameters'!$C$3)^'LCOF Baseline'!O$46</f>
        <v>44859146.810010128</v>
      </c>
      <c r="P50">
        <f>P49/(1+'Study Parameters'!$C$3)^'LCOF Baseline'!P$46</f>
        <v>41536247.046305664</v>
      </c>
      <c r="Q50">
        <f>Q49/(1+'Study Parameters'!$C$3)^'LCOF Baseline'!Q$46</f>
        <v>38459488.005838573</v>
      </c>
      <c r="R50">
        <f>R49/(1+'Study Parameters'!$C$3)^'LCOF Baseline'!R$46</f>
        <v>35610637.042443126</v>
      </c>
      <c r="S50">
        <f>S49/(1+'Study Parameters'!$C$3)^'LCOF Baseline'!S$46</f>
        <v>32972812.076336227</v>
      </c>
      <c r="T50">
        <f>T49/(1+'Study Parameters'!$C$3)^'LCOF Baseline'!T$46</f>
        <v>30530381.552163169</v>
      </c>
      <c r="U50">
        <f>U49/(1+'Study Parameters'!$C$3)^'LCOF Baseline'!U$46</f>
        <v>28268871.807558488</v>
      </c>
      <c r="V50">
        <f>V49/(1+'Study Parameters'!$C$3)^'LCOF Baseline'!V$46</f>
        <v>26174881.303294897</v>
      </c>
      <c r="W50">
        <f>W49/(1+'Study Parameters'!$C$3)^'LCOF Baseline'!W$46</f>
        <v>24236001.206754535</v>
      </c>
      <c r="X50">
        <f>X49/(1+'Study Parameters'!$C$3)^'LCOF Baseline'!X$46</f>
        <v>22440741.858106047</v>
      </c>
      <c r="Y50">
        <f>Y49/(1+'Study Parameters'!$C$3)^'LCOF Baseline'!Y$46</f>
        <v>20778464.683431525</v>
      </c>
      <c r="Z50">
        <f>Z49/(1+'Study Parameters'!$C$3)^'LCOF Baseline'!Z$46</f>
        <v>19239319.151325487</v>
      </c>
      <c r="AA50">
        <f>AA49/(1+'Study Parameters'!$C$3)^'LCOF Baseline'!AA$46</f>
        <v>17814184.399375446</v>
      </c>
      <c r="AB50">
        <f>AB49/(1+'Study Parameters'!$C$3)^'LCOF Baseline'!AB$46</f>
        <v>16494615.184606897</v>
      </c>
      <c r="AC50">
        <f>AC49/(1+'Study Parameters'!$C$3)^'LCOF Baseline'!AC$46</f>
        <v>15272791.837598978</v>
      </c>
      <c r="AD50">
        <f>AD49/(1+'Study Parameters'!$C$3)^'LCOF Baseline'!AD$46</f>
        <v>14141473.923702758</v>
      </c>
      <c r="AE50">
        <f>AE49/(1+'Study Parameters'!$C$3)^'LCOF Baseline'!AE$46</f>
        <v>13093957.336761812</v>
      </c>
      <c r="AF50">
        <f>AF49/(1+'Study Parameters'!$C$3)^'LCOF Baseline'!AF$46</f>
        <v>12124034.571075751</v>
      </c>
    </row>
    <row r="51" spans="1:32" x14ac:dyDescent="0.25">
      <c r="A51" t="s">
        <v>157</v>
      </c>
      <c r="B51">
        <v>0</v>
      </c>
      <c r="C51">
        <f>'Study Parameters'!$C$9</f>
        <v>157410000</v>
      </c>
      <c r="D51">
        <f>'Study Parameters'!$C$9</f>
        <v>157410000</v>
      </c>
      <c r="E51">
        <f>'Study Parameters'!$C$9</f>
        <v>157410000</v>
      </c>
      <c r="F51">
        <f>'Study Parameters'!$C$9</f>
        <v>157410000</v>
      </c>
      <c r="G51">
        <f>'Study Parameters'!$C$9</f>
        <v>157410000</v>
      </c>
      <c r="H51">
        <f>'Study Parameters'!$C$9</f>
        <v>157410000</v>
      </c>
      <c r="I51">
        <f>'Study Parameters'!$C$9</f>
        <v>157410000</v>
      </c>
      <c r="J51">
        <f>'Study Parameters'!$C$9</f>
        <v>157410000</v>
      </c>
      <c r="K51">
        <f>'Study Parameters'!$C$9</f>
        <v>157410000</v>
      </c>
      <c r="L51">
        <f>'Study Parameters'!$C$9</f>
        <v>157410000</v>
      </c>
      <c r="M51">
        <f>'Study Parameters'!$C$9</f>
        <v>157410000</v>
      </c>
      <c r="N51">
        <f>'Study Parameters'!$C$9</f>
        <v>157410000</v>
      </c>
      <c r="O51">
        <f>'Study Parameters'!$C$9</f>
        <v>157410000</v>
      </c>
      <c r="P51">
        <f>'Study Parameters'!$C$9</f>
        <v>157410000</v>
      </c>
      <c r="Q51">
        <f>'Study Parameters'!$C$9</f>
        <v>157410000</v>
      </c>
      <c r="R51">
        <f>'Study Parameters'!$C$9</f>
        <v>157410000</v>
      </c>
      <c r="S51">
        <f>'Study Parameters'!$C$9</f>
        <v>157410000</v>
      </c>
      <c r="T51">
        <f>'Study Parameters'!$C$9</f>
        <v>157410000</v>
      </c>
      <c r="U51">
        <f>'Study Parameters'!$C$9</f>
        <v>157410000</v>
      </c>
      <c r="V51">
        <f>'Study Parameters'!$C$9</f>
        <v>157410000</v>
      </c>
      <c r="W51">
        <f>'Study Parameters'!$C$9</f>
        <v>157410000</v>
      </c>
      <c r="X51">
        <f>'Study Parameters'!$C$9</f>
        <v>157410000</v>
      </c>
      <c r="Y51">
        <f>'Study Parameters'!$C$9</f>
        <v>157410000</v>
      </c>
      <c r="Z51">
        <f>'Study Parameters'!$C$9</f>
        <v>157410000</v>
      </c>
      <c r="AA51">
        <f>'Study Parameters'!$C$9</f>
        <v>157410000</v>
      </c>
      <c r="AB51">
        <f>'Study Parameters'!$C$9</f>
        <v>157410000</v>
      </c>
      <c r="AC51">
        <f>'Study Parameters'!$C$9</f>
        <v>157410000</v>
      </c>
      <c r="AD51">
        <f>'Study Parameters'!$C$9</f>
        <v>157410000</v>
      </c>
      <c r="AE51">
        <f>'Study Parameters'!$C$9</f>
        <v>157410000</v>
      </c>
      <c r="AF51">
        <f>'Study Parameters'!$C$9</f>
        <v>157410000</v>
      </c>
    </row>
    <row r="52" spans="1:32" x14ac:dyDescent="0.25">
      <c r="A52" t="s">
        <v>158</v>
      </c>
      <c r="B52">
        <v>0</v>
      </c>
      <c r="C52">
        <f>C51/(1+'Study Parameters'!$C$3)^'LCOF Baseline'!C$46</f>
        <v>145750000</v>
      </c>
      <c r="D52">
        <f>D51/(1+'Study Parameters'!$C$3)^'LCOF Baseline'!D$46</f>
        <v>134953703.7037037</v>
      </c>
      <c r="E52">
        <f>E51/(1+'Study Parameters'!$C$3)^'LCOF Baseline'!E$46</f>
        <v>124957133.05898489</v>
      </c>
      <c r="F52">
        <f>F51/(1+'Study Parameters'!$C$3)^'LCOF Baseline'!F$46</f>
        <v>115701049.12868971</v>
      </c>
      <c r="G52">
        <f>G51/(1+'Study Parameters'!$C$3)^'LCOF Baseline'!G$46</f>
        <v>107130601.04508306</v>
      </c>
      <c r="H52">
        <f>H51/(1+'Study Parameters'!$C$3)^'LCOF Baseline'!H$46</f>
        <v>99195000.967669487</v>
      </c>
      <c r="I52">
        <f>I51/(1+'Study Parameters'!$C$3)^'LCOF Baseline'!I$46</f>
        <v>91847223.118212491</v>
      </c>
      <c r="J52">
        <f>J51/(1+'Study Parameters'!$C$3)^'LCOF Baseline'!J$46</f>
        <v>85043725.109456003</v>
      </c>
      <c r="K52">
        <f>K51/(1+'Study Parameters'!$C$3)^'LCOF Baseline'!K$46</f>
        <v>78744189.916162968</v>
      </c>
      <c r="L52">
        <f>L51/(1+'Study Parameters'!$C$3)^'LCOF Baseline'!L$46</f>
        <v>72911286.959410146</v>
      </c>
      <c r="M52">
        <f>M51/(1+'Study Parameters'!$C$3)^'LCOF Baseline'!M$46</f>
        <v>67510450.888342723</v>
      </c>
      <c r="N52">
        <f>N51/(1+'Study Parameters'!$C$3)^'LCOF Baseline'!N$46</f>
        <v>62509676.748465486</v>
      </c>
      <c r="O52">
        <f>O51/(1+'Study Parameters'!$C$3)^'LCOF Baseline'!O$46</f>
        <v>57879330.322653227</v>
      </c>
      <c r="P52">
        <f>P51/(1+'Study Parameters'!$C$3)^'LCOF Baseline'!P$46</f>
        <v>53591972.520975202</v>
      </c>
      <c r="Q52">
        <f>Q51/(1+'Study Parameters'!$C$3)^'LCOF Baseline'!Q$46</f>
        <v>49622196.778680742</v>
      </c>
      <c r="R52">
        <f>R51/(1+'Study Parameters'!$C$3)^'LCOF Baseline'!R$46</f>
        <v>45946478.498778462</v>
      </c>
      <c r="S52">
        <f>S51/(1+'Study Parameters'!$C$3)^'LCOF Baseline'!S$46</f>
        <v>42543035.647017092</v>
      </c>
      <c r="T52">
        <f>T51/(1+'Study Parameters'!$C$3)^'LCOF Baseline'!T$46</f>
        <v>39391699.673163973</v>
      </c>
      <c r="U52">
        <f>U51/(1+'Study Parameters'!$C$3)^'LCOF Baseline'!U$46</f>
        <v>36473795.993670344</v>
      </c>
      <c r="V52">
        <f>V51/(1+'Study Parameters'!$C$3)^'LCOF Baseline'!V$46</f>
        <v>33772033.327472538</v>
      </c>
      <c r="W52">
        <f>W51/(1+'Study Parameters'!$C$3)^'LCOF Baseline'!W$46</f>
        <v>31270401.229141239</v>
      </c>
      <c r="X52">
        <f>X51/(1+'Study Parameters'!$C$3)^'LCOF Baseline'!X$46</f>
        <v>28954075.212167811</v>
      </c>
      <c r="Y52">
        <f>Y51/(1+'Study Parameters'!$C$3)^'LCOF Baseline'!Y$46</f>
        <v>26809328.90015538</v>
      </c>
      <c r="Z52">
        <f>Z51/(1+'Study Parameters'!$C$3)^'LCOF Baseline'!Z$46</f>
        <v>24823452.685329054</v>
      </c>
      <c r="AA52">
        <f>AA51/(1+'Study Parameters'!$C$3)^'LCOF Baseline'!AA$46</f>
        <v>22984678.412341714</v>
      </c>
      <c r="AB52">
        <f>AB51/(1+'Study Parameters'!$C$3)^'LCOF Baseline'!AB$46</f>
        <v>21282109.641057145</v>
      </c>
      <c r="AC52">
        <f>AC51/(1+'Study Parameters'!$C$3)^'LCOF Baseline'!AC$46</f>
        <v>19705657.07505291</v>
      </c>
      <c r="AD52">
        <f>AD51/(1+'Study Parameters'!$C$3)^'LCOF Baseline'!AD$46</f>
        <v>18245978.773197141</v>
      </c>
      <c r="AE52">
        <f>AE51/(1+'Study Parameters'!$C$3)^'LCOF Baseline'!AE$46</f>
        <v>16894424.78999735</v>
      </c>
      <c r="AF52">
        <f>AF51/(1+'Study Parameters'!$C$3)^'LCOF Baseline'!AF$46</f>
        <v>15642985.916664211</v>
      </c>
    </row>
    <row r="54" spans="1:32" x14ac:dyDescent="0.25">
      <c r="A54" t="s">
        <v>159</v>
      </c>
      <c r="B54">
        <f>(SUM(B48:AF48) - SUM(B50:AF50)) / SUM(B52:AF52)</f>
        <v>3.1743174262494587</v>
      </c>
    </row>
    <row r="56" spans="1:32" x14ac:dyDescent="0.25">
      <c r="A56" s="1" t="s">
        <v>18</v>
      </c>
    </row>
    <row r="57" spans="1:32" x14ac:dyDescent="0.25">
      <c r="A57" t="s">
        <v>21</v>
      </c>
      <c r="B57">
        <v>0</v>
      </c>
      <c r="C57">
        <v>1</v>
      </c>
      <c r="D57">
        <v>2</v>
      </c>
      <c r="E57">
        <v>3</v>
      </c>
      <c r="F57">
        <v>4</v>
      </c>
      <c r="G57">
        <v>5</v>
      </c>
      <c r="H57">
        <v>6</v>
      </c>
      <c r="I57">
        <v>7</v>
      </c>
      <c r="J57">
        <v>8</v>
      </c>
      <c r="K57">
        <v>9</v>
      </c>
      <c r="L57">
        <v>10</v>
      </c>
      <c r="M57">
        <v>11</v>
      </c>
      <c r="N57">
        <v>12</v>
      </c>
      <c r="O57">
        <v>13</v>
      </c>
      <c r="P57">
        <v>14</v>
      </c>
      <c r="Q57">
        <v>15</v>
      </c>
      <c r="R57">
        <v>16</v>
      </c>
      <c r="S57">
        <v>17</v>
      </c>
      <c r="T57">
        <v>18</v>
      </c>
      <c r="U57">
        <v>19</v>
      </c>
      <c r="V57">
        <v>20</v>
      </c>
      <c r="W57">
        <v>21</v>
      </c>
      <c r="X57">
        <v>22</v>
      </c>
      <c r="Y57">
        <v>23</v>
      </c>
      <c r="Z57">
        <v>24</v>
      </c>
      <c r="AA57">
        <v>25</v>
      </c>
      <c r="AB57">
        <v>26</v>
      </c>
      <c r="AC57">
        <v>27</v>
      </c>
      <c r="AD57">
        <v>28</v>
      </c>
      <c r="AE57">
        <v>29</v>
      </c>
      <c r="AF57">
        <v>30</v>
      </c>
    </row>
    <row r="58" spans="1:32" x14ac:dyDescent="0.25">
      <c r="A58" t="s">
        <v>110</v>
      </c>
      <c r="B58">
        <f>'Cost Components'!$AF$8*10^6</f>
        <v>3246556668.6254954</v>
      </c>
      <c r="C58">
        <f>'Cost Components'!$AF$16*10^6</f>
        <v>278000000</v>
      </c>
      <c r="D58">
        <f>'Cost Components'!$AF$16*10^6</f>
        <v>278000000</v>
      </c>
      <c r="E58">
        <f>'Cost Components'!$AF$16*10^6</f>
        <v>278000000</v>
      </c>
      <c r="F58">
        <f>'Cost Components'!$AF$16*10^6</f>
        <v>278000000</v>
      </c>
      <c r="G58">
        <f>'Cost Components'!$AF$16*10^6</f>
        <v>278000000</v>
      </c>
      <c r="H58">
        <f>'Cost Components'!$AF$16*10^6</f>
        <v>278000000</v>
      </c>
      <c r="I58">
        <f>'Cost Components'!$AF$16*10^6</f>
        <v>278000000</v>
      </c>
      <c r="J58">
        <f>'Cost Components'!$AF$16*10^6</f>
        <v>278000000</v>
      </c>
      <c r="K58">
        <f>'Cost Components'!$AF$16*10^6</f>
        <v>278000000</v>
      </c>
      <c r="L58">
        <f>'Cost Components'!$AF$16*10^6 + 'Cost Components'!$AF$7 * 10^6</f>
        <v>348000000</v>
      </c>
      <c r="M58">
        <f>'Cost Components'!$AF$16*10^6</f>
        <v>278000000</v>
      </c>
      <c r="N58">
        <f>'Cost Components'!$AF$16*10^6</f>
        <v>278000000</v>
      </c>
      <c r="O58">
        <f>'Cost Components'!$AF$16*10^6</f>
        <v>278000000</v>
      </c>
      <c r="P58">
        <f>'Cost Components'!$AF$16*10^6</f>
        <v>278000000</v>
      </c>
      <c r="Q58">
        <f>'Cost Components'!$AF$16*10^6</f>
        <v>278000000</v>
      </c>
      <c r="R58">
        <f>'Cost Components'!$AF$16*10^6</f>
        <v>278000000</v>
      </c>
      <c r="S58">
        <f>'Cost Components'!$AF$16*10^6</f>
        <v>278000000</v>
      </c>
      <c r="T58">
        <f>'Cost Components'!$AF$16*10^6</f>
        <v>278000000</v>
      </c>
      <c r="U58">
        <f>'Cost Components'!$AF$16*10^6</f>
        <v>278000000</v>
      </c>
      <c r="V58">
        <f>'Cost Components'!$AF$16*10^6 + 'Cost Components'!$AF$7 * 10^6</f>
        <v>348000000</v>
      </c>
      <c r="W58">
        <f>'Cost Components'!$AF$16*10^6</f>
        <v>278000000</v>
      </c>
      <c r="X58">
        <f>'Cost Components'!$AF$16*10^6</f>
        <v>278000000</v>
      </c>
      <c r="Y58">
        <f>'Cost Components'!$AF$16*10^6</f>
        <v>278000000</v>
      </c>
      <c r="Z58">
        <f>'Cost Components'!$AF$16*10^6</f>
        <v>278000000</v>
      </c>
      <c r="AA58">
        <f>'Cost Components'!$AF$16*10^6</f>
        <v>278000000</v>
      </c>
      <c r="AB58">
        <f>'Cost Components'!$AF$16*10^6</f>
        <v>278000000</v>
      </c>
      <c r="AC58">
        <f>'Cost Components'!$AF$16*10^6</f>
        <v>278000000</v>
      </c>
      <c r="AD58">
        <f>'Cost Components'!$AF$16*10^6</f>
        <v>278000000</v>
      </c>
      <c r="AE58">
        <f>'Cost Components'!$AF$16*10^6</f>
        <v>278000000</v>
      </c>
      <c r="AF58">
        <f>'Cost Components'!$AF$16*10^6</f>
        <v>278000000</v>
      </c>
    </row>
    <row r="59" spans="1:32" x14ac:dyDescent="0.25">
      <c r="A59" t="s">
        <v>111</v>
      </c>
      <c r="B59">
        <f>B58/(1+'Study Parameters'!$C$3)^'LCOF Baseline'!B$57</f>
        <v>3246556668.6254954</v>
      </c>
      <c r="C59">
        <f>C58/(1+'Study Parameters'!$C$3)^'LCOF Baseline'!C$57</f>
        <v>257407407.4074074</v>
      </c>
      <c r="D59">
        <f>D58/(1+'Study Parameters'!$C$3)^'LCOF Baseline'!D$57</f>
        <v>238340192.04389572</v>
      </c>
      <c r="E59">
        <f>E58/(1+'Study Parameters'!$C$3)^'LCOF Baseline'!E$57</f>
        <v>220685363.00360715</v>
      </c>
      <c r="F59">
        <f>F58/(1+'Study Parameters'!$C$3)^'LCOF Baseline'!F$57</f>
        <v>204338299.07741401</v>
      </c>
      <c r="G59">
        <f>G58/(1+'Study Parameters'!$C$3)^'LCOF Baseline'!G$57</f>
        <v>189202128.77538332</v>
      </c>
      <c r="H59">
        <f>H58/(1+'Study Parameters'!$C$3)^'LCOF Baseline'!H$57</f>
        <v>175187156.27350307</v>
      </c>
      <c r="I59">
        <f>I58/(1+'Study Parameters'!$C$3)^'LCOF Baseline'!I$57</f>
        <v>162210329.88287321</v>
      </c>
      <c r="J59">
        <f>J58/(1+'Study Parameters'!$C$3)^'LCOF Baseline'!J$57</f>
        <v>150194749.89154926</v>
      </c>
      <c r="K59">
        <f>K58/(1+'Study Parameters'!$C$3)^'LCOF Baseline'!K$57</f>
        <v>139069212.86254561</v>
      </c>
      <c r="L59">
        <f>L58/(1+'Study Parameters'!$C$3)^'LCOF Baseline'!L$57</f>
        <v>161191333.85347012</v>
      </c>
      <c r="M59">
        <f>M58/(1+'Study Parameters'!$C$3)^'LCOF Baseline'!M$57</f>
        <v>119229434.89587243</v>
      </c>
      <c r="N59">
        <f>N58/(1+'Study Parameters'!$C$3)^'LCOF Baseline'!N$57</f>
        <v>110397624.90358557</v>
      </c>
      <c r="O59">
        <f>O58/(1+'Study Parameters'!$C$3)^'LCOF Baseline'!O$57</f>
        <v>102220023.05887553</v>
      </c>
      <c r="P59">
        <f>P58/(1+'Study Parameters'!$C$3)^'LCOF Baseline'!P$57</f>
        <v>94648169.498958811</v>
      </c>
      <c r="Q59">
        <f>Q58/(1+'Study Parameters'!$C$3)^'LCOF Baseline'!Q$57</f>
        <v>87637193.980517402</v>
      </c>
      <c r="R59">
        <f>R58/(1+'Study Parameters'!$C$3)^'LCOF Baseline'!R$57</f>
        <v>81145549.981960565</v>
      </c>
      <c r="S59">
        <f>S58/(1+'Study Parameters'!$C$3)^'LCOF Baseline'!S$57</f>
        <v>75134768.501815334</v>
      </c>
      <c r="T59">
        <f>T58/(1+'Study Parameters'!$C$3)^'LCOF Baseline'!T$57</f>
        <v>69569230.094273448</v>
      </c>
      <c r="U59">
        <f>U58/(1+'Study Parameters'!$C$3)^'LCOF Baseline'!U$57</f>
        <v>64415953.790993929</v>
      </c>
      <c r="V59">
        <f>V58/(1+'Study Parameters'!$C$3)^'LCOF Baseline'!V$57</f>
        <v>74662776.176611677</v>
      </c>
      <c r="W59">
        <f>W58/(1+'Study Parameters'!$C$3)^'LCOF Baseline'!W$57</f>
        <v>55226297.831784919</v>
      </c>
      <c r="X59">
        <f>X58/(1+'Study Parameters'!$C$3)^'LCOF Baseline'!X$57</f>
        <v>51135460.955356404</v>
      </c>
      <c r="Y59">
        <f>Y58/(1+'Study Parameters'!$C$3)^'LCOF Baseline'!Y$57</f>
        <v>47347649.032737412</v>
      </c>
      <c r="Z59">
        <f>Z58/(1+'Study Parameters'!$C$3)^'LCOF Baseline'!Z$57</f>
        <v>43840415.771053158</v>
      </c>
      <c r="AA59">
        <f>AA58/(1+'Study Parameters'!$C$3)^'LCOF Baseline'!AA$57</f>
        <v>40592977.565789953</v>
      </c>
      <c r="AB59">
        <f>AB58/(1+'Study Parameters'!$C$3)^'LCOF Baseline'!AB$57</f>
        <v>37586090.338694401</v>
      </c>
      <c r="AC59">
        <f>AC58/(1+'Study Parameters'!$C$3)^'LCOF Baseline'!AC$57</f>
        <v>34801935.498791113</v>
      </c>
      <c r="AD59">
        <f>AD58/(1+'Study Parameters'!$C$3)^'LCOF Baseline'!AD$57</f>
        <v>32224014.350732513</v>
      </c>
      <c r="AE59">
        <f>AE58/(1+'Study Parameters'!$C$3)^'LCOF Baseline'!AE$57</f>
        <v>29837050.324752323</v>
      </c>
      <c r="AF59">
        <f>AF58/(1+'Study Parameters'!$C$3)^'LCOF Baseline'!AF$57</f>
        <v>27626898.448844742</v>
      </c>
    </row>
    <row r="60" spans="1:32" x14ac:dyDescent="0.25">
      <c r="A60" t="s">
        <v>155</v>
      </c>
      <c r="B60">
        <v>0</v>
      </c>
      <c r="C60">
        <f>'Study Parameters'!$C$42 * 10^6</f>
        <v>122000000</v>
      </c>
      <c r="D60">
        <f>'Study Parameters'!$C$42 * 10^6</f>
        <v>122000000</v>
      </c>
      <c r="E60">
        <f>'Study Parameters'!$C$42 * 10^6</f>
        <v>122000000</v>
      </c>
      <c r="F60">
        <f>'Study Parameters'!$C$42 * 10^6</f>
        <v>122000000</v>
      </c>
      <c r="G60">
        <f>'Study Parameters'!$C$42 * 10^6</f>
        <v>122000000</v>
      </c>
      <c r="H60">
        <f>'Study Parameters'!$C$42 * 10^6</f>
        <v>122000000</v>
      </c>
      <c r="I60">
        <f>'Study Parameters'!$C$42 * 10^6</f>
        <v>122000000</v>
      </c>
      <c r="J60">
        <f>'Study Parameters'!$C$42 * 10^6</f>
        <v>122000000</v>
      </c>
      <c r="K60">
        <f>'Study Parameters'!$C$42 * 10^6</f>
        <v>122000000</v>
      </c>
      <c r="L60">
        <f>'Study Parameters'!$C$42 * 10^6</f>
        <v>122000000</v>
      </c>
      <c r="M60">
        <f>'Study Parameters'!$C$42 * 10^6</f>
        <v>122000000</v>
      </c>
      <c r="N60">
        <f>'Study Parameters'!$C$42 * 10^6</f>
        <v>122000000</v>
      </c>
      <c r="O60">
        <f>'Study Parameters'!$C$42 * 10^6</f>
        <v>122000000</v>
      </c>
      <c r="P60">
        <f>'Study Parameters'!$C$42 * 10^6</f>
        <v>122000000</v>
      </c>
      <c r="Q60">
        <f>'Study Parameters'!$C$42 * 10^6</f>
        <v>122000000</v>
      </c>
      <c r="R60">
        <f>'Study Parameters'!$C$42 * 10^6</f>
        <v>122000000</v>
      </c>
      <c r="S60">
        <f>'Study Parameters'!$C$42 * 10^6</f>
        <v>122000000</v>
      </c>
      <c r="T60">
        <f>'Study Parameters'!$C$42 * 10^6</f>
        <v>122000000</v>
      </c>
      <c r="U60">
        <f>'Study Parameters'!$C$42 * 10^6</f>
        <v>122000000</v>
      </c>
      <c r="V60">
        <f>'Study Parameters'!$C$42 * 10^6</f>
        <v>122000000</v>
      </c>
      <c r="W60">
        <f>'Study Parameters'!$C$42 * 10^6</f>
        <v>122000000</v>
      </c>
      <c r="X60">
        <f>'Study Parameters'!$C$42 * 10^6</f>
        <v>122000000</v>
      </c>
      <c r="Y60">
        <f>'Study Parameters'!$C$42 * 10^6</f>
        <v>122000000</v>
      </c>
      <c r="Z60">
        <f>'Study Parameters'!$C$42 * 10^6</f>
        <v>122000000</v>
      </c>
      <c r="AA60">
        <f>'Study Parameters'!$C$42 * 10^6</f>
        <v>122000000</v>
      </c>
      <c r="AB60">
        <f>'Study Parameters'!$C$42 * 10^6</f>
        <v>122000000</v>
      </c>
      <c r="AC60">
        <f>'Study Parameters'!$C$42 * 10^6</f>
        <v>122000000</v>
      </c>
      <c r="AD60">
        <f>'Study Parameters'!$C$42 * 10^6</f>
        <v>122000000</v>
      </c>
      <c r="AE60">
        <f>'Study Parameters'!$C$42 * 10^6</f>
        <v>122000000</v>
      </c>
      <c r="AF60">
        <f>'Study Parameters'!$C$42 * 10^6</f>
        <v>122000000</v>
      </c>
    </row>
    <row r="61" spans="1:32" x14ac:dyDescent="0.25">
      <c r="A61" t="s">
        <v>156</v>
      </c>
      <c r="B61">
        <v>0</v>
      </c>
      <c r="C61">
        <f>C60/(1+'Study Parameters'!$C$3)^'LCOF Baseline'!C$57</f>
        <v>112962962.96296296</v>
      </c>
      <c r="D61">
        <f>D60/(1+'Study Parameters'!$C$3)^'LCOF Baseline'!D$57</f>
        <v>104595336.07681754</v>
      </c>
      <c r="E61">
        <f>E60/(1+'Study Parameters'!$C$3)^'LCOF Baseline'!E$57</f>
        <v>96847533.404460683</v>
      </c>
      <c r="F61">
        <f>F60/(1+'Study Parameters'!$C$3)^'LCOF Baseline'!F$57</f>
        <v>89673642.041167304</v>
      </c>
      <c r="G61">
        <f>G60/(1+'Study Parameters'!$C$3)^'LCOF Baseline'!G$57</f>
        <v>83031150.038117871</v>
      </c>
      <c r="H61">
        <f>H60/(1+'Study Parameters'!$C$3)^'LCOF Baseline'!H$57</f>
        <v>76880694.479738757</v>
      </c>
      <c r="I61">
        <f>I60/(1+'Study Parameters'!$C$3)^'LCOF Baseline'!I$57</f>
        <v>71185828.221980333</v>
      </c>
      <c r="J61">
        <f>J60/(1+'Study Parameters'!$C$3)^'LCOF Baseline'!J$57</f>
        <v>65912803.909241043</v>
      </c>
      <c r="K61">
        <f>K60/(1+'Study Parameters'!$C$3)^'LCOF Baseline'!K$57</f>
        <v>61030373.990038</v>
      </c>
      <c r="L61">
        <f>L60/(1+'Study Parameters'!$C$3)^'LCOF Baseline'!L$57</f>
        <v>56509605.54633148</v>
      </c>
      <c r="M61">
        <f>M60/(1+'Study Parameters'!$C$3)^'LCOF Baseline'!M$57</f>
        <v>52323708.839195818</v>
      </c>
      <c r="N61">
        <f>N60/(1+'Study Parameters'!$C$3)^'LCOF Baseline'!N$57</f>
        <v>48447878.554810934</v>
      </c>
      <c r="O61">
        <f>O60/(1+'Study Parameters'!$C$3)^'LCOF Baseline'!O$57</f>
        <v>44859146.810010128</v>
      </c>
      <c r="P61">
        <f>P60/(1+'Study Parameters'!$C$3)^'LCOF Baseline'!P$57</f>
        <v>41536247.046305664</v>
      </c>
      <c r="Q61">
        <f>Q60/(1+'Study Parameters'!$C$3)^'LCOF Baseline'!Q$57</f>
        <v>38459488.005838573</v>
      </c>
      <c r="R61">
        <f>R60/(1+'Study Parameters'!$C$3)^'LCOF Baseline'!R$57</f>
        <v>35610637.042443126</v>
      </c>
      <c r="S61">
        <f>S60/(1+'Study Parameters'!$C$3)^'LCOF Baseline'!S$57</f>
        <v>32972812.076336227</v>
      </c>
      <c r="T61">
        <f>T60/(1+'Study Parameters'!$C$3)^'LCOF Baseline'!T$57</f>
        <v>30530381.552163169</v>
      </c>
      <c r="U61">
        <f>U60/(1+'Study Parameters'!$C$3)^'LCOF Baseline'!U$57</f>
        <v>28268871.807558488</v>
      </c>
      <c r="V61">
        <f>V60/(1+'Study Parameters'!$C$3)^'LCOF Baseline'!V$57</f>
        <v>26174881.303294897</v>
      </c>
      <c r="W61">
        <f>W60/(1+'Study Parameters'!$C$3)^'LCOF Baseline'!W$57</f>
        <v>24236001.206754535</v>
      </c>
      <c r="X61">
        <f>X60/(1+'Study Parameters'!$C$3)^'LCOF Baseline'!X$57</f>
        <v>22440741.858106047</v>
      </c>
      <c r="Y61">
        <f>Y60/(1+'Study Parameters'!$C$3)^'LCOF Baseline'!Y$57</f>
        <v>20778464.683431525</v>
      </c>
      <c r="Z61">
        <f>Z60/(1+'Study Parameters'!$C$3)^'LCOF Baseline'!Z$57</f>
        <v>19239319.151325487</v>
      </c>
      <c r="AA61">
        <f>AA60/(1+'Study Parameters'!$C$3)^'LCOF Baseline'!AA$57</f>
        <v>17814184.399375446</v>
      </c>
      <c r="AB61">
        <f>AB60/(1+'Study Parameters'!$C$3)^'LCOF Baseline'!AB$57</f>
        <v>16494615.184606897</v>
      </c>
      <c r="AC61">
        <f>AC60/(1+'Study Parameters'!$C$3)^'LCOF Baseline'!AC$57</f>
        <v>15272791.837598978</v>
      </c>
      <c r="AD61">
        <f>AD60/(1+'Study Parameters'!$C$3)^'LCOF Baseline'!AD$57</f>
        <v>14141473.923702758</v>
      </c>
      <c r="AE61">
        <f>AE60/(1+'Study Parameters'!$C$3)^'LCOF Baseline'!AE$57</f>
        <v>13093957.336761812</v>
      </c>
      <c r="AF61">
        <f>AF60/(1+'Study Parameters'!$C$3)^'LCOF Baseline'!AF$57</f>
        <v>12124034.571075751</v>
      </c>
    </row>
    <row r="62" spans="1:32" x14ac:dyDescent="0.25">
      <c r="A62" t="s">
        <v>157</v>
      </c>
      <c r="B62">
        <v>0</v>
      </c>
      <c r="C62">
        <f>'Study Parameters'!$C$9</f>
        <v>157410000</v>
      </c>
      <c r="D62">
        <f>'Study Parameters'!$C$9</f>
        <v>157410000</v>
      </c>
      <c r="E62">
        <f>'Study Parameters'!$C$9</f>
        <v>157410000</v>
      </c>
      <c r="F62">
        <f>'Study Parameters'!$C$9</f>
        <v>157410000</v>
      </c>
      <c r="G62">
        <f>'Study Parameters'!$C$9</f>
        <v>157410000</v>
      </c>
      <c r="H62">
        <f>'Study Parameters'!$C$9</f>
        <v>157410000</v>
      </c>
      <c r="I62">
        <f>'Study Parameters'!$C$9</f>
        <v>157410000</v>
      </c>
      <c r="J62">
        <f>'Study Parameters'!$C$9</f>
        <v>157410000</v>
      </c>
      <c r="K62">
        <f>'Study Parameters'!$C$9</f>
        <v>157410000</v>
      </c>
      <c r="L62">
        <f>'Study Parameters'!$C$9</f>
        <v>157410000</v>
      </c>
      <c r="M62">
        <f>'Study Parameters'!$C$9</f>
        <v>157410000</v>
      </c>
      <c r="N62">
        <f>'Study Parameters'!$C$9</f>
        <v>157410000</v>
      </c>
      <c r="O62">
        <f>'Study Parameters'!$C$9</f>
        <v>157410000</v>
      </c>
      <c r="P62">
        <f>'Study Parameters'!$C$9</f>
        <v>157410000</v>
      </c>
      <c r="Q62">
        <f>'Study Parameters'!$C$9</f>
        <v>157410000</v>
      </c>
      <c r="R62">
        <f>'Study Parameters'!$C$9</f>
        <v>157410000</v>
      </c>
      <c r="S62">
        <f>'Study Parameters'!$C$9</f>
        <v>157410000</v>
      </c>
      <c r="T62">
        <f>'Study Parameters'!$C$9</f>
        <v>157410000</v>
      </c>
      <c r="U62">
        <f>'Study Parameters'!$C$9</f>
        <v>157410000</v>
      </c>
      <c r="V62">
        <f>'Study Parameters'!$C$9</f>
        <v>157410000</v>
      </c>
      <c r="W62">
        <f>'Study Parameters'!$C$9</f>
        <v>157410000</v>
      </c>
      <c r="X62">
        <f>'Study Parameters'!$C$9</f>
        <v>157410000</v>
      </c>
      <c r="Y62">
        <f>'Study Parameters'!$C$9</f>
        <v>157410000</v>
      </c>
      <c r="Z62">
        <f>'Study Parameters'!$C$9</f>
        <v>157410000</v>
      </c>
      <c r="AA62">
        <f>'Study Parameters'!$C$9</f>
        <v>157410000</v>
      </c>
      <c r="AB62">
        <f>'Study Parameters'!$C$9</f>
        <v>157410000</v>
      </c>
      <c r="AC62">
        <f>'Study Parameters'!$C$9</f>
        <v>157410000</v>
      </c>
      <c r="AD62">
        <f>'Study Parameters'!$C$9</f>
        <v>157410000</v>
      </c>
      <c r="AE62">
        <f>'Study Parameters'!$C$9</f>
        <v>157410000</v>
      </c>
      <c r="AF62">
        <f>'Study Parameters'!$C$9</f>
        <v>157410000</v>
      </c>
    </row>
    <row r="63" spans="1:32" x14ac:dyDescent="0.25">
      <c r="A63" t="s">
        <v>158</v>
      </c>
      <c r="B63">
        <v>0</v>
      </c>
      <c r="C63">
        <f>C62/(1+'Study Parameters'!$C$3)^'LCOF Baseline'!C$57</f>
        <v>145750000</v>
      </c>
      <c r="D63">
        <f>D62/(1+'Study Parameters'!$C$3)^'LCOF Baseline'!D$57</f>
        <v>134953703.7037037</v>
      </c>
      <c r="E63">
        <f>E62/(1+'Study Parameters'!$C$3)^'LCOF Baseline'!E$57</f>
        <v>124957133.05898489</v>
      </c>
      <c r="F63">
        <f>F62/(1+'Study Parameters'!$C$3)^'LCOF Baseline'!F$57</f>
        <v>115701049.12868971</v>
      </c>
      <c r="G63">
        <f>G62/(1+'Study Parameters'!$C$3)^'LCOF Baseline'!G$57</f>
        <v>107130601.04508306</v>
      </c>
      <c r="H63">
        <f>H62/(1+'Study Parameters'!$C$3)^'LCOF Baseline'!H$57</f>
        <v>99195000.967669487</v>
      </c>
      <c r="I63">
        <f>I62/(1+'Study Parameters'!$C$3)^'LCOF Baseline'!I$57</f>
        <v>91847223.118212491</v>
      </c>
      <c r="J63">
        <f>J62/(1+'Study Parameters'!$C$3)^'LCOF Baseline'!J$57</f>
        <v>85043725.109456003</v>
      </c>
      <c r="K63">
        <f>K62/(1+'Study Parameters'!$C$3)^'LCOF Baseline'!K$57</f>
        <v>78744189.916162968</v>
      </c>
      <c r="L63">
        <f>L62/(1+'Study Parameters'!$C$3)^'LCOF Baseline'!L$57</f>
        <v>72911286.959410146</v>
      </c>
      <c r="M63">
        <f>M62/(1+'Study Parameters'!$C$3)^'LCOF Baseline'!M$57</f>
        <v>67510450.888342723</v>
      </c>
      <c r="N63">
        <f>N62/(1+'Study Parameters'!$C$3)^'LCOF Baseline'!N$57</f>
        <v>62509676.748465486</v>
      </c>
      <c r="O63">
        <f>O62/(1+'Study Parameters'!$C$3)^'LCOF Baseline'!O$57</f>
        <v>57879330.322653227</v>
      </c>
      <c r="P63">
        <f>P62/(1+'Study Parameters'!$C$3)^'LCOF Baseline'!P$57</f>
        <v>53591972.520975202</v>
      </c>
      <c r="Q63">
        <f>Q62/(1+'Study Parameters'!$C$3)^'LCOF Baseline'!Q$57</f>
        <v>49622196.778680742</v>
      </c>
      <c r="R63">
        <f>R62/(1+'Study Parameters'!$C$3)^'LCOF Baseline'!R$57</f>
        <v>45946478.498778462</v>
      </c>
      <c r="S63">
        <f>S62/(1+'Study Parameters'!$C$3)^'LCOF Baseline'!S$57</f>
        <v>42543035.647017092</v>
      </c>
      <c r="T63">
        <f>T62/(1+'Study Parameters'!$C$3)^'LCOF Baseline'!T$57</f>
        <v>39391699.673163973</v>
      </c>
      <c r="U63">
        <f>U62/(1+'Study Parameters'!$C$3)^'LCOF Baseline'!U$57</f>
        <v>36473795.993670344</v>
      </c>
      <c r="V63">
        <f>V62/(1+'Study Parameters'!$C$3)^'LCOF Baseline'!V$57</f>
        <v>33772033.327472538</v>
      </c>
      <c r="W63">
        <f>W62/(1+'Study Parameters'!$C$3)^'LCOF Baseline'!W$57</f>
        <v>31270401.229141239</v>
      </c>
      <c r="X63">
        <f>X62/(1+'Study Parameters'!$C$3)^'LCOF Baseline'!X$57</f>
        <v>28954075.212167811</v>
      </c>
      <c r="Y63">
        <f>Y62/(1+'Study Parameters'!$C$3)^'LCOF Baseline'!Y$57</f>
        <v>26809328.90015538</v>
      </c>
      <c r="Z63">
        <f>Z62/(1+'Study Parameters'!$C$3)^'LCOF Baseline'!Z$57</f>
        <v>24823452.685329054</v>
      </c>
      <c r="AA63">
        <f>AA62/(1+'Study Parameters'!$C$3)^'LCOF Baseline'!AA$57</f>
        <v>22984678.412341714</v>
      </c>
      <c r="AB63">
        <f>AB62/(1+'Study Parameters'!$C$3)^'LCOF Baseline'!AB$57</f>
        <v>21282109.641057145</v>
      </c>
      <c r="AC63">
        <f>AC62/(1+'Study Parameters'!$C$3)^'LCOF Baseline'!AC$57</f>
        <v>19705657.07505291</v>
      </c>
      <c r="AD63">
        <f>AD62/(1+'Study Parameters'!$C$3)^'LCOF Baseline'!AD$57</f>
        <v>18245978.773197141</v>
      </c>
      <c r="AE63">
        <f>AE62/(1+'Study Parameters'!$C$3)^'LCOF Baseline'!AE$57</f>
        <v>16894424.78999735</v>
      </c>
      <c r="AF63">
        <f>AF62/(1+'Study Parameters'!$C$3)^'LCOF Baseline'!AF$57</f>
        <v>15642985.916664211</v>
      </c>
    </row>
    <row r="65" spans="1:2" x14ac:dyDescent="0.25">
      <c r="A65" t="s">
        <v>159</v>
      </c>
      <c r="B65">
        <f>(SUM(B59:AF59) - SUM(B61:AF61)) / SUM(B63:AF63)</f>
        <v>2.8498662098470384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5"/>
  <sheetViews>
    <sheetView topLeftCell="A16" workbookViewId="0">
      <selection activeCell="D36" sqref="D36"/>
    </sheetView>
  </sheetViews>
  <sheetFormatPr defaultColWidth="11.25" defaultRowHeight="15.75" x14ac:dyDescent="0.25"/>
  <cols>
    <col min="1" max="1" width="22.25" bestFit="1" customWidth="1"/>
    <col min="2" max="2" width="12.25" bestFit="1" customWidth="1"/>
    <col min="12" max="12" width="11.25" bestFit="1" customWidth="1"/>
    <col min="22" max="22" width="11.25" bestFit="1" customWidth="1"/>
  </cols>
  <sheetData>
    <row r="1" spans="1:32" x14ac:dyDescent="0.25">
      <c r="A1" s="1" t="s">
        <v>3</v>
      </c>
    </row>
    <row r="2" spans="1:32" x14ac:dyDescent="0.25">
      <c r="A2" t="s">
        <v>21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 x14ac:dyDescent="0.25">
      <c r="A3" t="s">
        <v>110</v>
      </c>
      <c r="B3">
        <f>'Cost Components'!B8*10^6</f>
        <v>7523078471.7987967</v>
      </c>
      <c r="C3">
        <f>'Cost Components'!$B$22 * 10^6</f>
        <v>560161016.94915271</v>
      </c>
      <c r="D3">
        <f>'Cost Components'!$B$22 * 10^6</f>
        <v>560161016.94915271</v>
      </c>
      <c r="E3">
        <f>'Cost Components'!$B$22 * 10^6</f>
        <v>560161016.94915271</v>
      </c>
      <c r="F3">
        <f>'Cost Components'!$B$22 * 10^6</f>
        <v>560161016.94915271</v>
      </c>
      <c r="G3">
        <f>'Cost Components'!$B$22 * 10^6</f>
        <v>560161016.94915271</v>
      </c>
      <c r="H3">
        <f>'Cost Components'!$B$22 * 10^6</f>
        <v>560161016.94915271</v>
      </c>
      <c r="I3">
        <f>'Cost Components'!$B$22 * 10^6</f>
        <v>560161016.94915271</v>
      </c>
      <c r="J3">
        <f>'Cost Components'!$B$22 * 10^6</f>
        <v>560161016.94915271</v>
      </c>
      <c r="K3">
        <f>'Cost Components'!$B$22 * 10^6</f>
        <v>560161016.94915271</v>
      </c>
      <c r="L3">
        <f>'Cost Components'!$B$22 * 10^6 + 'Cost Components'!$B$7*10^6</f>
        <v>737161016.94915271</v>
      </c>
      <c r="M3">
        <f>'Cost Components'!$B$22 * 10^6</f>
        <v>560161016.94915271</v>
      </c>
      <c r="N3">
        <f>'Cost Components'!$B$22 * 10^6</f>
        <v>560161016.94915271</v>
      </c>
      <c r="O3">
        <f>'Cost Components'!$B$22 * 10^6</f>
        <v>560161016.94915271</v>
      </c>
      <c r="P3">
        <f>'Cost Components'!$B$22 * 10^6</f>
        <v>560161016.94915271</v>
      </c>
      <c r="Q3">
        <f>'Cost Components'!$B$22 * 10^6</f>
        <v>560161016.94915271</v>
      </c>
      <c r="R3">
        <f>'Cost Components'!$B$22 * 10^6</f>
        <v>560161016.94915271</v>
      </c>
      <c r="S3">
        <f>'Cost Components'!$B$22 * 10^6</f>
        <v>560161016.94915271</v>
      </c>
      <c r="T3">
        <f>'Cost Components'!$B$22 * 10^6</f>
        <v>560161016.94915271</v>
      </c>
      <c r="U3">
        <f>'Cost Components'!$B$22 * 10^6</f>
        <v>560161016.94915271</v>
      </c>
      <c r="V3">
        <f>'Cost Components'!$B$22 * 10^6 + 'Cost Components'!$B$7*10^6</f>
        <v>737161016.94915271</v>
      </c>
      <c r="W3">
        <f>'Cost Components'!$B$16 * 10^6</f>
        <v>880500000.00000012</v>
      </c>
      <c r="X3">
        <f>'Cost Components'!$B$16 * 10^6</f>
        <v>880500000.00000012</v>
      </c>
      <c r="Y3">
        <f>'Cost Components'!$B$16 * 10^6</f>
        <v>880500000.00000012</v>
      </c>
      <c r="Z3">
        <f>'Cost Components'!$B$16 * 10^6</f>
        <v>880500000.00000012</v>
      </c>
      <c r="AA3">
        <f>'Cost Components'!$B$16 * 10^6</f>
        <v>880500000.00000012</v>
      </c>
      <c r="AB3">
        <f>'Cost Components'!$B$16 * 10^6</f>
        <v>880500000.00000012</v>
      </c>
      <c r="AC3">
        <f>'Cost Components'!$B$16 * 10^6</f>
        <v>880500000.00000012</v>
      </c>
      <c r="AD3">
        <f>'Cost Components'!$B$16 * 10^6</f>
        <v>880500000.00000012</v>
      </c>
      <c r="AE3">
        <f>'Cost Components'!$B$16 * 10^6</f>
        <v>880500000.00000012</v>
      </c>
      <c r="AF3">
        <f>'Cost Components'!$B$16 * 10^6</f>
        <v>880500000.00000012</v>
      </c>
    </row>
    <row r="4" spans="1:32" x14ac:dyDescent="0.25">
      <c r="A4" t="s">
        <v>111</v>
      </c>
      <c r="B4">
        <f>B3/(1+'Study Parameters'!$C$3) ^ 'LCOF Baseline'!B2</f>
        <v>7523078471.7987967</v>
      </c>
      <c r="C4">
        <f>C3/(1+'Study Parameters'!$C$3) ^ 'LCOF Baseline'!C2</f>
        <v>518667608.2862525</v>
      </c>
      <c r="D4">
        <f>D3/(1+'Study Parameters'!$C$3) ^ 'LCOF Baseline'!D2</f>
        <v>480247785.45023376</v>
      </c>
      <c r="E4">
        <f>E3/(1+'Study Parameters'!$C$3) ^ 'LCOF Baseline'!E2</f>
        <v>444673875.41688311</v>
      </c>
      <c r="F4">
        <f>F3/(1+'Study Parameters'!$C$3) ^ 'LCOF Baseline'!F2</f>
        <v>411735069.83044726</v>
      </c>
      <c r="G4">
        <f>G3/(1+'Study Parameters'!$C$3) ^ 'LCOF Baseline'!G2</f>
        <v>381236175.76893264</v>
      </c>
      <c r="H4">
        <f>H3/(1+'Study Parameters'!$C$3) ^ 'LCOF Baseline'!H2</f>
        <v>352996459.04530799</v>
      </c>
      <c r="I4">
        <f>I3/(1+'Study Parameters'!$C$3) ^ 'LCOF Baseline'!I2</f>
        <v>326848573.19009995</v>
      </c>
      <c r="J4">
        <f>J3/(1+'Study Parameters'!$C$3) ^ 'LCOF Baseline'!J2</f>
        <v>302637567.76861107</v>
      </c>
      <c r="K4">
        <f>K3/(1+'Study Parameters'!$C$3) ^ 'LCOF Baseline'!K2</f>
        <v>280219970.15612137</v>
      </c>
      <c r="L4">
        <f>L3/(1+'Study Parameters'!$C$3) ^ 'LCOF Baseline'!L2</f>
        <v>341448182.72073108</v>
      </c>
      <c r="M4">
        <f>M3/(1+'Study Parameters'!$C$3) ^ 'LCOF Baseline'!M2</f>
        <v>240243458.63864997</v>
      </c>
      <c r="N4">
        <f>N3/(1+'Study Parameters'!$C$3) ^ 'LCOF Baseline'!N2</f>
        <v>222447646.88763887</v>
      </c>
      <c r="O4">
        <f>O3/(1+'Study Parameters'!$C$3) ^ 'LCOF Baseline'!O2</f>
        <v>205970043.41448042</v>
      </c>
      <c r="P4">
        <f>P3/(1+'Study Parameters'!$C$3) ^ 'LCOF Baseline'!P2</f>
        <v>190713003.16155592</v>
      </c>
      <c r="Q4">
        <f>Q3/(1+'Study Parameters'!$C$3) ^ 'LCOF Baseline'!Q2</f>
        <v>176586114.03847769</v>
      </c>
      <c r="R4">
        <f>R3/(1+'Study Parameters'!$C$3) ^ 'LCOF Baseline'!R2</f>
        <v>163505661.14673859</v>
      </c>
      <c r="S4">
        <f>S3/(1+'Study Parameters'!$C$3) ^ 'LCOF Baseline'!S2</f>
        <v>151394130.69142464</v>
      </c>
      <c r="T4">
        <f>T3/(1+'Study Parameters'!$C$3) ^ 'LCOF Baseline'!T2</f>
        <v>140179750.64020798</v>
      </c>
      <c r="U4">
        <f>U3/(1+'Study Parameters'!$C$3) ^ 'LCOF Baseline'!U2</f>
        <v>129796065.40759996</v>
      </c>
      <c r="V4">
        <f>V3/(1+'Study Parameters'!$C$3) ^ 'LCOF Baseline'!V2</f>
        <v>158156574.75459206</v>
      </c>
      <c r="W4">
        <f>W3/(1+'Study Parameters'!$C$3) ^ 'LCOF Baseline'!W2</f>
        <v>174916385.75858501</v>
      </c>
      <c r="X4">
        <f>X3/(1+'Study Parameters'!$C$3) ^ 'LCOF Baseline'!X2</f>
        <v>161959616.44313425</v>
      </c>
      <c r="Y4">
        <f>Y3/(1+'Study Parameters'!$C$3) ^ 'LCOF Baseline'!Y2</f>
        <v>149962607.8177169</v>
      </c>
      <c r="Z4">
        <f>Z3/(1+'Study Parameters'!$C$3) ^ 'LCOF Baseline'!Z2</f>
        <v>138854266.497886</v>
      </c>
      <c r="AA4">
        <f>AA3/(1+'Study Parameters'!$C$3) ^ 'LCOF Baseline'!AA2</f>
        <v>128568765.27582036</v>
      </c>
      <c r="AB4">
        <f>AB3/(1+'Study Parameters'!$C$3) ^ 'LCOF Baseline'!AB2</f>
        <v>119045153.033167</v>
      </c>
      <c r="AC4">
        <f>AC3/(1+'Study Parameters'!$C$3) ^ 'LCOF Baseline'!AC2</f>
        <v>110226993.5492287</v>
      </c>
      <c r="AD4">
        <f>AD3/(1+'Study Parameters'!$C$3) ^ 'LCOF Baseline'!AD2</f>
        <v>102062031.06410065</v>
      </c>
      <c r="AE4">
        <f>AE3/(1+'Study Parameters'!$C$3) ^ 'LCOF Baseline'!AE2</f>
        <v>94501880.61490801</v>
      </c>
      <c r="AF4">
        <f>AF3/(1+'Study Parameters'!$C$3) ^ 'LCOF Baseline'!AF2</f>
        <v>87501741.310099989</v>
      </c>
    </row>
    <row r="5" spans="1:32" x14ac:dyDescent="0.25">
      <c r="A5" t="s">
        <v>155</v>
      </c>
      <c r="B5">
        <v>0</v>
      </c>
      <c r="C5">
        <f>'Study Parameters'!$C$42*10^6</f>
        <v>122000000</v>
      </c>
      <c r="D5">
        <f>'Study Parameters'!$C$42*10^6</f>
        <v>122000000</v>
      </c>
      <c r="E5">
        <f>'Study Parameters'!$C$42*10^6</f>
        <v>122000000</v>
      </c>
      <c r="F5">
        <f>'Study Parameters'!$C$42*10^6</f>
        <v>122000000</v>
      </c>
      <c r="G5">
        <f>'Study Parameters'!$C$42*10^6</f>
        <v>122000000</v>
      </c>
      <c r="H5">
        <f>'Study Parameters'!$C$42*10^6</f>
        <v>122000000</v>
      </c>
      <c r="I5">
        <f>'Study Parameters'!$C$42*10^6</f>
        <v>122000000</v>
      </c>
      <c r="J5">
        <f>'Study Parameters'!$C$42*10^6</f>
        <v>122000000</v>
      </c>
      <c r="K5">
        <f>'Study Parameters'!$C$42*10^6</f>
        <v>122000000</v>
      </c>
      <c r="L5">
        <f>'Study Parameters'!$C$42*10^6</f>
        <v>122000000</v>
      </c>
      <c r="M5">
        <f>'Study Parameters'!$C$42*10^6</f>
        <v>122000000</v>
      </c>
      <c r="N5">
        <f>'Study Parameters'!$C$42*10^6</f>
        <v>122000000</v>
      </c>
      <c r="O5">
        <f>'Study Parameters'!$C$42*10^6</f>
        <v>122000000</v>
      </c>
      <c r="P5">
        <f>'Study Parameters'!$C$42*10^6</f>
        <v>122000000</v>
      </c>
      <c r="Q5">
        <f>'Study Parameters'!$C$42*10^6</f>
        <v>122000000</v>
      </c>
      <c r="R5">
        <f>'Study Parameters'!$C$42*10^6</f>
        <v>122000000</v>
      </c>
      <c r="S5">
        <f>'Study Parameters'!$C$42*10^6</f>
        <v>122000000</v>
      </c>
      <c r="T5">
        <f>'Study Parameters'!$C$42*10^6</f>
        <v>122000000</v>
      </c>
      <c r="U5">
        <f>'Study Parameters'!$C$42*10^6</f>
        <v>122000000</v>
      </c>
      <c r="V5">
        <f>'Study Parameters'!$C$42*10^6</f>
        <v>122000000</v>
      </c>
      <c r="W5">
        <f>'Study Parameters'!$C$42*10^6</f>
        <v>122000000</v>
      </c>
      <c r="X5">
        <f>'Study Parameters'!$C$42*10^6</f>
        <v>122000000</v>
      </c>
      <c r="Y5">
        <f>'Study Parameters'!$C$42*10^6</f>
        <v>122000000</v>
      </c>
      <c r="Z5">
        <f>'Study Parameters'!$C$42*10^6</f>
        <v>122000000</v>
      </c>
      <c r="AA5">
        <f>'Study Parameters'!$C$42*10^6</f>
        <v>122000000</v>
      </c>
      <c r="AB5">
        <f>'Study Parameters'!$C$42*10^6</f>
        <v>122000000</v>
      </c>
      <c r="AC5">
        <f>'Study Parameters'!$C$42*10^6</f>
        <v>122000000</v>
      </c>
      <c r="AD5">
        <f>'Study Parameters'!$C$42*10^6</f>
        <v>122000000</v>
      </c>
      <c r="AE5">
        <f>'Study Parameters'!$C$42*10^6</f>
        <v>122000000</v>
      </c>
      <c r="AF5">
        <f>'Study Parameters'!$C$42*10^6</f>
        <v>122000000</v>
      </c>
    </row>
    <row r="6" spans="1:32" x14ac:dyDescent="0.25">
      <c r="A6" t="s">
        <v>156</v>
      </c>
      <c r="B6">
        <v>0</v>
      </c>
      <c r="C6">
        <f>C5/(1+'Study Parameters'!$C$3) ^'LCOF Baseline'!C2</f>
        <v>112962962.96296296</v>
      </c>
      <c r="D6">
        <f>D5/(1+'Study Parameters'!$C$3) ^'LCOF Baseline'!D2</f>
        <v>104595336.07681754</v>
      </c>
      <c r="E6">
        <f>E5/(1+'Study Parameters'!$C$3) ^'LCOF Baseline'!E2</f>
        <v>96847533.404460683</v>
      </c>
      <c r="F6">
        <f>F5/(1+'Study Parameters'!$C$3) ^'LCOF Baseline'!F2</f>
        <v>89673642.041167304</v>
      </c>
      <c r="G6">
        <f>G5/(1+'Study Parameters'!$C$3) ^'LCOF Baseline'!G2</f>
        <v>83031150.038117871</v>
      </c>
      <c r="H6">
        <f>H5/(1+'Study Parameters'!$C$3) ^'LCOF Baseline'!H2</f>
        <v>76880694.479738757</v>
      </c>
      <c r="I6">
        <f>I5/(1+'Study Parameters'!$C$3) ^'LCOF Baseline'!I2</f>
        <v>71185828.221980333</v>
      </c>
      <c r="J6">
        <f>J5/(1+'Study Parameters'!$C$3) ^'LCOF Baseline'!J2</f>
        <v>65912803.909241043</v>
      </c>
      <c r="K6">
        <f>K5/(1+'Study Parameters'!$C$3) ^'LCOF Baseline'!K2</f>
        <v>61030373.990038</v>
      </c>
      <c r="L6">
        <f>L5/(1+'Study Parameters'!$C$3) ^'LCOF Baseline'!L2</f>
        <v>56509605.54633148</v>
      </c>
      <c r="M6">
        <f>M5/(1+'Study Parameters'!$C$3) ^'LCOF Baseline'!M2</f>
        <v>52323708.839195818</v>
      </c>
      <c r="N6">
        <f>N5/(1+'Study Parameters'!$C$3) ^'LCOF Baseline'!N2</f>
        <v>48447878.554810934</v>
      </c>
      <c r="O6">
        <f>O5/(1+'Study Parameters'!$C$3) ^'LCOF Baseline'!O2</f>
        <v>44859146.810010128</v>
      </c>
      <c r="P6">
        <f>P5/(1+'Study Parameters'!$C$3) ^'LCOF Baseline'!P2</f>
        <v>41536247.046305664</v>
      </c>
      <c r="Q6">
        <f>Q5/(1+'Study Parameters'!$C$3) ^'LCOF Baseline'!Q2</f>
        <v>38459488.005838573</v>
      </c>
      <c r="R6">
        <f>R5/(1+'Study Parameters'!$C$3) ^'LCOF Baseline'!R2</f>
        <v>35610637.042443126</v>
      </c>
      <c r="S6">
        <f>S5/(1+'Study Parameters'!$C$3) ^'LCOF Baseline'!S2</f>
        <v>32972812.076336227</v>
      </c>
      <c r="T6">
        <f>T5/(1+'Study Parameters'!$C$3) ^'LCOF Baseline'!T2</f>
        <v>30530381.552163169</v>
      </c>
      <c r="U6">
        <f>U5/(1+'Study Parameters'!$C$3) ^'LCOF Baseline'!U2</f>
        <v>28268871.807558488</v>
      </c>
      <c r="V6">
        <f>V5/(1+'Study Parameters'!$C$3) ^'LCOF Baseline'!V2</f>
        <v>26174881.303294897</v>
      </c>
      <c r="W6">
        <f>W5/(1+'Study Parameters'!$C$3) ^'LCOF Baseline'!W2</f>
        <v>24236001.206754535</v>
      </c>
      <c r="X6">
        <f>X5/(1+'Study Parameters'!$C$3) ^'LCOF Baseline'!X2</f>
        <v>22440741.858106047</v>
      </c>
      <c r="Y6">
        <f>Y5/(1+'Study Parameters'!$C$3) ^'LCOF Baseline'!Y2</f>
        <v>20778464.683431525</v>
      </c>
      <c r="Z6">
        <f>Z5/(1+'Study Parameters'!$C$3) ^'LCOF Baseline'!Z2</f>
        <v>19239319.151325487</v>
      </c>
      <c r="AA6">
        <f>AA5/(1+'Study Parameters'!$C$3) ^'LCOF Baseline'!AA2</f>
        <v>17814184.399375446</v>
      </c>
      <c r="AB6">
        <f>AB5/(1+'Study Parameters'!$C$3) ^'LCOF Baseline'!AB2</f>
        <v>16494615.184606897</v>
      </c>
      <c r="AC6">
        <f>AC5/(1+'Study Parameters'!$C$3) ^'LCOF Baseline'!AC2</f>
        <v>15272791.837598978</v>
      </c>
      <c r="AD6">
        <f>AD5/(1+'Study Parameters'!$C$3) ^'LCOF Baseline'!AD2</f>
        <v>14141473.923702758</v>
      </c>
      <c r="AE6">
        <f>AE5/(1+'Study Parameters'!$C$3) ^'LCOF Baseline'!AE2</f>
        <v>13093957.336761812</v>
      </c>
      <c r="AF6">
        <f>AF5/(1+'Study Parameters'!$C$3) ^'LCOF Baseline'!AF2</f>
        <v>12124034.571075751</v>
      </c>
    </row>
    <row r="7" spans="1:32" x14ac:dyDescent="0.25">
      <c r="A7" t="s">
        <v>157</v>
      </c>
      <c r="B7">
        <v>0</v>
      </c>
      <c r="C7">
        <f>'Study Parameters'!$C$9</f>
        <v>157410000</v>
      </c>
      <c r="D7">
        <f>'Study Parameters'!$C$9</f>
        <v>157410000</v>
      </c>
      <c r="E7">
        <f>'Study Parameters'!$C$9</f>
        <v>157410000</v>
      </c>
      <c r="F7">
        <f>'Study Parameters'!$C$9</f>
        <v>157410000</v>
      </c>
      <c r="G7">
        <f>'Study Parameters'!$C$9</f>
        <v>157410000</v>
      </c>
      <c r="H7">
        <f>'Study Parameters'!$C$9</f>
        <v>157410000</v>
      </c>
      <c r="I7">
        <f>'Study Parameters'!$C$9</f>
        <v>157410000</v>
      </c>
      <c r="J7">
        <f>'Study Parameters'!$C$9</f>
        <v>157410000</v>
      </c>
      <c r="K7">
        <f>'Study Parameters'!$C$9</f>
        <v>157410000</v>
      </c>
      <c r="L7">
        <f>'Study Parameters'!$C$9</f>
        <v>157410000</v>
      </c>
      <c r="M7">
        <f>'Study Parameters'!$C$9</f>
        <v>157410000</v>
      </c>
      <c r="N7">
        <f>'Study Parameters'!$C$9</f>
        <v>157410000</v>
      </c>
      <c r="O7">
        <f>'Study Parameters'!$C$9</f>
        <v>157410000</v>
      </c>
      <c r="P7">
        <f>'Study Parameters'!$C$9</f>
        <v>157410000</v>
      </c>
      <c r="Q7">
        <f>'Study Parameters'!$C$9</f>
        <v>157410000</v>
      </c>
      <c r="R7">
        <f>'Study Parameters'!$C$9</f>
        <v>157410000</v>
      </c>
      <c r="S7">
        <f>'Study Parameters'!$C$9</f>
        <v>157410000</v>
      </c>
      <c r="T7">
        <f>'Study Parameters'!$C$9</f>
        <v>157410000</v>
      </c>
      <c r="U7">
        <f>'Study Parameters'!$C$9</f>
        <v>157410000</v>
      </c>
      <c r="V7">
        <f>'Study Parameters'!$C$9</f>
        <v>157410000</v>
      </c>
      <c r="W7">
        <f>'Study Parameters'!$C$9</f>
        <v>157410000</v>
      </c>
      <c r="X7">
        <f>'Study Parameters'!$C$9</f>
        <v>157410000</v>
      </c>
      <c r="Y7">
        <f>'Study Parameters'!$C$9</f>
        <v>157410000</v>
      </c>
      <c r="Z7">
        <f>'Study Parameters'!$C$9</f>
        <v>157410000</v>
      </c>
      <c r="AA7">
        <f>'Study Parameters'!$C$9</f>
        <v>157410000</v>
      </c>
      <c r="AB7">
        <f>'Study Parameters'!$C$9</f>
        <v>157410000</v>
      </c>
      <c r="AC7">
        <f>'Study Parameters'!$C$9</f>
        <v>157410000</v>
      </c>
      <c r="AD7">
        <f>'Study Parameters'!$C$9</f>
        <v>157410000</v>
      </c>
      <c r="AE7">
        <f>'Study Parameters'!$C$9</f>
        <v>157410000</v>
      </c>
      <c r="AF7">
        <f>'Study Parameters'!$C$9</f>
        <v>157410000</v>
      </c>
    </row>
    <row r="8" spans="1:32" x14ac:dyDescent="0.25">
      <c r="A8" t="s">
        <v>158</v>
      </c>
      <c r="B8">
        <v>0</v>
      </c>
      <c r="C8">
        <f>C7/(1+'Study Parameters'!$C$3) ^ 'LCOF Baseline'!C2</f>
        <v>145750000</v>
      </c>
      <c r="D8">
        <f>D7/(1+'Study Parameters'!$C$3) ^ 'LCOF Baseline'!D2</f>
        <v>134953703.7037037</v>
      </c>
      <c r="E8">
        <f>E7/(1+'Study Parameters'!$C$3) ^ 'LCOF Baseline'!E2</f>
        <v>124957133.05898489</v>
      </c>
      <c r="F8">
        <f>F7/(1+'Study Parameters'!$C$3) ^ 'LCOF Baseline'!F2</f>
        <v>115701049.12868971</v>
      </c>
      <c r="G8">
        <f>G7/(1+'Study Parameters'!$C$3) ^ 'LCOF Baseline'!G2</f>
        <v>107130601.04508306</v>
      </c>
      <c r="H8">
        <f>H7/(1+'Study Parameters'!$C$3) ^ 'LCOF Baseline'!H2</f>
        <v>99195000.967669487</v>
      </c>
      <c r="I8">
        <f>I7/(1+'Study Parameters'!$C$3) ^ 'LCOF Baseline'!I2</f>
        <v>91847223.118212491</v>
      </c>
      <c r="J8">
        <f>J7/(1+'Study Parameters'!$C$3) ^ 'LCOF Baseline'!J2</f>
        <v>85043725.109456003</v>
      </c>
      <c r="K8">
        <f>K7/(1+'Study Parameters'!$C$3) ^ 'LCOF Baseline'!K2</f>
        <v>78744189.916162968</v>
      </c>
      <c r="L8">
        <f>L7/(1+'Study Parameters'!$C$3) ^ 'LCOF Baseline'!L2</f>
        <v>72911286.959410146</v>
      </c>
      <c r="M8">
        <f>M7/(1+'Study Parameters'!$C$3) ^ 'LCOF Baseline'!M2</f>
        <v>67510450.888342723</v>
      </c>
      <c r="N8">
        <f>N7/(1+'Study Parameters'!$C$3) ^ 'LCOF Baseline'!N2</f>
        <v>62509676.748465486</v>
      </c>
      <c r="O8">
        <f>O7/(1+'Study Parameters'!$C$3) ^ 'LCOF Baseline'!O2</f>
        <v>57879330.322653227</v>
      </c>
      <c r="P8">
        <f>P7/(1+'Study Parameters'!$C$3) ^ 'LCOF Baseline'!P2</f>
        <v>53591972.520975202</v>
      </c>
      <c r="Q8">
        <f>Q7/(1+'Study Parameters'!$C$3) ^ 'LCOF Baseline'!Q2</f>
        <v>49622196.778680742</v>
      </c>
      <c r="R8">
        <f>R7/(1+'Study Parameters'!$C$3) ^ 'LCOF Baseline'!R2</f>
        <v>45946478.498778462</v>
      </c>
      <c r="S8">
        <f>S7/(1+'Study Parameters'!$C$3) ^ 'LCOF Baseline'!S2</f>
        <v>42543035.647017092</v>
      </c>
      <c r="T8">
        <f>T7/(1+'Study Parameters'!$C$3) ^ 'LCOF Baseline'!T2</f>
        <v>39391699.673163973</v>
      </c>
      <c r="U8">
        <f>U7/(1+'Study Parameters'!$C$3) ^ 'LCOF Baseline'!U2</f>
        <v>36473795.993670344</v>
      </c>
      <c r="V8">
        <f>V7/(1+'Study Parameters'!$C$3) ^ 'LCOF Baseline'!V2</f>
        <v>33772033.327472538</v>
      </c>
      <c r="W8">
        <f>W7/(1+'Study Parameters'!$C$3) ^ 'LCOF Baseline'!W2</f>
        <v>31270401.229141239</v>
      </c>
      <c r="X8">
        <f>X7/(1+'Study Parameters'!$C$3) ^ 'LCOF Baseline'!X2</f>
        <v>28954075.212167811</v>
      </c>
      <c r="Y8">
        <f>Y7/(1+'Study Parameters'!$C$3) ^ 'LCOF Baseline'!Y2</f>
        <v>26809328.90015538</v>
      </c>
      <c r="Z8">
        <f>Z7/(1+'Study Parameters'!$C$3) ^ 'LCOF Baseline'!Z2</f>
        <v>24823452.685329054</v>
      </c>
      <c r="AA8">
        <f>AA7/(1+'Study Parameters'!$C$3) ^ 'LCOF Baseline'!AA2</f>
        <v>22984678.412341714</v>
      </c>
      <c r="AB8">
        <f>AB7/(1+'Study Parameters'!$C$3) ^ 'LCOF Baseline'!AB2</f>
        <v>21282109.641057145</v>
      </c>
      <c r="AC8">
        <f>AC7/(1+'Study Parameters'!$C$3) ^ 'LCOF Baseline'!AC2</f>
        <v>19705657.07505291</v>
      </c>
      <c r="AD8">
        <f>AD7/(1+'Study Parameters'!$C$3) ^ 'LCOF Baseline'!AD2</f>
        <v>18245978.773197141</v>
      </c>
      <c r="AE8">
        <f>AE7/(1+'Study Parameters'!$C$3) ^ 'LCOF Baseline'!AE2</f>
        <v>16894424.78999735</v>
      </c>
      <c r="AF8">
        <f>AF7/(1+'Study Parameters'!$C$3) ^ 'LCOF Baseline'!AF2</f>
        <v>15642985.916664211</v>
      </c>
    </row>
    <row r="10" spans="1:32" x14ac:dyDescent="0.25">
      <c r="A10" t="s">
        <v>159</v>
      </c>
      <c r="B10">
        <f>(SUM(B4:AF4) - SUM(B6:AF6)) / SUM(B8:AF8)</f>
        <v>7.3568211313547511</v>
      </c>
    </row>
    <row r="12" spans="1:32" x14ac:dyDescent="0.25">
      <c r="A12" s="1" t="s">
        <v>8</v>
      </c>
    </row>
    <row r="13" spans="1:32" x14ac:dyDescent="0.25">
      <c r="A13" t="s">
        <v>21</v>
      </c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  <c r="AB13">
        <v>26</v>
      </c>
      <c r="AC13">
        <v>27</v>
      </c>
      <c r="AD13">
        <v>28</v>
      </c>
      <c r="AE13">
        <v>29</v>
      </c>
      <c r="AF13">
        <v>30</v>
      </c>
    </row>
    <row r="14" spans="1:32" x14ac:dyDescent="0.25">
      <c r="A14" t="s">
        <v>110</v>
      </c>
      <c r="B14">
        <f>'Cost Components'!H8*10^6</f>
        <v>7523078471.7987967</v>
      </c>
      <c r="C14">
        <f>'Cost Components'!$H$22*10^6</f>
        <v>589522556.39097762</v>
      </c>
      <c r="D14">
        <f>'Cost Components'!$H$22*10^6</f>
        <v>589522556.39097762</v>
      </c>
      <c r="E14">
        <f>'Cost Components'!$H$22*10^6</f>
        <v>589522556.39097762</v>
      </c>
      <c r="F14">
        <f>'Cost Components'!$H$22*10^6</f>
        <v>589522556.39097762</v>
      </c>
      <c r="G14">
        <f>'Cost Components'!$H$22*10^6</f>
        <v>589522556.39097762</v>
      </c>
      <c r="H14">
        <f>'Cost Components'!$H$22*10^6</f>
        <v>589522556.39097762</v>
      </c>
      <c r="I14">
        <f>'Cost Components'!$H$22*10^6</f>
        <v>589522556.39097762</v>
      </c>
      <c r="J14">
        <f>'Cost Components'!$H$22*10^6</f>
        <v>589522556.39097762</v>
      </c>
      <c r="K14">
        <f>'Cost Components'!$H$22*10^6</f>
        <v>589522556.39097762</v>
      </c>
      <c r="L14">
        <f>'Cost Components'!$H$22*10^6 + 'Cost Components'!$H$7 * 10^6</f>
        <v>766522556.39097762</v>
      </c>
      <c r="M14">
        <f>'Cost Components'!$H$22*10^6</f>
        <v>589522556.39097762</v>
      </c>
      <c r="N14">
        <f>'Cost Components'!$H$22*10^6</f>
        <v>589522556.39097762</v>
      </c>
      <c r="O14">
        <f>'Cost Components'!$H$22*10^6</f>
        <v>589522556.39097762</v>
      </c>
      <c r="P14">
        <f>'Cost Components'!$H$22*10^6</f>
        <v>589522556.39097762</v>
      </c>
      <c r="Q14">
        <f>'Cost Components'!$H$22*10^6</f>
        <v>589522556.39097762</v>
      </c>
      <c r="R14">
        <f>'Cost Components'!$H$22*10^6</f>
        <v>589522556.39097762</v>
      </c>
      <c r="S14">
        <f>'Cost Components'!$H$22*10^6</f>
        <v>589522556.39097762</v>
      </c>
      <c r="T14">
        <f>'Cost Components'!$H$22*10^6</f>
        <v>589522556.39097762</v>
      </c>
      <c r="U14">
        <f>'Cost Components'!$H$22*10^6</f>
        <v>589522556.39097762</v>
      </c>
      <c r="V14">
        <f>'Cost Components'!$H$22*10^6 + 'Cost Components'!$H$7 * 10^6</f>
        <v>766522556.39097762</v>
      </c>
      <c r="W14">
        <f>'Cost Components'!$H$22*10^6</f>
        <v>589522556.39097762</v>
      </c>
      <c r="X14">
        <f>'Cost Components'!$H$22*10^6</f>
        <v>589522556.39097762</v>
      </c>
      <c r="Y14">
        <f>'Cost Components'!$H$22*10^6</f>
        <v>589522556.39097762</v>
      </c>
      <c r="Z14">
        <f>'Cost Components'!$H$22*10^6</f>
        <v>589522556.39097762</v>
      </c>
      <c r="AA14">
        <f>'Cost Components'!$H$22*10^6</f>
        <v>589522556.39097762</v>
      </c>
      <c r="AB14">
        <f>'Cost Components'!$H$22*10^6</f>
        <v>589522556.39097762</v>
      </c>
      <c r="AC14">
        <f>'Cost Components'!$H$22*10^6</f>
        <v>589522556.39097762</v>
      </c>
      <c r="AD14">
        <f>'Cost Components'!$H$22*10^6</f>
        <v>589522556.39097762</v>
      </c>
      <c r="AE14">
        <f>'Cost Components'!$H$22*10^6</f>
        <v>589522556.39097762</v>
      </c>
      <c r="AF14">
        <f>'Cost Components'!$H$22*10^6</f>
        <v>589522556.39097762</v>
      </c>
    </row>
    <row r="15" spans="1:32" x14ac:dyDescent="0.25">
      <c r="A15" t="s">
        <v>111</v>
      </c>
      <c r="B15">
        <f>B14/(1+'Study Parameters'!$C$3) ^'LCOF Baseline'!B$13</f>
        <v>7523078471.7987967</v>
      </c>
      <c r="C15">
        <f>C14/(1+'Study Parameters'!$C$3) ^'LCOF Baseline'!C$13</f>
        <v>545854218.88053477</v>
      </c>
      <c r="D15">
        <f>D14/(1+'Study Parameters'!$C$3) ^'LCOF Baseline'!D$13</f>
        <v>505420573.03753221</v>
      </c>
      <c r="E15">
        <f>E14/(1+'Study Parameters'!$C$3) ^'LCOF Baseline'!E$13</f>
        <v>467982012.07178909</v>
      </c>
      <c r="F15">
        <f>F14/(1+'Study Parameters'!$C$3) ^'LCOF Baseline'!F$13</f>
        <v>433316677.84424907</v>
      </c>
      <c r="G15">
        <f>G14/(1+'Study Parameters'!$C$3) ^'LCOF Baseline'!G$13</f>
        <v>401219146.1520825</v>
      </c>
      <c r="H15">
        <f>H14/(1+'Study Parameters'!$C$3) ^'LCOF Baseline'!H$13</f>
        <v>371499209.40007633</v>
      </c>
      <c r="I15">
        <f>I14/(1+'Study Parameters'!$C$3) ^'LCOF Baseline'!I$13</f>
        <v>343980749.44451511</v>
      </c>
      <c r="J15">
        <f>J14/(1+'Study Parameters'!$C$3) ^'LCOF Baseline'!J$13</f>
        <v>318500693.93010658</v>
      </c>
      <c r="K15">
        <f>K14/(1+'Study Parameters'!$C$3) ^'LCOF Baseline'!K$13</f>
        <v>294908049.93528384</v>
      </c>
      <c r="L15">
        <f>L14/(1+'Study Parameters'!$C$3) ^'LCOF Baseline'!L$13</f>
        <v>355048256.59032601</v>
      </c>
      <c r="M15">
        <f>M14/(1+'Study Parameters'!$C$3) ^'LCOF Baseline'!M$13</f>
        <v>252836119.62901565</v>
      </c>
      <c r="N15">
        <f>N14/(1+'Study Parameters'!$C$3) ^'LCOF Baseline'!N$13</f>
        <v>234107518.17501447</v>
      </c>
      <c r="O15">
        <f>O14/(1+'Study Parameters'!$C$3) ^'LCOF Baseline'!O$13</f>
        <v>216766220.53242081</v>
      </c>
      <c r="P15">
        <f>P14/(1+'Study Parameters'!$C$3) ^'LCOF Baseline'!P$13</f>
        <v>200709463.45594516</v>
      </c>
      <c r="Q15">
        <f>Q14/(1+'Study Parameters'!$C$3) ^'LCOF Baseline'!Q$13</f>
        <v>185842095.7925418</v>
      </c>
      <c r="R15">
        <f>R14/(1+'Study Parameters'!$C$3) ^'LCOF Baseline'!R$13</f>
        <v>172076014.62272388</v>
      </c>
      <c r="S15">
        <f>S14/(1+'Study Parameters'!$C$3) ^'LCOF Baseline'!S$13</f>
        <v>159329643.16918877</v>
      </c>
      <c r="T15">
        <f>T14/(1+'Study Parameters'!$C$3) ^'LCOF Baseline'!T$13</f>
        <v>147527447.37887847</v>
      </c>
      <c r="U15">
        <f>U14/(1+'Study Parameters'!$C$3) ^'LCOF Baseline'!U$13</f>
        <v>136599488.31377637</v>
      </c>
      <c r="V15">
        <f>V14/(1+'Study Parameters'!$C$3) ^'LCOF Baseline'!V$13</f>
        <v>164456040.4084591</v>
      </c>
      <c r="W15">
        <f>W14/(1+'Study Parameters'!$C$3) ^'LCOF Baseline'!W$13</f>
        <v>117112044.16476026</v>
      </c>
      <c r="X15">
        <f>X14/(1+'Study Parameters'!$C$3) ^'LCOF Baseline'!X$13</f>
        <v>108437077.93033355</v>
      </c>
      <c r="Y15">
        <f>Y14/(1+'Study Parameters'!$C$3) ^'LCOF Baseline'!Y$13</f>
        <v>100404701.78734589</v>
      </c>
      <c r="Z15">
        <f>Z14/(1+'Study Parameters'!$C$3) ^'LCOF Baseline'!Z$13</f>
        <v>92967316.469764709</v>
      </c>
      <c r="AA15">
        <f>AA14/(1+'Study Parameters'!$C$3) ^'LCOF Baseline'!AA$13</f>
        <v>86080848.583115458</v>
      </c>
      <c r="AB15">
        <f>AB14/(1+'Study Parameters'!$C$3) ^'LCOF Baseline'!AB$13</f>
        <v>79704489.428810611</v>
      </c>
      <c r="AC15">
        <f>AC14/(1+'Study Parameters'!$C$3) ^'LCOF Baseline'!AC$13</f>
        <v>73800453.17482464</v>
      </c>
      <c r="AD15">
        <f>AD14/(1+'Study Parameters'!$C$3) ^'LCOF Baseline'!AD$13</f>
        <v>68333752.939652443</v>
      </c>
      <c r="AE15">
        <f>AE14/(1+'Study Parameters'!$C$3) ^'LCOF Baseline'!AE$13</f>
        <v>63271993.46264115</v>
      </c>
      <c r="AF15">
        <f>AF14/(1+'Study Parameters'!$C$3) ^'LCOF Baseline'!AF$13</f>
        <v>58585179.132075131</v>
      </c>
    </row>
    <row r="16" spans="1:32" x14ac:dyDescent="0.25">
      <c r="A16" t="s">
        <v>155</v>
      </c>
      <c r="B16">
        <v>0</v>
      </c>
      <c r="C16">
        <f>'Study Parameters'!$C$42 * 10^6</f>
        <v>122000000</v>
      </c>
      <c r="D16">
        <f>'Study Parameters'!$C$42 * 10^6</f>
        <v>122000000</v>
      </c>
      <c r="E16">
        <f>'Study Parameters'!$C$42 * 10^6</f>
        <v>122000000</v>
      </c>
      <c r="F16">
        <f>'Study Parameters'!$C$42 * 10^6</f>
        <v>122000000</v>
      </c>
      <c r="G16">
        <f>'Study Parameters'!$C$42 * 10^6</f>
        <v>122000000</v>
      </c>
      <c r="H16">
        <f>'Study Parameters'!$C$42 * 10^6</f>
        <v>122000000</v>
      </c>
      <c r="I16">
        <f>'Study Parameters'!$C$42 * 10^6</f>
        <v>122000000</v>
      </c>
      <c r="J16">
        <f>'Study Parameters'!$C$42 * 10^6</f>
        <v>122000000</v>
      </c>
      <c r="K16">
        <f>'Study Parameters'!$C$42 * 10^6</f>
        <v>122000000</v>
      </c>
      <c r="L16">
        <f>'Study Parameters'!$C$42 * 10^6</f>
        <v>122000000</v>
      </c>
      <c r="M16">
        <f>'Study Parameters'!$C$42 * 10^6</f>
        <v>122000000</v>
      </c>
      <c r="N16">
        <f>'Study Parameters'!$C$42 * 10^6</f>
        <v>122000000</v>
      </c>
      <c r="O16">
        <f>'Study Parameters'!$C$42 * 10^6</f>
        <v>122000000</v>
      </c>
      <c r="P16">
        <f>'Study Parameters'!$C$42 * 10^6</f>
        <v>122000000</v>
      </c>
      <c r="Q16">
        <f>'Study Parameters'!$C$42 * 10^6</f>
        <v>122000000</v>
      </c>
      <c r="R16">
        <f>'Study Parameters'!$C$42 * 10^6</f>
        <v>122000000</v>
      </c>
      <c r="S16">
        <f>'Study Parameters'!$C$42 * 10^6</f>
        <v>122000000</v>
      </c>
      <c r="T16">
        <f>'Study Parameters'!$C$42 * 10^6</f>
        <v>122000000</v>
      </c>
      <c r="U16">
        <f>'Study Parameters'!$C$42 * 10^6</f>
        <v>122000000</v>
      </c>
      <c r="V16">
        <f>'Study Parameters'!$C$42 * 10^6</f>
        <v>122000000</v>
      </c>
      <c r="W16">
        <f>'Study Parameters'!$C$42 * 10^6</f>
        <v>122000000</v>
      </c>
      <c r="X16">
        <f>'Study Parameters'!$C$42 * 10^6</f>
        <v>122000000</v>
      </c>
      <c r="Y16">
        <f>'Study Parameters'!$C$42 * 10^6</f>
        <v>122000000</v>
      </c>
      <c r="Z16">
        <f>'Study Parameters'!$C$42 * 10^6</f>
        <v>122000000</v>
      </c>
      <c r="AA16">
        <f>'Study Parameters'!$C$42 * 10^6</f>
        <v>122000000</v>
      </c>
      <c r="AB16">
        <f>'Study Parameters'!$C$42 * 10^6</f>
        <v>122000000</v>
      </c>
      <c r="AC16">
        <f>'Study Parameters'!$C$42 * 10^6</f>
        <v>122000000</v>
      </c>
      <c r="AD16">
        <f>'Study Parameters'!$C$42 * 10^6</f>
        <v>122000000</v>
      </c>
      <c r="AE16">
        <f>'Study Parameters'!$C$42 * 10^6</f>
        <v>122000000</v>
      </c>
      <c r="AF16">
        <f>'Study Parameters'!$C$42 * 10^6</f>
        <v>122000000</v>
      </c>
    </row>
    <row r="17" spans="1:32" x14ac:dyDescent="0.25">
      <c r="A17" t="s">
        <v>156</v>
      </c>
      <c r="B17">
        <v>0</v>
      </c>
      <c r="C17">
        <f>C16/(1+'Study Parameters'!$C$3) ^'LCOF Baseline'!C$13</f>
        <v>112962962.96296296</v>
      </c>
      <c r="D17">
        <f>D16/(1+'Study Parameters'!$C$3) ^'LCOF Baseline'!D$13</f>
        <v>104595336.07681754</v>
      </c>
      <c r="E17">
        <f>E16/(1+'Study Parameters'!$C$3) ^'LCOF Baseline'!E$13</f>
        <v>96847533.404460683</v>
      </c>
      <c r="F17">
        <f>F16/(1+'Study Parameters'!$C$3) ^'LCOF Baseline'!F$13</f>
        <v>89673642.041167304</v>
      </c>
      <c r="G17">
        <f>G16/(1+'Study Parameters'!$C$3) ^'LCOF Baseline'!G$13</f>
        <v>83031150.038117871</v>
      </c>
      <c r="H17">
        <f>H16/(1+'Study Parameters'!$C$3) ^'LCOF Baseline'!H$13</f>
        <v>76880694.479738757</v>
      </c>
      <c r="I17">
        <f>I16/(1+'Study Parameters'!$C$3) ^'LCOF Baseline'!I$13</f>
        <v>71185828.221980333</v>
      </c>
      <c r="J17">
        <f>J16/(1+'Study Parameters'!$C$3) ^'LCOF Baseline'!J$13</f>
        <v>65912803.909241043</v>
      </c>
      <c r="K17">
        <f>K16/(1+'Study Parameters'!$C$3) ^'LCOF Baseline'!K$13</f>
        <v>61030373.990038</v>
      </c>
      <c r="L17">
        <f>L16/(1+'Study Parameters'!$C$3) ^'LCOF Baseline'!L$13</f>
        <v>56509605.54633148</v>
      </c>
      <c r="M17">
        <f>M16/(1+'Study Parameters'!$C$3) ^'LCOF Baseline'!M$13</f>
        <v>52323708.839195818</v>
      </c>
      <c r="N17">
        <f>N16/(1+'Study Parameters'!$C$3) ^'LCOF Baseline'!N$13</f>
        <v>48447878.554810934</v>
      </c>
      <c r="O17">
        <f>O16/(1+'Study Parameters'!$C$3) ^'LCOF Baseline'!O$13</f>
        <v>44859146.810010128</v>
      </c>
      <c r="P17">
        <f>P16/(1+'Study Parameters'!$C$3) ^'LCOF Baseline'!P$13</f>
        <v>41536247.046305664</v>
      </c>
      <c r="Q17">
        <f>Q16/(1+'Study Parameters'!$C$3) ^'LCOF Baseline'!Q$13</f>
        <v>38459488.005838573</v>
      </c>
      <c r="R17">
        <f>R16/(1+'Study Parameters'!$C$3) ^'LCOF Baseline'!R$13</f>
        <v>35610637.042443126</v>
      </c>
      <c r="S17">
        <f>S16/(1+'Study Parameters'!$C$3) ^'LCOF Baseline'!S$13</f>
        <v>32972812.076336227</v>
      </c>
      <c r="T17">
        <f>T16/(1+'Study Parameters'!$C$3) ^'LCOF Baseline'!T$13</f>
        <v>30530381.552163169</v>
      </c>
      <c r="U17">
        <f>U16/(1+'Study Parameters'!$C$3) ^'LCOF Baseline'!U$13</f>
        <v>28268871.807558488</v>
      </c>
      <c r="V17">
        <f>V16/(1+'Study Parameters'!$C$3) ^'LCOF Baseline'!V$13</f>
        <v>26174881.303294897</v>
      </c>
      <c r="W17">
        <f>W16/(1+'Study Parameters'!$C$3) ^'LCOF Baseline'!W$13</f>
        <v>24236001.206754535</v>
      </c>
      <c r="X17">
        <f>X16/(1+'Study Parameters'!$C$3) ^'LCOF Baseline'!X$13</f>
        <v>22440741.858106047</v>
      </c>
      <c r="Y17">
        <f>Y16/(1+'Study Parameters'!$C$3) ^'LCOF Baseline'!Y$13</f>
        <v>20778464.683431525</v>
      </c>
      <c r="Z17">
        <f>Z16/(1+'Study Parameters'!$C$3) ^'LCOF Baseline'!Z$13</f>
        <v>19239319.151325487</v>
      </c>
      <c r="AA17">
        <f>AA16/(1+'Study Parameters'!$C$3) ^'LCOF Baseline'!AA$13</f>
        <v>17814184.399375446</v>
      </c>
      <c r="AB17">
        <f>AB16/(1+'Study Parameters'!$C$3) ^'LCOF Baseline'!AB$13</f>
        <v>16494615.184606897</v>
      </c>
      <c r="AC17">
        <f>AC16/(1+'Study Parameters'!$C$3) ^'LCOF Baseline'!AC$13</f>
        <v>15272791.837598978</v>
      </c>
      <c r="AD17">
        <f>AD16/(1+'Study Parameters'!$C$3) ^'LCOF Baseline'!AD$13</f>
        <v>14141473.923702758</v>
      </c>
      <c r="AE17">
        <f>AE16/(1+'Study Parameters'!$C$3) ^'LCOF Baseline'!AE$13</f>
        <v>13093957.336761812</v>
      </c>
      <c r="AF17">
        <f>AF16/(1+'Study Parameters'!$C$3) ^'LCOF Baseline'!AF$13</f>
        <v>12124034.571075751</v>
      </c>
    </row>
    <row r="18" spans="1:32" x14ac:dyDescent="0.25">
      <c r="A18" t="s">
        <v>157</v>
      </c>
      <c r="B18">
        <v>0</v>
      </c>
      <c r="C18">
        <f>'Study Parameters'!$C$9</f>
        <v>157410000</v>
      </c>
      <c r="D18">
        <f>'Study Parameters'!$C$9</f>
        <v>157410000</v>
      </c>
      <c r="E18">
        <f>'Study Parameters'!$C$9</f>
        <v>157410000</v>
      </c>
      <c r="F18">
        <f>'Study Parameters'!$C$9</f>
        <v>157410000</v>
      </c>
      <c r="G18">
        <f>'Study Parameters'!$C$9</f>
        <v>157410000</v>
      </c>
      <c r="H18">
        <f>'Study Parameters'!$C$9</f>
        <v>157410000</v>
      </c>
      <c r="I18">
        <f>'Study Parameters'!$C$9</f>
        <v>157410000</v>
      </c>
      <c r="J18">
        <f>'Study Parameters'!$C$9</f>
        <v>157410000</v>
      </c>
      <c r="K18">
        <f>'Study Parameters'!$C$9</f>
        <v>157410000</v>
      </c>
      <c r="L18">
        <f>'Study Parameters'!$C$9</f>
        <v>157410000</v>
      </c>
      <c r="M18">
        <f>'Study Parameters'!$C$9</f>
        <v>157410000</v>
      </c>
      <c r="N18">
        <f>'Study Parameters'!$C$9</f>
        <v>157410000</v>
      </c>
      <c r="O18">
        <f>'Study Parameters'!$C$9</f>
        <v>157410000</v>
      </c>
      <c r="P18">
        <f>'Study Parameters'!$C$9</f>
        <v>157410000</v>
      </c>
      <c r="Q18">
        <f>'Study Parameters'!$C$9</f>
        <v>157410000</v>
      </c>
      <c r="R18">
        <f>'Study Parameters'!$C$9</f>
        <v>157410000</v>
      </c>
      <c r="S18">
        <f>'Study Parameters'!$C$9</f>
        <v>157410000</v>
      </c>
      <c r="T18">
        <f>'Study Parameters'!$C$9</f>
        <v>157410000</v>
      </c>
      <c r="U18">
        <f>'Study Parameters'!$C$9</f>
        <v>157410000</v>
      </c>
      <c r="V18">
        <f>'Study Parameters'!$C$9</f>
        <v>157410000</v>
      </c>
      <c r="W18">
        <f>'Study Parameters'!$C$9</f>
        <v>157410000</v>
      </c>
      <c r="X18">
        <f>'Study Parameters'!$C$9</f>
        <v>157410000</v>
      </c>
      <c r="Y18">
        <f>'Study Parameters'!$C$9</f>
        <v>157410000</v>
      </c>
      <c r="Z18">
        <f>'Study Parameters'!$C$9</f>
        <v>157410000</v>
      </c>
      <c r="AA18">
        <f>'Study Parameters'!$C$9</f>
        <v>157410000</v>
      </c>
      <c r="AB18">
        <f>'Study Parameters'!$C$9</f>
        <v>157410000</v>
      </c>
      <c r="AC18">
        <f>'Study Parameters'!$C$9</f>
        <v>157410000</v>
      </c>
      <c r="AD18">
        <f>'Study Parameters'!$C$9</f>
        <v>157410000</v>
      </c>
      <c r="AE18">
        <f>'Study Parameters'!$C$9</f>
        <v>157410000</v>
      </c>
      <c r="AF18">
        <f>'Study Parameters'!$C$9</f>
        <v>157410000</v>
      </c>
    </row>
    <row r="19" spans="1:32" x14ac:dyDescent="0.25">
      <c r="A19" t="s">
        <v>158</v>
      </c>
      <c r="B19">
        <v>0</v>
      </c>
      <c r="C19">
        <f>C18/(1+'Study Parameters'!$C$3) ^'LCOF Baseline'!C$13</f>
        <v>145750000</v>
      </c>
      <c r="D19">
        <f>D18/(1+'Study Parameters'!$C$3) ^'LCOF Baseline'!D$13</f>
        <v>134953703.7037037</v>
      </c>
      <c r="E19">
        <f>E18/(1+'Study Parameters'!$C$3) ^'LCOF Baseline'!E$13</f>
        <v>124957133.05898489</v>
      </c>
      <c r="F19">
        <f>F18/(1+'Study Parameters'!$C$3) ^'LCOF Baseline'!F$13</f>
        <v>115701049.12868971</v>
      </c>
      <c r="G19">
        <f>G18/(1+'Study Parameters'!$C$3) ^'LCOF Baseline'!G$13</f>
        <v>107130601.04508306</v>
      </c>
      <c r="H19">
        <f>H18/(1+'Study Parameters'!$C$3) ^'LCOF Baseline'!H$13</f>
        <v>99195000.967669487</v>
      </c>
      <c r="I19">
        <f>I18/(1+'Study Parameters'!$C$3) ^'LCOF Baseline'!I$13</f>
        <v>91847223.118212491</v>
      </c>
      <c r="J19">
        <f>J18/(1+'Study Parameters'!$C$3) ^'LCOF Baseline'!J$13</f>
        <v>85043725.109456003</v>
      </c>
      <c r="K19">
        <f>K18/(1+'Study Parameters'!$C$3) ^'LCOF Baseline'!K$13</f>
        <v>78744189.916162968</v>
      </c>
      <c r="L19">
        <f>L18/(1+'Study Parameters'!$C$3) ^'LCOF Baseline'!L$13</f>
        <v>72911286.959410146</v>
      </c>
      <c r="M19">
        <f>M18/(1+'Study Parameters'!$C$3) ^'LCOF Baseline'!M$13</f>
        <v>67510450.888342723</v>
      </c>
      <c r="N19">
        <f>N18/(1+'Study Parameters'!$C$3) ^'LCOF Baseline'!N$13</f>
        <v>62509676.748465486</v>
      </c>
      <c r="O19">
        <f>O18/(1+'Study Parameters'!$C$3) ^'LCOF Baseline'!O$13</f>
        <v>57879330.322653227</v>
      </c>
      <c r="P19">
        <f>P18/(1+'Study Parameters'!$C$3) ^'LCOF Baseline'!P$13</f>
        <v>53591972.520975202</v>
      </c>
      <c r="Q19">
        <f>Q18/(1+'Study Parameters'!$C$3) ^'LCOF Baseline'!Q$13</f>
        <v>49622196.778680742</v>
      </c>
      <c r="R19">
        <f>R18/(1+'Study Parameters'!$C$3) ^'LCOF Baseline'!R$13</f>
        <v>45946478.498778462</v>
      </c>
      <c r="S19">
        <f>S18/(1+'Study Parameters'!$C$3) ^'LCOF Baseline'!S$13</f>
        <v>42543035.647017092</v>
      </c>
      <c r="T19">
        <f>T18/(1+'Study Parameters'!$C$3) ^'LCOF Baseline'!T$13</f>
        <v>39391699.673163973</v>
      </c>
      <c r="U19">
        <f>U18/(1+'Study Parameters'!$C$3) ^'LCOF Baseline'!U$13</f>
        <v>36473795.993670344</v>
      </c>
      <c r="V19">
        <f>V18/(1+'Study Parameters'!$C$3) ^'LCOF Baseline'!V$13</f>
        <v>33772033.327472538</v>
      </c>
      <c r="W19">
        <f>W18/(1+'Study Parameters'!$C$3) ^'LCOF Baseline'!W$13</f>
        <v>31270401.229141239</v>
      </c>
      <c r="X19">
        <f>X18/(1+'Study Parameters'!$C$3) ^'LCOF Baseline'!X$13</f>
        <v>28954075.212167811</v>
      </c>
      <c r="Y19">
        <f>Y18/(1+'Study Parameters'!$C$3) ^'LCOF Baseline'!Y$13</f>
        <v>26809328.90015538</v>
      </c>
      <c r="Z19">
        <f>Z18/(1+'Study Parameters'!$C$3) ^'LCOF Baseline'!Z$13</f>
        <v>24823452.685329054</v>
      </c>
      <c r="AA19">
        <f>AA18/(1+'Study Parameters'!$C$3) ^'LCOF Baseline'!AA$13</f>
        <v>22984678.412341714</v>
      </c>
      <c r="AB19">
        <f>AB18/(1+'Study Parameters'!$C$3) ^'LCOF Baseline'!AB$13</f>
        <v>21282109.641057145</v>
      </c>
      <c r="AC19">
        <f>AC18/(1+'Study Parameters'!$C$3) ^'LCOF Baseline'!AC$13</f>
        <v>19705657.07505291</v>
      </c>
      <c r="AD19">
        <f>AD18/(1+'Study Parameters'!$C$3) ^'LCOF Baseline'!AD$13</f>
        <v>18245978.773197141</v>
      </c>
      <c r="AE19">
        <f>AE18/(1+'Study Parameters'!$C$3) ^'LCOF Baseline'!AE$13</f>
        <v>16894424.78999735</v>
      </c>
      <c r="AF19">
        <f>AF18/(1+'Study Parameters'!$C$3) ^'LCOF Baseline'!AF$13</f>
        <v>15642985.916664211</v>
      </c>
    </row>
    <row r="21" spans="1:32" x14ac:dyDescent="0.25">
      <c r="A21" t="s">
        <v>159</v>
      </c>
      <c r="B21">
        <f>(SUM(B15:AF15) - SUM(B17:AF17)) / SUM(B19:AF19)</f>
        <v>7.2831082650514132</v>
      </c>
    </row>
    <row r="23" spans="1:32" x14ac:dyDescent="0.25">
      <c r="A23" s="1" t="s">
        <v>10</v>
      </c>
    </row>
    <row r="24" spans="1:32" x14ac:dyDescent="0.25">
      <c r="A24" t="s">
        <v>21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  <c r="O24">
        <v>13</v>
      </c>
      <c r="P24">
        <v>14</v>
      </c>
      <c r="Q24">
        <v>15</v>
      </c>
      <c r="R24">
        <v>16</v>
      </c>
      <c r="S24">
        <v>17</v>
      </c>
      <c r="T24">
        <v>18</v>
      </c>
      <c r="U24">
        <v>19</v>
      </c>
      <c r="V24">
        <v>20</v>
      </c>
      <c r="W24">
        <v>21</v>
      </c>
      <c r="X24">
        <v>22</v>
      </c>
      <c r="Y24">
        <v>23</v>
      </c>
      <c r="Z24">
        <v>24</v>
      </c>
      <c r="AA24">
        <v>25</v>
      </c>
      <c r="AB24">
        <v>26</v>
      </c>
      <c r="AC24">
        <v>27</v>
      </c>
      <c r="AD24">
        <v>28</v>
      </c>
      <c r="AE24">
        <v>29</v>
      </c>
      <c r="AF24">
        <v>30</v>
      </c>
    </row>
    <row r="25" spans="1:32" x14ac:dyDescent="0.25">
      <c r="A25" t="s">
        <v>110</v>
      </c>
      <c r="B25">
        <f>'Cost Components'!N8 * 10^6</f>
        <v>7793078471.7987967</v>
      </c>
      <c r="C25">
        <f>'Cost Components'!$N$22 * 10^6</f>
        <v>510561904.76190472</v>
      </c>
      <c r="D25">
        <f>'Cost Components'!$N$22 * 10^6</f>
        <v>510561904.76190472</v>
      </c>
      <c r="E25">
        <f>'Cost Components'!$N$22 * 10^6</f>
        <v>510561904.76190472</v>
      </c>
      <c r="F25">
        <f>'Cost Components'!$N$22 * 10^6</f>
        <v>510561904.76190472</v>
      </c>
      <c r="G25">
        <f>'Cost Components'!$N$22 * 10^6</f>
        <v>510561904.76190472</v>
      </c>
      <c r="H25">
        <f>'Cost Components'!$N$22 * 10^6</f>
        <v>510561904.76190472</v>
      </c>
      <c r="I25">
        <f>'Cost Components'!$N$22 * 10^6 + 'Cost Components'!$N$7 * 10^6</f>
        <v>885561904.76190472</v>
      </c>
      <c r="J25">
        <f>'Cost Components'!$N$22 * 10^6</f>
        <v>510561904.76190472</v>
      </c>
      <c r="K25">
        <f>'Cost Components'!$N$22 * 10^6</f>
        <v>510561904.76190472</v>
      </c>
      <c r="L25">
        <f>'Cost Components'!$N$22 * 10^6</f>
        <v>510561904.76190472</v>
      </c>
      <c r="M25">
        <f>'Cost Components'!$N$22 * 10^6</f>
        <v>510561904.76190472</v>
      </c>
      <c r="N25">
        <f>'Cost Components'!$N$22 * 10^6</f>
        <v>510561904.76190472</v>
      </c>
      <c r="O25">
        <f>'Cost Components'!$N$22 * 10^6 + 'Cost Components'!$N$7 * 10^6</f>
        <v>885561904.76190472</v>
      </c>
      <c r="P25">
        <f>'Cost Components'!$N$22 * 10^6</f>
        <v>510561904.76190472</v>
      </c>
      <c r="Q25">
        <f>'Cost Components'!$N$22 * 10^6</f>
        <v>510561904.76190472</v>
      </c>
      <c r="R25">
        <f>'Cost Components'!$N$22 * 10^6</f>
        <v>510561904.76190472</v>
      </c>
      <c r="S25">
        <f>'Cost Components'!$N$22 * 10^6</f>
        <v>510561904.76190472</v>
      </c>
      <c r="T25">
        <f>'Cost Components'!$N$22 * 10^6</f>
        <v>510561904.76190472</v>
      </c>
      <c r="U25">
        <f>'Cost Components'!$N$22 * 10^6 + 'Cost Components'!$N$7 * 10^6</f>
        <v>885561904.76190472</v>
      </c>
      <c r="V25">
        <f>'Cost Components'!$N$22 * 10^6</f>
        <v>510561904.76190472</v>
      </c>
      <c r="W25">
        <f>'Cost Components'!$N$22 * 10^6</f>
        <v>510561904.76190472</v>
      </c>
      <c r="X25">
        <f>'Cost Components'!$N$22 * 10^6</f>
        <v>510561904.76190472</v>
      </c>
      <c r="Y25">
        <f>'Cost Components'!$N$22 * 10^6</f>
        <v>510561904.76190472</v>
      </c>
      <c r="Z25">
        <f>'Cost Components'!$N$22 * 10^6</f>
        <v>510561904.76190472</v>
      </c>
      <c r="AA25">
        <f>'Cost Components'!$N$22 * 10^6 + 'Cost Components'!$N$7 * 10^6</f>
        <v>885561904.76190472</v>
      </c>
      <c r="AB25">
        <f>'Cost Components'!$N$22 * 10^6</f>
        <v>510561904.76190472</v>
      </c>
      <c r="AC25">
        <f>'Cost Components'!$N$22 * 10^6</f>
        <v>510561904.76190472</v>
      </c>
      <c r="AD25">
        <f>'Cost Components'!$N$22 * 10^6</f>
        <v>510561904.76190472</v>
      </c>
      <c r="AE25">
        <f>'Cost Components'!$N$22 * 10^6</f>
        <v>510561904.76190472</v>
      </c>
      <c r="AF25">
        <f>'Cost Components'!$N$22 * 10^6</f>
        <v>510561904.76190472</v>
      </c>
    </row>
    <row r="26" spans="1:32" x14ac:dyDescent="0.25">
      <c r="A26" t="s">
        <v>111</v>
      </c>
      <c r="B26">
        <f>B25/(1+'Study Parameters'!$C$3)^'LCOF Baseline'!B$24</f>
        <v>7793078471.7987967</v>
      </c>
      <c r="C26">
        <f>C25/(1+'Study Parameters'!$C$3)^'LCOF Baseline'!C$24</f>
        <v>472742504.40917099</v>
      </c>
      <c r="D26">
        <f>D25/(1+'Study Parameters'!$C$3)^'LCOF Baseline'!D$24</f>
        <v>437724541.1196028</v>
      </c>
      <c r="E26">
        <f>E25/(1+'Study Parameters'!$C$3)^'LCOF Baseline'!E$24</f>
        <v>405300501.03666919</v>
      </c>
      <c r="F26">
        <f>F25/(1+'Study Parameters'!$C$3)^'LCOF Baseline'!F$24</f>
        <v>375278241.70061964</v>
      </c>
      <c r="G26">
        <f>G25/(1+'Study Parameters'!$C$3)^'LCOF Baseline'!G$24</f>
        <v>347479853.42649966</v>
      </c>
      <c r="H26">
        <f>H25/(1+'Study Parameters'!$C$3)^'LCOF Baseline'!H$24</f>
        <v>321740605.02453667</v>
      </c>
      <c r="I26">
        <f>I25/(1+'Study Parameters'!$C$3)^'LCOF Baseline'!I$24</f>
        <v>516716865.8386119</v>
      </c>
      <c r="J26">
        <f>J25/(1+'Study Parameters'!$C$3)^'LCOF Baseline'!J$24</f>
        <v>275840710.75491828</v>
      </c>
      <c r="K26">
        <f>K25/(1+'Study Parameters'!$C$3)^'LCOF Baseline'!K$24</f>
        <v>255408065.51381317</v>
      </c>
      <c r="L26">
        <f>L25/(1+'Study Parameters'!$C$3)^'LCOF Baseline'!L$24</f>
        <v>236488949.54982701</v>
      </c>
      <c r="M26">
        <f>M25/(1+'Study Parameters'!$C$3)^'LCOF Baseline'!M$24</f>
        <v>218971249.58317316</v>
      </c>
      <c r="N26">
        <f>N25/(1+'Study Parameters'!$C$3)^'LCOF Baseline'!N$24</f>
        <v>202751157.0214566</v>
      </c>
      <c r="O26">
        <f>O25/(1+'Study Parameters'!$C$3)^'LCOF Baseline'!O$24</f>
        <v>325619274.54972529</v>
      </c>
      <c r="P26">
        <f>P25/(1+'Study Parameters'!$C$3)^'LCOF Baseline'!P$24</f>
        <v>173826437.77559718</v>
      </c>
      <c r="Q26">
        <f>Q25/(1+'Study Parameters'!$C$3)^'LCOF Baseline'!Q$24</f>
        <v>160950405.34777516</v>
      </c>
      <c r="R26">
        <f>R25/(1+'Study Parameters'!$C$3)^'LCOF Baseline'!R$24</f>
        <v>149028153.09979182</v>
      </c>
      <c r="S26">
        <f>S25/(1+'Study Parameters'!$C$3)^'LCOF Baseline'!S$24</f>
        <v>137989030.64795539</v>
      </c>
      <c r="T26">
        <f>T25/(1+'Study Parameters'!$C$3)^'LCOF Baseline'!T$24</f>
        <v>127767620.97032906</v>
      </c>
      <c r="U26">
        <f>U25/(1+'Study Parameters'!$C$3)^'LCOF Baseline'!U$24</f>
        <v>205195376.74894756</v>
      </c>
      <c r="V26">
        <f>V25/(1+'Study Parameters'!$C$3)^'LCOF Baseline'!V$24</f>
        <v>109540141.4354673</v>
      </c>
      <c r="W26">
        <f>W25/(1+'Study Parameters'!$C$3)^'LCOF Baseline'!W$24</f>
        <v>101426056.88469194</v>
      </c>
      <c r="X26">
        <f>X25/(1+'Study Parameters'!$C$3)^'LCOF Baseline'!X$24</f>
        <v>93913015.633974001</v>
      </c>
      <c r="Y26">
        <f>Y25/(1+'Study Parameters'!$C$3)^'LCOF Baseline'!Y$24</f>
        <v>86956495.957383335</v>
      </c>
      <c r="Z26">
        <f>Z25/(1+'Study Parameters'!$C$3)^'LCOF Baseline'!Z$24</f>
        <v>80515274.03461419</v>
      </c>
      <c r="AA26">
        <f>AA25/(1+'Study Parameters'!$C$3)^'LCOF Baseline'!AA$24</f>
        <v>129307894.00402236</v>
      </c>
      <c r="AB26">
        <f>AB25/(1+'Study Parameters'!$C$3)^'LCOF Baseline'!AB$24</f>
        <v>69028870.057110935</v>
      </c>
      <c r="AC26">
        <f>AC25/(1+'Study Parameters'!$C$3)^'LCOF Baseline'!AC$24</f>
        <v>63915620.423250861</v>
      </c>
      <c r="AD26">
        <f>AD25/(1+'Study Parameters'!$C$3)^'LCOF Baseline'!AD$24</f>
        <v>59181130.021528572</v>
      </c>
      <c r="AE26">
        <f>AE25/(1+'Study Parameters'!$C$3)^'LCOF Baseline'!AE$24</f>
        <v>54797342.612526454</v>
      </c>
      <c r="AF26">
        <f>AF25/(1+'Study Parameters'!$C$3)^'LCOF Baseline'!AF$24</f>
        <v>50738280.196783751</v>
      </c>
    </row>
    <row r="27" spans="1:32" x14ac:dyDescent="0.25">
      <c r="A27" t="s">
        <v>155</v>
      </c>
      <c r="B27">
        <v>0</v>
      </c>
      <c r="C27">
        <f>'Study Parameters'!$C$42 * 10^6</f>
        <v>122000000</v>
      </c>
      <c r="D27">
        <f>'Study Parameters'!$C$42 * 10^6</f>
        <v>122000000</v>
      </c>
      <c r="E27">
        <f>'Study Parameters'!$C$42 * 10^6</f>
        <v>122000000</v>
      </c>
      <c r="F27">
        <f>'Study Parameters'!$C$42 * 10^6</f>
        <v>122000000</v>
      </c>
      <c r="G27">
        <f>'Study Parameters'!$C$42 * 10^6</f>
        <v>122000000</v>
      </c>
      <c r="H27">
        <f>'Study Parameters'!$C$42 * 10^6</f>
        <v>122000000</v>
      </c>
      <c r="I27">
        <f>'Study Parameters'!$C$42 * 10^6</f>
        <v>122000000</v>
      </c>
      <c r="J27">
        <f>'Study Parameters'!$C$42 * 10^6</f>
        <v>122000000</v>
      </c>
      <c r="K27">
        <f>'Study Parameters'!$C$42 * 10^6</f>
        <v>122000000</v>
      </c>
      <c r="L27">
        <f>'Study Parameters'!$C$42 * 10^6</f>
        <v>122000000</v>
      </c>
      <c r="M27">
        <f>'Study Parameters'!$C$42 * 10^6</f>
        <v>122000000</v>
      </c>
      <c r="N27">
        <f>'Study Parameters'!$C$42 * 10^6</f>
        <v>122000000</v>
      </c>
      <c r="O27">
        <f>'Study Parameters'!$C$42 * 10^6</f>
        <v>122000000</v>
      </c>
      <c r="P27">
        <f>'Study Parameters'!$C$42 * 10^6</f>
        <v>122000000</v>
      </c>
      <c r="Q27">
        <f>'Study Parameters'!$C$42 * 10^6</f>
        <v>122000000</v>
      </c>
      <c r="R27">
        <f>'Study Parameters'!$C$42 * 10^6</f>
        <v>122000000</v>
      </c>
      <c r="S27">
        <f>'Study Parameters'!$C$42 * 10^6</f>
        <v>122000000</v>
      </c>
      <c r="T27">
        <f>'Study Parameters'!$C$42 * 10^6</f>
        <v>122000000</v>
      </c>
      <c r="U27">
        <f>'Study Parameters'!$C$42 * 10^6</f>
        <v>122000000</v>
      </c>
      <c r="V27">
        <f>'Study Parameters'!$C$42 * 10^6</f>
        <v>122000000</v>
      </c>
      <c r="W27">
        <f>'Study Parameters'!$C$42 * 10^6</f>
        <v>122000000</v>
      </c>
      <c r="X27">
        <f>'Study Parameters'!$C$42 * 10^6</f>
        <v>122000000</v>
      </c>
      <c r="Y27">
        <f>'Study Parameters'!$C$42 * 10^6</f>
        <v>122000000</v>
      </c>
      <c r="Z27">
        <f>'Study Parameters'!$C$42 * 10^6</f>
        <v>122000000</v>
      </c>
      <c r="AA27">
        <f>'Study Parameters'!$C$42 * 10^6</f>
        <v>122000000</v>
      </c>
      <c r="AB27">
        <f>'Study Parameters'!$C$42 * 10^6</f>
        <v>122000000</v>
      </c>
      <c r="AC27">
        <f>'Study Parameters'!$C$42 * 10^6</f>
        <v>122000000</v>
      </c>
      <c r="AD27">
        <f>'Study Parameters'!$C$42 * 10^6</f>
        <v>122000000</v>
      </c>
      <c r="AE27">
        <f>'Study Parameters'!$C$42 * 10^6</f>
        <v>122000000</v>
      </c>
      <c r="AF27">
        <f>'Study Parameters'!$C$42 * 10^6</f>
        <v>122000000</v>
      </c>
    </row>
    <row r="28" spans="1:32" x14ac:dyDescent="0.25">
      <c r="A28" t="s">
        <v>156</v>
      </c>
      <c r="B28">
        <v>0</v>
      </c>
      <c r="C28">
        <f>C27/(1+'Study Parameters'!$C$3)^'LCOF Baseline'!C$24</f>
        <v>112962962.96296296</v>
      </c>
      <c r="D28">
        <f>D27/(1+'Study Parameters'!$C$3)^'LCOF Baseline'!D$24</f>
        <v>104595336.07681754</v>
      </c>
      <c r="E28">
        <f>E27/(1+'Study Parameters'!$C$3)^'LCOF Baseline'!E$24</f>
        <v>96847533.404460683</v>
      </c>
      <c r="F28">
        <f>F27/(1+'Study Parameters'!$C$3)^'LCOF Baseline'!F$24</f>
        <v>89673642.041167304</v>
      </c>
      <c r="G28">
        <f>G27/(1+'Study Parameters'!$C$3)^'LCOF Baseline'!G$24</f>
        <v>83031150.038117871</v>
      </c>
      <c r="H28">
        <f>H27/(1+'Study Parameters'!$C$3)^'LCOF Baseline'!H$24</f>
        <v>76880694.479738757</v>
      </c>
      <c r="I28">
        <f>I27/(1+'Study Parameters'!$C$3)^'LCOF Baseline'!I$24</f>
        <v>71185828.221980333</v>
      </c>
      <c r="J28">
        <f>J27/(1+'Study Parameters'!$C$3)^'LCOF Baseline'!J$24</f>
        <v>65912803.909241043</v>
      </c>
      <c r="K28">
        <f>K27/(1+'Study Parameters'!$C$3)^'LCOF Baseline'!K$24</f>
        <v>61030373.990038</v>
      </c>
      <c r="L28">
        <f>L27/(1+'Study Parameters'!$C$3)^'LCOF Baseline'!L$24</f>
        <v>56509605.54633148</v>
      </c>
      <c r="M28">
        <f>M27/(1+'Study Parameters'!$C$3)^'LCOF Baseline'!M$24</f>
        <v>52323708.839195818</v>
      </c>
      <c r="N28">
        <f>N27/(1+'Study Parameters'!$C$3)^'LCOF Baseline'!N$24</f>
        <v>48447878.554810934</v>
      </c>
      <c r="O28">
        <f>O27/(1+'Study Parameters'!$C$3)^'LCOF Baseline'!O$24</f>
        <v>44859146.810010128</v>
      </c>
      <c r="P28">
        <f>P27/(1+'Study Parameters'!$C$3)^'LCOF Baseline'!P$24</f>
        <v>41536247.046305664</v>
      </c>
      <c r="Q28">
        <f>Q27/(1+'Study Parameters'!$C$3)^'LCOF Baseline'!Q$24</f>
        <v>38459488.005838573</v>
      </c>
      <c r="R28">
        <f>R27/(1+'Study Parameters'!$C$3)^'LCOF Baseline'!R$24</f>
        <v>35610637.042443126</v>
      </c>
      <c r="S28">
        <f>S27/(1+'Study Parameters'!$C$3)^'LCOF Baseline'!S$24</f>
        <v>32972812.076336227</v>
      </c>
      <c r="T28">
        <f>T27/(1+'Study Parameters'!$C$3)^'LCOF Baseline'!T$24</f>
        <v>30530381.552163169</v>
      </c>
      <c r="U28">
        <f>U27/(1+'Study Parameters'!$C$3)^'LCOF Baseline'!U$24</f>
        <v>28268871.807558488</v>
      </c>
      <c r="V28">
        <f>V27/(1+'Study Parameters'!$C$3)^'LCOF Baseline'!V$24</f>
        <v>26174881.303294897</v>
      </c>
      <c r="W28">
        <f>W27/(1+'Study Parameters'!$C$3)^'LCOF Baseline'!W$24</f>
        <v>24236001.206754535</v>
      </c>
      <c r="X28">
        <f>X27/(1+'Study Parameters'!$C$3)^'LCOF Baseline'!X$24</f>
        <v>22440741.858106047</v>
      </c>
      <c r="Y28">
        <f>Y27/(1+'Study Parameters'!$C$3)^'LCOF Baseline'!Y$24</f>
        <v>20778464.683431525</v>
      </c>
      <c r="Z28">
        <f>Z27/(1+'Study Parameters'!$C$3)^'LCOF Baseline'!Z$24</f>
        <v>19239319.151325487</v>
      </c>
      <c r="AA28">
        <f>AA27/(1+'Study Parameters'!$C$3)^'LCOF Baseline'!AA$24</f>
        <v>17814184.399375446</v>
      </c>
      <c r="AB28">
        <f>AB27/(1+'Study Parameters'!$C$3)^'LCOF Baseline'!AB$24</f>
        <v>16494615.184606897</v>
      </c>
      <c r="AC28">
        <f>AC27/(1+'Study Parameters'!$C$3)^'LCOF Baseline'!AC$24</f>
        <v>15272791.837598978</v>
      </c>
      <c r="AD28">
        <f>AD27/(1+'Study Parameters'!$C$3)^'LCOF Baseline'!AD$24</f>
        <v>14141473.923702758</v>
      </c>
      <c r="AE28">
        <f>AE27/(1+'Study Parameters'!$C$3)^'LCOF Baseline'!AE$24</f>
        <v>13093957.336761812</v>
      </c>
      <c r="AF28">
        <f>AF27/(1+'Study Parameters'!$C$3)^'LCOF Baseline'!AF$24</f>
        <v>12124034.571075751</v>
      </c>
    </row>
    <row r="29" spans="1:32" x14ac:dyDescent="0.25">
      <c r="A29" t="s">
        <v>157</v>
      </c>
      <c r="B29">
        <v>0</v>
      </c>
      <c r="C29">
        <f>'Study Parameters'!$C$9</f>
        <v>157410000</v>
      </c>
      <c r="D29">
        <f>'Study Parameters'!$C$9</f>
        <v>157410000</v>
      </c>
      <c r="E29">
        <f>'Study Parameters'!$C$9</f>
        <v>157410000</v>
      </c>
      <c r="F29">
        <f>'Study Parameters'!$C$9</f>
        <v>157410000</v>
      </c>
      <c r="G29">
        <f>'Study Parameters'!$C$9</f>
        <v>157410000</v>
      </c>
      <c r="H29">
        <f>'Study Parameters'!$C$9</f>
        <v>157410000</v>
      </c>
      <c r="I29">
        <f>'Study Parameters'!$C$9</f>
        <v>157410000</v>
      </c>
      <c r="J29">
        <f>'Study Parameters'!$C$9</f>
        <v>157410000</v>
      </c>
      <c r="K29">
        <f>'Study Parameters'!$C$9</f>
        <v>157410000</v>
      </c>
      <c r="L29">
        <f>'Study Parameters'!$C$9</f>
        <v>157410000</v>
      </c>
      <c r="M29">
        <f>'Study Parameters'!$C$9</f>
        <v>157410000</v>
      </c>
      <c r="N29">
        <f>'Study Parameters'!$C$9</f>
        <v>157410000</v>
      </c>
      <c r="O29">
        <f>'Study Parameters'!$C$9</f>
        <v>157410000</v>
      </c>
      <c r="P29">
        <f>'Study Parameters'!$C$9</f>
        <v>157410000</v>
      </c>
      <c r="Q29">
        <f>'Study Parameters'!$C$9</f>
        <v>157410000</v>
      </c>
      <c r="R29">
        <f>'Study Parameters'!$C$9</f>
        <v>157410000</v>
      </c>
      <c r="S29">
        <f>'Study Parameters'!$C$9</f>
        <v>157410000</v>
      </c>
      <c r="T29">
        <f>'Study Parameters'!$C$9</f>
        <v>157410000</v>
      </c>
      <c r="U29">
        <f>'Study Parameters'!$C$9</f>
        <v>157410000</v>
      </c>
      <c r="V29">
        <f>'Study Parameters'!$C$9</f>
        <v>157410000</v>
      </c>
      <c r="W29">
        <f>'Study Parameters'!$C$9</f>
        <v>157410000</v>
      </c>
      <c r="X29">
        <f>'Study Parameters'!$C$9</f>
        <v>157410000</v>
      </c>
      <c r="Y29">
        <f>'Study Parameters'!$C$9</f>
        <v>157410000</v>
      </c>
      <c r="Z29">
        <f>'Study Parameters'!$C$9</f>
        <v>157410000</v>
      </c>
      <c r="AA29">
        <f>'Study Parameters'!$C$9</f>
        <v>157410000</v>
      </c>
      <c r="AB29">
        <f>'Study Parameters'!$C$9</f>
        <v>157410000</v>
      </c>
      <c r="AC29">
        <f>'Study Parameters'!$C$9</f>
        <v>157410000</v>
      </c>
      <c r="AD29">
        <f>'Study Parameters'!$C$9</f>
        <v>157410000</v>
      </c>
      <c r="AE29">
        <f>'Study Parameters'!$C$9</f>
        <v>157410000</v>
      </c>
      <c r="AF29">
        <f>'Study Parameters'!$C$9</f>
        <v>157410000</v>
      </c>
    </row>
    <row r="30" spans="1:32" x14ac:dyDescent="0.25">
      <c r="A30" t="s">
        <v>158</v>
      </c>
      <c r="B30">
        <v>0</v>
      </c>
      <c r="C30">
        <f>C29/(1+'Study Parameters'!$C$3)^'LCOF Baseline'!C$24</f>
        <v>145750000</v>
      </c>
      <c r="D30">
        <f>D29/(1+'Study Parameters'!$C$3)^'LCOF Baseline'!D$24</f>
        <v>134953703.7037037</v>
      </c>
      <c r="E30">
        <f>E29/(1+'Study Parameters'!$C$3)^'LCOF Baseline'!E$24</f>
        <v>124957133.05898489</v>
      </c>
      <c r="F30">
        <f>F29/(1+'Study Parameters'!$C$3)^'LCOF Baseline'!F$24</f>
        <v>115701049.12868971</v>
      </c>
      <c r="G30">
        <f>G29/(1+'Study Parameters'!$C$3)^'LCOF Baseline'!G$24</f>
        <v>107130601.04508306</v>
      </c>
      <c r="H30">
        <f>H29/(1+'Study Parameters'!$C$3)^'LCOF Baseline'!H$24</f>
        <v>99195000.967669487</v>
      </c>
      <c r="I30">
        <f>I29/(1+'Study Parameters'!$C$3)^'LCOF Baseline'!I$24</f>
        <v>91847223.118212491</v>
      </c>
      <c r="J30">
        <f>J29/(1+'Study Parameters'!$C$3)^'LCOF Baseline'!J$24</f>
        <v>85043725.109456003</v>
      </c>
      <c r="K30">
        <f>K29/(1+'Study Parameters'!$C$3)^'LCOF Baseline'!K$24</f>
        <v>78744189.916162968</v>
      </c>
      <c r="L30">
        <f>L29/(1+'Study Parameters'!$C$3)^'LCOF Baseline'!L$24</f>
        <v>72911286.959410146</v>
      </c>
      <c r="M30">
        <f>M29/(1+'Study Parameters'!$C$3)^'LCOF Baseline'!M$24</f>
        <v>67510450.888342723</v>
      </c>
      <c r="N30">
        <f>N29/(1+'Study Parameters'!$C$3)^'LCOF Baseline'!N$24</f>
        <v>62509676.748465486</v>
      </c>
      <c r="O30">
        <f>O29/(1+'Study Parameters'!$C$3)^'LCOF Baseline'!O$24</f>
        <v>57879330.322653227</v>
      </c>
      <c r="P30">
        <f>P29/(1+'Study Parameters'!$C$3)^'LCOF Baseline'!P$24</f>
        <v>53591972.520975202</v>
      </c>
      <c r="Q30">
        <f>Q29/(1+'Study Parameters'!$C$3)^'LCOF Baseline'!Q$24</f>
        <v>49622196.778680742</v>
      </c>
      <c r="R30">
        <f>R29/(1+'Study Parameters'!$C$3)^'LCOF Baseline'!R$24</f>
        <v>45946478.498778462</v>
      </c>
      <c r="S30">
        <f>S29/(1+'Study Parameters'!$C$3)^'LCOF Baseline'!S$24</f>
        <v>42543035.647017092</v>
      </c>
      <c r="T30">
        <f>T29/(1+'Study Parameters'!$C$3)^'LCOF Baseline'!T$24</f>
        <v>39391699.673163973</v>
      </c>
      <c r="U30">
        <f>U29/(1+'Study Parameters'!$C$3)^'LCOF Baseline'!U$24</f>
        <v>36473795.993670344</v>
      </c>
      <c r="V30">
        <f>V29/(1+'Study Parameters'!$C$3)^'LCOF Baseline'!V$24</f>
        <v>33772033.327472538</v>
      </c>
      <c r="W30">
        <f>W29/(1+'Study Parameters'!$C$3)^'LCOF Baseline'!W$24</f>
        <v>31270401.229141239</v>
      </c>
      <c r="X30">
        <f>X29/(1+'Study Parameters'!$C$3)^'LCOF Baseline'!X$24</f>
        <v>28954075.212167811</v>
      </c>
      <c r="Y30">
        <f>Y29/(1+'Study Parameters'!$C$3)^'LCOF Baseline'!Y$24</f>
        <v>26809328.90015538</v>
      </c>
      <c r="Z30">
        <f>Z29/(1+'Study Parameters'!$C$3)^'LCOF Baseline'!Z$24</f>
        <v>24823452.685329054</v>
      </c>
      <c r="AA30">
        <f>AA29/(1+'Study Parameters'!$C$3)^'LCOF Baseline'!AA$24</f>
        <v>22984678.412341714</v>
      </c>
      <c r="AB30">
        <f>AB29/(1+'Study Parameters'!$C$3)^'LCOF Baseline'!AB$24</f>
        <v>21282109.641057145</v>
      </c>
      <c r="AC30">
        <f>AC29/(1+'Study Parameters'!$C$3)^'LCOF Baseline'!AC$24</f>
        <v>19705657.07505291</v>
      </c>
      <c r="AD30">
        <f>AD29/(1+'Study Parameters'!$C$3)^'LCOF Baseline'!AD$24</f>
        <v>18245978.773197141</v>
      </c>
      <c r="AE30">
        <f>AE29/(1+'Study Parameters'!$C$3)^'LCOF Baseline'!AE$24</f>
        <v>16894424.78999735</v>
      </c>
      <c r="AF30">
        <f>AF29/(1+'Study Parameters'!$C$3)^'LCOF Baseline'!AF$24</f>
        <v>15642985.916664211</v>
      </c>
    </row>
    <row r="32" spans="1:32" x14ac:dyDescent="0.25">
      <c r="A32" t="s">
        <v>159</v>
      </c>
      <c r="B32">
        <f>(SUM(B26:AF26) - SUM(B28:AF28)) / SUM(B30:AF30)</f>
        <v>7.1473712844779129</v>
      </c>
    </row>
    <row r="34" spans="1:32" x14ac:dyDescent="0.25">
      <c r="A34" s="1" t="s">
        <v>12</v>
      </c>
    </row>
    <row r="35" spans="1:32" x14ac:dyDescent="0.25">
      <c r="A35" t="s">
        <v>21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</row>
    <row r="36" spans="1:32" x14ac:dyDescent="0.25">
      <c r="A36" t="s">
        <v>110</v>
      </c>
      <c r="B36">
        <f>'Cost Components'!T8 * 10^6</f>
        <v>3301556668.6254954</v>
      </c>
      <c r="C36">
        <f>'Cost Components'!$T$22 * 10^6</f>
        <v>195660000</v>
      </c>
      <c r="D36">
        <f>'Cost Components'!$T$22 * 10^6</f>
        <v>195660000</v>
      </c>
      <c r="E36">
        <f>'Cost Components'!$T$22 * 10^6</f>
        <v>195660000</v>
      </c>
      <c r="F36">
        <f>'Cost Components'!$T$22 * 10^6</f>
        <v>195660000</v>
      </c>
      <c r="G36">
        <f>'Cost Components'!$T$22 * 10^6</f>
        <v>195660000</v>
      </c>
      <c r="H36">
        <f>'Cost Components'!$T$22 * 10^6</f>
        <v>195660000</v>
      </c>
      <c r="I36">
        <f>'Cost Components'!$T$22 * 10^6</f>
        <v>195660000</v>
      </c>
      <c r="J36">
        <f>'Cost Components'!$T$22 * 10^6</f>
        <v>195660000</v>
      </c>
      <c r="K36">
        <f>'Cost Components'!$T$22 * 10^6</f>
        <v>195660000</v>
      </c>
      <c r="L36">
        <f>'Cost Components'!$T$22 * 10^6</f>
        <v>195660000</v>
      </c>
      <c r="M36">
        <f>'Cost Components'!$T$22 * 10^6</f>
        <v>195660000</v>
      </c>
      <c r="N36">
        <f>'Cost Components'!$T$22 * 10^6 + 'Cost Components'!$T$7 * 10^6</f>
        <v>264660000</v>
      </c>
      <c r="O36">
        <f>'Cost Components'!$T$22 * 10^6</f>
        <v>195660000</v>
      </c>
      <c r="P36">
        <f>'Cost Components'!$T$22 * 10^6</f>
        <v>195660000</v>
      </c>
      <c r="Q36">
        <f>'Cost Components'!$T$22 * 10^6</f>
        <v>195660000</v>
      </c>
      <c r="R36">
        <f>'Cost Components'!$T$22 * 10^6</f>
        <v>195660000</v>
      </c>
      <c r="S36">
        <f>'Cost Components'!$T$22 * 10^6</f>
        <v>195660000</v>
      </c>
      <c r="T36">
        <f>'Cost Components'!$T$22 * 10^6</f>
        <v>195660000</v>
      </c>
      <c r="U36">
        <f>'Cost Components'!$T$22 * 10^6</f>
        <v>195660000</v>
      </c>
      <c r="V36">
        <f>'Cost Components'!$T$22 * 10^6</f>
        <v>195660000</v>
      </c>
      <c r="W36">
        <f>'Cost Components'!$T$22 * 10^6</f>
        <v>195660000</v>
      </c>
      <c r="X36">
        <f>'Cost Components'!$T$22 * 10^6</f>
        <v>195660000</v>
      </c>
      <c r="Y36">
        <f>'Cost Components'!$T$22 * 10^6</f>
        <v>195660000</v>
      </c>
      <c r="Z36">
        <f>'Cost Components'!$T$22 * 10^6 + 'Cost Components'!$T$7 * 10^6</f>
        <v>264660000</v>
      </c>
      <c r="AA36">
        <f>'Cost Components'!$T$22 * 10^6</f>
        <v>195660000</v>
      </c>
      <c r="AB36">
        <f>'Cost Components'!$T$22 * 10^6</f>
        <v>195660000</v>
      </c>
      <c r="AC36">
        <f>'Cost Components'!$T$22 * 10^6</f>
        <v>195660000</v>
      </c>
      <c r="AD36">
        <f>'Cost Components'!$T$22 * 10^6</f>
        <v>195660000</v>
      </c>
      <c r="AE36">
        <f>'Cost Components'!$T$22 * 10^6</f>
        <v>195660000</v>
      </c>
      <c r="AF36">
        <f>'Cost Components'!$T$22 * 10^6</f>
        <v>195660000</v>
      </c>
    </row>
    <row r="37" spans="1:32" x14ac:dyDescent="0.25">
      <c r="A37" t="s">
        <v>111</v>
      </c>
      <c r="B37">
        <f>B36/(1+'Study Parameters'!$C$3)^'LCOF Baseline'!B$35</f>
        <v>3301556668.6254954</v>
      </c>
      <c r="C37">
        <f>C36/(1+'Study Parameters'!$C$3)^'LCOF Baseline'!C$35</f>
        <v>181166666.66666666</v>
      </c>
      <c r="D37">
        <f>D36/(1+'Study Parameters'!$C$3)^'LCOF Baseline'!D$35</f>
        <v>167746913.5802469</v>
      </c>
      <c r="E37">
        <f>E36/(1+'Study Parameters'!$C$3)^'LCOF Baseline'!E$35</f>
        <v>155321216.27800637</v>
      </c>
      <c r="F37">
        <f>F36/(1+'Study Parameters'!$C$3)^'LCOF Baseline'!F$35</f>
        <v>143815940.99815404</v>
      </c>
      <c r="G37">
        <f>G36/(1+'Study Parameters'!$C$3)^'LCOF Baseline'!G$35</f>
        <v>133162908.33162412</v>
      </c>
      <c r="H37">
        <f>H36/(1+'Study Parameters'!$C$3)^'LCOF Baseline'!H$35</f>
        <v>123298989.19594824</v>
      </c>
      <c r="I37">
        <f>I36/(1+'Study Parameters'!$C$3)^'LCOF Baseline'!I$35</f>
        <v>114165730.73698911</v>
      </c>
      <c r="J37">
        <f>J36/(1+'Study Parameters'!$C$3)^'LCOF Baseline'!J$35</f>
        <v>105709009.94165657</v>
      </c>
      <c r="K37">
        <f>K36/(1+'Study Parameters'!$C$3)^'LCOF Baseline'!K$35</f>
        <v>97878712.908941269</v>
      </c>
      <c r="L37">
        <f>L36/(1+'Study Parameters'!$C$3)^'LCOF Baseline'!L$35</f>
        <v>90628437.878649324</v>
      </c>
      <c r="M37">
        <f>M36/(1+'Study Parameters'!$C$3)^'LCOF Baseline'!M$35</f>
        <v>83915220.258008629</v>
      </c>
      <c r="N37">
        <f>N36/(1+'Study Parameters'!$C$3)^'LCOF Baseline'!N$35</f>
        <v>105100127.36324805</v>
      </c>
      <c r="O37">
        <f>O36/(1+'Study Parameters'!$C$3)^'LCOF Baseline'!O$35</f>
        <v>71943775.941365421</v>
      </c>
      <c r="P37">
        <f>P36/(1+'Study Parameters'!$C$3)^'LCOF Baseline'!P$35</f>
        <v>66614607.353116117</v>
      </c>
      <c r="Q37">
        <f>Q36/(1+'Study Parameters'!$C$3)^'LCOF Baseline'!Q$35</f>
        <v>61680191.993626028</v>
      </c>
      <c r="R37">
        <f>R36/(1+'Study Parameters'!$C$3)^'LCOF Baseline'!R$35</f>
        <v>57111288.882987067</v>
      </c>
      <c r="S37">
        <f>S36/(1+'Study Parameters'!$C$3)^'LCOF Baseline'!S$35</f>
        <v>52880823.039802834</v>
      </c>
      <c r="T37">
        <f>T36/(1+'Study Parameters'!$C$3)^'LCOF Baseline'!T$35</f>
        <v>48963725.036854476</v>
      </c>
      <c r="U37">
        <f>U36/(1+'Study Parameters'!$C$3)^'LCOF Baseline'!U$35</f>
        <v>45336782.441531919</v>
      </c>
      <c r="V37">
        <f>V36/(1+'Study Parameters'!$C$3)^'LCOF Baseline'!V$35</f>
        <v>41978502.260677703</v>
      </c>
      <c r="W37">
        <f>W36/(1+'Study Parameters'!$C$3)^'LCOF Baseline'!W$35</f>
        <v>38868983.574701577</v>
      </c>
      <c r="X37">
        <f>X36/(1+'Study Parameters'!$C$3)^'LCOF Baseline'!X$35</f>
        <v>35989799.606205158</v>
      </c>
      <c r="Y37">
        <f>Y36/(1+'Study Parameters'!$C$3)^'LCOF Baseline'!Y$35</f>
        <v>33323888.524264034</v>
      </c>
      <c r="Z37">
        <f>Z36/(1+'Study Parameters'!$C$3)^'LCOF Baseline'!Z$35</f>
        <v>41736706.611391827</v>
      </c>
      <c r="AA37">
        <f>AA36/(1+'Study Parameters'!$C$3)^'LCOF Baseline'!AA$35</f>
        <v>28569863.275260657</v>
      </c>
      <c r="AB37">
        <f>AB36/(1+'Study Parameters'!$C$3)^'LCOF Baseline'!AB$35</f>
        <v>26453577.106722832</v>
      </c>
      <c r="AC37">
        <f>AC36/(1+'Study Parameters'!$C$3)^'LCOF Baseline'!AC$35</f>
        <v>24494052.876595214</v>
      </c>
      <c r="AD37">
        <f>AD36/(1+'Study Parameters'!$C$3)^'LCOF Baseline'!AD$35</f>
        <v>22679678.58944001</v>
      </c>
      <c r="AE37">
        <f>AE36/(1+'Study Parameters'!$C$3)^'LCOF Baseline'!AE$35</f>
        <v>20999702.397629641</v>
      </c>
      <c r="AF37">
        <f>AF36/(1+'Study Parameters'!$C$3)^'LCOF Baseline'!AF$35</f>
        <v>19444168.886694107</v>
      </c>
    </row>
    <row r="38" spans="1:32" x14ac:dyDescent="0.25">
      <c r="A38" t="s">
        <v>155</v>
      </c>
      <c r="B38">
        <v>0</v>
      </c>
      <c r="C38">
        <f>'Study Parameters'!$C$42 * 10^6</f>
        <v>122000000</v>
      </c>
      <c r="D38">
        <f>'Study Parameters'!$C$42 * 10^6</f>
        <v>122000000</v>
      </c>
      <c r="E38">
        <f>'Study Parameters'!$C$42 * 10^6</f>
        <v>122000000</v>
      </c>
      <c r="F38">
        <f>'Study Parameters'!$C$42 * 10^6</f>
        <v>122000000</v>
      </c>
      <c r="G38">
        <f>'Study Parameters'!$C$42 * 10^6</f>
        <v>122000000</v>
      </c>
      <c r="H38">
        <f>'Study Parameters'!$C$42 * 10^6</f>
        <v>122000000</v>
      </c>
      <c r="I38">
        <f>'Study Parameters'!$C$42 * 10^6</f>
        <v>122000000</v>
      </c>
      <c r="J38">
        <f>'Study Parameters'!$C$42 * 10^6</f>
        <v>122000000</v>
      </c>
      <c r="K38">
        <f>'Study Parameters'!$C$42 * 10^6</f>
        <v>122000000</v>
      </c>
      <c r="L38">
        <f>'Study Parameters'!$C$42 * 10^6</f>
        <v>122000000</v>
      </c>
      <c r="M38">
        <f>'Study Parameters'!$C$42 * 10^6</f>
        <v>122000000</v>
      </c>
      <c r="N38">
        <f>'Study Parameters'!$C$42 * 10^6</f>
        <v>122000000</v>
      </c>
      <c r="O38">
        <f>'Study Parameters'!$C$42 * 10^6</f>
        <v>122000000</v>
      </c>
      <c r="P38">
        <f>'Study Parameters'!$C$42 * 10^6</f>
        <v>122000000</v>
      </c>
      <c r="Q38">
        <f>'Study Parameters'!$C$42 * 10^6</f>
        <v>122000000</v>
      </c>
      <c r="R38">
        <f>'Study Parameters'!$C$42 * 10^6</f>
        <v>122000000</v>
      </c>
      <c r="S38">
        <f>'Study Parameters'!$C$42 * 10^6</f>
        <v>122000000</v>
      </c>
      <c r="T38">
        <f>'Study Parameters'!$C$42 * 10^6</f>
        <v>122000000</v>
      </c>
      <c r="U38">
        <f>'Study Parameters'!$C$42 * 10^6</f>
        <v>122000000</v>
      </c>
      <c r="V38">
        <f>'Study Parameters'!$C$42 * 10^6</f>
        <v>122000000</v>
      </c>
      <c r="W38">
        <f>'Study Parameters'!$C$42 * 10^6</f>
        <v>122000000</v>
      </c>
      <c r="X38">
        <f>'Study Parameters'!$C$42 * 10^6</f>
        <v>122000000</v>
      </c>
      <c r="Y38">
        <f>'Study Parameters'!$C$42 * 10^6</f>
        <v>122000000</v>
      </c>
      <c r="Z38">
        <f>'Study Parameters'!$C$42 * 10^6</f>
        <v>122000000</v>
      </c>
      <c r="AA38">
        <f>'Study Parameters'!$C$42 * 10^6</f>
        <v>122000000</v>
      </c>
      <c r="AB38">
        <f>'Study Parameters'!$C$42 * 10^6</f>
        <v>122000000</v>
      </c>
      <c r="AC38">
        <f>'Study Parameters'!$C$42 * 10^6</f>
        <v>122000000</v>
      </c>
      <c r="AD38">
        <f>'Study Parameters'!$C$42 * 10^6</f>
        <v>122000000</v>
      </c>
      <c r="AE38">
        <f>'Study Parameters'!$C$42 * 10^6</f>
        <v>122000000</v>
      </c>
      <c r="AF38">
        <f>'Study Parameters'!$C$42 * 10^6</f>
        <v>122000000</v>
      </c>
    </row>
    <row r="39" spans="1:32" x14ac:dyDescent="0.25">
      <c r="A39" t="s">
        <v>156</v>
      </c>
      <c r="B39">
        <v>0</v>
      </c>
      <c r="C39">
        <f>C38/(1+'Study Parameters'!$C$3)^'LCOF Baseline'!C$35</f>
        <v>112962962.96296296</v>
      </c>
      <c r="D39">
        <f>D38/(1+'Study Parameters'!$C$3)^'LCOF Baseline'!D$35</f>
        <v>104595336.07681754</v>
      </c>
      <c r="E39">
        <f>E38/(1+'Study Parameters'!$C$3)^'LCOF Baseline'!E$35</f>
        <v>96847533.404460683</v>
      </c>
      <c r="F39">
        <f>F38/(1+'Study Parameters'!$C$3)^'LCOF Baseline'!F$35</f>
        <v>89673642.041167304</v>
      </c>
      <c r="G39">
        <f>G38/(1+'Study Parameters'!$C$3)^'LCOF Baseline'!G$35</f>
        <v>83031150.038117871</v>
      </c>
      <c r="H39">
        <f>H38/(1+'Study Parameters'!$C$3)^'LCOF Baseline'!H$35</f>
        <v>76880694.479738757</v>
      </c>
      <c r="I39">
        <f>I38/(1+'Study Parameters'!$C$3)^'LCOF Baseline'!I$35</f>
        <v>71185828.221980333</v>
      </c>
      <c r="J39">
        <f>J38/(1+'Study Parameters'!$C$3)^'LCOF Baseline'!J$35</f>
        <v>65912803.909241043</v>
      </c>
      <c r="K39">
        <f>K38/(1+'Study Parameters'!$C$3)^'LCOF Baseline'!K$35</f>
        <v>61030373.990038</v>
      </c>
      <c r="L39">
        <f>L38/(1+'Study Parameters'!$C$3)^'LCOF Baseline'!L$35</f>
        <v>56509605.54633148</v>
      </c>
      <c r="M39">
        <f>M38/(1+'Study Parameters'!$C$3)^'LCOF Baseline'!M$35</f>
        <v>52323708.839195818</v>
      </c>
      <c r="N39">
        <f>N38/(1+'Study Parameters'!$C$3)^'LCOF Baseline'!N$35</f>
        <v>48447878.554810934</v>
      </c>
      <c r="O39">
        <f>O38/(1+'Study Parameters'!$C$3)^'LCOF Baseline'!O$35</f>
        <v>44859146.810010128</v>
      </c>
      <c r="P39">
        <f>P38/(1+'Study Parameters'!$C$3)^'LCOF Baseline'!P$35</f>
        <v>41536247.046305664</v>
      </c>
      <c r="Q39">
        <f>Q38/(1+'Study Parameters'!$C$3)^'LCOF Baseline'!Q$35</f>
        <v>38459488.005838573</v>
      </c>
      <c r="R39">
        <f>R38/(1+'Study Parameters'!$C$3)^'LCOF Baseline'!R$35</f>
        <v>35610637.042443126</v>
      </c>
      <c r="S39">
        <f>S38/(1+'Study Parameters'!$C$3)^'LCOF Baseline'!S$35</f>
        <v>32972812.076336227</v>
      </c>
      <c r="T39">
        <f>T38/(1+'Study Parameters'!$C$3)^'LCOF Baseline'!T$35</f>
        <v>30530381.552163169</v>
      </c>
      <c r="U39">
        <f>U38/(1+'Study Parameters'!$C$3)^'LCOF Baseline'!U$35</f>
        <v>28268871.807558488</v>
      </c>
      <c r="V39">
        <f>V38/(1+'Study Parameters'!$C$3)^'LCOF Baseline'!V$35</f>
        <v>26174881.303294897</v>
      </c>
      <c r="W39">
        <f>W38/(1+'Study Parameters'!$C$3)^'LCOF Baseline'!W$35</f>
        <v>24236001.206754535</v>
      </c>
      <c r="X39">
        <f>X38/(1+'Study Parameters'!$C$3)^'LCOF Baseline'!X$35</f>
        <v>22440741.858106047</v>
      </c>
      <c r="Y39">
        <f>Y38/(1+'Study Parameters'!$C$3)^'LCOF Baseline'!Y$35</f>
        <v>20778464.683431525</v>
      </c>
      <c r="Z39">
        <f>Z38/(1+'Study Parameters'!$C$3)^'LCOF Baseline'!Z$35</f>
        <v>19239319.151325487</v>
      </c>
      <c r="AA39">
        <f>AA38/(1+'Study Parameters'!$C$3)^'LCOF Baseline'!AA$35</f>
        <v>17814184.399375446</v>
      </c>
      <c r="AB39">
        <f>AB38/(1+'Study Parameters'!$C$3)^'LCOF Baseline'!AB$35</f>
        <v>16494615.184606897</v>
      </c>
      <c r="AC39">
        <f>AC38/(1+'Study Parameters'!$C$3)^'LCOF Baseline'!AC$35</f>
        <v>15272791.837598978</v>
      </c>
      <c r="AD39">
        <f>AD38/(1+'Study Parameters'!$C$3)^'LCOF Baseline'!AD$35</f>
        <v>14141473.923702758</v>
      </c>
      <c r="AE39">
        <f>AE38/(1+'Study Parameters'!$C$3)^'LCOF Baseline'!AE$35</f>
        <v>13093957.336761812</v>
      </c>
      <c r="AF39">
        <f>AF38/(1+'Study Parameters'!$C$3)^'LCOF Baseline'!AF$35</f>
        <v>12124034.571075751</v>
      </c>
    </row>
    <row r="40" spans="1:32" x14ac:dyDescent="0.25">
      <c r="A40" t="s">
        <v>157</v>
      </c>
      <c r="B40">
        <v>0</v>
      </c>
      <c r="C40">
        <f>'Study Parameters'!$C$9</f>
        <v>157410000</v>
      </c>
      <c r="D40">
        <f>'Study Parameters'!$C$9</f>
        <v>157410000</v>
      </c>
      <c r="E40">
        <f>'Study Parameters'!$C$9</f>
        <v>157410000</v>
      </c>
      <c r="F40">
        <f>'Study Parameters'!$C$9</f>
        <v>157410000</v>
      </c>
      <c r="G40">
        <f>'Study Parameters'!$C$9</f>
        <v>157410000</v>
      </c>
      <c r="H40">
        <f>'Study Parameters'!$C$9</f>
        <v>157410000</v>
      </c>
      <c r="I40">
        <f>'Study Parameters'!$C$9</f>
        <v>157410000</v>
      </c>
      <c r="J40">
        <f>'Study Parameters'!$C$9</f>
        <v>157410000</v>
      </c>
      <c r="K40">
        <f>'Study Parameters'!$C$9</f>
        <v>157410000</v>
      </c>
      <c r="L40">
        <f>'Study Parameters'!$C$9</f>
        <v>157410000</v>
      </c>
      <c r="M40">
        <f>'Study Parameters'!$C$9</f>
        <v>157410000</v>
      </c>
      <c r="N40">
        <f>'Study Parameters'!$C$9</f>
        <v>157410000</v>
      </c>
      <c r="O40">
        <f>'Study Parameters'!$C$9</f>
        <v>157410000</v>
      </c>
      <c r="P40">
        <f>'Study Parameters'!$C$9</f>
        <v>157410000</v>
      </c>
      <c r="Q40">
        <f>'Study Parameters'!$C$9</f>
        <v>157410000</v>
      </c>
      <c r="R40">
        <f>'Study Parameters'!$C$9</f>
        <v>157410000</v>
      </c>
      <c r="S40">
        <f>'Study Parameters'!$C$9</f>
        <v>157410000</v>
      </c>
      <c r="T40">
        <f>'Study Parameters'!$C$9</f>
        <v>157410000</v>
      </c>
      <c r="U40">
        <f>'Study Parameters'!$C$9</f>
        <v>157410000</v>
      </c>
      <c r="V40">
        <f>'Study Parameters'!$C$9</f>
        <v>157410000</v>
      </c>
      <c r="W40">
        <f>'Study Parameters'!$C$9</f>
        <v>157410000</v>
      </c>
      <c r="X40">
        <f>'Study Parameters'!$C$9</f>
        <v>157410000</v>
      </c>
      <c r="Y40">
        <f>'Study Parameters'!$C$9</f>
        <v>157410000</v>
      </c>
      <c r="Z40">
        <f>'Study Parameters'!$C$9</f>
        <v>157410000</v>
      </c>
      <c r="AA40">
        <f>'Study Parameters'!$C$9</f>
        <v>157410000</v>
      </c>
      <c r="AB40">
        <f>'Study Parameters'!$C$9</f>
        <v>157410000</v>
      </c>
      <c r="AC40">
        <f>'Study Parameters'!$C$9</f>
        <v>157410000</v>
      </c>
      <c r="AD40">
        <f>'Study Parameters'!$C$9</f>
        <v>157410000</v>
      </c>
      <c r="AE40">
        <f>'Study Parameters'!$C$9</f>
        <v>157410000</v>
      </c>
      <c r="AF40">
        <f>'Study Parameters'!$C$9</f>
        <v>157410000</v>
      </c>
    </row>
    <row r="41" spans="1:32" x14ac:dyDescent="0.25">
      <c r="A41" t="s">
        <v>158</v>
      </c>
      <c r="B41">
        <v>0</v>
      </c>
      <c r="C41">
        <f>C40/(1+'Study Parameters'!$C$3)^'LCOF Baseline'!C$35</f>
        <v>145750000</v>
      </c>
      <c r="D41">
        <f>D40/(1+'Study Parameters'!$C$3)^'LCOF Baseline'!D$35</f>
        <v>134953703.7037037</v>
      </c>
      <c r="E41">
        <f>E40/(1+'Study Parameters'!$C$3)^'LCOF Baseline'!E$35</f>
        <v>124957133.05898489</v>
      </c>
      <c r="F41">
        <f>F40/(1+'Study Parameters'!$C$3)^'LCOF Baseline'!F$35</f>
        <v>115701049.12868971</v>
      </c>
      <c r="G41">
        <f>G40/(1+'Study Parameters'!$C$3)^'LCOF Baseline'!G$35</f>
        <v>107130601.04508306</v>
      </c>
      <c r="H41">
        <f>H40/(1+'Study Parameters'!$C$3)^'LCOF Baseline'!H$35</f>
        <v>99195000.967669487</v>
      </c>
      <c r="I41">
        <f>I40/(1+'Study Parameters'!$C$3)^'LCOF Baseline'!I$35</f>
        <v>91847223.118212491</v>
      </c>
      <c r="J41">
        <f>J40/(1+'Study Parameters'!$C$3)^'LCOF Baseline'!J$35</f>
        <v>85043725.109456003</v>
      </c>
      <c r="K41">
        <f>K40/(1+'Study Parameters'!$C$3)^'LCOF Baseline'!K$35</f>
        <v>78744189.916162968</v>
      </c>
      <c r="L41">
        <f>L40/(1+'Study Parameters'!$C$3)^'LCOF Baseline'!L$35</f>
        <v>72911286.959410146</v>
      </c>
      <c r="M41">
        <f>M40/(1+'Study Parameters'!$C$3)^'LCOF Baseline'!M$35</f>
        <v>67510450.888342723</v>
      </c>
      <c r="N41">
        <f>N40/(1+'Study Parameters'!$C$3)^'LCOF Baseline'!N$35</f>
        <v>62509676.748465486</v>
      </c>
      <c r="O41">
        <f>O40/(1+'Study Parameters'!$C$3)^'LCOF Baseline'!O$35</f>
        <v>57879330.322653227</v>
      </c>
      <c r="P41">
        <f>P40/(1+'Study Parameters'!$C$3)^'LCOF Baseline'!P$35</f>
        <v>53591972.520975202</v>
      </c>
      <c r="Q41">
        <f>Q40/(1+'Study Parameters'!$C$3)^'LCOF Baseline'!Q$35</f>
        <v>49622196.778680742</v>
      </c>
      <c r="R41">
        <f>R40/(1+'Study Parameters'!$C$3)^'LCOF Baseline'!R$35</f>
        <v>45946478.498778462</v>
      </c>
      <c r="S41">
        <f>S40/(1+'Study Parameters'!$C$3)^'LCOF Baseline'!S$35</f>
        <v>42543035.647017092</v>
      </c>
      <c r="T41">
        <f>T40/(1+'Study Parameters'!$C$3)^'LCOF Baseline'!T$35</f>
        <v>39391699.673163973</v>
      </c>
      <c r="U41">
        <f>U40/(1+'Study Parameters'!$C$3)^'LCOF Baseline'!U$35</f>
        <v>36473795.993670344</v>
      </c>
      <c r="V41">
        <f>V40/(1+'Study Parameters'!$C$3)^'LCOF Baseline'!V$35</f>
        <v>33772033.327472538</v>
      </c>
      <c r="W41">
        <f>W40/(1+'Study Parameters'!$C$3)^'LCOF Baseline'!W$35</f>
        <v>31270401.229141239</v>
      </c>
      <c r="X41">
        <f>X40/(1+'Study Parameters'!$C$3)^'LCOF Baseline'!X$35</f>
        <v>28954075.212167811</v>
      </c>
      <c r="Y41">
        <f>Y40/(1+'Study Parameters'!$C$3)^'LCOF Baseline'!Y$35</f>
        <v>26809328.90015538</v>
      </c>
      <c r="Z41">
        <f>Z40/(1+'Study Parameters'!$C$3)^'LCOF Baseline'!Z$35</f>
        <v>24823452.685329054</v>
      </c>
      <c r="AA41">
        <f>AA40/(1+'Study Parameters'!$C$3)^'LCOF Baseline'!AA$35</f>
        <v>22984678.412341714</v>
      </c>
      <c r="AB41">
        <f>AB40/(1+'Study Parameters'!$C$3)^'LCOF Baseline'!AB$35</f>
        <v>21282109.641057145</v>
      </c>
      <c r="AC41">
        <f>AC40/(1+'Study Parameters'!$C$3)^'LCOF Baseline'!AC$35</f>
        <v>19705657.07505291</v>
      </c>
      <c r="AD41">
        <f>AD40/(1+'Study Parameters'!$C$3)^'LCOF Baseline'!AD$35</f>
        <v>18245978.773197141</v>
      </c>
      <c r="AE41">
        <f>AE40/(1+'Study Parameters'!$C$3)^'LCOF Baseline'!AE$35</f>
        <v>16894424.78999735</v>
      </c>
      <c r="AF41">
        <f>AF40/(1+'Study Parameters'!$C$3)^'LCOF Baseline'!AF$35</f>
        <v>15642985.916664211</v>
      </c>
    </row>
    <row r="43" spans="1:32" x14ac:dyDescent="0.25">
      <c r="A43" t="s">
        <v>159</v>
      </c>
      <c r="B43">
        <f>(SUM(B37:AF37) - SUM(B39:AF39)) / SUM(B41:AF41)</f>
        <v>2.3526415479698048</v>
      </c>
    </row>
    <row r="45" spans="1:32" x14ac:dyDescent="0.25">
      <c r="A45" s="1" t="s">
        <v>16</v>
      </c>
    </row>
    <row r="46" spans="1:32" x14ac:dyDescent="0.25">
      <c r="A46" t="s">
        <v>21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6</v>
      </c>
      <c r="I46">
        <v>7</v>
      </c>
      <c r="J46">
        <v>8</v>
      </c>
      <c r="K46">
        <v>9</v>
      </c>
      <c r="L46">
        <v>10</v>
      </c>
      <c r="M46">
        <v>11</v>
      </c>
      <c r="N46">
        <v>12</v>
      </c>
      <c r="O46">
        <v>13</v>
      </c>
      <c r="P46">
        <v>14</v>
      </c>
      <c r="Q46">
        <v>15</v>
      </c>
      <c r="R46">
        <v>16</v>
      </c>
      <c r="S46">
        <v>17</v>
      </c>
      <c r="T46">
        <v>18</v>
      </c>
      <c r="U46">
        <v>19</v>
      </c>
      <c r="V46">
        <v>20</v>
      </c>
      <c r="W46">
        <v>21</v>
      </c>
      <c r="X46">
        <v>22</v>
      </c>
      <c r="Y46">
        <v>23</v>
      </c>
      <c r="Z46">
        <v>24</v>
      </c>
      <c r="AA46">
        <v>25</v>
      </c>
      <c r="AB46">
        <v>26</v>
      </c>
      <c r="AC46">
        <v>27</v>
      </c>
      <c r="AD46">
        <v>28</v>
      </c>
      <c r="AE46">
        <v>29</v>
      </c>
      <c r="AF46">
        <v>30</v>
      </c>
    </row>
    <row r="47" spans="1:32" x14ac:dyDescent="0.25">
      <c r="A47" t="s">
        <v>110</v>
      </c>
      <c r="B47">
        <f>'Cost Components'!T8 * 10^6</f>
        <v>3301556668.6254954</v>
      </c>
      <c r="C47">
        <f>'Cost Components'!$Z$22 * 10^6</f>
        <v>194263157.89473686</v>
      </c>
      <c r="D47">
        <f>'Cost Components'!$Z$22 * 10^6</f>
        <v>194263157.89473686</v>
      </c>
      <c r="E47">
        <f>'Cost Components'!$Z$22 * 10^6</f>
        <v>194263157.89473686</v>
      </c>
      <c r="F47">
        <f>'Cost Components'!$Z$22 * 10^6</f>
        <v>194263157.89473686</v>
      </c>
      <c r="G47">
        <f>'Cost Components'!$Z$22 * 10^6</f>
        <v>194263157.89473686</v>
      </c>
      <c r="H47">
        <f>'Cost Components'!$Z$22 * 10^6</f>
        <v>194263157.89473686</v>
      </c>
      <c r="I47">
        <f>'Cost Components'!$Z$22 * 10^6</f>
        <v>194263157.89473686</v>
      </c>
      <c r="J47">
        <f>'Cost Components'!$Z$22 * 10^6</f>
        <v>194263157.89473686</v>
      </c>
      <c r="K47">
        <f>'Cost Components'!$Z$22 * 10^6</f>
        <v>194263157.89473686</v>
      </c>
      <c r="L47">
        <f>'Cost Components'!$Z$22 * 10^6</f>
        <v>194263157.89473686</v>
      </c>
      <c r="M47">
        <f>'Cost Components'!$Z$22 * 10^6</f>
        <v>194263157.89473686</v>
      </c>
      <c r="N47">
        <f>'Cost Components'!$Z$22* 10^6 + 'Cost Components'!$Z$7 * 10^6</f>
        <v>263263157.89473686</v>
      </c>
      <c r="O47">
        <f>'Cost Components'!$Z$22 * 10^6</f>
        <v>194263157.89473686</v>
      </c>
      <c r="P47">
        <f>'Cost Components'!$Z$22 * 10^6</f>
        <v>194263157.89473686</v>
      </c>
      <c r="Q47">
        <f>'Cost Components'!$Z$22 * 10^6</f>
        <v>194263157.89473686</v>
      </c>
      <c r="R47">
        <f>'Cost Components'!$Z$22 * 10^6</f>
        <v>194263157.89473686</v>
      </c>
      <c r="S47">
        <f>'Cost Components'!$Z$22 * 10^6</f>
        <v>194263157.89473686</v>
      </c>
      <c r="T47">
        <f>'Cost Components'!$Z$22 * 10^6</f>
        <v>194263157.89473686</v>
      </c>
      <c r="U47">
        <f>'Cost Components'!$Z$22 * 10^6</f>
        <v>194263157.89473686</v>
      </c>
      <c r="V47">
        <f>'Cost Components'!$Z$22 * 10^6</f>
        <v>194263157.89473686</v>
      </c>
      <c r="W47">
        <f>'Cost Components'!$Z$22 * 10^6</f>
        <v>194263157.89473686</v>
      </c>
      <c r="X47">
        <f>'Cost Components'!$Z$22 * 10^6</f>
        <v>194263157.89473686</v>
      </c>
      <c r="Y47">
        <f>'Cost Components'!$Z$22 * 10^6</f>
        <v>194263157.89473686</v>
      </c>
      <c r="Z47">
        <f>'Cost Components'!$Z$22 * 10^6 + 'Cost Components'!$Z$7 * 10^6</f>
        <v>263263157.89473686</v>
      </c>
      <c r="AA47">
        <f>'Cost Components'!$Z$22 * 10^6</f>
        <v>194263157.89473686</v>
      </c>
      <c r="AB47">
        <f>'Cost Components'!$Z$22 * 10^6</f>
        <v>194263157.89473686</v>
      </c>
      <c r="AC47">
        <f>'Cost Components'!$Z$22 * 10^6</f>
        <v>194263157.89473686</v>
      </c>
      <c r="AD47">
        <f>'Cost Components'!$Z$22 * 10^6</f>
        <v>194263157.89473686</v>
      </c>
      <c r="AE47">
        <f>'Cost Components'!$Z$22 * 10^6</f>
        <v>194263157.89473686</v>
      </c>
      <c r="AF47">
        <f>'Cost Components'!$Z$22 * 10^6</f>
        <v>194263157.89473686</v>
      </c>
    </row>
    <row r="48" spans="1:32" x14ac:dyDescent="0.25">
      <c r="A48" t="s">
        <v>111</v>
      </c>
      <c r="B48">
        <f>B47/(1+'Study Parameters'!$C$3)^'LCOF Baseline'!B$46</f>
        <v>3301556668.6254954</v>
      </c>
      <c r="C48">
        <f>C47/(1+'Study Parameters'!$C$3)^'LCOF Baseline'!C$46</f>
        <v>179873294.34697855</v>
      </c>
      <c r="D48">
        <f>D47/(1+'Study Parameters'!$C$3)^'LCOF Baseline'!D$46</f>
        <v>166549346.61757272</v>
      </c>
      <c r="E48">
        <f>E47/(1+'Study Parameters'!$C$3)^'LCOF Baseline'!E$46</f>
        <v>154212357.97923401</v>
      </c>
      <c r="F48">
        <f>F47/(1+'Study Parameters'!$C$3)^'LCOF Baseline'!F$46</f>
        <v>142789220.35114259</v>
      </c>
      <c r="G48">
        <f>G47/(1+'Study Parameters'!$C$3)^'LCOF Baseline'!G$46</f>
        <v>132212241.06587276</v>
      </c>
      <c r="H48">
        <f>H47/(1+'Study Parameters'!$C$3)^'LCOF Baseline'!H$46</f>
        <v>122418741.72765996</v>
      </c>
      <c r="I48">
        <f>I47/(1+'Study Parameters'!$C$3)^'LCOF Baseline'!I$46</f>
        <v>113350686.78487033</v>
      </c>
      <c r="J48">
        <f>J47/(1+'Study Parameters'!$C$3)^'LCOF Baseline'!J$46</f>
        <v>104954339.61562067</v>
      </c>
      <c r="K48">
        <f>K47/(1+'Study Parameters'!$C$3)^'LCOF Baseline'!K$46</f>
        <v>97179944.088537648</v>
      </c>
      <c r="L48">
        <f>L47/(1+'Study Parameters'!$C$3)^'LCOF Baseline'!L$46</f>
        <v>89981429.711608931</v>
      </c>
      <c r="M48">
        <f>M47/(1+'Study Parameters'!$C$3)^'LCOF Baseline'!M$46</f>
        <v>83316138.621860117</v>
      </c>
      <c r="N48">
        <f>N47/(1+'Study Parameters'!$C$3)^'LCOF Baseline'!N$46</f>
        <v>104545422.14459202</v>
      </c>
      <c r="O48">
        <f>O47/(1+'Study Parameters'!$C$3)^'LCOF Baseline'!O$46</f>
        <v>71430159.998165399</v>
      </c>
      <c r="P48">
        <f>P47/(1+'Study Parameters'!$C$3)^'LCOF Baseline'!P$46</f>
        <v>66139037.035338312</v>
      </c>
      <c r="Q48">
        <f>Q47/(1+'Study Parameters'!$C$3)^'LCOF Baseline'!Q$46</f>
        <v>61239849.10679473</v>
      </c>
      <c r="R48">
        <f>R47/(1+'Study Parameters'!$C$3)^'LCOF Baseline'!R$46</f>
        <v>56703563.987772904</v>
      </c>
      <c r="S48">
        <f>S47/(1+'Study Parameters'!$C$3)^'LCOF Baseline'!S$46</f>
        <v>52503299.988678612</v>
      </c>
      <c r="T48">
        <f>T47/(1+'Study Parameters'!$C$3)^'LCOF Baseline'!T$46</f>
        <v>48614166.656183898</v>
      </c>
      <c r="U48">
        <f>U47/(1+'Study Parameters'!$C$3)^'LCOF Baseline'!U$46</f>
        <v>45013117.274244346</v>
      </c>
      <c r="V48">
        <f>V47/(1+'Study Parameters'!$C$3)^'LCOF Baseline'!V$46</f>
        <v>41678812.290966988</v>
      </c>
      <c r="W48">
        <f>W47/(1+'Study Parameters'!$C$3)^'LCOF Baseline'!W$46</f>
        <v>38591492.862006471</v>
      </c>
      <c r="X48">
        <f>X47/(1+'Study Parameters'!$C$3)^'LCOF Baseline'!X$46</f>
        <v>35732863.761117093</v>
      </c>
      <c r="Y48">
        <f>Y47/(1+'Study Parameters'!$C$3)^'LCOF Baseline'!Y$46</f>
        <v>33085984.963997308</v>
      </c>
      <c r="Z48">
        <f>Z47/(1+'Study Parameters'!$C$3)^'LCOF Baseline'!Z$46</f>
        <v>41516425.537070788</v>
      </c>
      <c r="AA48">
        <f>AA47/(1+'Study Parameters'!$C$3)^'LCOF Baseline'!AA$46</f>
        <v>28365899.317555986</v>
      </c>
      <c r="AB48">
        <f>AB47/(1+'Study Parameters'!$C$3)^'LCOF Baseline'!AB$46</f>
        <v>26264721.590329621</v>
      </c>
      <c r="AC48">
        <f>AC47/(1+'Study Parameters'!$C$3)^'LCOF Baseline'!AC$46</f>
        <v>24319186.657712612</v>
      </c>
      <c r="AD48">
        <f>AD47/(1+'Study Parameters'!$C$3)^'LCOF Baseline'!AD$46</f>
        <v>22517765.423807971</v>
      </c>
      <c r="AE48">
        <f>AE47/(1+'Study Parameters'!$C$3)^'LCOF Baseline'!AE$46</f>
        <v>20849782.799822196</v>
      </c>
      <c r="AF48">
        <f>AF47/(1+'Study Parameters'!$C$3)^'LCOF Baseline'!AF$46</f>
        <v>19305354.444279809</v>
      </c>
    </row>
    <row r="49" spans="1:32" x14ac:dyDescent="0.25">
      <c r="A49" t="s">
        <v>155</v>
      </c>
      <c r="B49">
        <v>0</v>
      </c>
      <c r="C49">
        <f>'Study Parameters'!$C$42 * 10^6</f>
        <v>122000000</v>
      </c>
      <c r="D49">
        <f>'Study Parameters'!$C$42 * 10^6</f>
        <v>122000000</v>
      </c>
      <c r="E49">
        <f>'Study Parameters'!$C$42 * 10^6</f>
        <v>122000000</v>
      </c>
      <c r="F49">
        <f>'Study Parameters'!$C$42 * 10^6</f>
        <v>122000000</v>
      </c>
      <c r="G49">
        <f>'Study Parameters'!$C$42 * 10^6</f>
        <v>122000000</v>
      </c>
      <c r="H49">
        <f>'Study Parameters'!$C$42 * 10^6</f>
        <v>122000000</v>
      </c>
      <c r="I49">
        <f>'Study Parameters'!$C$42 * 10^6</f>
        <v>122000000</v>
      </c>
      <c r="J49">
        <f>'Study Parameters'!$C$42 * 10^6</f>
        <v>122000000</v>
      </c>
      <c r="K49">
        <f>'Study Parameters'!$C$42 * 10^6</f>
        <v>122000000</v>
      </c>
      <c r="L49">
        <f>'Study Parameters'!$C$42 * 10^6</f>
        <v>122000000</v>
      </c>
      <c r="M49">
        <f>'Study Parameters'!$C$42 * 10^6</f>
        <v>122000000</v>
      </c>
      <c r="N49">
        <f>'Study Parameters'!$C$42 * 10^6</f>
        <v>122000000</v>
      </c>
      <c r="O49">
        <f>'Study Parameters'!$C$42 * 10^6</f>
        <v>122000000</v>
      </c>
      <c r="P49">
        <f>'Study Parameters'!$C$42 * 10^6</f>
        <v>122000000</v>
      </c>
      <c r="Q49">
        <f>'Study Parameters'!$C$42 * 10^6</f>
        <v>122000000</v>
      </c>
      <c r="R49">
        <f>'Study Parameters'!$C$42 * 10^6</f>
        <v>122000000</v>
      </c>
      <c r="S49">
        <f>'Study Parameters'!$C$42 * 10^6</f>
        <v>122000000</v>
      </c>
      <c r="T49">
        <f>'Study Parameters'!$C$42 * 10^6</f>
        <v>122000000</v>
      </c>
      <c r="U49">
        <f>'Study Parameters'!$C$42 * 10^6</f>
        <v>122000000</v>
      </c>
      <c r="V49">
        <f>'Study Parameters'!$C$42 * 10^6</f>
        <v>122000000</v>
      </c>
      <c r="W49">
        <f>'Study Parameters'!$C$42 * 10^6</f>
        <v>122000000</v>
      </c>
      <c r="X49">
        <f>'Study Parameters'!$C$42 * 10^6</f>
        <v>122000000</v>
      </c>
      <c r="Y49">
        <f>'Study Parameters'!$C$42 * 10^6</f>
        <v>122000000</v>
      </c>
      <c r="Z49">
        <f>'Study Parameters'!$C$42 * 10^6</f>
        <v>122000000</v>
      </c>
      <c r="AA49">
        <f>'Study Parameters'!$C$42 * 10^6</f>
        <v>122000000</v>
      </c>
      <c r="AB49">
        <f>'Study Parameters'!$C$42 * 10^6</f>
        <v>122000000</v>
      </c>
      <c r="AC49">
        <f>'Study Parameters'!$C$42 * 10^6</f>
        <v>122000000</v>
      </c>
      <c r="AD49">
        <f>'Study Parameters'!$C$42 * 10^6</f>
        <v>122000000</v>
      </c>
      <c r="AE49">
        <f>'Study Parameters'!$C$42 * 10^6</f>
        <v>122000000</v>
      </c>
      <c r="AF49">
        <f>'Study Parameters'!$C$42 * 10^6</f>
        <v>122000000</v>
      </c>
    </row>
    <row r="50" spans="1:32" x14ac:dyDescent="0.25">
      <c r="A50" t="s">
        <v>156</v>
      </c>
      <c r="B50">
        <v>0</v>
      </c>
      <c r="C50">
        <f>C49/(1+'Study Parameters'!$C$3)^'LCOF Baseline'!C$46</f>
        <v>112962962.96296296</v>
      </c>
      <c r="D50">
        <f>D49/(1+'Study Parameters'!$C$3)^'LCOF Baseline'!D$46</f>
        <v>104595336.07681754</v>
      </c>
      <c r="E50">
        <f>E49/(1+'Study Parameters'!$C$3)^'LCOF Baseline'!E$46</f>
        <v>96847533.404460683</v>
      </c>
      <c r="F50">
        <f>F49/(1+'Study Parameters'!$C$3)^'LCOF Baseline'!F$46</f>
        <v>89673642.041167304</v>
      </c>
      <c r="G50">
        <f>G49/(1+'Study Parameters'!$C$3)^'LCOF Baseline'!G$46</f>
        <v>83031150.038117871</v>
      </c>
      <c r="H50">
        <f>H49/(1+'Study Parameters'!$C$3)^'LCOF Baseline'!H$46</f>
        <v>76880694.479738757</v>
      </c>
      <c r="I50">
        <f>I49/(1+'Study Parameters'!$C$3)^'LCOF Baseline'!I$46</f>
        <v>71185828.221980333</v>
      </c>
      <c r="J50">
        <f>J49/(1+'Study Parameters'!$C$3)^'LCOF Baseline'!J$46</f>
        <v>65912803.909241043</v>
      </c>
      <c r="K50">
        <f>K49/(1+'Study Parameters'!$C$3)^'LCOF Baseline'!K$46</f>
        <v>61030373.990038</v>
      </c>
      <c r="L50">
        <f>L49/(1+'Study Parameters'!$C$3)^'LCOF Baseline'!L$46</f>
        <v>56509605.54633148</v>
      </c>
      <c r="M50">
        <f>M49/(1+'Study Parameters'!$C$3)^'LCOF Baseline'!M$46</f>
        <v>52323708.839195818</v>
      </c>
      <c r="N50">
        <f>N49/(1+'Study Parameters'!$C$3)^'LCOF Baseline'!N$46</f>
        <v>48447878.554810934</v>
      </c>
      <c r="O50">
        <f>O49/(1+'Study Parameters'!$C$3)^'LCOF Baseline'!O$46</f>
        <v>44859146.810010128</v>
      </c>
      <c r="P50">
        <f>P49/(1+'Study Parameters'!$C$3)^'LCOF Baseline'!P$46</f>
        <v>41536247.046305664</v>
      </c>
      <c r="Q50">
        <f>Q49/(1+'Study Parameters'!$C$3)^'LCOF Baseline'!Q$46</f>
        <v>38459488.005838573</v>
      </c>
      <c r="R50">
        <f>R49/(1+'Study Parameters'!$C$3)^'LCOF Baseline'!R$46</f>
        <v>35610637.042443126</v>
      </c>
      <c r="S50">
        <f>S49/(1+'Study Parameters'!$C$3)^'LCOF Baseline'!S$46</f>
        <v>32972812.076336227</v>
      </c>
      <c r="T50">
        <f>T49/(1+'Study Parameters'!$C$3)^'LCOF Baseline'!T$46</f>
        <v>30530381.552163169</v>
      </c>
      <c r="U50">
        <f>U49/(1+'Study Parameters'!$C$3)^'LCOF Baseline'!U$46</f>
        <v>28268871.807558488</v>
      </c>
      <c r="V50">
        <f>V49/(1+'Study Parameters'!$C$3)^'LCOF Baseline'!V$46</f>
        <v>26174881.303294897</v>
      </c>
      <c r="W50">
        <f>W49/(1+'Study Parameters'!$C$3)^'LCOF Baseline'!W$46</f>
        <v>24236001.206754535</v>
      </c>
      <c r="X50">
        <f>X49/(1+'Study Parameters'!$C$3)^'LCOF Baseline'!X$46</f>
        <v>22440741.858106047</v>
      </c>
      <c r="Y50">
        <f>Y49/(1+'Study Parameters'!$C$3)^'LCOF Baseline'!Y$46</f>
        <v>20778464.683431525</v>
      </c>
      <c r="Z50">
        <f>Z49/(1+'Study Parameters'!$C$3)^'LCOF Baseline'!Z$46</f>
        <v>19239319.151325487</v>
      </c>
      <c r="AA50">
        <f>AA49/(1+'Study Parameters'!$C$3)^'LCOF Baseline'!AA$46</f>
        <v>17814184.399375446</v>
      </c>
      <c r="AB50">
        <f>AB49/(1+'Study Parameters'!$C$3)^'LCOF Baseline'!AB$46</f>
        <v>16494615.184606897</v>
      </c>
      <c r="AC50">
        <f>AC49/(1+'Study Parameters'!$C$3)^'LCOF Baseline'!AC$46</f>
        <v>15272791.837598978</v>
      </c>
      <c r="AD50">
        <f>AD49/(1+'Study Parameters'!$C$3)^'LCOF Baseline'!AD$46</f>
        <v>14141473.923702758</v>
      </c>
      <c r="AE50">
        <f>AE49/(1+'Study Parameters'!$C$3)^'LCOF Baseline'!AE$46</f>
        <v>13093957.336761812</v>
      </c>
      <c r="AF50">
        <f>AF49/(1+'Study Parameters'!$C$3)^'LCOF Baseline'!AF$46</f>
        <v>12124034.571075751</v>
      </c>
    </row>
    <row r="51" spans="1:32" x14ac:dyDescent="0.25">
      <c r="A51" t="s">
        <v>157</v>
      </c>
      <c r="B51">
        <v>0</v>
      </c>
      <c r="C51">
        <f>'Study Parameters'!$C$9</f>
        <v>157410000</v>
      </c>
      <c r="D51">
        <f>'Study Parameters'!$C$9</f>
        <v>157410000</v>
      </c>
      <c r="E51">
        <f>'Study Parameters'!$C$9</f>
        <v>157410000</v>
      </c>
      <c r="F51">
        <f>'Study Parameters'!$C$9</f>
        <v>157410000</v>
      </c>
      <c r="G51">
        <f>'Study Parameters'!$C$9</f>
        <v>157410000</v>
      </c>
      <c r="H51">
        <f>'Study Parameters'!$C$9</f>
        <v>157410000</v>
      </c>
      <c r="I51">
        <f>'Study Parameters'!$C$9</f>
        <v>157410000</v>
      </c>
      <c r="J51">
        <f>'Study Parameters'!$C$9</f>
        <v>157410000</v>
      </c>
      <c r="K51">
        <f>'Study Parameters'!$C$9</f>
        <v>157410000</v>
      </c>
      <c r="L51">
        <f>'Study Parameters'!$C$9</f>
        <v>157410000</v>
      </c>
      <c r="M51">
        <f>'Study Parameters'!$C$9</f>
        <v>157410000</v>
      </c>
      <c r="N51">
        <f>'Study Parameters'!$C$9</f>
        <v>157410000</v>
      </c>
      <c r="O51">
        <f>'Study Parameters'!$C$9</f>
        <v>157410000</v>
      </c>
      <c r="P51">
        <f>'Study Parameters'!$C$9</f>
        <v>157410000</v>
      </c>
      <c r="Q51">
        <f>'Study Parameters'!$C$9</f>
        <v>157410000</v>
      </c>
      <c r="R51">
        <f>'Study Parameters'!$C$9</f>
        <v>157410000</v>
      </c>
      <c r="S51">
        <f>'Study Parameters'!$C$9</f>
        <v>157410000</v>
      </c>
      <c r="T51">
        <f>'Study Parameters'!$C$9</f>
        <v>157410000</v>
      </c>
      <c r="U51">
        <f>'Study Parameters'!$C$9</f>
        <v>157410000</v>
      </c>
      <c r="V51">
        <f>'Study Parameters'!$C$9</f>
        <v>157410000</v>
      </c>
      <c r="W51">
        <f>'Study Parameters'!$C$9</f>
        <v>157410000</v>
      </c>
      <c r="X51">
        <f>'Study Parameters'!$C$9</f>
        <v>157410000</v>
      </c>
      <c r="Y51">
        <f>'Study Parameters'!$C$9</f>
        <v>157410000</v>
      </c>
      <c r="Z51">
        <f>'Study Parameters'!$C$9</f>
        <v>157410000</v>
      </c>
      <c r="AA51">
        <f>'Study Parameters'!$C$9</f>
        <v>157410000</v>
      </c>
      <c r="AB51">
        <f>'Study Parameters'!$C$9</f>
        <v>157410000</v>
      </c>
      <c r="AC51">
        <f>'Study Parameters'!$C$9</f>
        <v>157410000</v>
      </c>
      <c r="AD51">
        <f>'Study Parameters'!$C$9</f>
        <v>157410000</v>
      </c>
      <c r="AE51">
        <f>'Study Parameters'!$C$9</f>
        <v>157410000</v>
      </c>
      <c r="AF51">
        <f>'Study Parameters'!$C$9</f>
        <v>157410000</v>
      </c>
    </row>
    <row r="52" spans="1:32" x14ac:dyDescent="0.25">
      <c r="A52" t="s">
        <v>158</v>
      </c>
      <c r="B52">
        <v>0</v>
      </c>
      <c r="C52">
        <f>C51/(1+'Study Parameters'!$C$3)^'LCOF Baseline'!C$46</f>
        <v>145750000</v>
      </c>
      <c r="D52">
        <f>D51/(1+'Study Parameters'!$C$3)^'LCOF Baseline'!D$46</f>
        <v>134953703.7037037</v>
      </c>
      <c r="E52">
        <f>E51/(1+'Study Parameters'!$C$3)^'LCOF Baseline'!E$46</f>
        <v>124957133.05898489</v>
      </c>
      <c r="F52">
        <f>F51/(1+'Study Parameters'!$C$3)^'LCOF Baseline'!F$46</f>
        <v>115701049.12868971</v>
      </c>
      <c r="G52">
        <f>G51/(1+'Study Parameters'!$C$3)^'LCOF Baseline'!G$46</f>
        <v>107130601.04508306</v>
      </c>
      <c r="H52">
        <f>H51/(1+'Study Parameters'!$C$3)^'LCOF Baseline'!H$46</f>
        <v>99195000.967669487</v>
      </c>
      <c r="I52">
        <f>I51/(1+'Study Parameters'!$C$3)^'LCOF Baseline'!I$46</f>
        <v>91847223.118212491</v>
      </c>
      <c r="J52">
        <f>J51/(1+'Study Parameters'!$C$3)^'LCOF Baseline'!J$46</f>
        <v>85043725.109456003</v>
      </c>
      <c r="K52">
        <f>K51/(1+'Study Parameters'!$C$3)^'LCOF Baseline'!K$46</f>
        <v>78744189.916162968</v>
      </c>
      <c r="L52">
        <f>L51/(1+'Study Parameters'!$C$3)^'LCOF Baseline'!L$46</f>
        <v>72911286.959410146</v>
      </c>
      <c r="M52">
        <f>M51/(1+'Study Parameters'!$C$3)^'LCOF Baseline'!M$46</f>
        <v>67510450.888342723</v>
      </c>
      <c r="N52">
        <f>N51/(1+'Study Parameters'!$C$3)^'LCOF Baseline'!N$46</f>
        <v>62509676.748465486</v>
      </c>
      <c r="O52">
        <f>O51/(1+'Study Parameters'!$C$3)^'LCOF Baseline'!O$46</f>
        <v>57879330.322653227</v>
      </c>
      <c r="P52">
        <f>P51/(1+'Study Parameters'!$C$3)^'LCOF Baseline'!P$46</f>
        <v>53591972.520975202</v>
      </c>
      <c r="Q52">
        <f>Q51/(1+'Study Parameters'!$C$3)^'LCOF Baseline'!Q$46</f>
        <v>49622196.778680742</v>
      </c>
      <c r="R52">
        <f>R51/(1+'Study Parameters'!$C$3)^'LCOF Baseline'!R$46</f>
        <v>45946478.498778462</v>
      </c>
      <c r="S52">
        <f>S51/(1+'Study Parameters'!$C$3)^'LCOF Baseline'!S$46</f>
        <v>42543035.647017092</v>
      </c>
      <c r="T52">
        <f>T51/(1+'Study Parameters'!$C$3)^'LCOF Baseline'!T$46</f>
        <v>39391699.673163973</v>
      </c>
      <c r="U52">
        <f>U51/(1+'Study Parameters'!$C$3)^'LCOF Baseline'!U$46</f>
        <v>36473795.993670344</v>
      </c>
      <c r="V52">
        <f>V51/(1+'Study Parameters'!$C$3)^'LCOF Baseline'!V$46</f>
        <v>33772033.327472538</v>
      </c>
      <c r="W52">
        <f>W51/(1+'Study Parameters'!$C$3)^'LCOF Baseline'!W$46</f>
        <v>31270401.229141239</v>
      </c>
      <c r="X52">
        <f>X51/(1+'Study Parameters'!$C$3)^'LCOF Baseline'!X$46</f>
        <v>28954075.212167811</v>
      </c>
      <c r="Y52">
        <f>Y51/(1+'Study Parameters'!$C$3)^'LCOF Baseline'!Y$46</f>
        <v>26809328.90015538</v>
      </c>
      <c r="Z52">
        <f>Z51/(1+'Study Parameters'!$C$3)^'LCOF Baseline'!Z$46</f>
        <v>24823452.685329054</v>
      </c>
      <c r="AA52">
        <f>AA51/(1+'Study Parameters'!$C$3)^'LCOF Baseline'!AA$46</f>
        <v>22984678.412341714</v>
      </c>
      <c r="AB52">
        <f>AB51/(1+'Study Parameters'!$C$3)^'LCOF Baseline'!AB$46</f>
        <v>21282109.641057145</v>
      </c>
      <c r="AC52">
        <f>AC51/(1+'Study Parameters'!$C$3)^'LCOF Baseline'!AC$46</f>
        <v>19705657.07505291</v>
      </c>
      <c r="AD52">
        <f>AD51/(1+'Study Parameters'!$C$3)^'LCOF Baseline'!AD$46</f>
        <v>18245978.773197141</v>
      </c>
      <c r="AE52">
        <f>AE51/(1+'Study Parameters'!$C$3)^'LCOF Baseline'!AE$46</f>
        <v>16894424.78999735</v>
      </c>
      <c r="AF52">
        <f>AF51/(1+'Study Parameters'!$C$3)^'LCOF Baseline'!AF$46</f>
        <v>15642985.916664211</v>
      </c>
    </row>
    <row r="54" spans="1:32" x14ac:dyDescent="0.25">
      <c r="A54" t="s">
        <v>159</v>
      </c>
      <c r="B54">
        <f>(SUM(B48:AF48) - SUM(B50:AF50)) / SUM(B52:AF52)</f>
        <v>2.3437676384007613</v>
      </c>
    </row>
    <row r="56" spans="1:32" x14ac:dyDescent="0.25">
      <c r="A56" s="1" t="s">
        <v>18</v>
      </c>
    </row>
    <row r="57" spans="1:32" x14ac:dyDescent="0.25">
      <c r="A57" t="s">
        <v>21</v>
      </c>
      <c r="B57">
        <v>0</v>
      </c>
      <c r="C57">
        <v>1</v>
      </c>
      <c r="D57">
        <v>2</v>
      </c>
      <c r="E57">
        <v>3</v>
      </c>
      <c r="F57">
        <v>4</v>
      </c>
      <c r="G57">
        <v>5</v>
      </c>
      <c r="H57">
        <v>6</v>
      </c>
      <c r="I57">
        <v>7</v>
      </c>
      <c r="J57">
        <v>8</v>
      </c>
      <c r="K57">
        <v>9</v>
      </c>
      <c r="L57">
        <v>10</v>
      </c>
      <c r="M57">
        <v>11</v>
      </c>
      <c r="N57">
        <v>12</v>
      </c>
      <c r="O57">
        <v>13</v>
      </c>
      <c r="P57">
        <v>14</v>
      </c>
      <c r="Q57">
        <v>15</v>
      </c>
      <c r="R57">
        <v>16</v>
      </c>
      <c r="S57">
        <v>17</v>
      </c>
      <c r="T57">
        <v>18</v>
      </c>
      <c r="U57">
        <v>19</v>
      </c>
      <c r="V57">
        <v>20</v>
      </c>
      <c r="W57">
        <v>21</v>
      </c>
      <c r="X57">
        <v>22</v>
      </c>
      <c r="Y57">
        <v>23</v>
      </c>
      <c r="Z57">
        <v>24</v>
      </c>
      <c r="AA57">
        <v>25</v>
      </c>
      <c r="AB57">
        <v>26</v>
      </c>
      <c r="AC57">
        <v>27</v>
      </c>
      <c r="AD57">
        <v>28</v>
      </c>
      <c r="AE57">
        <v>29</v>
      </c>
      <c r="AF57">
        <v>30</v>
      </c>
    </row>
    <row r="58" spans="1:32" x14ac:dyDescent="0.25">
      <c r="A58" t="s">
        <v>110</v>
      </c>
      <c r="B58">
        <f>'Cost Components'!$AF$8*10^6</f>
        <v>3246556668.6254954</v>
      </c>
      <c r="C58">
        <f>'Cost Components'!$AF$22*10^6</f>
        <v>167868421.05263159</v>
      </c>
      <c r="D58">
        <f>'Cost Components'!$AF$22*10^6</f>
        <v>167868421.05263159</v>
      </c>
      <c r="E58">
        <f>'Cost Components'!$AF$22*10^6</f>
        <v>167868421.05263159</v>
      </c>
      <c r="F58">
        <f>'Cost Components'!$AF$22*10^6</f>
        <v>167868421.05263159</v>
      </c>
      <c r="G58">
        <f>'Cost Components'!$AF$22*10^6</f>
        <v>167868421.05263159</v>
      </c>
      <c r="H58">
        <f>'Cost Components'!$AF$22*10^6</f>
        <v>167868421.05263159</v>
      </c>
      <c r="I58">
        <f>'Cost Components'!$AF$22*10^6</f>
        <v>167868421.05263159</v>
      </c>
      <c r="J58">
        <f>'Cost Components'!$AF$22*10^6</f>
        <v>167868421.05263159</v>
      </c>
      <c r="K58">
        <f>'Cost Components'!$AF$22*10^6</f>
        <v>167868421.05263159</v>
      </c>
      <c r="L58">
        <f>'Cost Components'!$AF$22*10^6 + 'Cost Components'!$AF$7 * 10^6</f>
        <v>237868421.05263159</v>
      </c>
      <c r="M58">
        <f>'Cost Components'!$AF$22*10^6</f>
        <v>167868421.05263159</v>
      </c>
      <c r="N58">
        <f>'Cost Components'!$AF$22*10^6</f>
        <v>167868421.05263159</v>
      </c>
      <c r="O58">
        <f>'Cost Components'!$AF$22*10^6</f>
        <v>167868421.05263159</v>
      </c>
      <c r="P58">
        <f>'Cost Components'!$AF$22*10^6</f>
        <v>167868421.05263159</v>
      </c>
      <c r="Q58">
        <f>'Cost Components'!$AF$22*10^6</f>
        <v>167868421.05263159</v>
      </c>
      <c r="R58">
        <f>'Cost Components'!$AF$22*10^6</f>
        <v>167868421.05263159</v>
      </c>
      <c r="S58">
        <f>'Cost Components'!$AF$22*10^6</f>
        <v>167868421.05263159</v>
      </c>
      <c r="T58">
        <f>'Cost Components'!$AF$22*10^6</f>
        <v>167868421.05263159</v>
      </c>
      <c r="U58">
        <f>'Cost Components'!$AF$22*10^6</f>
        <v>167868421.05263159</v>
      </c>
      <c r="V58">
        <f>'Cost Components'!$AF$22*10^6 + 'Cost Components'!$AF$7 * 10^6</f>
        <v>237868421.05263159</v>
      </c>
      <c r="W58">
        <f>'Cost Components'!$AF$22*10^6</f>
        <v>167868421.05263159</v>
      </c>
      <c r="X58">
        <f>'Cost Components'!$AF$22*10^6</f>
        <v>167868421.05263159</v>
      </c>
      <c r="Y58">
        <f>'Cost Components'!$AF$22*10^6</f>
        <v>167868421.05263159</v>
      </c>
      <c r="Z58">
        <f>'Cost Components'!$AF$22*10^6</f>
        <v>167868421.05263159</v>
      </c>
      <c r="AA58">
        <f>'Cost Components'!$AF$22*10^6</f>
        <v>167868421.05263159</v>
      </c>
      <c r="AB58">
        <f>'Cost Components'!$AF$22*10^6</f>
        <v>167868421.05263159</v>
      </c>
      <c r="AC58">
        <f>'Cost Components'!$AF$22*10^6</f>
        <v>167868421.05263159</v>
      </c>
      <c r="AD58">
        <f>'Cost Components'!$AF$22*10^6</f>
        <v>167868421.05263159</v>
      </c>
      <c r="AE58">
        <f>'Cost Components'!$AF$22*10^6</f>
        <v>167868421.05263159</v>
      </c>
      <c r="AF58">
        <f>'Cost Components'!$AF$22*10^6</f>
        <v>167868421.05263159</v>
      </c>
    </row>
    <row r="59" spans="1:32" x14ac:dyDescent="0.25">
      <c r="A59" t="s">
        <v>111</v>
      </c>
      <c r="B59">
        <f>B58/(1+'Study Parameters'!$C$3)^'LCOF Baseline'!B$57</f>
        <v>3246556668.6254954</v>
      </c>
      <c r="C59">
        <f>C58/(1+'Study Parameters'!$C$3)^'LCOF Baseline'!C$57</f>
        <v>155433723.19688109</v>
      </c>
      <c r="D59">
        <f>D58/(1+'Study Parameters'!$C$3)^'LCOF Baseline'!D$57</f>
        <v>143920114.07118618</v>
      </c>
      <c r="E59">
        <f>E58/(1+'Study Parameters'!$C$3)^'LCOF Baseline'!E$57</f>
        <v>133259364.88072795</v>
      </c>
      <c r="F59">
        <f>F58/(1+'Study Parameters'!$C$3)^'LCOF Baseline'!F$57</f>
        <v>123388300.81548883</v>
      </c>
      <c r="G59">
        <f>G58/(1+'Study Parameters'!$C$3)^'LCOF Baseline'!G$57</f>
        <v>114248426.68100818</v>
      </c>
      <c r="H59">
        <f>H58/(1+'Study Parameters'!$C$3)^'LCOF Baseline'!H$57</f>
        <v>105785580.26019274</v>
      </c>
      <c r="I59">
        <f>I58/(1+'Study Parameters'!$C$3)^'LCOF Baseline'!I$57</f>
        <v>97949611.352030307</v>
      </c>
      <c r="J59">
        <f>J58/(1+'Study Parameters'!$C$3)^'LCOF Baseline'!J$57</f>
        <v>90694084.585213259</v>
      </c>
      <c r="K59">
        <f>K58/(1+'Study Parameters'!$C$3)^'LCOF Baseline'!K$57</f>
        <v>83976004.245567814</v>
      </c>
      <c r="L59">
        <f>L58/(1+'Study Parameters'!$C$3)^'LCOF Baseline'!L$57</f>
        <v>110179103.65256476</v>
      </c>
      <c r="M59">
        <f>M58/(1+'Study Parameters'!$C$3)^'LCOF Baseline'!M$57</f>
        <v>71995888.413552657</v>
      </c>
      <c r="N59">
        <f>N58/(1+'Study Parameters'!$C$3)^'LCOF Baseline'!N$57</f>
        <v>66662859.642178379</v>
      </c>
      <c r="O59">
        <f>O58/(1+'Study Parameters'!$C$3)^'LCOF Baseline'!O$57</f>
        <v>61724870.039054058</v>
      </c>
      <c r="P59">
        <f>P58/(1+'Study Parameters'!$C$3)^'LCOF Baseline'!P$57</f>
        <v>57152657.443568558</v>
      </c>
      <c r="Q59">
        <f>Q58/(1+'Study Parameters'!$C$3)^'LCOF Baseline'!Q$57</f>
        <v>52919127.262563474</v>
      </c>
      <c r="R59">
        <f>R58/(1+'Study Parameters'!$C$3)^'LCOF Baseline'!R$57</f>
        <v>48999191.909781002</v>
      </c>
      <c r="S59">
        <f>S58/(1+'Study Parameters'!$C$3)^'LCOF Baseline'!S$57</f>
        <v>45369622.138686106</v>
      </c>
      <c r="T59">
        <f>T58/(1+'Study Parameters'!$C$3)^'LCOF Baseline'!T$57</f>
        <v>42008909.38767232</v>
      </c>
      <c r="U59">
        <f>U58/(1+'Study Parameters'!$C$3)^'LCOF Baseline'!U$57</f>
        <v>38897138.321918808</v>
      </c>
      <c r="V59">
        <f>V58/(1+'Study Parameters'!$C$3)^'LCOF Baseline'!V$57</f>
        <v>51034243.33487545</v>
      </c>
      <c r="W59">
        <f>W58/(1+'Study Parameters'!$C$3)^'LCOF Baseline'!W$57</f>
        <v>33348026.682029158</v>
      </c>
      <c r="X59">
        <f>X58/(1+'Study Parameters'!$C$3)^'LCOF Baseline'!X$57</f>
        <v>30877802.483360328</v>
      </c>
      <c r="Y59">
        <f>Y58/(1+'Study Parameters'!$C$3)^'LCOF Baseline'!Y$57</f>
        <v>28590557.854963265</v>
      </c>
      <c r="Z59">
        <f>Z58/(1+'Study Parameters'!$C$3)^'LCOF Baseline'!Z$57</f>
        <v>26472738.754595615</v>
      </c>
      <c r="AA59">
        <f>AA58/(1+'Study Parameters'!$C$3)^'LCOF Baseline'!AA$57</f>
        <v>24511795.143144086</v>
      </c>
      <c r="AB59">
        <f>AB58/(1+'Study Parameters'!$C$3)^'LCOF Baseline'!AB$57</f>
        <v>22696106.614022303</v>
      </c>
      <c r="AC59">
        <f>AC58/(1+'Study Parameters'!$C$3)^'LCOF Baseline'!AC$57</f>
        <v>21014913.531502131</v>
      </c>
      <c r="AD59">
        <f>AD58/(1+'Study Parameters'!$C$3)^'LCOF Baseline'!AD$57</f>
        <v>19458253.269909382</v>
      </c>
      <c r="AE59">
        <f>AE58/(1+'Study Parameters'!$C$3)^'LCOF Baseline'!AE$57</f>
        <v>18016901.175842017</v>
      </c>
      <c r="AF59">
        <f>AF58/(1+'Study Parameters'!$C$3)^'LCOF Baseline'!AF$57</f>
        <v>16682315.903557424</v>
      </c>
    </row>
    <row r="60" spans="1:32" x14ac:dyDescent="0.25">
      <c r="A60" t="s">
        <v>155</v>
      </c>
      <c r="B60">
        <v>0</v>
      </c>
      <c r="C60">
        <f>'Study Parameters'!$C$42 * 10^6</f>
        <v>122000000</v>
      </c>
      <c r="D60">
        <f>'Study Parameters'!$C$42 * 10^6</f>
        <v>122000000</v>
      </c>
      <c r="E60">
        <f>'Study Parameters'!$C$42 * 10^6</f>
        <v>122000000</v>
      </c>
      <c r="F60">
        <f>'Study Parameters'!$C$42 * 10^6</f>
        <v>122000000</v>
      </c>
      <c r="G60">
        <f>'Study Parameters'!$C$42 * 10^6</f>
        <v>122000000</v>
      </c>
      <c r="H60">
        <f>'Study Parameters'!$C$42 * 10^6</f>
        <v>122000000</v>
      </c>
      <c r="I60">
        <f>'Study Parameters'!$C$42 * 10^6</f>
        <v>122000000</v>
      </c>
      <c r="J60">
        <f>'Study Parameters'!$C$42 * 10^6</f>
        <v>122000000</v>
      </c>
      <c r="K60">
        <f>'Study Parameters'!$C$42 * 10^6</f>
        <v>122000000</v>
      </c>
      <c r="L60">
        <f>'Study Parameters'!$C$42 * 10^6</f>
        <v>122000000</v>
      </c>
      <c r="M60">
        <f>'Study Parameters'!$C$42 * 10^6</f>
        <v>122000000</v>
      </c>
      <c r="N60">
        <f>'Study Parameters'!$C$42 * 10^6</f>
        <v>122000000</v>
      </c>
      <c r="O60">
        <f>'Study Parameters'!$C$42 * 10^6</f>
        <v>122000000</v>
      </c>
      <c r="P60">
        <f>'Study Parameters'!$C$42 * 10^6</f>
        <v>122000000</v>
      </c>
      <c r="Q60">
        <f>'Study Parameters'!$C$42 * 10^6</f>
        <v>122000000</v>
      </c>
      <c r="R60">
        <f>'Study Parameters'!$C$42 * 10^6</f>
        <v>122000000</v>
      </c>
      <c r="S60">
        <f>'Study Parameters'!$C$42 * 10^6</f>
        <v>122000000</v>
      </c>
      <c r="T60">
        <f>'Study Parameters'!$C$42 * 10^6</f>
        <v>122000000</v>
      </c>
      <c r="U60">
        <f>'Study Parameters'!$C$42 * 10^6</f>
        <v>122000000</v>
      </c>
      <c r="V60">
        <f>'Study Parameters'!$C$42 * 10^6</f>
        <v>122000000</v>
      </c>
      <c r="W60">
        <f>'Study Parameters'!$C$42 * 10^6</f>
        <v>122000000</v>
      </c>
      <c r="X60">
        <f>'Study Parameters'!$C$42 * 10^6</f>
        <v>122000000</v>
      </c>
      <c r="Y60">
        <f>'Study Parameters'!$C$42 * 10^6</f>
        <v>122000000</v>
      </c>
      <c r="Z60">
        <f>'Study Parameters'!$C$42 * 10^6</f>
        <v>122000000</v>
      </c>
      <c r="AA60">
        <f>'Study Parameters'!$C$42 * 10^6</f>
        <v>122000000</v>
      </c>
      <c r="AB60">
        <f>'Study Parameters'!$C$42 * 10^6</f>
        <v>122000000</v>
      </c>
      <c r="AC60">
        <f>'Study Parameters'!$C$42 * 10^6</f>
        <v>122000000</v>
      </c>
      <c r="AD60">
        <f>'Study Parameters'!$C$42 * 10^6</f>
        <v>122000000</v>
      </c>
      <c r="AE60">
        <f>'Study Parameters'!$C$42 * 10^6</f>
        <v>122000000</v>
      </c>
      <c r="AF60">
        <f>'Study Parameters'!$C$42 * 10^6</f>
        <v>122000000</v>
      </c>
    </row>
    <row r="61" spans="1:32" x14ac:dyDescent="0.25">
      <c r="A61" t="s">
        <v>156</v>
      </c>
      <c r="B61">
        <v>0</v>
      </c>
      <c r="C61">
        <f>C60/(1+'Study Parameters'!$C$3)^'LCOF Baseline'!C$57</f>
        <v>112962962.96296296</v>
      </c>
      <c r="D61">
        <f>D60/(1+'Study Parameters'!$C$3)^'LCOF Baseline'!D$57</f>
        <v>104595336.07681754</v>
      </c>
      <c r="E61">
        <f>E60/(1+'Study Parameters'!$C$3)^'LCOF Baseline'!E$57</f>
        <v>96847533.404460683</v>
      </c>
      <c r="F61">
        <f>F60/(1+'Study Parameters'!$C$3)^'LCOF Baseline'!F$57</f>
        <v>89673642.041167304</v>
      </c>
      <c r="G61">
        <f>G60/(1+'Study Parameters'!$C$3)^'LCOF Baseline'!G$57</f>
        <v>83031150.038117871</v>
      </c>
      <c r="H61">
        <f>H60/(1+'Study Parameters'!$C$3)^'LCOF Baseline'!H$57</f>
        <v>76880694.479738757</v>
      </c>
      <c r="I61">
        <f>I60/(1+'Study Parameters'!$C$3)^'LCOF Baseline'!I$57</f>
        <v>71185828.221980333</v>
      </c>
      <c r="J61">
        <f>J60/(1+'Study Parameters'!$C$3)^'LCOF Baseline'!J$57</f>
        <v>65912803.909241043</v>
      </c>
      <c r="K61">
        <f>K60/(1+'Study Parameters'!$C$3)^'LCOF Baseline'!K$57</f>
        <v>61030373.990038</v>
      </c>
      <c r="L61">
        <f>L60/(1+'Study Parameters'!$C$3)^'LCOF Baseline'!L$57</f>
        <v>56509605.54633148</v>
      </c>
      <c r="M61">
        <f>M60/(1+'Study Parameters'!$C$3)^'LCOF Baseline'!M$57</f>
        <v>52323708.839195818</v>
      </c>
      <c r="N61">
        <f>N60/(1+'Study Parameters'!$C$3)^'LCOF Baseline'!N$57</f>
        <v>48447878.554810934</v>
      </c>
      <c r="O61">
        <f>O60/(1+'Study Parameters'!$C$3)^'LCOF Baseline'!O$57</f>
        <v>44859146.810010128</v>
      </c>
      <c r="P61">
        <f>P60/(1+'Study Parameters'!$C$3)^'LCOF Baseline'!P$57</f>
        <v>41536247.046305664</v>
      </c>
      <c r="Q61">
        <f>Q60/(1+'Study Parameters'!$C$3)^'LCOF Baseline'!Q$57</f>
        <v>38459488.005838573</v>
      </c>
      <c r="R61">
        <f>R60/(1+'Study Parameters'!$C$3)^'LCOF Baseline'!R$57</f>
        <v>35610637.042443126</v>
      </c>
      <c r="S61">
        <f>S60/(1+'Study Parameters'!$C$3)^'LCOF Baseline'!S$57</f>
        <v>32972812.076336227</v>
      </c>
      <c r="T61">
        <f>T60/(1+'Study Parameters'!$C$3)^'LCOF Baseline'!T$57</f>
        <v>30530381.552163169</v>
      </c>
      <c r="U61">
        <f>U60/(1+'Study Parameters'!$C$3)^'LCOF Baseline'!U$57</f>
        <v>28268871.807558488</v>
      </c>
      <c r="V61">
        <f>V60/(1+'Study Parameters'!$C$3)^'LCOF Baseline'!V$57</f>
        <v>26174881.303294897</v>
      </c>
      <c r="W61">
        <f>W60/(1+'Study Parameters'!$C$3)^'LCOF Baseline'!W$57</f>
        <v>24236001.206754535</v>
      </c>
      <c r="X61">
        <f>X60/(1+'Study Parameters'!$C$3)^'LCOF Baseline'!X$57</f>
        <v>22440741.858106047</v>
      </c>
      <c r="Y61">
        <f>Y60/(1+'Study Parameters'!$C$3)^'LCOF Baseline'!Y$57</f>
        <v>20778464.683431525</v>
      </c>
      <c r="Z61">
        <f>Z60/(1+'Study Parameters'!$C$3)^'LCOF Baseline'!Z$57</f>
        <v>19239319.151325487</v>
      </c>
      <c r="AA61">
        <f>AA60/(1+'Study Parameters'!$C$3)^'LCOF Baseline'!AA$57</f>
        <v>17814184.399375446</v>
      </c>
      <c r="AB61">
        <f>AB60/(1+'Study Parameters'!$C$3)^'LCOF Baseline'!AB$57</f>
        <v>16494615.184606897</v>
      </c>
      <c r="AC61">
        <f>AC60/(1+'Study Parameters'!$C$3)^'LCOF Baseline'!AC$57</f>
        <v>15272791.837598978</v>
      </c>
      <c r="AD61">
        <f>AD60/(1+'Study Parameters'!$C$3)^'LCOF Baseline'!AD$57</f>
        <v>14141473.923702758</v>
      </c>
      <c r="AE61">
        <f>AE60/(1+'Study Parameters'!$C$3)^'LCOF Baseline'!AE$57</f>
        <v>13093957.336761812</v>
      </c>
      <c r="AF61">
        <f>AF60/(1+'Study Parameters'!$C$3)^'LCOF Baseline'!AF$57</f>
        <v>12124034.571075751</v>
      </c>
    </row>
    <row r="62" spans="1:32" x14ac:dyDescent="0.25">
      <c r="A62" t="s">
        <v>157</v>
      </c>
      <c r="B62">
        <v>0</v>
      </c>
      <c r="C62">
        <f>'Study Parameters'!$C$9</f>
        <v>157410000</v>
      </c>
      <c r="D62">
        <f>'Study Parameters'!$C$9</f>
        <v>157410000</v>
      </c>
      <c r="E62">
        <f>'Study Parameters'!$C$9</f>
        <v>157410000</v>
      </c>
      <c r="F62">
        <f>'Study Parameters'!$C$9</f>
        <v>157410000</v>
      </c>
      <c r="G62">
        <f>'Study Parameters'!$C$9</f>
        <v>157410000</v>
      </c>
      <c r="H62">
        <f>'Study Parameters'!$C$9</f>
        <v>157410000</v>
      </c>
      <c r="I62">
        <f>'Study Parameters'!$C$9</f>
        <v>157410000</v>
      </c>
      <c r="J62">
        <f>'Study Parameters'!$C$9</f>
        <v>157410000</v>
      </c>
      <c r="K62">
        <f>'Study Parameters'!$C$9</f>
        <v>157410000</v>
      </c>
      <c r="L62">
        <f>'Study Parameters'!$C$9</f>
        <v>157410000</v>
      </c>
      <c r="M62">
        <f>'Study Parameters'!$C$9</f>
        <v>157410000</v>
      </c>
      <c r="N62">
        <f>'Study Parameters'!$C$9</f>
        <v>157410000</v>
      </c>
      <c r="O62">
        <f>'Study Parameters'!$C$9</f>
        <v>157410000</v>
      </c>
      <c r="P62">
        <f>'Study Parameters'!$C$9</f>
        <v>157410000</v>
      </c>
      <c r="Q62">
        <f>'Study Parameters'!$C$9</f>
        <v>157410000</v>
      </c>
      <c r="R62">
        <f>'Study Parameters'!$C$9</f>
        <v>157410000</v>
      </c>
      <c r="S62">
        <f>'Study Parameters'!$C$9</f>
        <v>157410000</v>
      </c>
      <c r="T62">
        <f>'Study Parameters'!$C$9</f>
        <v>157410000</v>
      </c>
      <c r="U62">
        <f>'Study Parameters'!$C$9</f>
        <v>157410000</v>
      </c>
      <c r="V62">
        <f>'Study Parameters'!$C$9</f>
        <v>157410000</v>
      </c>
      <c r="W62">
        <f>'Study Parameters'!$C$9</f>
        <v>157410000</v>
      </c>
      <c r="X62">
        <f>'Study Parameters'!$C$9</f>
        <v>157410000</v>
      </c>
      <c r="Y62">
        <f>'Study Parameters'!$C$9</f>
        <v>157410000</v>
      </c>
      <c r="Z62">
        <f>'Study Parameters'!$C$9</f>
        <v>157410000</v>
      </c>
      <c r="AA62">
        <f>'Study Parameters'!$C$9</f>
        <v>157410000</v>
      </c>
      <c r="AB62">
        <f>'Study Parameters'!$C$9</f>
        <v>157410000</v>
      </c>
      <c r="AC62">
        <f>'Study Parameters'!$C$9</f>
        <v>157410000</v>
      </c>
      <c r="AD62">
        <f>'Study Parameters'!$C$9</f>
        <v>157410000</v>
      </c>
      <c r="AE62">
        <f>'Study Parameters'!$C$9</f>
        <v>157410000</v>
      </c>
      <c r="AF62">
        <f>'Study Parameters'!$C$9</f>
        <v>157410000</v>
      </c>
    </row>
    <row r="63" spans="1:32" x14ac:dyDescent="0.25">
      <c r="A63" t="s">
        <v>158</v>
      </c>
      <c r="B63">
        <v>0</v>
      </c>
      <c r="C63">
        <f>C62/(1+'Study Parameters'!$C$3)^'LCOF Baseline'!C$57</f>
        <v>145750000</v>
      </c>
      <c r="D63">
        <f>D62/(1+'Study Parameters'!$C$3)^'LCOF Baseline'!D$57</f>
        <v>134953703.7037037</v>
      </c>
      <c r="E63">
        <f>E62/(1+'Study Parameters'!$C$3)^'LCOF Baseline'!E$57</f>
        <v>124957133.05898489</v>
      </c>
      <c r="F63">
        <f>F62/(1+'Study Parameters'!$C$3)^'LCOF Baseline'!F$57</f>
        <v>115701049.12868971</v>
      </c>
      <c r="G63">
        <f>G62/(1+'Study Parameters'!$C$3)^'LCOF Baseline'!G$57</f>
        <v>107130601.04508306</v>
      </c>
      <c r="H63">
        <f>H62/(1+'Study Parameters'!$C$3)^'LCOF Baseline'!H$57</f>
        <v>99195000.967669487</v>
      </c>
      <c r="I63">
        <f>I62/(1+'Study Parameters'!$C$3)^'LCOF Baseline'!I$57</f>
        <v>91847223.118212491</v>
      </c>
      <c r="J63">
        <f>J62/(1+'Study Parameters'!$C$3)^'LCOF Baseline'!J$57</f>
        <v>85043725.109456003</v>
      </c>
      <c r="K63">
        <f>K62/(1+'Study Parameters'!$C$3)^'LCOF Baseline'!K$57</f>
        <v>78744189.916162968</v>
      </c>
      <c r="L63">
        <f>L62/(1+'Study Parameters'!$C$3)^'LCOF Baseline'!L$57</f>
        <v>72911286.959410146</v>
      </c>
      <c r="M63">
        <f>M62/(1+'Study Parameters'!$C$3)^'LCOF Baseline'!M$57</f>
        <v>67510450.888342723</v>
      </c>
      <c r="N63">
        <f>N62/(1+'Study Parameters'!$C$3)^'LCOF Baseline'!N$57</f>
        <v>62509676.748465486</v>
      </c>
      <c r="O63">
        <f>O62/(1+'Study Parameters'!$C$3)^'LCOF Baseline'!O$57</f>
        <v>57879330.322653227</v>
      </c>
      <c r="P63">
        <f>P62/(1+'Study Parameters'!$C$3)^'LCOF Baseline'!P$57</f>
        <v>53591972.520975202</v>
      </c>
      <c r="Q63">
        <f>Q62/(1+'Study Parameters'!$C$3)^'LCOF Baseline'!Q$57</f>
        <v>49622196.778680742</v>
      </c>
      <c r="R63">
        <f>R62/(1+'Study Parameters'!$C$3)^'LCOF Baseline'!R$57</f>
        <v>45946478.498778462</v>
      </c>
      <c r="S63">
        <f>S62/(1+'Study Parameters'!$C$3)^'LCOF Baseline'!S$57</f>
        <v>42543035.647017092</v>
      </c>
      <c r="T63">
        <f>T62/(1+'Study Parameters'!$C$3)^'LCOF Baseline'!T$57</f>
        <v>39391699.673163973</v>
      </c>
      <c r="U63">
        <f>U62/(1+'Study Parameters'!$C$3)^'LCOF Baseline'!U$57</f>
        <v>36473795.993670344</v>
      </c>
      <c r="V63">
        <f>V62/(1+'Study Parameters'!$C$3)^'LCOF Baseline'!V$57</f>
        <v>33772033.327472538</v>
      </c>
      <c r="W63">
        <f>W62/(1+'Study Parameters'!$C$3)^'LCOF Baseline'!W$57</f>
        <v>31270401.229141239</v>
      </c>
      <c r="X63">
        <f>X62/(1+'Study Parameters'!$C$3)^'LCOF Baseline'!X$57</f>
        <v>28954075.212167811</v>
      </c>
      <c r="Y63">
        <f>Y62/(1+'Study Parameters'!$C$3)^'LCOF Baseline'!Y$57</f>
        <v>26809328.90015538</v>
      </c>
      <c r="Z63">
        <f>Z62/(1+'Study Parameters'!$C$3)^'LCOF Baseline'!Z$57</f>
        <v>24823452.685329054</v>
      </c>
      <c r="AA63">
        <f>AA62/(1+'Study Parameters'!$C$3)^'LCOF Baseline'!AA$57</f>
        <v>22984678.412341714</v>
      </c>
      <c r="AB63">
        <f>AB62/(1+'Study Parameters'!$C$3)^'LCOF Baseline'!AB$57</f>
        <v>21282109.641057145</v>
      </c>
      <c r="AC63">
        <f>AC62/(1+'Study Parameters'!$C$3)^'LCOF Baseline'!AC$57</f>
        <v>19705657.07505291</v>
      </c>
      <c r="AD63">
        <f>AD62/(1+'Study Parameters'!$C$3)^'LCOF Baseline'!AD$57</f>
        <v>18245978.773197141</v>
      </c>
      <c r="AE63">
        <f>AE62/(1+'Study Parameters'!$C$3)^'LCOF Baseline'!AE$57</f>
        <v>16894424.78999735</v>
      </c>
      <c r="AF63">
        <f>AF62/(1+'Study Parameters'!$C$3)^'LCOF Baseline'!AF$57</f>
        <v>15642985.916664211</v>
      </c>
    </row>
    <row r="65" spans="1:2" x14ac:dyDescent="0.25">
      <c r="A65" t="s">
        <v>159</v>
      </c>
      <c r="B65">
        <f>(SUM(B59:AF59) - SUM(B61:AF61)) / SUM(B63:AF63)</f>
        <v>2.1502182907353653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65"/>
  <sheetViews>
    <sheetView workbookViewId="0">
      <selection activeCell="C8" sqref="C8"/>
    </sheetView>
  </sheetViews>
  <sheetFormatPr defaultColWidth="11.25" defaultRowHeight="15.75" x14ac:dyDescent="0.25"/>
  <cols>
    <col min="1" max="1" width="22.25" bestFit="1" customWidth="1"/>
    <col min="2" max="3" width="12.25" bestFit="1" customWidth="1"/>
    <col min="9" max="9" width="11.25" bestFit="1" customWidth="1"/>
    <col min="12" max="12" width="12.25" bestFit="1" customWidth="1"/>
    <col min="15" max="15" width="11.25" bestFit="1" customWidth="1"/>
    <col min="21" max="22" width="11.25" bestFit="1" customWidth="1"/>
    <col min="27" max="27" width="11.25" bestFit="1" customWidth="1"/>
  </cols>
  <sheetData>
    <row r="1" spans="1:32" x14ac:dyDescent="0.25">
      <c r="A1" s="1" t="s">
        <v>3</v>
      </c>
    </row>
    <row r="2" spans="1:32" x14ac:dyDescent="0.25">
      <c r="A2" t="s">
        <v>21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 x14ac:dyDescent="0.25">
      <c r="A3" t="s">
        <v>110</v>
      </c>
      <c r="B3">
        <f>'Cost Components'!B23*10^6</f>
        <v>1100000000</v>
      </c>
      <c r="C3">
        <f>'Cost Components'!$B$26 * 10^6</f>
        <v>1856261016.9491527</v>
      </c>
      <c r="D3">
        <f>'Cost Components'!$B$26 * 10^6</f>
        <v>1856261016.9491527</v>
      </c>
      <c r="E3">
        <f>'Cost Components'!$B$26 * 10^6</f>
        <v>1856261016.9491527</v>
      </c>
      <c r="F3">
        <f>'Cost Components'!$B$26 * 10^6</f>
        <v>1856261016.9491527</v>
      </c>
      <c r="G3">
        <f>'Cost Components'!$B$26 * 10^6</f>
        <v>1856261016.9491527</v>
      </c>
      <c r="H3">
        <f>'Cost Components'!$B$26 * 10^6</f>
        <v>1856261016.9491527</v>
      </c>
      <c r="I3">
        <f>'Cost Components'!$B$26 * 10^6</f>
        <v>1856261016.9491527</v>
      </c>
      <c r="J3">
        <f>'Cost Components'!$B$26 * 10^6</f>
        <v>1856261016.9491527</v>
      </c>
      <c r="K3">
        <f>'Cost Components'!$B$26 * 10^6</f>
        <v>1856261016.9491527</v>
      </c>
      <c r="L3">
        <f>'Cost Components'!$B$26 * 10^6 + 'Cost Components'!$B$7*10^6</f>
        <v>2033261016.9491527</v>
      </c>
      <c r="M3">
        <f>'Cost Components'!$B$26 * 10^6</f>
        <v>1856261016.9491527</v>
      </c>
      <c r="N3">
        <f>'Cost Components'!$B$26 * 10^6</f>
        <v>1856261016.9491527</v>
      </c>
      <c r="O3">
        <f>'Cost Components'!$B$26 * 10^6</f>
        <v>1856261016.9491527</v>
      </c>
      <c r="P3">
        <f>'Cost Components'!$B$26 * 10^6</f>
        <v>1856261016.9491527</v>
      </c>
      <c r="Q3">
        <f>'Cost Components'!$B$26 * 10^6</f>
        <v>1856261016.9491527</v>
      </c>
      <c r="R3">
        <f>'Cost Components'!$B$26 * 10^6</f>
        <v>1856261016.9491527</v>
      </c>
      <c r="S3">
        <f>'Cost Components'!$B$26 * 10^6</f>
        <v>1856261016.9491527</v>
      </c>
      <c r="T3">
        <f>'Cost Components'!$B$26 * 10^6</f>
        <v>1856261016.9491527</v>
      </c>
      <c r="U3">
        <f>'Cost Components'!$B$26 * 10^6</f>
        <v>1856261016.9491527</v>
      </c>
      <c r="V3">
        <f>'Cost Components'!$B$26 * 10^6 + 'Cost Components'!$B$7*10^6</f>
        <v>2033261016.9491527</v>
      </c>
      <c r="W3">
        <f>'Cost Components'!$B$26 * 10^6</f>
        <v>1856261016.9491527</v>
      </c>
      <c r="X3">
        <f>'Cost Components'!$B$26 * 10^6</f>
        <v>1856261016.9491527</v>
      </c>
      <c r="Y3">
        <f>'Cost Components'!$B$26 * 10^6</f>
        <v>1856261016.9491527</v>
      </c>
      <c r="Z3">
        <f>'Cost Components'!$B$26 * 10^6</f>
        <v>1856261016.9491527</v>
      </c>
      <c r="AA3">
        <f>'Cost Components'!$B$26 * 10^6</f>
        <v>1856261016.9491527</v>
      </c>
      <c r="AB3">
        <f>'Cost Components'!$B$26 * 10^6</f>
        <v>1856261016.9491527</v>
      </c>
      <c r="AC3">
        <f>'Cost Components'!$B$26 * 10^6</f>
        <v>1856261016.9491527</v>
      </c>
      <c r="AD3">
        <f>'Cost Components'!$B$26 * 10^6</f>
        <v>1856261016.9491527</v>
      </c>
      <c r="AE3">
        <f>'Cost Components'!$B$26 * 10^6</f>
        <v>1856261016.9491527</v>
      </c>
      <c r="AF3">
        <f>'Cost Components'!$B$26 * 10^6</f>
        <v>1856261016.9491527</v>
      </c>
    </row>
    <row r="4" spans="1:32" x14ac:dyDescent="0.25">
      <c r="A4" t="s">
        <v>111</v>
      </c>
      <c r="B4">
        <f>B3/(1+'Study Parameters'!$C$3) ^ 'LCOF Baseline'!B2</f>
        <v>1100000000</v>
      </c>
      <c r="C4">
        <f>C3/(1+'Study Parameters'!$C$3) ^ 'LCOF Baseline'!C2</f>
        <v>1718760200.878845</v>
      </c>
      <c r="D4">
        <f>D3/(1+'Study Parameters'!$C$3) ^ 'LCOF Baseline'!D2</f>
        <v>1591444630.4433749</v>
      </c>
      <c r="E4">
        <f>E3/(1+'Study Parameters'!$C$3) ^ 'LCOF Baseline'!E2</f>
        <v>1473559843.003125</v>
      </c>
      <c r="F4">
        <f>F3/(1+'Study Parameters'!$C$3) ^ 'LCOF Baseline'!F2</f>
        <v>1364407262.0399303</v>
      </c>
      <c r="G4">
        <f>G3/(1+'Study Parameters'!$C$3) ^ 'LCOF Baseline'!G2</f>
        <v>1263340057.44438</v>
      </c>
      <c r="H4">
        <f>H3/(1+'Study Parameters'!$C$3) ^ 'LCOF Baseline'!H2</f>
        <v>1169759312.4484997</v>
      </c>
      <c r="I4">
        <f>I3/(1+'Study Parameters'!$C$3) ^ 'LCOF Baseline'!I2</f>
        <v>1083110474.4893515</v>
      </c>
      <c r="J4">
        <f>J3/(1+'Study Parameters'!$C$3) ^ 'LCOF Baseline'!J2</f>
        <v>1002880068.9716219</v>
      </c>
      <c r="K4">
        <f>K3/(1+'Study Parameters'!$C$3) ^ 'LCOF Baseline'!K2</f>
        <v>928592656.45520532</v>
      </c>
      <c r="L4">
        <f>L3/(1+'Study Parameters'!$C$3) ^ 'LCOF Baseline'!L2</f>
        <v>941793262.62729037</v>
      </c>
      <c r="M4">
        <f>M3/(1+'Study Parameters'!$C$3) ^ 'LCOF Baseline'!M2</f>
        <v>796118532.62620485</v>
      </c>
      <c r="N4">
        <f>N3/(1+'Study Parameters'!$C$3) ^ 'LCOF Baseline'!N2</f>
        <v>737146789.46870816</v>
      </c>
      <c r="O4">
        <f>O3/(1+'Study Parameters'!$C$3) ^ 'LCOF Baseline'!O2</f>
        <v>682543323.58213723</v>
      </c>
      <c r="P4">
        <f>P3/(1+'Study Parameters'!$C$3) ^ 'LCOF Baseline'!P2</f>
        <v>631984558.87234914</v>
      </c>
      <c r="Q4">
        <f>Q3/(1+'Study Parameters'!$C$3) ^ 'LCOF Baseline'!Q2</f>
        <v>585170887.84476769</v>
      </c>
      <c r="R4">
        <f>R3/(1+'Study Parameters'!$C$3) ^ 'LCOF Baseline'!R2</f>
        <v>541824896.15256262</v>
      </c>
      <c r="S4">
        <f>S3/(1+'Study Parameters'!$C$3) ^ 'LCOF Baseline'!S2</f>
        <v>501689718.6597802</v>
      </c>
      <c r="T4">
        <f>T3/(1+'Study Parameters'!$C$3) ^ 'LCOF Baseline'!T2</f>
        <v>464527517.27757424</v>
      </c>
      <c r="U4">
        <f>U3/(1+'Study Parameters'!$C$3) ^ 'LCOF Baseline'!U2</f>
        <v>430118071.55330944</v>
      </c>
      <c r="V4">
        <f>V3/(1+'Study Parameters'!$C$3) ^ 'LCOF Baseline'!V2</f>
        <v>436232506.37098974</v>
      </c>
      <c r="W4">
        <f>W3/(1+'Study Parameters'!$C$3) ^ 'LCOF Baseline'!W2</f>
        <v>368756920.05599231</v>
      </c>
      <c r="X4">
        <f>X3/(1+'Study Parameters'!$C$3) ^ 'LCOF Baseline'!X2</f>
        <v>341441592.64443731</v>
      </c>
      <c r="Y4">
        <f>Y3/(1+'Study Parameters'!$C$3) ^ 'LCOF Baseline'!Y2</f>
        <v>316149622.81892341</v>
      </c>
      <c r="Z4">
        <f>Z3/(1+'Study Parameters'!$C$3) ^ 'LCOF Baseline'!Z2</f>
        <v>292731132.23974389</v>
      </c>
      <c r="AA4">
        <f>AA3/(1+'Study Parameters'!$C$3) ^ 'LCOF Baseline'!AA2</f>
        <v>271047344.66642952</v>
      </c>
      <c r="AB4">
        <f>AB3/(1+'Study Parameters'!$C$3) ^ 'LCOF Baseline'!AB2</f>
        <v>250969763.58002734</v>
      </c>
      <c r="AC4">
        <f>AC3/(1+'Study Parameters'!$C$3) ^ 'LCOF Baseline'!AC2</f>
        <v>232379410.72224751</v>
      </c>
      <c r="AD4">
        <f>AD3/(1+'Study Parameters'!$C$3) ^ 'LCOF Baseline'!AD2</f>
        <v>215166121.03911808</v>
      </c>
      <c r="AE4">
        <f>AE3/(1+'Study Parameters'!$C$3) ^ 'LCOF Baseline'!AE2</f>
        <v>199227889.85103524</v>
      </c>
      <c r="AF4">
        <f>AF3/(1+'Study Parameters'!$C$3) ^ 'LCOF Baseline'!AF2</f>
        <v>184470268.38058817</v>
      </c>
    </row>
    <row r="5" spans="1:32" x14ac:dyDescent="0.25">
      <c r="A5" t="s">
        <v>155</v>
      </c>
      <c r="B5">
        <v>0</v>
      </c>
      <c r="C5">
        <f>'Study Parameters'!$C$42*10^6</f>
        <v>122000000</v>
      </c>
      <c r="D5">
        <f>'Study Parameters'!$C$42*10^6</f>
        <v>122000000</v>
      </c>
      <c r="E5">
        <f>'Study Parameters'!$C$42*10^6</f>
        <v>122000000</v>
      </c>
      <c r="F5">
        <f>'Study Parameters'!$C$42*10^6</f>
        <v>122000000</v>
      </c>
      <c r="G5">
        <f>'Study Parameters'!$C$42*10^6</f>
        <v>122000000</v>
      </c>
      <c r="H5">
        <f>'Study Parameters'!$C$42*10^6</f>
        <v>122000000</v>
      </c>
      <c r="I5">
        <f>'Study Parameters'!$C$42*10^6</f>
        <v>122000000</v>
      </c>
      <c r="J5">
        <f>'Study Parameters'!$C$42*10^6</f>
        <v>122000000</v>
      </c>
      <c r="K5">
        <f>'Study Parameters'!$C$42*10^6</f>
        <v>122000000</v>
      </c>
      <c r="L5">
        <f>'Study Parameters'!$C$42*10^6</f>
        <v>122000000</v>
      </c>
      <c r="M5">
        <f>'Study Parameters'!$C$42*10^6</f>
        <v>122000000</v>
      </c>
      <c r="N5">
        <f>'Study Parameters'!$C$42*10^6</f>
        <v>122000000</v>
      </c>
      <c r="O5">
        <f>'Study Parameters'!$C$42*10^6</f>
        <v>122000000</v>
      </c>
      <c r="P5">
        <f>'Study Parameters'!$C$42*10^6</f>
        <v>122000000</v>
      </c>
      <c r="Q5">
        <f>'Study Parameters'!$C$42*10^6</f>
        <v>122000000</v>
      </c>
      <c r="R5">
        <f>'Study Parameters'!$C$42*10^6</f>
        <v>122000000</v>
      </c>
      <c r="S5">
        <f>'Study Parameters'!$C$42*10^6</f>
        <v>122000000</v>
      </c>
      <c r="T5">
        <f>'Study Parameters'!$C$42*10^6</f>
        <v>122000000</v>
      </c>
      <c r="U5">
        <f>'Study Parameters'!$C$42*10^6</f>
        <v>122000000</v>
      </c>
      <c r="V5">
        <f>'Study Parameters'!$C$42*10^6</f>
        <v>122000000</v>
      </c>
      <c r="W5">
        <f>'Study Parameters'!$C$42*10^6</f>
        <v>122000000</v>
      </c>
      <c r="X5">
        <f>'Study Parameters'!$C$42*10^6</f>
        <v>122000000</v>
      </c>
      <c r="Y5">
        <f>'Study Parameters'!$C$42*10^6</f>
        <v>122000000</v>
      </c>
      <c r="Z5">
        <f>'Study Parameters'!$C$42*10^6</f>
        <v>122000000</v>
      </c>
      <c r="AA5">
        <f>'Study Parameters'!$C$42*10^6</f>
        <v>122000000</v>
      </c>
      <c r="AB5">
        <f>'Study Parameters'!$C$42*10^6</f>
        <v>122000000</v>
      </c>
      <c r="AC5">
        <f>'Study Parameters'!$C$42*10^6</f>
        <v>122000000</v>
      </c>
      <c r="AD5">
        <f>'Study Parameters'!$C$42*10^6</f>
        <v>122000000</v>
      </c>
      <c r="AE5">
        <f>'Study Parameters'!$C$42*10^6</f>
        <v>122000000</v>
      </c>
      <c r="AF5">
        <f>'Study Parameters'!$C$42*10^6</f>
        <v>122000000</v>
      </c>
    </row>
    <row r="6" spans="1:32" x14ac:dyDescent="0.25">
      <c r="A6" t="s">
        <v>156</v>
      </c>
      <c r="B6">
        <v>0</v>
      </c>
      <c r="C6">
        <f>C5/(1+'Study Parameters'!$C$3) ^'LCOF Baseline'!C2</f>
        <v>112962962.96296296</v>
      </c>
      <c r="D6">
        <f>D5/(1+'Study Parameters'!$C$3) ^'LCOF Baseline'!D2</f>
        <v>104595336.07681754</v>
      </c>
      <c r="E6">
        <f>E5/(1+'Study Parameters'!$C$3) ^'LCOF Baseline'!E2</f>
        <v>96847533.404460683</v>
      </c>
      <c r="F6">
        <f>F5/(1+'Study Parameters'!$C$3) ^'LCOF Baseline'!F2</f>
        <v>89673642.041167304</v>
      </c>
      <c r="G6">
        <f>G5/(1+'Study Parameters'!$C$3) ^'LCOF Baseline'!G2</f>
        <v>83031150.038117871</v>
      </c>
      <c r="H6">
        <f>H5/(1+'Study Parameters'!$C$3) ^'LCOF Baseline'!H2</f>
        <v>76880694.479738757</v>
      </c>
      <c r="I6">
        <f>I5/(1+'Study Parameters'!$C$3) ^'LCOF Baseline'!I2</f>
        <v>71185828.221980333</v>
      </c>
      <c r="J6">
        <f>J5/(1+'Study Parameters'!$C$3) ^'LCOF Baseline'!J2</f>
        <v>65912803.909241043</v>
      </c>
      <c r="K6">
        <f>K5/(1+'Study Parameters'!$C$3) ^'LCOF Baseline'!K2</f>
        <v>61030373.990038</v>
      </c>
      <c r="L6">
        <f>L5/(1+'Study Parameters'!$C$3) ^'LCOF Baseline'!L2</f>
        <v>56509605.54633148</v>
      </c>
      <c r="M6">
        <f>M5/(1+'Study Parameters'!$C$3) ^'LCOF Baseline'!M2</f>
        <v>52323708.839195818</v>
      </c>
      <c r="N6">
        <f>N5/(1+'Study Parameters'!$C$3) ^'LCOF Baseline'!N2</f>
        <v>48447878.554810934</v>
      </c>
      <c r="O6">
        <f>O5/(1+'Study Parameters'!$C$3) ^'LCOF Baseline'!O2</f>
        <v>44859146.810010128</v>
      </c>
      <c r="P6">
        <f>P5/(1+'Study Parameters'!$C$3) ^'LCOF Baseline'!P2</f>
        <v>41536247.046305664</v>
      </c>
      <c r="Q6">
        <f>Q5/(1+'Study Parameters'!$C$3) ^'LCOF Baseline'!Q2</f>
        <v>38459488.005838573</v>
      </c>
      <c r="R6">
        <f>R5/(1+'Study Parameters'!$C$3) ^'LCOF Baseline'!R2</f>
        <v>35610637.042443126</v>
      </c>
      <c r="S6">
        <f>S5/(1+'Study Parameters'!$C$3) ^'LCOF Baseline'!S2</f>
        <v>32972812.076336227</v>
      </c>
      <c r="T6">
        <f>T5/(1+'Study Parameters'!$C$3) ^'LCOF Baseline'!T2</f>
        <v>30530381.552163169</v>
      </c>
      <c r="U6">
        <f>U5/(1+'Study Parameters'!$C$3) ^'LCOF Baseline'!U2</f>
        <v>28268871.807558488</v>
      </c>
      <c r="V6">
        <f>V5/(1+'Study Parameters'!$C$3) ^'LCOF Baseline'!V2</f>
        <v>26174881.303294897</v>
      </c>
      <c r="W6">
        <f>W5/(1+'Study Parameters'!$C$3) ^'LCOF Baseline'!W2</f>
        <v>24236001.206754535</v>
      </c>
      <c r="X6">
        <f>X5/(1+'Study Parameters'!$C$3) ^'LCOF Baseline'!X2</f>
        <v>22440741.858106047</v>
      </c>
      <c r="Y6">
        <f>Y5/(1+'Study Parameters'!$C$3) ^'LCOF Baseline'!Y2</f>
        <v>20778464.683431525</v>
      </c>
      <c r="Z6">
        <f>Z5/(1+'Study Parameters'!$C$3) ^'LCOF Baseline'!Z2</f>
        <v>19239319.151325487</v>
      </c>
      <c r="AA6">
        <f>AA5/(1+'Study Parameters'!$C$3) ^'LCOF Baseline'!AA2</f>
        <v>17814184.399375446</v>
      </c>
      <c r="AB6">
        <f>AB5/(1+'Study Parameters'!$C$3) ^'LCOF Baseline'!AB2</f>
        <v>16494615.184606897</v>
      </c>
      <c r="AC6">
        <f>AC5/(1+'Study Parameters'!$C$3) ^'LCOF Baseline'!AC2</f>
        <v>15272791.837598978</v>
      </c>
      <c r="AD6">
        <f>AD5/(1+'Study Parameters'!$C$3) ^'LCOF Baseline'!AD2</f>
        <v>14141473.923702758</v>
      </c>
      <c r="AE6">
        <f>AE5/(1+'Study Parameters'!$C$3) ^'LCOF Baseline'!AE2</f>
        <v>13093957.336761812</v>
      </c>
      <c r="AF6">
        <f>AF5/(1+'Study Parameters'!$C$3) ^'LCOF Baseline'!AF2</f>
        <v>12124034.571075751</v>
      </c>
    </row>
    <row r="7" spans="1:32" x14ac:dyDescent="0.25">
      <c r="A7" t="s">
        <v>157</v>
      </c>
      <c r="B7">
        <v>0</v>
      </c>
      <c r="C7">
        <f>'Study Parameters'!$C$9</f>
        <v>157410000</v>
      </c>
      <c r="D7">
        <f>'Study Parameters'!$C$9</f>
        <v>157410000</v>
      </c>
      <c r="E7">
        <f>'Study Parameters'!$C$9</f>
        <v>157410000</v>
      </c>
      <c r="F7">
        <f>'Study Parameters'!$C$9</f>
        <v>157410000</v>
      </c>
      <c r="G7">
        <f>'Study Parameters'!$C$9</f>
        <v>157410000</v>
      </c>
      <c r="H7">
        <f>'Study Parameters'!$C$9</f>
        <v>157410000</v>
      </c>
      <c r="I7">
        <f>'Study Parameters'!$C$9</f>
        <v>157410000</v>
      </c>
      <c r="J7">
        <f>'Study Parameters'!$C$9</f>
        <v>157410000</v>
      </c>
      <c r="K7">
        <f>'Study Parameters'!$C$9</f>
        <v>157410000</v>
      </c>
      <c r="L7">
        <f>'Study Parameters'!$C$9</f>
        <v>157410000</v>
      </c>
      <c r="M7">
        <f>'Study Parameters'!$C$9</f>
        <v>157410000</v>
      </c>
      <c r="N7">
        <f>'Study Parameters'!$C$9</f>
        <v>157410000</v>
      </c>
      <c r="O7">
        <f>'Study Parameters'!$C$9</f>
        <v>157410000</v>
      </c>
      <c r="P7">
        <f>'Study Parameters'!$C$9</f>
        <v>157410000</v>
      </c>
      <c r="Q7">
        <f>'Study Parameters'!$C$9</f>
        <v>157410000</v>
      </c>
      <c r="R7">
        <f>'Study Parameters'!$C$9</f>
        <v>157410000</v>
      </c>
      <c r="S7">
        <f>'Study Parameters'!$C$9</f>
        <v>157410000</v>
      </c>
      <c r="T7">
        <f>'Study Parameters'!$C$9</f>
        <v>157410000</v>
      </c>
      <c r="U7">
        <f>'Study Parameters'!$C$9</f>
        <v>157410000</v>
      </c>
      <c r="V7">
        <f>'Study Parameters'!$C$9</f>
        <v>157410000</v>
      </c>
      <c r="W7">
        <f>'Study Parameters'!$C$9</f>
        <v>157410000</v>
      </c>
      <c r="X7">
        <f>'Study Parameters'!$C$9</f>
        <v>157410000</v>
      </c>
      <c r="Y7">
        <f>'Study Parameters'!$C$9</f>
        <v>157410000</v>
      </c>
      <c r="Z7">
        <f>'Study Parameters'!$C$9</f>
        <v>157410000</v>
      </c>
      <c r="AA7">
        <f>'Study Parameters'!$C$9</f>
        <v>157410000</v>
      </c>
      <c r="AB7">
        <f>'Study Parameters'!$C$9</f>
        <v>157410000</v>
      </c>
      <c r="AC7">
        <f>'Study Parameters'!$C$9</f>
        <v>157410000</v>
      </c>
      <c r="AD7">
        <f>'Study Parameters'!$C$9</f>
        <v>157410000</v>
      </c>
      <c r="AE7">
        <f>'Study Parameters'!$C$9</f>
        <v>157410000</v>
      </c>
      <c r="AF7">
        <f>'Study Parameters'!$C$9</f>
        <v>157410000</v>
      </c>
    </row>
    <row r="8" spans="1:32" x14ac:dyDescent="0.25">
      <c r="A8" t="s">
        <v>158</v>
      </c>
      <c r="B8">
        <v>0</v>
      </c>
      <c r="C8">
        <f>C7/(1+'Study Parameters'!$C$3) ^ 'LCOF Baseline'!C2</f>
        <v>145750000</v>
      </c>
      <c r="D8">
        <f>D7/(1+'Study Parameters'!$C$3) ^ 'LCOF Baseline'!D2</f>
        <v>134953703.7037037</v>
      </c>
      <c r="E8">
        <f>E7/(1+'Study Parameters'!$C$3) ^ 'LCOF Baseline'!E2</f>
        <v>124957133.05898489</v>
      </c>
      <c r="F8">
        <f>F7/(1+'Study Parameters'!$C$3) ^ 'LCOF Baseline'!F2</f>
        <v>115701049.12868971</v>
      </c>
      <c r="G8">
        <f>G7/(1+'Study Parameters'!$C$3) ^ 'LCOF Baseline'!G2</f>
        <v>107130601.04508306</v>
      </c>
      <c r="H8">
        <f>H7/(1+'Study Parameters'!$C$3) ^ 'LCOF Baseline'!H2</f>
        <v>99195000.967669487</v>
      </c>
      <c r="I8">
        <f>I7/(1+'Study Parameters'!$C$3) ^ 'LCOF Baseline'!I2</f>
        <v>91847223.118212491</v>
      </c>
      <c r="J8">
        <f>J7/(1+'Study Parameters'!$C$3) ^ 'LCOF Baseline'!J2</f>
        <v>85043725.109456003</v>
      </c>
      <c r="K8">
        <f>K7/(1+'Study Parameters'!$C$3) ^ 'LCOF Baseline'!K2</f>
        <v>78744189.916162968</v>
      </c>
      <c r="L8">
        <f>L7/(1+'Study Parameters'!$C$3) ^ 'LCOF Baseline'!L2</f>
        <v>72911286.959410146</v>
      </c>
      <c r="M8">
        <f>M7/(1+'Study Parameters'!$C$3) ^ 'LCOF Baseline'!M2</f>
        <v>67510450.888342723</v>
      </c>
      <c r="N8">
        <f>N7/(1+'Study Parameters'!$C$3) ^ 'LCOF Baseline'!N2</f>
        <v>62509676.748465486</v>
      </c>
      <c r="O8">
        <f>O7/(1+'Study Parameters'!$C$3) ^ 'LCOF Baseline'!O2</f>
        <v>57879330.322653227</v>
      </c>
      <c r="P8">
        <f>P7/(1+'Study Parameters'!$C$3) ^ 'LCOF Baseline'!P2</f>
        <v>53591972.520975202</v>
      </c>
      <c r="Q8">
        <f>Q7/(1+'Study Parameters'!$C$3) ^ 'LCOF Baseline'!Q2</f>
        <v>49622196.778680742</v>
      </c>
      <c r="R8">
        <f>R7/(1+'Study Parameters'!$C$3) ^ 'LCOF Baseline'!R2</f>
        <v>45946478.498778462</v>
      </c>
      <c r="S8">
        <f>S7/(1+'Study Parameters'!$C$3) ^ 'LCOF Baseline'!S2</f>
        <v>42543035.647017092</v>
      </c>
      <c r="T8">
        <f>T7/(1+'Study Parameters'!$C$3) ^ 'LCOF Baseline'!T2</f>
        <v>39391699.673163973</v>
      </c>
      <c r="U8">
        <f>U7/(1+'Study Parameters'!$C$3) ^ 'LCOF Baseline'!U2</f>
        <v>36473795.993670344</v>
      </c>
      <c r="V8">
        <f>V7/(1+'Study Parameters'!$C$3) ^ 'LCOF Baseline'!V2</f>
        <v>33772033.327472538</v>
      </c>
      <c r="W8">
        <f>W7/(1+'Study Parameters'!$C$3) ^ 'LCOF Baseline'!W2</f>
        <v>31270401.229141239</v>
      </c>
      <c r="X8">
        <f>X7/(1+'Study Parameters'!$C$3) ^ 'LCOF Baseline'!X2</f>
        <v>28954075.212167811</v>
      </c>
      <c r="Y8">
        <f>Y7/(1+'Study Parameters'!$C$3) ^ 'LCOF Baseline'!Y2</f>
        <v>26809328.90015538</v>
      </c>
      <c r="Z8">
        <f>Z7/(1+'Study Parameters'!$C$3) ^ 'LCOF Baseline'!Z2</f>
        <v>24823452.685329054</v>
      </c>
      <c r="AA8">
        <f>AA7/(1+'Study Parameters'!$C$3) ^ 'LCOF Baseline'!AA2</f>
        <v>22984678.412341714</v>
      </c>
      <c r="AB8">
        <f>AB7/(1+'Study Parameters'!$C$3) ^ 'LCOF Baseline'!AB2</f>
        <v>21282109.641057145</v>
      </c>
      <c r="AC8">
        <f>AC7/(1+'Study Parameters'!$C$3) ^ 'LCOF Baseline'!AC2</f>
        <v>19705657.07505291</v>
      </c>
      <c r="AD8">
        <f>AD7/(1+'Study Parameters'!$C$3) ^ 'LCOF Baseline'!AD2</f>
        <v>18245978.773197141</v>
      </c>
      <c r="AE8">
        <f>AE7/(1+'Study Parameters'!$C$3) ^ 'LCOF Baseline'!AE2</f>
        <v>16894424.78999735</v>
      </c>
      <c r="AF8">
        <f>AF7/(1+'Study Parameters'!$C$3) ^ 'LCOF Baseline'!AF2</f>
        <v>15642985.916664211</v>
      </c>
    </row>
    <row r="10" spans="1:32" x14ac:dyDescent="0.25">
      <c r="A10" t="s">
        <v>159</v>
      </c>
      <c r="B10">
        <f>(SUM(B4:AF4) - SUM(B6:AF6)) / SUM(B8:AF8)</f>
        <v>11.705907867765633</v>
      </c>
    </row>
    <row r="12" spans="1:32" x14ac:dyDescent="0.25">
      <c r="A12" s="1" t="s">
        <v>8</v>
      </c>
    </row>
    <row r="13" spans="1:32" x14ac:dyDescent="0.25">
      <c r="A13" t="s">
        <v>21</v>
      </c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  <c r="AB13">
        <v>26</v>
      </c>
      <c r="AC13">
        <v>27</v>
      </c>
      <c r="AD13">
        <v>28</v>
      </c>
      <c r="AE13">
        <v>29</v>
      </c>
      <c r="AF13">
        <v>30</v>
      </c>
    </row>
    <row r="14" spans="1:32" x14ac:dyDescent="0.25">
      <c r="A14" t="s">
        <v>110</v>
      </c>
      <c r="B14">
        <f>'Cost Components'!H23*10^6</f>
        <v>1100000000</v>
      </c>
      <c r="C14">
        <f>'Cost Components'!$H$26*10^6</f>
        <v>1901622556.3909774</v>
      </c>
      <c r="D14">
        <f>'Cost Components'!$H$26*10^6</f>
        <v>1901622556.3909774</v>
      </c>
      <c r="E14">
        <f>'Cost Components'!$H$26*10^6</f>
        <v>1901622556.3909774</v>
      </c>
      <c r="F14">
        <f>'Cost Components'!$H$26*10^6</f>
        <v>1901622556.3909774</v>
      </c>
      <c r="G14">
        <f>'Cost Components'!$H$26*10^6</f>
        <v>1901622556.3909774</v>
      </c>
      <c r="H14">
        <f>'Cost Components'!$H$26*10^6</f>
        <v>1901622556.3909774</v>
      </c>
      <c r="I14">
        <f>'Cost Components'!$H$26*10^6</f>
        <v>1901622556.3909774</v>
      </c>
      <c r="J14">
        <f>'Cost Components'!$H$26*10^6</f>
        <v>1901622556.3909774</v>
      </c>
      <c r="K14">
        <f>'Cost Components'!$H$26*10^6</f>
        <v>1901622556.3909774</v>
      </c>
      <c r="L14">
        <f>'Cost Components'!$H$26*10^6 + 'Cost Components'!$H$7 * 10^6</f>
        <v>2078622556.3909774</v>
      </c>
      <c r="M14">
        <f>'Cost Components'!$H$26*10^6</f>
        <v>1901622556.3909774</v>
      </c>
      <c r="N14">
        <f>'Cost Components'!$H$26*10^6</f>
        <v>1901622556.3909774</v>
      </c>
      <c r="O14">
        <f>'Cost Components'!$H$26*10^6</f>
        <v>1901622556.3909774</v>
      </c>
      <c r="P14">
        <f>'Cost Components'!$H$26*10^6</f>
        <v>1901622556.3909774</v>
      </c>
      <c r="Q14">
        <f>'Cost Components'!$H$26*10^6</f>
        <v>1901622556.3909774</v>
      </c>
      <c r="R14">
        <f>'Cost Components'!$H$26*10^6</f>
        <v>1901622556.3909774</v>
      </c>
      <c r="S14">
        <f>'Cost Components'!$H$26*10^6</f>
        <v>1901622556.3909774</v>
      </c>
      <c r="T14">
        <f>'Cost Components'!$H$26*10^6</f>
        <v>1901622556.3909774</v>
      </c>
      <c r="U14">
        <f>'Cost Components'!$H$26*10^6</f>
        <v>1901622556.3909774</v>
      </c>
      <c r="V14">
        <f>'Cost Components'!$H$26*10^6 + 'Cost Components'!$H$7 * 10^6</f>
        <v>2078622556.3909774</v>
      </c>
      <c r="W14">
        <f>'Cost Components'!$H$26*10^6</f>
        <v>1901622556.3909774</v>
      </c>
      <c r="X14">
        <f>'Cost Components'!$H$26*10^6</f>
        <v>1901622556.3909774</v>
      </c>
      <c r="Y14">
        <f>'Cost Components'!$H$26*10^6</f>
        <v>1901622556.3909774</v>
      </c>
      <c r="Z14">
        <f>'Cost Components'!$H$26*10^6</f>
        <v>1901622556.3909774</v>
      </c>
      <c r="AA14">
        <f>'Cost Components'!$H$26*10^6</f>
        <v>1901622556.3909774</v>
      </c>
      <c r="AB14">
        <f>'Cost Components'!$H$26*10^6</f>
        <v>1901622556.3909774</v>
      </c>
      <c r="AC14">
        <f>'Cost Components'!$H$26*10^6</f>
        <v>1901622556.3909774</v>
      </c>
      <c r="AD14">
        <f>'Cost Components'!$H$26*10^6</f>
        <v>1901622556.3909774</v>
      </c>
      <c r="AE14">
        <f>'Cost Components'!$H$26*10^6</f>
        <v>1901622556.3909774</v>
      </c>
      <c r="AF14">
        <f>'Cost Components'!$H$26*10^6</f>
        <v>1901622556.3909774</v>
      </c>
    </row>
    <row r="15" spans="1:32" x14ac:dyDescent="0.25">
      <c r="A15" t="s">
        <v>111</v>
      </c>
      <c r="B15">
        <f>B14/(1+'Study Parameters'!$C$3) ^'LCOF Baseline'!B$13</f>
        <v>1100000000</v>
      </c>
      <c r="C15">
        <f>C14/(1+'Study Parameters'!$C$3) ^'LCOF Baseline'!C$13</f>
        <v>1760761626.2879419</v>
      </c>
      <c r="D15">
        <f>D14/(1+'Study Parameters'!$C$3) ^'LCOF Baseline'!D$13</f>
        <v>1630334839.1555018</v>
      </c>
      <c r="E15">
        <f>E14/(1+'Study Parameters'!$C$3) ^'LCOF Baseline'!E$13</f>
        <v>1509569295.5143533</v>
      </c>
      <c r="F15">
        <f>F14/(1+'Study Parameters'!$C$3) ^'LCOF Baseline'!F$13</f>
        <v>1397749347.6984751</v>
      </c>
      <c r="G15">
        <f>G14/(1+'Study Parameters'!$C$3) ^'LCOF Baseline'!G$13</f>
        <v>1294212358.9800696</v>
      </c>
      <c r="H15">
        <f>H14/(1+'Study Parameters'!$C$3) ^'LCOF Baseline'!H$13</f>
        <v>1198344776.8333976</v>
      </c>
      <c r="I15">
        <f>I14/(1+'Study Parameters'!$C$3) ^'LCOF Baseline'!I$13</f>
        <v>1109578497.0679607</v>
      </c>
      <c r="J15">
        <f>J14/(1+'Study Parameters'!$C$3) ^'LCOF Baseline'!J$13</f>
        <v>1027387497.2851489</v>
      </c>
      <c r="K15">
        <f>K14/(1+'Study Parameters'!$C$3) ^'LCOF Baseline'!K$13</f>
        <v>951284719.70847106</v>
      </c>
      <c r="L15">
        <f>L14/(1+'Study Parameters'!$C$3) ^'LCOF Baseline'!L$13</f>
        <v>962804432.30624008</v>
      </c>
      <c r="M15">
        <f>M14/(1+'Study Parameters'!$C$3) ^'LCOF Baseline'!M$13</f>
        <v>815573319.36597311</v>
      </c>
      <c r="N15">
        <f>N14/(1+'Study Parameters'!$C$3) ^'LCOF Baseline'!N$13</f>
        <v>755160480.89441955</v>
      </c>
      <c r="O15">
        <f>O14/(1+'Study Parameters'!$C$3) ^'LCOF Baseline'!O$13</f>
        <v>699222667.49483287</v>
      </c>
      <c r="P15">
        <f>P14/(1+'Study Parameters'!$C$3) ^'LCOF Baseline'!P$13</f>
        <v>647428395.82854891</v>
      </c>
      <c r="Q15">
        <f>Q14/(1+'Study Parameters'!$C$3) ^'LCOF Baseline'!Q$13</f>
        <v>599470736.87828588</v>
      </c>
      <c r="R15">
        <f>R14/(1+'Study Parameters'!$C$3) ^'LCOF Baseline'!R$13</f>
        <v>555065497.10952401</v>
      </c>
      <c r="S15">
        <f>S14/(1+'Study Parameters'!$C$3) ^'LCOF Baseline'!S$13</f>
        <v>513949534.36067039</v>
      </c>
      <c r="T15">
        <f>T14/(1+'Study Parameters'!$C$3) ^'LCOF Baseline'!T$13</f>
        <v>475879198.48210216</v>
      </c>
      <c r="U15">
        <f>U14/(1+'Study Parameters'!$C$3) ^'LCOF Baseline'!U$13</f>
        <v>440628887.48342788</v>
      </c>
      <c r="V15">
        <f>V14/(1+'Study Parameters'!$C$3) ^'LCOF Baseline'!V$13</f>
        <v>445964743.34332162</v>
      </c>
      <c r="W15">
        <f>W14/(1+'Study Parameters'!$C$3) ^'LCOF Baseline'!W$13</f>
        <v>377768250.58592927</v>
      </c>
      <c r="X15">
        <f>X14/(1+'Study Parameters'!$C$3) ^'LCOF Baseline'!X$13</f>
        <v>349785417.20919371</v>
      </c>
      <c r="Y15">
        <f>Y14/(1+'Study Parameters'!$C$3) ^'LCOF Baseline'!Y$13</f>
        <v>323875386.30480897</v>
      </c>
      <c r="Z15">
        <f>Z14/(1+'Study Parameters'!$C$3) ^'LCOF Baseline'!Z$13</f>
        <v>299884616.94889718</v>
      </c>
      <c r="AA15">
        <f>AA14/(1+'Study Parameters'!$C$3) ^'LCOF Baseline'!AA$13</f>
        <v>277670941.61934924</v>
      </c>
      <c r="AB15">
        <f>AB14/(1+'Study Parameters'!$C$3) ^'LCOF Baseline'!AB$13</f>
        <v>257102723.72161967</v>
      </c>
      <c r="AC15">
        <f>AC14/(1+'Study Parameters'!$C$3) ^'LCOF Baseline'!AC$13</f>
        <v>238058077.52001822</v>
      </c>
      <c r="AD15">
        <f>AD14/(1+'Study Parameters'!$C$3) ^'LCOF Baseline'!AD$13</f>
        <v>220424145.85186872</v>
      </c>
      <c r="AE15">
        <f>AE14/(1+'Study Parameters'!$C$3) ^'LCOF Baseline'!AE$13</f>
        <v>204096431.34432286</v>
      </c>
      <c r="AF15">
        <f>AF14/(1+'Study Parameters'!$C$3) ^'LCOF Baseline'!AF$13</f>
        <v>188978177.17066929</v>
      </c>
    </row>
    <row r="16" spans="1:32" x14ac:dyDescent="0.25">
      <c r="A16" t="s">
        <v>155</v>
      </c>
      <c r="B16">
        <v>0</v>
      </c>
      <c r="C16">
        <f>'Study Parameters'!$C$42 * 10^6</f>
        <v>122000000</v>
      </c>
      <c r="D16">
        <f>'Study Parameters'!$C$42 * 10^6</f>
        <v>122000000</v>
      </c>
      <c r="E16">
        <f>'Study Parameters'!$C$42 * 10^6</f>
        <v>122000000</v>
      </c>
      <c r="F16">
        <f>'Study Parameters'!$C$42 * 10^6</f>
        <v>122000000</v>
      </c>
      <c r="G16">
        <f>'Study Parameters'!$C$42 * 10^6</f>
        <v>122000000</v>
      </c>
      <c r="H16">
        <f>'Study Parameters'!$C$42 * 10^6</f>
        <v>122000000</v>
      </c>
      <c r="I16">
        <f>'Study Parameters'!$C$42 * 10^6</f>
        <v>122000000</v>
      </c>
      <c r="J16">
        <f>'Study Parameters'!$C$42 * 10^6</f>
        <v>122000000</v>
      </c>
      <c r="K16">
        <f>'Study Parameters'!$C$42 * 10^6</f>
        <v>122000000</v>
      </c>
      <c r="L16">
        <f>'Study Parameters'!$C$42 * 10^6</f>
        <v>122000000</v>
      </c>
      <c r="M16">
        <f>'Study Parameters'!$C$42 * 10^6</f>
        <v>122000000</v>
      </c>
      <c r="N16">
        <f>'Study Parameters'!$C$42 * 10^6</f>
        <v>122000000</v>
      </c>
      <c r="O16">
        <f>'Study Parameters'!$C$42 * 10^6</f>
        <v>122000000</v>
      </c>
      <c r="P16">
        <f>'Study Parameters'!$C$42 * 10^6</f>
        <v>122000000</v>
      </c>
      <c r="Q16">
        <f>'Study Parameters'!$C$42 * 10^6</f>
        <v>122000000</v>
      </c>
      <c r="R16">
        <f>'Study Parameters'!$C$42 * 10^6</f>
        <v>122000000</v>
      </c>
      <c r="S16">
        <f>'Study Parameters'!$C$42 * 10^6</f>
        <v>122000000</v>
      </c>
      <c r="T16">
        <f>'Study Parameters'!$C$42 * 10^6</f>
        <v>122000000</v>
      </c>
      <c r="U16">
        <f>'Study Parameters'!$C$42 * 10^6</f>
        <v>122000000</v>
      </c>
      <c r="V16">
        <f>'Study Parameters'!$C$42 * 10^6</f>
        <v>122000000</v>
      </c>
      <c r="W16">
        <f>'Study Parameters'!$C$42 * 10^6</f>
        <v>122000000</v>
      </c>
      <c r="X16">
        <f>'Study Parameters'!$C$42 * 10^6</f>
        <v>122000000</v>
      </c>
      <c r="Y16">
        <f>'Study Parameters'!$C$42 * 10^6</f>
        <v>122000000</v>
      </c>
      <c r="Z16">
        <f>'Study Parameters'!$C$42 * 10^6</f>
        <v>122000000</v>
      </c>
      <c r="AA16">
        <f>'Study Parameters'!$C$42 * 10^6</f>
        <v>122000000</v>
      </c>
      <c r="AB16">
        <f>'Study Parameters'!$C$42 * 10^6</f>
        <v>122000000</v>
      </c>
      <c r="AC16">
        <f>'Study Parameters'!$C$42 * 10^6</f>
        <v>122000000</v>
      </c>
      <c r="AD16">
        <f>'Study Parameters'!$C$42 * 10^6</f>
        <v>122000000</v>
      </c>
      <c r="AE16">
        <f>'Study Parameters'!$C$42 * 10^6</f>
        <v>122000000</v>
      </c>
      <c r="AF16">
        <f>'Study Parameters'!$C$42 * 10^6</f>
        <v>122000000</v>
      </c>
    </row>
    <row r="17" spans="1:32" x14ac:dyDescent="0.25">
      <c r="A17" t="s">
        <v>156</v>
      </c>
      <c r="B17">
        <v>0</v>
      </c>
      <c r="C17">
        <f>C16/(1+'Study Parameters'!$C$3) ^'LCOF Baseline'!C$13</f>
        <v>112962962.96296296</v>
      </c>
      <c r="D17">
        <f>D16/(1+'Study Parameters'!$C$3) ^'LCOF Baseline'!D$13</f>
        <v>104595336.07681754</v>
      </c>
      <c r="E17">
        <f>E16/(1+'Study Parameters'!$C$3) ^'LCOF Baseline'!E$13</f>
        <v>96847533.404460683</v>
      </c>
      <c r="F17">
        <f>F16/(1+'Study Parameters'!$C$3) ^'LCOF Baseline'!F$13</f>
        <v>89673642.041167304</v>
      </c>
      <c r="G17">
        <f>G16/(1+'Study Parameters'!$C$3) ^'LCOF Baseline'!G$13</f>
        <v>83031150.038117871</v>
      </c>
      <c r="H17">
        <f>H16/(1+'Study Parameters'!$C$3) ^'LCOF Baseline'!H$13</f>
        <v>76880694.479738757</v>
      </c>
      <c r="I17">
        <f>I16/(1+'Study Parameters'!$C$3) ^'LCOF Baseline'!I$13</f>
        <v>71185828.221980333</v>
      </c>
      <c r="J17">
        <f>J16/(1+'Study Parameters'!$C$3) ^'LCOF Baseline'!J$13</f>
        <v>65912803.909241043</v>
      </c>
      <c r="K17">
        <f>K16/(1+'Study Parameters'!$C$3) ^'LCOF Baseline'!K$13</f>
        <v>61030373.990038</v>
      </c>
      <c r="L17">
        <f>L16/(1+'Study Parameters'!$C$3) ^'LCOF Baseline'!L$13</f>
        <v>56509605.54633148</v>
      </c>
      <c r="M17">
        <f>M16/(1+'Study Parameters'!$C$3) ^'LCOF Baseline'!M$13</f>
        <v>52323708.839195818</v>
      </c>
      <c r="N17">
        <f>N16/(1+'Study Parameters'!$C$3) ^'LCOF Baseline'!N$13</f>
        <v>48447878.554810934</v>
      </c>
      <c r="O17">
        <f>O16/(1+'Study Parameters'!$C$3) ^'LCOF Baseline'!O$13</f>
        <v>44859146.810010128</v>
      </c>
      <c r="P17">
        <f>P16/(1+'Study Parameters'!$C$3) ^'LCOF Baseline'!P$13</f>
        <v>41536247.046305664</v>
      </c>
      <c r="Q17">
        <f>Q16/(1+'Study Parameters'!$C$3) ^'LCOF Baseline'!Q$13</f>
        <v>38459488.005838573</v>
      </c>
      <c r="R17">
        <f>R16/(1+'Study Parameters'!$C$3) ^'LCOF Baseline'!R$13</f>
        <v>35610637.042443126</v>
      </c>
      <c r="S17">
        <f>S16/(1+'Study Parameters'!$C$3) ^'LCOF Baseline'!S$13</f>
        <v>32972812.076336227</v>
      </c>
      <c r="T17">
        <f>T16/(1+'Study Parameters'!$C$3) ^'LCOF Baseline'!T$13</f>
        <v>30530381.552163169</v>
      </c>
      <c r="U17">
        <f>U16/(1+'Study Parameters'!$C$3) ^'LCOF Baseline'!U$13</f>
        <v>28268871.807558488</v>
      </c>
      <c r="V17">
        <f>V16/(1+'Study Parameters'!$C$3) ^'LCOF Baseline'!V$13</f>
        <v>26174881.303294897</v>
      </c>
      <c r="W17">
        <f>W16/(1+'Study Parameters'!$C$3) ^'LCOF Baseline'!W$13</f>
        <v>24236001.206754535</v>
      </c>
      <c r="X17">
        <f>X16/(1+'Study Parameters'!$C$3) ^'LCOF Baseline'!X$13</f>
        <v>22440741.858106047</v>
      </c>
      <c r="Y17">
        <f>Y16/(1+'Study Parameters'!$C$3) ^'LCOF Baseline'!Y$13</f>
        <v>20778464.683431525</v>
      </c>
      <c r="Z17">
        <f>Z16/(1+'Study Parameters'!$C$3) ^'LCOF Baseline'!Z$13</f>
        <v>19239319.151325487</v>
      </c>
      <c r="AA17">
        <f>AA16/(1+'Study Parameters'!$C$3) ^'LCOF Baseline'!AA$13</f>
        <v>17814184.399375446</v>
      </c>
      <c r="AB17">
        <f>AB16/(1+'Study Parameters'!$C$3) ^'LCOF Baseline'!AB$13</f>
        <v>16494615.184606897</v>
      </c>
      <c r="AC17">
        <f>AC16/(1+'Study Parameters'!$C$3) ^'LCOF Baseline'!AC$13</f>
        <v>15272791.837598978</v>
      </c>
      <c r="AD17">
        <f>AD16/(1+'Study Parameters'!$C$3) ^'LCOF Baseline'!AD$13</f>
        <v>14141473.923702758</v>
      </c>
      <c r="AE17">
        <f>AE16/(1+'Study Parameters'!$C$3) ^'LCOF Baseline'!AE$13</f>
        <v>13093957.336761812</v>
      </c>
      <c r="AF17">
        <f>AF16/(1+'Study Parameters'!$C$3) ^'LCOF Baseline'!AF$13</f>
        <v>12124034.571075751</v>
      </c>
    </row>
    <row r="18" spans="1:32" x14ac:dyDescent="0.25">
      <c r="A18" t="s">
        <v>157</v>
      </c>
      <c r="B18">
        <v>0</v>
      </c>
      <c r="C18">
        <f>'Study Parameters'!$C$9</f>
        <v>157410000</v>
      </c>
      <c r="D18">
        <f>'Study Parameters'!$C$9</f>
        <v>157410000</v>
      </c>
      <c r="E18">
        <f>'Study Parameters'!$C$9</f>
        <v>157410000</v>
      </c>
      <c r="F18">
        <f>'Study Parameters'!$C$9</f>
        <v>157410000</v>
      </c>
      <c r="G18">
        <f>'Study Parameters'!$C$9</f>
        <v>157410000</v>
      </c>
      <c r="H18">
        <f>'Study Parameters'!$C$9</f>
        <v>157410000</v>
      </c>
      <c r="I18">
        <f>'Study Parameters'!$C$9</f>
        <v>157410000</v>
      </c>
      <c r="J18">
        <f>'Study Parameters'!$C$9</f>
        <v>157410000</v>
      </c>
      <c r="K18">
        <f>'Study Parameters'!$C$9</f>
        <v>157410000</v>
      </c>
      <c r="L18">
        <f>'Study Parameters'!$C$9</f>
        <v>157410000</v>
      </c>
      <c r="M18">
        <f>'Study Parameters'!$C$9</f>
        <v>157410000</v>
      </c>
      <c r="N18">
        <f>'Study Parameters'!$C$9</f>
        <v>157410000</v>
      </c>
      <c r="O18">
        <f>'Study Parameters'!$C$9</f>
        <v>157410000</v>
      </c>
      <c r="P18">
        <f>'Study Parameters'!$C$9</f>
        <v>157410000</v>
      </c>
      <c r="Q18">
        <f>'Study Parameters'!$C$9</f>
        <v>157410000</v>
      </c>
      <c r="R18">
        <f>'Study Parameters'!$C$9</f>
        <v>157410000</v>
      </c>
      <c r="S18">
        <f>'Study Parameters'!$C$9</f>
        <v>157410000</v>
      </c>
      <c r="T18">
        <f>'Study Parameters'!$C$9</f>
        <v>157410000</v>
      </c>
      <c r="U18">
        <f>'Study Parameters'!$C$9</f>
        <v>157410000</v>
      </c>
      <c r="V18">
        <f>'Study Parameters'!$C$9</f>
        <v>157410000</v>
      </c>
      <c r="W18">
        <f>'Study Parameters'!$C$9</f>
        <v>157410000</v>
      </c>
      <c r="X18">
        <f>'Study Parameters'!$C$9</f>
        <v>157410000</v>
      </c>
      <c r="Y18">
        <f>'Study Parameters'!$C$9</f>
        <v>157410000</v>
      </c>
      <c r="Z18">
        <f>'Study Parameters'!$C$9</f>
        <v>157410000</v>
      </c>
      <c r="AA18">
        <f>'Study Parameters'!$C$9</f>
        <v>157410000</v>
      </c>
      <c r="AB18">
        <f>'Study Parameters'!$C$9</f>
        <v>157410000</v>
      </c>
      <c r="AC18">
        <f>'Study Parameters'!$C$9</f>
        <v>157410000</v>
      </c>
      <c r="AD18">
        <f>'Study Parameters'!$C$9</f>
        <v>157410000</v>
      </c>
      <c r="AE18">
        <f>'Study Parameters'!$C$9</f>
        <v>157410000</v>
      </c>
      <c r="AF18">
        <f>'Study Parameters'!$C$9</f>
        <v>157410000</v>
      </c>
    </row>
    <row r="19" spans="1:32" x14ac:dyDescent="0.25">
      <c r="A19" t="s">
        <v>158</v>
      </c>
      <c r="B19">
        <v>0</v>
      </c>
      <c r="C19">
        <f>C18/(1+'Study Parameters'!$C$3) ^'LCOF Baseline'!C$13</f>
        <v>145750000</v>
      </c>
      <c r="D19">
        <f>D18/(1+'Study Parameters'!$C$3) ^'LCOF Baseline'!D$13</f>
        <v>134953703.7037037</v>
      </c>
      <c r="E19">
        <f>E18/(1+'Study Parameters'!$C$3) ^'LCOF Baseline'!E$13</f>
        <v>124957133.05898489</v>
      </c>
      <c r="F19">
        <f>F18/(1+'Study Parameters'!$C$3) ^'LCOF Baseline'!F$13</f>
        <v>115701049.12868971</v>
      </c>
      <c r="G19">
        <f>G18/(1+'Study Parameters'!$C$3) ^'LCOF Baseline'!G$13</f>
        <v>107130601.04508306</v>
      </c>
      <c r="H19">
        <f>H18/(1+'Study Parameters'!$C$3) ^'LCOF Baseline'!H$13</f>
        <v>99195000.967669487</v>
      </c>
      <c r="I19">
        <f>I18/(1+'Study Parameters'!$C$3) ^'LCOF Baseline'!I$13</f>
        <v>91847223.118212491</v>
      </c>
      <c r="J19">
        <f>J18/(1+'Study Parameters'!$C$3) ^'LCOF Baseline'!J$13</f>
        <v>85043725.109456003</v>
      </c>
      <c r="K19">
        <f>K18/(1+'Study Parameters'!$C$3) ^'LCOF Baseline'!K$13</f>
        <v>78744189.916162968</v>
      </c>
      <c r="L19">
        <f>L18/(1+'Study Parameters'!$C$3) ^'LCOF Baseline'!L$13</f>
        <v>72911286.959410146</v>
      </c>
      <c r="M19">
        <f>M18/(1+'Study Parameters'!$C$3) ^'LCOF Baseline'!M$13</f>
        <v>67510450.888342723</v>
      </c>
      <c r="N19">
        <f>N18/(1+'Study Parameters'!$C$3) ^'LCOF Baseline'!N$13</f>
        <v>62509676.748465486</v>
      </c>
      <c r="O19">
        <f>O18/(1+'Study Parameters'!$C$3) ^'LCOF Baseline'!O$13</f>
        <v>57879330.322653227</v>
      </c>
      <c r="P19">
        <f>P18/(1+'Study Parameters'!$C$3) ^'LCOF Baseline'!P$13</f>
        <v>53591972.520975202</v>
      </c>
      <c r="Q19">
        <f>Q18/(1+'Study Parameters'!$C$3) ^'LCOF Baseline'!Q$13</f>
        <v>49622196.778680742</v>
      </c>
      <c r="R19">
        <f>R18/(1+'Study Parameters'!$C$3) ^'LCOF Baseline'!R$13</f>
        <v>45946478.498778462</v>
      </c>
      <c r="S19">
        <f>S18/(1+'Study Parameters'!$C$3) ^'LCOF Baseline'!S$13</f>
        <v>42543035.647017092</v>
      </c>
      <c r="T19">
        <f>T18/(1+'Study Parameters'!$C$3) ^'LCOF Baseline'!T$13</f>
        <v>39391699.673163973</v>
      </c>
      <c r="U19">
        <f>U18/(1+'Study Parameters'!$C$3) ^'LCOF Baseline'!U$13</f>
        <v>36473795.993670344</v>
      </c>
      <c r="V19">
        <f>V18/(1+'Study Parameters'!$C$3) ^'LCOF Baseline'!V$13</f>
        <v>33772033.327472538</v>
      </c>
      <c r="W19">
        <f>W18/(1+'Study Parameters'!$C$3) ^'LCOF Baseline'!W$13</f>
        <v>31270401.229141239</v>
      </c>
      <c r="X19">
        <f>X18/(1+'Study Parameters'!$C$3) ^'LCOF Baseline'!X$13</f>
        <v>28954075.212167811</v>
      </c>
      <c r="Y19">
        <f>Y18/(1+'Study Parameters'!$C$3) ^'LCOF Baseline'!Y$13</f>
        <v>26809328.90015538</v>
      </c>
      <c r="Z19">
        <f>Z18/(1+'Study Parameters'!$C$3) ^'LCOF Baseline'!Z$13</f>
        <v>24823452.685329054</v>
      </c>
      <c r="AA19">
        <f>AA18/(1+'Study Parameters'!$C$3) ^'LCOF Baseline'!AA$13</f>
        <v>22984678.412341714</v>
      </c>
      <c r="AB19">
        <f>AB18/(1+'Study Parameters'!$C$3) ^'LCOF Baseline'!AB$13</f>
        <v>21282109.641057145</v>
      </c>
      <c r="AC19">
        <f>AC18/(1+'Study Parameters'!$C$3) ^'LCOF Baseline'!AC$13</f>
        <v>19705657.07505291</v>
      </c>
      <c r="AD19">
        <f>AD18/(1+'Study Parameters'!$C$3) ^'LCOF Baseline'!AD$13</f>
        <v>18245978.773197141</v>
      </c>
      <c r="AE19">
        <f>AE18/(1+'Study Parameters'!$C$3) ^'LCOF Baseline'!AE$13</f>
        <v>16894424.78999735</v>
      </c>
      <c r="AF19">
        <f>AF18/(1+'Study Parameters'!$C$3) ^'LCOF Baseline'!AF$13</f>
        <v>15642985.916664211</v>
      </c>
    </row>
    <row r="21" spans="1:32" x14ac:dyDescent="0.25">
      <c r="A21" t="s">
        <v>159</v>
      </c>
      <c r="B21">
        <f>(SUM(B15:AF15) - SUM(B17:AF17)) / SUM(B19:AF19)</f>
        <v>11.994082313111065</v>
      </c>
    </row>
    <row r="23" spans="1:32" x14ac:dyDescent="0.25">
      <c r="A23" s="1" t="s">
        <v>10</v>
      </c>
    </row>
    <row r="24" spans="1:32" x14ac:dyDescent="0.25">
      <c r="A24" t="s">
        <v>21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  <c r="O24">
        <v>13</v>
      </c>
      <c r="P24">
        <v>14</v>
      </c>
      <c r="Q24">
        <v>15</v>
      </c>
      <c r="R24">
        <v>16</v>
      </c>
      <c r="S24">
        <v>17</v>
      </c>
      <c r="T24">
        <v>18</v>
      </c>
      <c r="U24">
        <v>19</v>
      </c>
      <c r="V24">
        <v>20</v>
      </c>
      <c r="W24">
        <v>21</v>
      </c>
      <c r="X24">
        <v>22</v>
      </c>
      <c r="Y24">
        <v>23</v>
      </c>
      <c r="Z24">
        <v>24</v>
      </c>
      <c r="AA24">
        <v>25</v>
      </c>
      <c r="AB24">
        <v>26</v>
      </c>
      <c r="AC24">
        <v>27</v>
      </c>
      <c r="AD24">
        <v>28</v>
      </c>
      <c r="AE24">
        <v>29</v>
      </c>
      <c r="AF24">
        <v>30</v>
      </c>
    </row>
    <row r="25" spans="1:32" x14ac:dyDescent="0.25">
      <c r="A25" t="s">
        <v>110</v>
      </c>
      <c r="B25">
        <f>'Cost Components'!N23*10^6</f>
        <v>1370000000</v>
      </c>
      <c r="C25">
        <f>'Cost Components'!$N$26 * 10^6</f>
        <v>1816761904.7619045</v>
      </c>
      <c r="D25">
        <f>'Cost Components'!$N$26 * 10^6</f>
        <v>1816761904.7619045</v>
      </c>
      <c r="E25">
        <f>'Cost Components'!$N$26 * 10^6</f>
        <v>1816761904.7619045</v>
      </c>
      <c r="F25">
        <f>'Cost Components'!$N$26 * 10^6</f>
        <v>1816761904.7619045</v>
      </c>
      <c r="G25">
        <f>'Cost Components'!$N$26 * 10^6</f>
        <v>1816761904.7619045</v>
      </c>
      <c r="H25">
        <f>'Cost Components'!$N$26 * 10^6</f>
        <v>1816761904.7619045</v>
      </c>
      <c r="I25">
        <f>'Cost Components'!$N$26 * 10^6 + 'Cost Components'!$N$7 * 10^6</f>
        <v>2191761904.7619047</v>
      </c>
      <c r="J25">
        <f>'Cost Components'!$N$26 * 10^6</f>
        <v>1816761904.7619045</v>
      </c>
      <c r="K25">
        <f>'Cost Components'!$N$26 * 10^6</f>
        <v>1816761904.7619045</v>
      </c>
      <c r="L25">
        <f>'Cost Components'!$N$26 * 10^6</f>
        <v>1816761904.7619045</v>
      </c>
      <c r="M25">
        <f>'Cost Components'!$N$26 * 10^6</f>
        <v>1816761904.7619045</v>
      </c>
      <c r="N25">
        <f>'Cost Components'!$N$26 * 10^6</f>
        <v>1816761904.7619045</v>
      </c>
      <c r="O25">
        <f>'Cost Components'!$N$26 * 10^6 + 'Cost Components'!$N$7 * 10^6</f>
        <v>2191761904.7619047</v>
      </c>
      <c r="P25">
        <f>'Cost Components'!$N$26 * 10^6</f>
        <v>1816761904.7619045</v>
      </c>
      <c r="Q25">
        <f>'Cost Components'!$N$26 * 10^6</f>
        <v>1816761904.7619045</v>
      </c>
      <c r="R25">
        <f>'Cost Components'!$N$26 * 10^6</f>
        <v>1816761904.7619045</v>
      </c>
      <c r="S25">
        <f>'Cost Components'!$N$26 * 10^6</f>
        <v>1816761904.7619045</v>
      </c>
      <c r="T25">
        <f>'Cost Components'!$N$26 * 10^6</f>
        <v>1816761904.7619045</v>
      </c>
      <c r="U25">
        <f>'Cost Components'!$N$26 * 10^6 + 'Cost Components'!$N$7 * 10^6</f>
        <v>2191761904.7619047</v>
      </c>
      <c r="V25">
        <f>'Cost Components'!$N$26 * 10^6</f>
        <v>1816761904.7619045</v>
      </c>
      <c r="W25">
        <f>'Cost Components'!$N$26 * 10^6</f>
        <v>1816761904.7619045</v>
      </c>
      <c r="X25">
        <f>'Cost Components'!$N$26 * 10^6</f>
        <v>1816761904.7619045</v>
      </c>
      <c r="Y25">
        <f>'Cost Components'!$N$26 * 10^6</f>
        <v>1816761904.7619045</v>
      </c>
      <c r="Z25">
        <f>'Cost Components'!$N$26 * 10^6</f>
        <v>1816761904.7619045</v>
      </c>
      <c r="AA25">
        <f>'Cost Components'!$N$26* 10^6 + 'Cost Components'!$N$7 * 10^6</f>
        <v>2191761904.7619047</v>
      </c>
      <c r="AB25">
        <f>'Cost Components'!$N$26 * 10^6</f>
        <v>1816761904.7619045</v>
      </c>
      <c r="AC25">
        <f>'Cost Components'!$N$26 * 10^6</f>
        <v>1816761904.7619045</v>
      </c>
      <c r="AD25">
        <f>'Cost Components'!$N$26 * 10^6</f>
        <v>1816761904.7619045</v>
      </c>
      <c r="AE25">
        <f>'Cost Components'!$N$26 * 10^6</f>
        <v>1816761904.7619045</v>
      </c>
      <c r="AF25">
        <f>'Cost Components'!$N$26 * 10^6</f>
        <v>1816761904.7619045</v>
      </c>
    </row>
    <row r="26" spans="1:32" x14ac:dyDescent="0.25">
      <c r="A26" t="s">
        <v>111</v>
      </c>
      <c r="B26">
        <f>B25/(1+'Study Parameters'!$C$3)^'LCOF Baseline'!B$24</f>
        <v>1370000000</v>
      </c>
      <c r="C26">
        <f>C25/(1+'Study Parameters'!$C$3)^'LCOF Baseline'!C$24</f>
        <v>1682186948.853615</v>
      </c>
      <c r="D26">
        <f>D25/(1+'Study Parameters'!$C$3)^'LCOF Baseline'!D$24</f>
        <v>1557580508.1977918</v>
      </c>
      <c r="E26">
        <f>E25/(1+'Study Parameters'!$C$3)^'LCOF Baseline'!E$24</f>
        <v>1442204174.2572145</v>
      </c>
      <c r="F26">
        <f>F25/(1+'Study Parameters'!$C$3)^'LCOF Baseline'!F$24</f>
        <v>1335374235.4233468</v>
      </c>
      <c r="G26">
        <f>G25/(1+'Study Parameters'!$C$3)^'LCOF Baseline'!G$24</f>
        <v>1236457625.3919876</v>
      </c>
      <c r="H26">
        <f>H25/(1+'Study Parameters'!$C$3)^'LCOF Baseline'!H$24</f>
        <v>1144868171.6592476</v>
      </c>
      <c r="I26">
        <f>I25/(1+'Study Parameters'!$C$3)^'LCOF Baseline'!I$24</f>
        <v>1278872020.1300111</v>
      </c>
      <c r="J26">
        <f>J25/(1+'Study Parameters'!$C$3)^'LCOF Baseline'!J$24</f>
        <v>981539927.69139886</v>
      </c>
      <c r="K26">
        <f>K25/(1+'Study Parameters'!$C$3)^'LCOF Baseline'!K$24</f>
        <v>908833266.38092482</v>
      </c>
      <c r="L26">
        <f>L25/(1+'Study Parameters'!$C$3)^'LCOF Baseline'!L$24</f>
        <v>841512283.68604147</v>
      </c>
      <c r="M26">
        <f>M25/(1+'Study Parameters'!$C$3)^'LCOF Baseline'!M$24</f>
        <v>779178040.45003843</v>
      </c>
      <c r="N26">
        <f>N25/(1+'Study Parameters'!$C$3)^'LCOF Baseline'!N$24</f>
        <v>721461148.56485033</v>
      </c>
      <c r="O26">
        <f>O25/(1+'Study Parameters'!$C$3)^'LCOF Baseline'!O$24</f>
        <v>805906303.75657141</v>
      </c>
      <c r="P26">
        <f>P25/(1+'Study Parameters'!$C$3)^'LCOF Baseline'!P$24</f>
        <v>618536650.00415826</v>
      </c>
      <c r="Q26">
        <f>Q25/(1+'Study Parameters'!$C$3)^'LCOF Baseline'!Q$24</f>
        <v>572719120.37422061</v>
      </c>
      <c r="R26">
        <f>R25/(1+'Study Parameters'!$C$3)^'LCOF Baseline'!R$24</f>
        <v>530295481.82798201</v>
      </c>
      <c r="S26">
        <f>S25/(1+'Study Parameters'!$C$3)^'LCOF Baseline'!S$24</f>
        <v>491014335.02590925</v>
      </c>
      <c r="T26">
        <f>T25/(1+'Study Parameters'!$C$3)^'LCOF Baseline'!T$24</f>
        <v>454642902.80176777</v>
      </c>
      <c r="U26">
        <f>U25/(1+'Study Parameters'!$C$3)^'LCOF Baseline'!U$24</f>
        <v>507857674.7410205</v>
      </c>
      <c r="V26">
        <f>V25/(1+'Study Parameters'!$C$3)^'LCOF Baseline'!V$24</f>
        <v>389783009.94664592</v>
      </c>
      <c r="W26">
        <f>W25/(1+'Study Parameters'!$C$3)^'LCOF Baseline'!W$24</f>
        <v>360910194.39504248</v>
      </c>
      <c r="X26">
        <f>X25/(1+'Study Parameters'!$C$3)^'LCOF Baseline'!X$24</f>
        <v>334176105.92133558</v>
      </c>
      <c r="Y26">
        <f>Y25/(1+'Study Parameters'!$C$3)^'LCOF Baseline'!Y$24</f>
        <v>309422320.29753292</v>
      </c>
      <c r="Z26">
        <f>Z25/(1+'Study Parameters'!$C$3)^'LCOF Baseline'!Z$24</f>
        <v>286502148.42364162</v>
      </c>
      <c r="AA26">
        <f>AA25/(1+'Study Parameters'!$C$3)^'LCOF Baseline'!AA$24</f>
        <v>320036481.40126997</v>
      </c>
      <c r="AB26">
        <f>AB25/(1+'Study Parameters'!$C$3)^'LCOF Baseline'!AB$24</f>
        <v>245629413.94345129</v>
      </c>
      <c r="AC26">
        <f>AC25/(1+'Study Parameters'!$C$3)^'LCOF Baseline'!AC$24</f>
        <v>227434642.54023269</v>
      </c>
      <c r="AD26">
        <f>AD25/(1+'Study Parameters'!$C$3)^'LCOF Baseline'!AD$24</f>
        <v>210587631.98169693</v>
      </c>
      <c r="AE26">
        <f>AE25/(1+'Study Parameters'!$C$3)^'LCOF Baseline'!AE$24</f>
        <v>194988548.13120085</v>
      </c>
      <c r="AF26">
        <f>AF25/(1+'Study Parameters'!$C$3)^'LCOF Baseline'!AF$24</f>
        <v>180544951.97333407</v>
      </c>
    </row>
    <row r="27" spans="1:32" x14ac:dyDescent="0.25">
      <c r="A27" t="s">
        <v>155</v>
      </c>
      <c r="B27">
        <v>0</v>
      </c>
      <c r="C27">
        <f>'Study Parameters'!$C$42 * 10^6</f>
        <v>122000000</v>
      </c>
      <c r="D27">
        <f>'Study Parameters'!$C$42 * 10^6</f>
        <v>122000000</v>
      </c>
      <c r="E27">
        <f>'Study Parameters'!$C$42 * 10^6</f>
        <v>122000000</v>
      </c>
      <c r="F27">
        <f>'Study Parameters'!$C$42 * 10^6</f>
        <v>122000000</v>
      </c>
      <c r="G27">
        <f>'Study Parameters'!$C$42 * 10^6</f>
        <v>122000000</v>
      </c>
      <c r="H27">
        <f>'Study Parameters'!$C$42 * 10^6</f>
        <v>122000000</v>
      </c>
      <c r="I27">
        <f>'Study Parameters'!$C$42 * 10^6</f>
        <v>122000000</v>
      </c>
      <c r="J27">
        <f>'Study Parameters'!$C$42 * 10^6</f>
        <v>122000000</v>
      </c>
      <c r="K27">
        <f>'Study Parameters'!$C$42 * 10^6</f>
        <v>122000000</v>
      </c>
      <c r="L27">
        <f>'Study Parameters'!$C$42 * 10^6</f>
        <v>122000000</v>
      </c>
      <c r="M27">
        <f>'Study Parameters'!$C$42 * 10^6</f>
        <v>122000000</v>
      </c>
      <c r="N27">
        <f>'Study Parameters'!$C$42 * 10^6</f>
        <v>122000000</v>
      </c>
      <c r="O27">
        <f>'Study Parameters'!$C$42 * 10^6</f>
        <v>122000000</v>
      </c>
      <c r="P27">
        <f>'Study Parameters'!$C$42 * 10^6</f>
        <v>122000000</v>
      </c>
      <c r="Q27">
        <f>'Study Parameters'!$C$42 * 10^6</f>
        <v>122000000</v>
      </c>
      <c r="R27">
        <f>'Study Parameters'!$C$42 * 10^6</f>
        <v>122000000</v>
      </c>
      <c r="S27">
        <f>'Study Parameters'!$C$42 * 10^6</f>
        <v>122000000</v>
      </c>
      <c r="T27">
        <f>'Study Parameters'!$C$42 * 10^6</f>
        <v>122000000</v>
      </c>
      <c r="U27">
        <f>'Study Parameters'!$C$42 * 10^6</f>
        <v>122000000</v>
      </c>
      <c r="V27">
        <f>'Study Parameters'!$C$42 * 10^6</f>
        <v>122000000</v>
      </c>
      <c r="W27">
        <f>'Study Parameters'!$C$42 * 10^6</f>
        <v>122000000</v>
      </c>
      <c r="X27">
        <f>'Study Parameters'!$C$42 * 10^6</f>
        <v>122000000</v>
      </c>
      <c r="Y27">
        <f>'Study Parameters'!$C$42 * 10^6</f>
        <v>122000000</v>
      </c>
      <c r="Z27">
        <f>'Study Parameters'!$C$42 * 10^6</f>
        <v>122000000</v>
      </c>
      <c r="AA27">
        <f>'Study Parameters'!$C$42 * 10^6</f>
        <v>122000000</v>
      </c>
      <c r="AB27">
        <f>'Study Parameters'!$C$42 * 10^6</f>
        <v>122000000</v>
      </c>
      <c r="AC27">
        <f>'Study Parameters'!$C$42 * 10^6</f>
        <v>122000000</v>
      </c>
      <c r="AD27">
        <f>'Study Parameters'!$C$42 * 10^6</f>
        <v>122000000</v>
      </c>
      <c r="AE27">
        <f>'Study Parameters'!$C$42 * 10^6</f>
        <v>122000000</v>
      </c>
      <c r="AF27">
        <f>'Study Parameters'!$C$42 * 10^6</f>
        <v>122000000</v>
      </c>
    </row>
    <row r="28" spans="1:32" x14ac:dyDescent="0.25">
      <c r="A28" t="s">
        <v>156</v>
      </c>
      <c r="B28">
        <v>0</v>
      </c>
      <c r="C28">
        <f>C27/(1+'Study Parameters'!$C$3)^'LCOF Baseline'!C$24</f>
        <v>112962962.96296296</v>
      </c>
      <c r="D28">
        <f>D27/(1+'Study Parameters'!$C$3)^'LCOF Baseline'!D$24</f>
        <v>104595336.07681754</v>
      </c>
      <c r="E28">
        <f>E27/(1+'Study Parameters'!$C$3)^'LCOF Baseline'!E$24</f>
        <v>96847533.404460683</v>
      </c>
      <c r="F28">
        <f>F27/(1+'Study Parameters'!$C$3)^'LCOF Baseline'!F$24</f>
        <v>89673642.041167304</v>
      </c>
      <c r="G28">
        <f>G27/(1+'Study Parameters'!$C$3)^'LCOF Baseline'!G$24</f>
        <v>83031150.038117871</v>
      </c>
      <c r="H28">
        <f>H27/(1+'Study Parameters'!$C$3)^'LCOF Baseline'!H$24</f>
        <v>76880694.479738757</v>
      </c>
      <c r="I28">
        <f>I27/(1+'Study Parameters'!$C$3)^'LCOF Baseline'!I$24</f>
        <v>71185828.221980333</v>
      </c>
      <c r="J28">
        <f>J27/(1+'Study Parameters'!$C$3)^'LCOF Baseline'!J$24</f>
        <v>65912803.909241043</v>
      </c>
      <c r="K28">
        <f>K27/(1+'Study Parameters'!$C$3)^'LCOF Baseline'!K$24</f>
        <v>61030373.990038</v>
      </c>
      <c r="L28">
        <f>L27/(1+'Study Parameters'!$C$3)^'LCOF Baseline'!L$24</f>
        <v>56509605.54633148</v>
      </c>
      <c r="M28">
        <f>M27/(1+'Study Parameters'!$C$3)^'LCOF Baseline'!M$24</f>
        <v>52323708.839195818</v>
      </c>
      <c r="N28">
        <f>N27/(1+'Study Parameters'!$C$3)^'LCOF Baseline'!N$24</f>
        <v>48447878.554810934</v>
      </c>
      <c r="O28">
        <f>O27/(1+'Study Parameters'!$C$3)^'LCOF Baseline'!O$24</f>
        <v>44859146.810010128</v>
      </c>
      <c r="P28">
        <f>P27/(1+'Study Parameters'!$C$3)^'LCOF Baseline'!P$24</f>
        <v>41536247.046305664</v>
      </c>
      <c r="Q28">
        <f>Q27/(1+'Study Parameters'!$C$3)^'LCOF Baseline'!Q$24</f>
        <v>38459488.005838573</v>
      </c>
      <c r="R28">
        <f>R27/(1+'Study Parameters'!$C$3)^'LCOF Baseline'!R$24</f>
        <v>35610637.042443126</v>
      </c>
      <c r="S28">
        <f>S27/(1+'Study Parameters'!$C$3)^'LCOF Baseline'!S$24</f>
        <v>32972812.076336227</v>
      </c>
      <c r="T28">
        <f>T27/(1+'Study Parameters'!$C$3)^'LCOF Baseline'!T$24</f>
        <v>30530381.552163169</v>
      </c>
      <c r="U28">
        <f>U27/(1+'Study Parameters'!$C$3)^'LCOF Baseline'!U$24</f>
        <v>28268871.807558488</v>
      </c>
      <c r="V28">
        <f>V27/(1+'Study Parameters'!$C$3)^'LCOF Baseline'!V$24</f>
        <v>26174881.303294897</v>
      </c>
      <c r="W28">
        <f>W27/(1+'Study Parameters'!$C$3)^'LCOF Baseline'!W$24</f>
        <v>24236001.206754535</v>
      </c>
      <c r="X28">
        <f>X27/(1+'Study Parameters'!$C$3)^'LCOF Baseline'!X$24</f>
        <v>22440741.858106047</v>
      </c>
      <c r="Y28">
        <f>Y27/(1+'Study Parameters'!$C$3)^'LCOF Baseline'!Y$24</f>
        <v>20778464.683431525</v>
      </c>
      <c r="Z28">
        <f>Z27/(1+'Study Parameters'!$C$3)^'LCOF Baseline'!Z$24</f>
        <v>19239319.151325487</v>
      </c>
      <c r="AA28">
        <f>AA27/(1+'Study Parameters'!$C$3)^'LCOF Baseline'!AA$24</f>
        <v>17814184.399375446</v>
      </c>
      <c r="AB28">
        <f>AB27/(1+'Study Parameters'!$C$3)^'LCOF Baseline'!AB$24</f>
        <v>16494615.184606897</v>
      </c>
      <c r="AC28">
        <f>AC27/(1+'Study Parameters'!$C$3)^'LCOF Baseline'!AC$24</f>
        <v>15272791.837598978</v>
      </c>
      <c r="AD28">
        <f>AD27/(1+'Study Parameters'!$C$3)^'LCOF Baseline'!AD$24</f>
        <v>14141473.923702758</v>
      </c>
      <c r="AE28">
        <f>AE27/(1+'Study Parameters'!$C$3)^'LCOF Baseline'!AE$24</f>
        <v>13093957.336761812</v>
      </c>
      <c r="AF28">
        <f>AF27/(1+'Study Parameters'!$C$3)^'LCOF Baseline'!AF$24</f>
        <v>12124034.571075751</v>
      </c>
    </row>
    <row r="29" spans="1:32" x14ac:dyDescent="0.25">
      <c r="A29" t="s">
        <v>157</v>
      </c>
      <c r="B29">
        <v>0</v>
      </c>
      <c r="C29">
        <f>'Study Parameters'!$C$9</f>
        <v>157410000</v>
      </c>
      <c r="D29">
        <f>'Study Parameters'!$C$9</f>
        <v>157410000</v>
      </c>
      <c r="E29">
        <f>'Study Parameters'!$C$9</f>
        <v>157410000</v>
      </c>
      <c r="F29">
        <f>'Study Parameters'!$C$9</f>
        <v>157410000</v>
      </c>
      <c r="G29">
        <f>'Study Parameters'!$C$9</f>
        <v>157410000</v>
      </c>
      <c r="H29">
        <f>'Study Parameters'!$C$9</f>
        <v>157410000</v>
      </c>
      <c r="I29">
        <f>'Study Parameters'!$C$9</f>
        <v>157410000</v>
      </c>
      <c r="J29">
        <f>'Study Parameters'!$C$9</f>
        <v>157410000</v>
      </c>
      <c r="K29">
        <f>'Study Parameters'!$C$9</f>
        <v>157410000</v>
      </c>
      <c r="L29">
        <f>'Study Parameters'!$C$9</f>
        <v>157410000</v>
      </c>
      <c r="M29">
        <f>'Study Parameters'!$C$9</f>
        <v>157410000</v>
      </c>
      <c r="N29">
        <f>'Study Parameters'!$C$9</f>
        <v>157410000</v>
      </c>
      <c r="O29">
        <f>'Study Parameters'!$C$9</f>
        <v>157410000</v>
      </c>
      <c r="P29">
        <f>'Study Parameters'!$C$9</f>
        <v>157410000</v>
      </c>
      <c r="Q29">
        <f>'Study Parameters'!$C$9</f>
        <v>157410000</v>
      </c>
      <c r="R29">
        <f>'Study Parameters'!$C$9</f>
        <v>157410000</v>
      </c>
      <c r="S29">
        <f>'Study Parameters'!$C$9</f>
        <v>157410000</v>
      </c>
      <c r="T29">
        <f>'Study Parameters'!$C$9</f>
        <v>157410000</v>
      </c>
      <c r="U29">
        <f>'Study Parameters'!$C$9</f>
        <v>157410000</v>
      </c>
      <c r="V29">
        <f>'Study Parameters'!$C$9</f>
        <v>157410000</v>
      </c>
      <c r="W29">
        <f>'Study Parameters'!$C$9</f>
        <v>157410000</v>
      </c>
      <c r="X29">
        <f>'Study Parameters'!$C$9</f>
        <v>157410000</v>
      </c>
      <c r="Y29">
        <f>'Study Parameters'!$C$9</f>
        <v>157410000</v>
      </c>
      <c r="Z29">
        <f>'Study Parameters'!$C$9</f>
        <v>157410000</v>
      </c>
      <c r="AA29">
        <f>'Study Parameters'!$C$9</f>
        <v>157410000</v>
      </c>
      <c r="AB29">
        <f>'Study Parameters'!$C$9</f>
        <v>157410000</v>
      </c>
      <c r="AC29">
        <f>'Study Parameters'!$C$9</f>
        <v>157410000</v>
      </c>
      <c r="AD29">
        <f>'Study Parameters'!$C$9</f>
        <v>157410000</v>
      </c>
      <c r="AE29">
        <f>'Study Parameters'!$C$9</f>
        <v>157410000</v>
      </c>
      <c r="AF29">
        <f>'Study Parameters'!$C$9</f>
        <v>157410000</v>
      </c>
    </row>
    <row r="30" spans="1:32" x14ac:dyDescent="0.25">
      <c r="A30" t="s">
        <v>158</v>
      </c>
      <c r="B30">
        <v>0</v>
      </c>
      <c r="C30">
        <f>C29/(1+'Study Parameters'!$C$3)^'LCOF Baseline'!C$24</f>
        <v>145750000</v>
      </c>
      <c r="D30">
        <f>D29/(1+'Study Parameters'!$C$3)^'LCOF Baseline'!D$24</f>
        <v>134953703.7037037</v>
      </c>
      <c r="E30">
        <f>E29/(1+'Study Parameters'!$C$3)^'LCOF Baseline'!E$24</f>
        <v>124957133.05898489</v>
      </c>
      <c r="F30">
        <f>F29/(1+'Study Parameters'!$C$3)^'LCOF Baseline'!F$24</f>
        <v>115701049.12868971</v>
      </c>
      <c r="G30">
        <f>G29/(1+'Study Parameters'!$C$3)^'LCOF Baseline'!G$24</f>
        <v>107130601.04508306</v>
      </c>
      <c r="H30">
        <f>H29/(1+'Study Parameters'!$C$3)^'LCOF Baseline'!H$24</f>
        <v>99195000.967669487</v>
      </c>
      <c r="I30">
        <f>I29/(1+'Study Parameters'!$C$3)^'LCOF Baseline'!I$24</f>
        <v>91847223.118212491</v>
      </c>
      <c r="J30">
        <f>J29/(1+'Study Parameters'!$C$3)^'LCOF Baseline'!J$24</f>
        <v>85043725.109456003</v>
      </c>
      <c r="K30">
        <f>K29/(1+'Study Parameters'!$C$3)^'LCOF Baseline'!K$24</f>
        <v>78744189.916162968</v>
      </c>
      <c r="L30">
        <f>L29/(1+'Study Parameters'!$C$3)^'LCOF Baseline'!L$24</f>
        <v>72911286.959410146</v>
      </c>
      <c r="M30">
        <f>M29/(1+'Study Parameters'!$C$3)^'LCOF Baseline'!M$24</f>
        <v>67510450.888342723</v>
      </c>
      <c r="N30">
        <f>N29/(1+'Study Parameters'!$C$3)^'LCOF Baseline'!N$24</f>
        <v>62509676.748465486</v>
      </c>
      <c r="O30">
        <f>O29/(1+'Study Parameters'!$C$3)^'LCOF Baseline'!O$24</f>
        <v>57879330.322653227</v>
      </c>
      <c r="P30">
        <f>P29/(1+'Study Parameters'!$C$3)^'LCOF Baseline'!P$24</f>
        <v>53591972.520975202</v>
      </c>
      <c r="Q30">
        <f>Q29/(1+'Study Parameters'!$C$3)^'LCOF Baseline'!Q$24</f>
        <v>49622196.778680742</v>
      </c>
      <c r="R30">
        <f>R29/(1+'Study Parameters'!$C$3)^'LCOF Baseline'!R$24</f>
        <v>45946478.498778462</v>
      </c>
      <c r="S30">
        <f>S29/(1+'Study Parameters'!$C$3)^'LCOF Baseline'!S$24</f>
        <v>42543035.647017092</v>
      </c>
      <c r="T30">
        <f>T29/(1+'Study Parameters'!$C$3)^'LCOF Baseline'!T$24</f>
        <v>39391699.673163973</v>
      </c>
      <c r="U30">
        <f>U29/(1+'Study Parameters'!$C$3)^'LCOF Baseline'!U$24</f>
        <v>36473795.993670344</v>
      </c>
      <c r="V30">
        <f>V29/(1+'Study Parameters'!$C$3)^'LCOF Baseline'!V$24</f>
        <v>33772033.327472538</v>
      </c>
      <c r="W30">
        <f>W29/(1+'Study Parameters'!$C$3)^'LCOF Baseline'!W$24</f>
        <v>31270401.229141239</v>
      </c>
      <c r="X30">
        <f>X29/(1+'Study Parameters'!$C$3)^'LCOF Baseline'!X$24</f>
        <v>28954075.212167811</v>
      </c>
      <c r="Y30">
        <f>Y29/(1+'Study Parameters'!$C$3)^'LCOF Baseline'!Y$24</f>
        <v>26809328.90015538</v>
      </c>
      <c r="Z30">
        <f>Z29/(1+'Study Parameters'!$C$3)^'LCOF Baseline'!Z$24</f>
        <v>24823452.685329054</v>
      </c>
      <c r="AA30">
        <f>AA29/(1+'Study Parameters'!$C$3)^'LCOF Baseline'!AA$24</f>
        <v>22984678.412341714</v>
      </c>
      <c r="AB30">
        <f>AB29/(1+'Study Parameters'!$C$3)^'LCOF Baseline'!AB$24</f>
        <v>21282109.641057145</v>
      </c>
      <c r="AC30">
        <f>AC29/(1+'Study Parameters'!$C$3)^'LCOF Baseline'!AC$24</f>
        <v>19705657.07505291</v>
      </c>
      <c r="AD30">
        <f>AD29/(1+'Study Parameters'!$C$3)^'LCOF Baseline'!AD$24</f>
        <v>18245978.773197141</v>
      </c>
      <c r="AE30">
        <f>AE29/(1+'Study Parameters'!$C$3)^'LCOF Baseline'!AE$24</f>
        <v>16894424.78999735</v>
      </c>
      <c r="AF30">
        <f>AF29/(1+'Study Parameters'!$C$3)^'LCOF Baseline'!AF$24</f>
        <v>15642985.916664211</v>
      </c>
    </row>
    <row r="32" spans="1:32" x14ac:dyDescent="0.25">
      <c r="A32" t="s">
        <v>159</v>
      </c>
      <c r="B32">
        <f>(SUM(B26:AF26) - SUM(B28:AF28)) / SUM(B30:AF30)</f>
        <v>11.820863596942624</v>
      </c>
    </row>
    <row r="34" spans="1:32" x14ac:dyDescent="0.25">
      <c r="A34" s="1" t="s">
        <v>12</v>
      </c>
    </row>
    <row r="35" spans="1:32" x14ac:dyDescent="0.25">
      <c r="A35" t="s">
        <v>21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</row>
    <row r="36" spans="1:32" x14ac:dyDescent="0.25">
      <c r="A36" t="s">
        <v>110</v>
      </c>
      <c r="B36">
        <f>'Cost Components'!T23 * 10^6</f>
        <v>850000000</v>
      </c>
      <c r="C36">
        <f>'Cost Components'!$T$26 * 10^6</f>
        <v>936839999.99999988</v>
      </c>
      <c r="D36">
        <f>'Cost Components'!$T$26 * 10^6</f>
        <v>936839999.99999988</v>
      </c>
      <c r="E36">
        <f>'Cost Components'!$T$26 * 10^6</f>
        <v>936839999.99999988</v>
      </c>
      <c r="F36">
        <f>'Cost Components'!$T$26 * 10^6</f>
        <v>936839999.99999988</v>
      </c>
      <c r="G36">
        <f>'Cost Components'!$T$26 * 10^6</f>
        <v>936839999.99999988</v>
      </c>
      <c r="H36">
        <f>'Cost Components'!$T$26 * 10^6</f>
        <v>936839999.99999988</v>
      </c>
      <c r="I36">
        <f>'Cost Components'!$T$26 * 10^6</f>
        <v>936839999.99999988</v>
      </c>
      <c r="J36">
        <f>'Cost Components'!$T$26 * 10^6</f>
        <v>936839999.99999988</v>
      </c>
      <c r="K36">
        <f>'Cost Components'!$T$26 * 10^6</f>
        <v>936839999.99999988</v>
      </c>
      <c r="L36">
        <f>'Cost Components'!$T$26 * 10^6</f>
        <v>936839999.99999988</v>
      </c>
      <c r="M36">
        <f>'Cost Components'!$T$26 * 10^6</f>
        <v>936839999.99999988</v>
      </c>
      <c r="N36">
        <f>'Cost Components'!$T$26 * 10^6 + 'Cost Components'!$T$7 * 10^6</f>
        <v>1005839999.9999999</v>
      </c>
      <c r="O36">
        <f>'Cost Components'!$T$26 * 10^6</f>
        <v>936839999.99999988</v>
      </c>
      <c r="P36">
        <f>'Cost Components'!$T$26 * 10^6</f>
        <v>936839999.99999988</v>
      </c>
      <c r="Q36">
        <f>'Cost Components'!$T$26 * 10^6</f>
        <v>936839999.99999988</v>
      </c>
      <c r="R36">
        <f>'Cost Components'!$T$26 * 10^6</f>
        <v>936839999.99999988</v>
      </c>
      <c r="S36">
        <f>'Cost Components'!$T$26 * 10^6</f>
        <v>936839999.99999988</v>
      </c>
      <c r="T36">
        <f>'Cost Components'!$T$26 * 10^6</f>
        <v>936839999.99999988</v>
      </c>
      <c r="U36">
        <f>'Cost Components'!$T$26 * 10^6</f>
        <v>936839999.99999988</v>
      </c>
      <c r="V36">
        <f>'Cost Components'!$T$26 * 10^6</f>
        <v>936839999.99999988</v>
      </c>
      <c r="W36">
        <f>'Cost Components'!$T$26 * 10^6</f>
        <v>936839999.99999988</v>
      </c>
      <c r="X36">
        <f>'Cost Components'!$T$26 * 10^6</f>
        <v>936839999.99999988</v>
      </c>
      <c r="Y36">
        <f>'Cost Components'!$T$26 * 10^6</f>
        <v>936839999.99999988</v>
      </c>
      <c r="Z36">
        <f>'Cost Components'!$T$26 * 10^6 + 'Cost Components'!$T$7 * 10^6</f>
        <v>1005839999.9999999</v>
      </c>
      <c r="AA36">
        <f>'Cost Components'!$T$26 * 10^6</f>
        <v>936839999.99999988</v>
      </c>
      <c r="AB36">
        <f>'Cost Components'!$T$26 * 10^6</f>
        <v>936839999.99999988</v>
      </c>
      <c r="AC36">
        <f>'Cost Components'!$T$26 * 10^6</f>
        <v>936839999.99999988</v>
      </c>
      <c r="AD36">
        <f>'Cost Components'!$T$26 * 10^6</f>
        <v>936839999.99999988</v>
      </c>
      <c r="AE36">
        <f>'Cost Components'!$T$26 * 10^6</f>
        <v>936839999.99999988</v>
      </c>
      <c r="AF36">
        <f>'Cost Components'!$T$26 * 10^6</f>
        <v>936839999.99999988</v>
      </c>
    </row>
    <row r="37" spans="1:32" x14ac:dyDescent="0.25">
      <c r="A37" t="s">
        <v>111</v>
      </c>
      <c r="B37">
        <f>B36/(1+'Study Parameters'!$C$3)^'LCOF Baseline'!B$35</f>
        <v>850000000</v>
      </c>
      <c r="C37">
        <f>C36/(1+'Study Parameters'!$C$3)^'LCOF Baseline'!C$35</f>
        <v>867444444.4444443</v>
      </c>
      <c r="D37">
        <f>D36/(1+'Study Parameters'!$C$3)^'LCOF Baseline'!D$35</f>
        <v>803189300.41152251</v>
      </c>
      <c r="E37">
        <f>E36/(1+'Study Parameters'!$C$3)^'LCOF Baseline'!E$35</f>
        <v>743693796.67733562</v>
      </c>
      <c r="F37">
        <f>F36/(1+'Study Parameters'!$C$3)^'LCOF Baseline'!F$35</f>
        <v>688605367.2938292</v>
      </c>
      <c r="G37">
        <f>G36/(1+'Study Parameters'!$C$3)^'LCOF Baseline'!G$35</f>
        <v>637597562.3091011</v>
      </c>
      <c r="H37">
        <f>H36/(1+'Study Parameters'!$C$3)^'LCOF Baseline'!H$35</f>
        <v>590368113.24916756</v>
      </c>
      <c r="I37">
        <f>I36/(1+'Study Parameters'!$C$3)^'LCOF Baseline'!I$35</f>
        <v>546637141.89737737</v>
      </c>
      <c r="J37">
        <f>J36/(1+'Study Parameters'!$C$3)^'LCOF Baseline'!J$35</f>
        <v>506145501.75683093</v>
      </c>
      <c r="K37">
        <f>K36/(1+'Study Parameters'!$C$3)^'LCOF Baseline'!K$35</f>
        <v>468653242.36743599</v>
      </c>
      <c r="L37">
        <f>L36/(1+'Study Parameters'!$C$3)^'LCOF Baseline'!L$35</f>
        <v>433938187.37725556</v>
      </c>
      <c r="M37">
        <f>M36/(1+'Study Parameters'!$C$3)^'LCOF Baseline'!M$35</f>
        <v>401794617.94190329</v>
      </c>
      <c r="N37">
        <f>N36/(1+'Study Parameters'!$C$3)^'LCOF Baseline'!N$35</f>
        <v>399432902.9964838</v>
      </c>
      <c r="O37">
        <f>O36/(1+'Study Parameters'!$C$3)^'LCOF Baseline'!O$35</f>
        <v>344474123.74991703</v>
      </c>
      <c r="P37">
        <f>P36/(1+'Study Parameters'!$C$3)^'LCOF Baseline'!P$35</f>
        <v>318957521.99066389</v>
      </c>
      <c r="Q37">
        <f>Q36/(1+'Study Parameters'!$C$3)^'LCOF Baseline'!Q$35</f>
        <v>295331038.88024431</v>
      </c>
      <c r="R37">
        <f>R36/(1+'Study Parameters'!$C$3)^'LCOF Baseline'!R$35</f>
        <v>273454665.62985587</v>
      </c>
      <c r="S37">
        <f>S36/(1+'Study Parameters'!$C$3)^'LCOF Baseline'!S$35</f>
        <v>253198764.47208875</v>
      </c>
      <c r="T37">
        <f>T36/(1+'Study Parameters'!$C$3)^'LCOF Baseline'!T$35</f>
        <v>234443300.43711919</v>
      </c>
      <c r="U37">
        <f>U36/(1+'Study Parameters'!$C$3)^'LCOF Baseline'!U$35</f>
        <v>217077130.03436959</v>
      </c>
      <c r="V37">
        <f>V36/(1+'Study Parameters'!$C$3)^'LCOF Baseline'!V$35</f>
        <v>200997342.62441629</v>
      </c>
      <c r="W37">
        <f>W36/(1+'Study Parameters'!$C$3)^'LCOF Baseline'!W$35</f>
        <v>186108650.57816324</v>
      </c>
      <c r="X37">
        <f>X36/(1+'Study Parameters'!$C$3)^'LCOF Baseline'!X$35</f>
        <v>172322824.60941038</v>
      </c>
      <c r="Y37">
        <f>Y36/(1+'Study Parameters'!$C$3)^'LCOF Baseline'!Y$35</f>
        <v>159558170.93463925</v>
      </c>
      <c r="Z37">
        <f>Z36/(1+'Study Parameters'!$C$3)^'LCOF Baseline'!Z$35</f>
        <v>158620301.43581331</v>
      </c>
      <c r="AA37">
        <f>AA36/(1+'Study Parameters'!$C$3)^'LCOF Baseline'!AA$35</f>
        <v>136795414.03861386</v>
      </c>
      <c r="AB37">
        <f>AB36/(1+'Study Parameters'!$C$3)^'LCOF Baseline'!AB$35</f>
        <v>126662420.40612397</v>
      </c>
      <c r="AC37">
        <f>AC36/(1+'Study Parameters'!$C$3)^'LCOF Baseline'!AC$35</f>
        <v>117280018.89455922</v>
      </c>
      <c r="AD37">
        <f>AD36/(1+'Study Parameters'!$C$3)^'LCOF Baseline'!AD$35</f>
        <v>108592610.08755483</v>
      </c>
      <c r="AE37">
        <f>AE36/(1+'Study Parameters'!$C$3)^'LCOF Baseline'!AE$35</f>
        <v>100548713.04403225</v>
      </c>
      <c r="AF37">
        <f>AF36/(1+'Study Parameters'!$C$3)^'LCOF Baseline'!AF$35</f>
        <v>93100660.225955769</v>
      </c>
    </row>
    <row r="38" spans="1:32" x14ac:dyDescent="0.25">
      <c r="A38" t="s">
        <v>155</v>
      </c>
      <c r="B38">
        <v>0</v>
      </c>
      <c r="C38">
        <f>'Study Parameters'!$C$42 * 10^6</f>
        <v>122000000</v>
      </c>
      <c r="D38">
        <f>'Study Parameters'!$C$42 * 10^6</f>
        <v>122000000</v>
      </c>
      <c r="E38">
        <f>'Study Parameters'!$C$42 * 10^6</f>
        <v>122000000</v>
      </c>
      <c r="F38">
        <f>'Study Parameters'!$C$42 * 10^6</f>
        <v>122000000</v>
      </c>
      <c r="G38">
        <f>'Study Parameters'!$C$42 * 10^6</f>
        <v>122000000</v>
      </c>
      <c r="H38">
        <f>'Study Parameters'!$C$42 * 10^6</f>
        <v>122000000</v>
      </c>
      <c r="I38">
        <f>'Study Parameters'!$C$42 * 10^6</f>
        <v>122000000</v>
      </c>
      <c r="J38">
        <f>'Study Parameters'!$C$42 * 10^6</f>
        <v>122000000</v>
      </c>
      <c r="K38">
        <f>'Study Parameters'!$C$42 * 10^6</f>
        <v>122000000</v>
      </c>
      <c r="L38">
        <f>'Study Parameters'!$C$42 * 10^6</f>
        <v>122000000</v>
      </c>
      <c r="M38">
        <f>'Study Parameters'!$C$42 * 10^6</f>
        <v>122000000</v>
      </c>
      <c r="N38">
        <f>'Study Parameters'!$C$42 * 10^6</f>
        <v>122000000</v>
      </c>
      <c r="O38">
        <f>'Study Parameters'!$C$42 * 10^6</f>
        <v>122000000</v>
      </c>
      <c r="P38">
        <f>'Study Parameters'!$C$42 * 10^6</f>
        <v>122000000</v>
      </c>
      <c r="Q38">
        <f>'Study Parameters'!$C$42 * 10^6</f>
        <v>122000000</v>
      </c>
      <c r="R38">
        <f>'Study Parameters'!$C$42 * 10^6</f>
        <v>122000000</v>
      </c>
      <c r="S38">
        <f>'Study Parameters'!$C$42 * 10^6</f>
        <v>122000000</v>
      </c>
      <c r="T38">
        <f>'Study Parameters'!$C$42 * 10^6</f>
        <v>122000000</v>
      </c>
      <c r="U38">
        <f>'Study Parameters'!$C$42 * 10^6</f>
        <v>122000000</v>
      </c>
      <c r="V38">
        <f>'Study Parameters'!$C$42 * 10^6</f>
        <v>122000000</v>
      </c>
      <c r="W38">
        <f>'Study Parameters'!$C$42 * 10^6</f>
        <v>122000000</v>
      </c>
      <c r="X38">
        <f>'Study Parameters'!$C$42 * 10^6</f>
        <v>122000000</v>
      </c>
      <c r="Y38">
        <f>'Study Parameters'!$C$42 * 10^6</f>
        <v>122000000</v>
      </c>
      <c r="Z38">
        <f>'Study Parameters'!$C$42 * 10^6</f>
        <v>122000000</v>
      </c>
      <c r="AA38">
        <f>'Study Parameters'!$C$42 * 10^6</f>
        <v>122000000</v>
      </c>
      <c r="AB38">
        <f>'Study Parameters'!$C$42 * 10^6</f>
        <v>122000000</v>
      </c>
      <c r="AC38">
        <f>'Study Parameters'!$C$42 * 10^6</f>
        <v>122000000</v>
      </c>
      <c r="AD38">
        <f>'Study Parameters'!$C$42 * 10^6</f>
        <v>122000000</v>
      </c>
      <c r="AE38">
        <f>'Study Parameters'!$C$42 * 10^6</f>
        <v>122000000</v>
      </c>
      <c r="AF38">
        <f>'Study Parameters'!$C$42 * 10^6</f>
        <v>122000000</v>
      </c>
    </row>
    <row r="39" spans="1:32" x14ac:dyDescent="0.25">
      <c r="A39" t="s">
        <v>156</v>
      </c>
      <c r="B39">
        <v>0</v>
      </c>
      <c r="C39">
        <f>C38/(1+'Study Parameters'!$C$3)^'LCOF Baseline'!C$35</f>
        <v>112962962.96296296</v>
      </c>
      <c r="D39">
        <f>D38/(1+'Study Parameters'!$C$3)^'LCOF Baseline'!D$35</f>
        <v>104595336.07681754</v>
      </c>
      <c r="E39">
        <f>E38/(1+'Study Parameters'!$C$3)^'LCOF Baseline'!E$35</f>
        <v>96847533.404460683</v>
      </c>
      <c r="F39">
        <f>F38/(1+'Study Parameters'!$C$3)^'LCOF Baseline'!F$35</f>
        <v>89673642.041167304</v>
      </c>
      <c r="G39">
        <f>G38/(1+'Study Parameters'!$C$3)^'LCOF Baseline'!G$35</f>
        <v>83031150.038117871</v>
      </c>
      <c r="H39">
        <f>H38/(1+'Study Parameters'!$C$3)^'LCOF Baseline'!H$35</f>
        <v>76880694.479738757</v>
      </c>
      <c r="I39">
        <f>I38/(1+'Study Parameters'!$C$3)^'LCOF Baseline'!I$35</f>
        <v>71185828.221980333</v>
      </c>
      <c r="J39">
        <f>J38/(1+'Study Parameters'!$C$3)^'LCOF Baseline'!J$35</f>
        <v>65912803.909241043</v>
      </c>
      <c r="K39">
        <f>K38/(1+'Study Parameters'!$C$3)^'LCOF Baseline'!K$35</f>
        <v>61030373.990038</v>
      </c>
      <c r="L39">
        <f>L38/(1+'Study Parameters'!$C$3)^'LCOF Baseline'!L$35</f>
        <v>56509605.54633148</v>
      </c>
      <c r="M39">
        <f>M38/(1+'Study Parameters'!$C$3)^'LCOF Baseline'!M$35</f>
        <v>52323708.839195818</v>
      </c>
      <c r="N39">
        <f>N38/(1+'Study Parameters'!$C$3)^'LCOF Baseline'!N$35</f>
        <v>48447878.554810934</v>
      </c>
      <c r="O39">
        <f>O38/(1+'Study Parameters'!$C$3)^'LCOF Baseline'!O$35</f>
        <v>44859146.810010128</v>
      </c>
      <c r="P39">
        <f>P38/(1+'Study Parameters'!$C$3)^'LCOF Baseline'!P$35</f>
        <v>41536247.046305664</v>
      </c>
      <c r="Q39">
        <f>Q38/(1+'Study Parameters'!$C$3)^'LCOF Baseline'!Q$35</f>
        <v>38459488.005838573</v>
      </c>
      <c r="R39">
        <f>R38/(1+'Study Parameters'!$C$3)^'LCOF Baseline'!R$35</f>
        <v>35610637.042443126</v>
      </c>
      <c r="S39">
        <f>S38/(1+'Study Parameters'!$C$3)^'LCOF Baseline'!S$35</f>
        <v>32972812.076336227</v>
      </c>
      <c r="T39">
        <f>T38/(1+'Study Parameters'!$C$3)^'LCOF Baseline'!T$35</f>
        <v>30530381.552163169</v>
      </c>
      <c r="U39">
        <f>U38/(1+'Study Parameters'!$C$3)^'LCOF Baseline'!U$35</f>
        <v>28268871.807558488</v>
      </c>
      <c r="V39">
        <f>V38/(1+'Study Parameters'!$C$3)^'LCOF Baseline'!V$35</f>
        <v>26174881.303294897</v>
      </c>
      <c r="W39">
        <f>W38/(1+'Study Parameters'!$C$3)^'LCOF Baseline'!W$35</f>
        <v>24236001.206754535</v>
      </c>
      <c r="X39">
        <f>X38/(1+'Study Parameters'!$C$3)^'LCOF Baseline'!X$35</f>
        <v>22440741.858106047</v>
      </c>
      <c r="Y39">
        <f>Y38/(1+'Study Parameters'!$C$3)^'LCOF Baseline'!Y$35</f>
        <v>20778464.683431525</v>
      </c>
      <c r="Z39">
        <f>Z38/(1+'Study Parameters'!$C$3)^'LCOF Baseline'!Z$35</f>
        <v>19239319.151325487</v>
      </c>
      <c r="AA39">
        <f>AA38/(1+'Study Parameters'!$C$3)^'LCOF Baseline'!AA$35</f>
        <v>17814184.399375446</v>
      </c>
      <c r="AB39">
        <f>AB38/(1+'Study Parameters'!$C$3)^'LCOF Baseline'!AB$35</f>
        <v>16494615.184606897</v>
      </c>
      <c r="AC39">
        <f>AC38/(1+'Study Parameters'!$C$3)^'LCOF Baseline'!AC$35</f>
        <v>15272791.837598978</v>
      </c>
      <c r="AD39">
        <f>AD38/(1+'Study Parameters'!$C$3)^'LCOF Baseline'!AD$35</f>
        <v>14141473.923702758</v>
      </c>
      <c r="AE39">
        <f>AE38/(1+'Study Parameters'!$C$3)^'LCOF Baseline'!AE$35</f>
        <v>13093957.336761812</v>
      </c>
      <c r="AF39">
        <f>AF38/(1+'Study Parameters'!$C$3)^'LCOF Baseline'!AF$35</f>
        <v>12124034.571075751</v>
      </c>
    </row>
    <row r="40" spans="1:32" x14ac:dyDescent="0.25">
      <c r="A40" t="s">
        <v>157</v>
      </c>
      <c r="B40">
        <v>0</v>
      </c>
      <c r="C40">
        <f>'Study Parameters'!$C$9</f>
        <v>157410000</v>
      </c>
      <c r="D40">
        <f>'Study Parameters'!$C$9</f>
        <v>157410000</v>
      </c>
      <c r="E40">
        <f>'Study Parameters'!$C$9</f>
        <v>157410000</v>
      </c>
      <c r="F40">
        <f>'Study Parameters'!$C$9</f>
        <v>157410000</v>
      </c>
      <c r="G40">
        <f>'Study Parameters'!$C$9</f>
        <v>157410000</v>
      </c>
      <c r="H40">
        <f>'Study Parameters'!$C$9</f>
        <v>157410000</v>
      </c>
      <c r="I40">
        <f>'Study Parameters'!$C$9</f>
        <v>157410000</v>
      </c>
      <c r="J40">
        <f>'Study Parameters'!$C$9</f>
        <v>157410000</v>
      </c>
      <c r="K40">
        <f>'Study Parameters'!$C$9</f>
        <v>157410000</v>
      </c>
      <c r="L40">
        <f>'Study Parameters'!$C$9</f>
        <v>157410000</v>
      </c>
      <c r="M40">
        <f>'Study Parameters'!$C$9</f>
        <v>157410000</v>
      </c>
      <c r="N40">
        <f>'Study Parameters'!$C$9</f>
        <v>157410000</v>
      </c>
      <c r="O40">
        <f>'Study Parameters'!$C$9</f>
        <v>157410000</v>
      </c>
      <c r="P40">
        <f>'Study Parameters'!$C$9</f>
        <v>157410000</v>
      </c>
      <c r="Q40">
        <f>'Study Parameters'!$C$9</f>
        <v>157410000</v>
      </c>
      <c r="R40">
        <f>'Study Parameters'!$C$9</f>
        <v>157410000</v>
      </c>
      <c r="S40">
        <f>'Study Parameters'!$C$9</f>
        <v>157410000</v>
      </c>
      <c r="T40">
        <f>'Study Parameters'!$C$9</f>
        <v>157410000</v>
      </c>
      <c r="U40">
        <f>'Study Parameters'!$C$9</f>
        <v>157410000</v>
      </c>
      <c r="V40">
        <f>'Study Parameters'!$C$9</f>
        <v>157410000</v>
      </c>
      <c r="W40">
        <f>'Study Parameters'!$C$9</f>
        <v>157410000</v>
      </c>
      <c r="X40">
        <f>'Study Parameters'!$C$9</f>
        <v>157410000</v>
      </c>
      <c r="Y40">
        <f>'Study Parameters'!$C$9</f>
        <v>157410000</v>
      </c>
      <c r="Z40">
        <f>'Study Parameters'!$C$9</f>
        <v>157410000</v>
      </c>
      <c r="AA40">
        <f>'Study Parameters'!$C$9</f>
        <v>157410000</v>
      </c>
      <c r="AB40">
        <f>'Study Parameters'!$C$9</f>
        <v>157410000</v>
      </c>
      <c r="AC40">
        <f>'Study Parameters'!$C$9</f>
        <v>157410000</v>
      </c>
      <c r="AD40">
        <f>'Study Parameters'!$C$9</f>
        <v>157410000</v>
      </c>
      <c r="AE40">
        <f>'Study Parameters'!$C$9</f>
        <v>157410000</v>
      </c>
      <c r="AF40">
        <f>'Study Parameters'!$C$9</f>
        <v>157410000</v>
      </c>
    </row>
    <row r="41" spans="1:32" x14ac:dyDescent="0.25">
      <c r="A41" t="s">
        <v>158</v>
      </c>
      <c r="B41">
        <v>0</v>
      </c>
      <c r="C41">
        <f>C40/(1+'Study Parameters'!$C$3)^'LCOF Baseline'!C$35</f>
        <v>145750000</v>
      </c>
      <c r="D41">
        <f>D40/(1+'Study Parameters'!$C$3)^'LCOF Baseline'!D$35</f>
        <v>134953703.7037037</v>
      </c>
      <c r="E41">
        <f>E40/(1+'Study Parameters'!$C$3)^'LCOF Baseline'!E$35</f>
        <v>124957133.05898489</v>
      </c>
      <c r="F41">
        <f>F40/(1+'Study Parameters'!$C$3)^'LCOF Baseline'!F$35</f>
        <v>115701049.12868971</v>
      </c>
      <c r="G41">
        <f>G40/(1+'Study Parameters'!$C$3)^'LCOF Baseline'!G$35</f>
        <v>107130601.04508306</v>
      </c>
      <c r="H41">
        <f>H40/(1+'Study Parameters'!$C$3)^'LCOF Baseline'!H$35</f>
        <v>99195000.967669487</v>
      </c>
      <c r="I41">
        <f>I40/(1+'Study Parameters'!$C$3)^'LCOF Baseline'!I$35</f>
        <v>91847223.118212491</v>
      </c>
      <c r="J41">
        <f>J40/(1+'Study Parameters'!$C$3)^'LCOF Baseline'!J$35</f>
        <v>85043725.109456003</v>
      </c>
      <c r="K41">
        <f>K40/(1+'Study Parameters'!$C$3)^'LCOF Baseline'!K$35</f>
        <v>78744189.916162968</v>
      </c>
      <c r="L41">
        <f>L40/(1+'Study Parameters'!$C$3)^'LCOF Baseline'!L$35</f>
        <v>72911286.959410146</v>
      </c>
      <c r="M41">
        <f>M40/(1+'Study Parameters'!$C$3)^'LCOF Baseline'!M$35</f>
        <v>67510450.888342723</v>
      </c>
      <c r="N41">
        <f>N40/(1+'Study Parameters'!$C$3)^'LCOF Baseline'!N$35</f>
        <v>62509676.748465486</v>
      </c>
      <c r="O41">
        <f>O40/(1+'Study Parameters'!$C$3)^'LCOF Baseline'!O$35</f>
        <v>57879330.322653227</v>
      </c>
      <c r="P41">
        <f>P40/(1+'Study Parameters'!$C$3)^'LCOF Baseline'!P$35</f>
        <v>53591972.520975202</v>
      </c>
      <c r="Q41">
        <f>Q40/(1+'Study Parameters'!$C$3)^'LCOF Baseline'!Q$35</f>
        <v>49622196.778680742</v>
      </c>
      <c r="R41">
        <f>R40/(1+'Study Parameters'!$C$3)^'LCOF Baseline'!R$35</f>
        <v>45946478.498778462</v>
      </c>
      <c r="S41">
        <f>S40/(1+'Study Parameters'!$C$3)^'LCOF Baseline'!S$35</f>
        <v>42543035.647017092</v>
      </c>
      <c r="T41">
        <f>T40/(1+'Study Parameters'!$C$3)^'LCOF Baseline'!T$35</f>
        <v>39391699.673163973</v>
      </c>
      <c r="U41">
        <f>U40/(1+'Study Parameters'!$C$3)^'LCOF Baseline'!U$35</f>
        <v>36473795.993670344</v>
      </c>
      <c r="V41">
        <f>V40/(1+'Study Parameters'!$C$3)^'LCOF Baseline'!V$35</f>
        <v>33772033.327472538</v>
      </c>
      <c r="W41">
        <f>W40/(1+'Study Parameters'!$C$3)^'LCOF Baseline'!W$35</f>
        <v>31270401.229141239</v>
      </c>
      <c r="X41">
        <f>X40/(1+'Study Parameters'!$C$3)^'LCOF Baseline'!X$35</f>
        <v>28954075.212167811</v>
      </c>
      <c r="Y41">
        <f>Y40/(1+'Study Parameters'!$C$3)^'LCOF Baseline'!Y$35</f>
        <v>26809328.90015538</v>
      </c>
      <c r="Z41">
        <f>Z40/(1+'Study Parameters'!$C$3)^'LCOF Baseline'!Z$35</f>
        <v>24823452.685329054</v>
      </c>
      <c r="AA41">
        <f>AA40/(1+'Study Parameters'!$C$3)^'LCOF Baseline'!AA$35</f>
        <v>22984678.412341714</v>
      </c>
      <c r="AB41">
        <f>AB40/(1+'Study Parameters'!$C$3)^'LCOF Baseline'!AB$35</f>
        <v>21282109.641057145</v>
      </c>
      <c r="AC41">
        <f>AC40/(1+'Study Parameters'!$C$3)^'LCOF Baseline'!AC$35</f>
        <v>19705657.07505291</v>
      </c>
      <c r="AD41">
        <f>AD40/(1+'Study Parameters'!$C$3)^'LCOF Baseline'!AD$35</f>
        <v>18245978.773197141</v>
      </c>
      <c r="AE41">
        <f>AE40/(1+'Study Parameters'!$C$3)^'LCOF Baseline'!AE$35</f>
        <v>16894424.78999735</v>
      </c>
      <c r="AF41">
        <f>AF40/(1+'Study Parameters'!$C$3)^'LCOF Baseline'!AF$35</f>
        <v>15642985.916664211</v>
      </c>
    </row>
    <row r="43" spans="1:32" x14ac:dyDescent="0.25">
      <c r="A43" t="s">
        <v>159</v>
      </c>
      <c r="B43">
        <f>(SUM(B37:AF37) - SUM(B39:AF39)) / SUM(B41:AF41)</f>
        <v>5.677808394564976</v>
      </c>
    </row>
    <row r="45" spans="1:32" x14ac:dyDescent="0.25">
      <c r="A45" s="1" t="s">
        <v>16</v>
      </c>
    </row>
    <row r="46" spans="1:32" x14ac:dyDescent="0.25">
      <c r="A46" t="s">
        <v>21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6</v>
      </c>
      <c r="I46">
        <v>7</v>
      </c>
      <c r="J46">
        <v>8</v>
      </c>
      <c r="K46">
        <v>9</v>
      </c>
      <c r="L46">
        <v>10</v>
      </c>
      <c r="M46">
        <v>11</v>
      </c>
      <c r="N46">
        <v>12</v>
      </c>
      <c r="O46">
        <v>13</v>
      </c>
      <c r="P46">
        <v>14</v>
      </c>
      <c r="Q46">
        <v>15</v>
      </c>
      <c r="R46">
        <v>16</v>
      </c>
      <c r="S46">
        <v>17</v>
      </c>
      <c r="T46">
        <v>18</v>
      </c>
      <c r="U46">
        <v>19</v>
      </c>
      <c r="V46">
        <v>20</v>
      </c>
      <c r="W46">
        <v>21</v>
      </c>
      <c r="X46">
        <v>22</v>
      </c>
      <c r="Y46">
        <v>23</v>
      </c>
      <c r="Z46">
        <v>24</v>
      </c>
      <c r="AA46">
        <v>25</v>
      </c>
      <c r="AB46">
        <v>26</v>
      </c>
      <c r="AC46">
        <v>27</v>
      </c>
      <c r="AD46">
        <v>28</v>
      </c>
      <c r="AE46">
        <v>29</v>
      </c>
      <c r="AF46">
        <v>30</v>
      </c>
    </row>
    <row r="47" spans="1:32" x14ac:dyDescent="0.25">
      <c r="A47" t="s">
        <v>110</v>
      </c>
      <c r="B47">
        <f>'Cost Components'!Z23 * 10^6</f>
        <v>850000000</v>
      </c>
      <c r="C47">
        <f>'Cost Components'!$Z$26 * 10^6</f>
        <v>911246736.84210527</v>
      </c>
      <c r="D47">
        <f>'Cost Components'!$Z$26 * 10^6</f>
        <v>911246736.84210527</v>
      </c>
      <c r="E47">
        <f>'Cost Components'!$Z$26 * 10^6</f>
        <v>911246736.84210527</v>
      </c>
      <c r="F47">
        <f>'Cost Components'!$Z$26 * 10^6</f>
        <v>911246736.84210527</v>
      </c>
      <c r="G47">
        <f>'Cost Components'!$Z$26 * 10^6</f>
        <v>911246736.84210527</v>
      </c>
      <c r="H47">
        <f>'Cost Components'!$Z$26 * 10^6</f>
        <v>911246736.84210527</v>
      </c>
      <c r="I47">
        <f>'Cost Components'!$Z$26 * 10^6</f>
        <v>911246736.84210527</v>
      </c>
      <c r="J47">
        <f>'Cost Components'!$Z$26 * 10^6</f>
        <v>911246736.84210527</v>
      </c>
      <c r="K47">
        <f>'Cost Components'!$Z$26 * 10^6</f>
        <v>911246736.84210527</v>
      </c>
      <c r="L47">
        <f>'Cost Components'!$Z$26 * 10^6</f>
        <v>911246736.84210527</v>
      </c>
      <c r="M47">
        <f>'Cost Components'!$Z$26 * 10^6</f>
        <v>911246736.84210527</v>
      </c>
      <c r="N47">
        <f>'Cost Components'!$Z$26* 10^6 + 'Cost Components'!$Z$7 * 10^6</f>
        <v>980246736.84210527</v>
      </c>
      <c r="O47">
        <f>'Cost Components'!$Z$26 * 10^6</f>
        <v>911246736.84210527</v>
      </c>
      <c r="P47">
        <f>'Cost Components'!$Z$26 * 10^6</f>
        <v>911246736.84210527</v>
      </c>
      <c r="Q47">
        <f>'Cost Components'!$Z$26 * 10^6</f>
        <v>911246736.84210527</v>
      </c>
      <c r="R47">
        <f>'Cost Components'!$Z$26 * 10^6</f>
        <v>911246736.84210527</v>
      </c>
      <c r="S47">
        <f>'Cost Components'!$Z$26 * 10^6</f>
        <v>911246736.84210527</v>
      </c>
      <c r="T47">
        <f>'Cost Components'!$Z$26 * 10^6</f>
        <v>911246736.84210527</v>
      </c>
      <c r="U47">
        <f>'Cost Components'!$Z$26 * 10^6</f>
        <v>911246736.84210527</v>
      </c>
      <c r="V47">
        <f>'Cost Components'!$Z$26 * 10^6</f>
        <v>911246736.84210527</v>
      </c>
      <c r="W47">
        <f>'Cost Components'!$Z$26 * 10^6</f>
        <v>911246736.84210527</v>
      </c>
      <c r="X47">
        <f>'Cost Components'!$Z$26 * 10^6</f>
        <v>911246736.84210527</v>
      </c>
      <c r="Y47">
        <f>'Cost Components'!$Z$26 * 10^6</f>
        <v>911246736.84210527</v>
      </c>
      <c r="Z47">
        <f>'Cost Components'!$Z$26 * 10^6 + 'Cost Components'!$Z$7 * 10^6</f>
        <v>980246736.84210527</v>
      </c>
      <c r="AA47">
        <f>'Cost Components'!$Z$26 * 10^6</f>
        <v>911246736.84210527</v>
      </c>
      <c r="AB47">
        <f>'Cost Components'!$Z$26 * 10^6</f>
        <v>911246736.84210527</v>
      </c>
      <c r="AC47">
        <f>'Cost Components'!$Z$26 * 10^6</f>
        <v>911246736.84210527</v>
      </c>
      <c r="AD47">
        <f>'Cost Components'!$Z$26 * 10^6</f>
        <v>911246736.84210527</v>
      </c>
      <c r="AE47">
        <f>'Cost Components'!$Z$26 * 10^6</f>
        <v>911246736.84210527</v>
      </c>
      <c r="AF47">
        <f>'Cost Components'!$Z$26 * 10^6</f>
        <v>911246736.84210527</v>
      </c>
    </row>
    <row r="48" spans="1:32" x14ac:dyDescent="0.25">
      <c r="A48" t="s">
        <v>111</v>
      </c>
      <c r="B48">
        <f>B47/(1+'Study Parameters'!$C$3)^'LCOF Baseline'!B$46</f>
        <v>850000000</v>
      </c>
      <c r="C48">
        <f>C47/(1+'Study Parameters'!$C$3)^'LCOF Baseline'!C$46</f>
        <v>843746978.55750477</v>
      </c>
      <c r="D48">
        <f>D47/(1+'Study Parameters'!$C$3)^'LCOF Baseline'!D$46</f>
        <v>781247202.36805999</v>
      </c>
      <c r="E48">
        <f>E47/(1+'Study Parameters'!$C$3)^'LCOF Baseline'!E$46</f>
        <v>723377039.22968519</v>
      </c>
      <c r="F48">
        <f>F47/(1+'Study Parameters'!$C$3)^'LCOF Baseline'!F$46</f>
        <v>669793554.84230101</v>
      </c>
      <c r="G48">
        <f>G47/(1+'Study Parameters'!$C$3)^'LCOF Baseline'!G$46</f>
        <v>620179217.44657505</v>
      </c>
      <c r="H48">
        <f>H47/(1+'Study Parameters'!$C$3)^'LCOF Baseline'!H$46</f>
        <v>574240016.15423608</v>
      </c>
      <c r="I48">
        <f>I47/(1+'Study Parameters'!$C$3)^'LCOF Baseline'!I$46</f>
        <v>531703718.66132963</v>
      </c>
      <c r="J48">
        <f>J47/(1+'Study Parameters'!$C$3)^'LCOF Baseline'!J$46</f>
        <v>492318258.0197497</v>
      </c>
      <c r="K48">
        <f>K47/(1+'Study Parameters'!$C$3)^'LCOF Baseline'!K$46</f>
        <v>455850238.9071756</v>
      </c>
      <c r="L48">
        <f>L47/(1+'Study Parameters'!$C$3)^'LCOF Baseline'!L$46</f>
        <v>422083554.54368109</v>
      </c>
      <c r="M48">
        <f>M47/(1+'Study Parameters'!$C$3)^'LCOF Baseline'!M$46</f>
        <v>390818106.05896395</v>
      </c>
      <c r="N48">
        <f>N47/(1+'Study Parameters'!$C$3)^'LCOF Baseline'!N$46</f>
        <v>389269466.06783628</v>
      </c>
      <c r="O48">
        <f>O47/(1+'Study Parameters'!$C$3)^'LCOF Baseline'!O$46</f>
        <v>335063534.00116938</v>
      </c>
      <c r="P48">
        <f>P47/(1+'Study Parameters'!$C$3)^'LCOF Baseline'!P$46</f>
        <v>310244012.96404564</v>
      </c>
      <c r="Q48">
        <f>Q47/(1+'Study Parameters'!$C$3)^'LCOF Baseline'!Q$46</f>
        <v>287262974.9667089</v>
      </c>
      <c r="R48">
        <f>R47/(1+'Study Parameters'!$C$3)^'LCOF Baseline'!R$46</f>
        <v>265984236.08028606</v>
      </c>
      <c r="S48">
        <f>S47/(1+'Study Parameters'!$C$3)^'LCOF Baseline'!S$46</f>
        <v>246281700.07433891</v>
      </c>
      <c r="T48">
        <f>T47/(1+'Study Parameters'!$C$3)^'LCOF Baseline'!T$46</f>
        <v>228038611.17994341</v>
      </c>
      <c r="U48">
        <f>U47/(1+'Study Parameters'!$C$3)^'LCOF Baseline'!U$46</f>
        <v>211146862.20365131</v>
      </c>
      <c r="V48">
        <f>V47/(1+'Study Parameters'!$C$3)^'LCOF Baseline'!V$46</f>
        <v>195506353.89226973</v>
      </c>
      <c r="W48">
        <f>W47/(1+'Study Parameters'!$C$3)^'LCOF Baseline'!W$46</f>
        <v>181024401.7521016</v>
      </c>
      <c r="X48">
        <f>X47/(1+'Study Parameters'!$C$3)^'LCOF Baseline'!X$46</f>
        <v>167615186.80750147</v>
      </c>
      <c r="Y48">
        <f>Y47/(1+'Study Parameters'!$C$3)^'LCOF Baseline'!Y$46</f>
        <v>155199247.04398283</v>
      </c>
      <c r="Z48">
        <f>Z47/(1+'Study Parameters'!$C$3)^'LCOF Baseline'!Z$46</f>
        <v>154584260.79631662</v>
      </c>
      <c r="AA48">
        <f>AA47/(1+'Study Parameters'!$C$3)^'LCOF Baseline'!AA$46</f>
        <v>133058339.37241323</v>
      </c>
      <c r="AB48">
        <f>AB47/(1+'Study Parameters'!$C$3)^'LCOF Baseline'!AB$46</f>
        <v>123202166.08556782</v>
      </c>
      <c r="AC48">
        <f>AC47/(1+'Study Parameters'!$C$3)^'LCOF Baseline'!AC$46</f>
        <v>114076079.70885909</v>
      </c>
      <c r="AD48">
        <f>AD47/(1+'Study Parameters'!$C$3)^'LCOF Baseline'!AD$46</f>
        <v>105625999.73042509</v>
      </c>
      <c r="AE48">
        <f>AE47/(1+'Study Parameters'!$C$3)^'LCOF Baseline'!AE$46</f>
        <v>97801851.602245435</v>
      </c>
      <c r="AF48">
        <f>AF47/(1+'Study Parameters'!$C$3)^'LCOF Baseline'!AF$46</f>
        <v>90557270.002079099</v>
      </c>
    </row>
    <row r="49" spans="1:32" x14ac:dyDescent="0.25">
      <c r="A49" t="s">
        <v>155</v>
      </c>
      <c r="B49">
        <v>0</v>
      </c>
      <c r="C49">
        <f>'Study Parameters'!$C$42 * 10^6</f>
        <v>122000000</v>
      </c>
      <c r="D49">
        <f>'Study Parameters'!$C$42 * 10^6</f>
        <v>122000000</v>
      </c>
      <c r="E49">
        <f>'Study Parameters'!$C$42 * 10^6</f>
        <v>122000000</v>
      </c>
      <c r="F49">
        <f>'Study Parameters'!$C$42 * 10^6</f>
        <v>122000000</v>
      </c>
      <c r="G49">
        <f>'Study Parameters'!$C$42 * 10^6</f>
        <v>122000000</v>
      </c>
      <c r="H49">
        <f>'Study Parameters'!$C$42 * 10^6</f>
        <v>122000000</v>
      </c>
      <c r="I49">
        <f>'Study Parameters'!$C$42 * 10^6</f>
        <v>122000000</v>
      </c>
      <c r="J49">
        <f>'Study Parameters'!$C$42 * 10^6</f>
        <v>122000000</v>
      </c>
      <c r="K49">
        <f>'Study Parameters'!$C$42 * 10^6</f>
        <v>122000000</v>
      </c>
      <c r="L49">
        <f>'Study Parameters'!$C$42 * 10^6</f>
        <v>122000000</v>
      </c>
      <c r="M49">
        <f>'Study Parameters'!$C$42 * 10^6</f>
        <v>122000000</v>
      </c>
      <c r="N49">
        <f>'Study Parameters'!$C$42 * 10^6</f>
        <v>122000000</v>
      </c>
      <c r="O49">
        <f>'Study Parameters'!$C$42 * 10^6</f>
        <v>122000000</v>
      </c>
      <c r="P49">
        <f>'Study Parameters'!$C$42 * 10^6</f>
        <v>122000000</v>
      </c>
      <c r="Q49">
        <f>'Study Parameters'!$C$42 * 10^6</f>
        <v>122000000</v>
      </c>
      <c r="R49">
        <f>'Study Parameters'!$C$42 * 10^6</f>
        <v>122000000</v>
      </c>
      <c r="S49">
        <f>'Study Parameters'!$C$42 * 10^6</f>
        <v>122000000</v>
      </c>
      <c r="T49">
        <f>'Study Parameters'!$C$42 * 10^6</f>
        <v>122000000</v>
      </c>
      <c r="U49">
        <f>'Study Parameters'!$C$42 * 10^6</f>
        <v>122000000</v>
      </c>
      <c r="V49">
        <f>'Study Parameters'!$C$42 * 10^6</f>
        <v>122000000</v>
      </c>
      <c r="W49">
        <f>'Study Parameters'!$C$42 * 10^6</f>
        <v>122000000</v>
      </c>
      <c r="X49">
        <f>'Study Parameters'!$C$42 * 10^6</f>
        <v>122000000</v>
      </c>
      <c r="Y49">
        <f>'Study Parameters'!$C$42 * 10^6</f>
        <v>122000000</v>
      </c>
      <c r="Z49">
        <f>'Study Parameters'!$C$42 * 10^6</f>
        <v>122000000</v>
      </c>
      <c r="AA49">
        <f>'Study Parameters'!$C$42 * 10^6</f>
        <v>122000000</v>
      </c>
      <c r="AB49">
        <f>'Study Parameters'!$C$42 * 10^6</f>
        <v>122000000</v>
      </c>
      <c r="AC49">
        <f>'Study Parameters'!$C$42 * 10^6</f>
        <v>122000000</v>
      </c>
      <c r="AD49">
        <f>'Study Parameters'!$C$42 * 10^6</f>
        <v>122000000</v>
      </c>
      <c r="AE49">
        <f>'Study Parameters'!$C$42 * 10^6</f>
        <v>122000000</v>
      </c>
      <c r="AF49">
        <f>'Study Parameters'!$C$42 * 10^6</f>
        <v>122000000</v>
      </c>
    </row>
    <row r="50" spans="1:32" x14ac:dyDescent="0.25">
      <c r="A50" t="s">
        <v>156</v>
      </c>
      <c r="B50">
        <v>0</v>
      </c>
      <c r="C50">
        <f>C49/(1+'Study Parameters'!$C$3)^'LCOF Baseline'!C$46</f>
        <v>112962962.96296296</v>
      </c>
      <c r="D50">
        <f>D49/(1+'Study Parameters'!$C$3)^'LCOF Baseline'!D$46</f>
        <v>104595336.07681754</v>
      </c>
      <c r="E50">
        <f>E49/(1+'Study Parameters'!$C$3)^'LCOF Baseline'!E$46</f>
        <v>96847533.404460683</v>
      </c>
      <c r="F50">
        <f>F49/(1+'Study Parameters'!$C$3)^'LCOF Baseline'!F$46</f>
        <v>89673642.041167304</v>
      </c>
      <c r="G50">
        <f>G49/(1+'Study Parameters'!$C$3)^'LCOF Baseline'!G$46</f>
        <v>83031150.038117871</v>
      </c>
      <c r="H50">
        <f>H49/(1+'Study Parameters'!$C$3)^'LCOF Baseline'!H$46</f>
        <v>76880694.479738757</v>
      </c>
      <c r="I50">
        <f>I49/(1+'Study Parameters'!$C$3)^'LCOF Baseline'!I$46</f>
        <v>71185828.221980333</v>
      </c>
      <c r="J50">
        <f>J49/(1+'Study Parameters'!$C$3)^'LCOF Baseline'!J$46</f>
        <v>65912803.909241043</v>
      </c>
      <c r="K50">
        <f>K49/(1+'Study Parameters'!$C$3)^'LCOF Baseline'!K$46</f>
        <v>61030373.990038</v>
      </c>
      <c r="L50">
        <f>L49/(1+'Study Parameters'!$C$3)^'LCOF Baseline'!L$46</f>
        <v>56509605.54633148</v>
      </c>
      <c r="M50">
        <f>M49/(1+'Study Parameters'!$C$3)^'LCOF Baseline'!M$46</f>
        <v>52323708.839195818</v>
      </c>
      <c r="N50">
        <f>N49/(1+'Study Parameters'!$C$3)^'LCOF Baseline'!N$46</f>
        <v>48447878.554810934</v>
      </c>
      <c r="O50">
        <f>O49/(1+'Study Parameters'!$C$3)^'LCOF Baseline'!O$46</f>
        <v>44859146.810010128</v>
      </c>
      <c r="P50">
        <f>P49/(1+'Study Parameters'!$C$3)^'LCOF Baseline'!P$46</f>
        <v>41536247.046305664</v>
      </c>
      <c r="Q50">
        <f>Q49/(1+'Study Parameters'!$C$3)^'LCOF Baseline'!Q$46</f>
        <v>38459488.005838573</v>
      </c>
      <c r="R50">
        <f>R49/(1+'Study Parameters'!$C$3)^'LCOF Baseline'!R$46</f>
        <v>35610637.042443126</v>
      </c>
      <c r="S50">
        <f>S49/(1+'Study Parameters'!$C$3)^'LCOF Baseline'!S$46</f>
        <v>32972812.076336227</v>
      </c>
      <c r="T50">
        <f>T49/(1+'Study Parameters'!$C$3)^'LCOF Baseline'!T$46</f>
        <v>30530381.552163169</v>
      </c>
      <c r="U50">
        <f>U49/(1+'Study Parameters'!$C$3)^'LCOF Baseline'!U$46</f>
        <v>28268871.807558488</v>
      </c>
      <c r="V50">
        <f>V49/(1+'Study Parameters'!$C$3)^'LCOF Baseline'!V$46</f>
        <v>26174881.303294897</v>
      </c>
      <c r="W50">
        <f>W49/(1+'Study Parameters'!$C$3)^'LCOF Baseline'!W$46</f>
        <v>24236001.206754535</v>
      </c>
      <c r="X50">
        <f>X49/(1+'Study Parameters'!$C$3)^'LCOF Baseline'!X$46</f>
        <v>22440741.858106047</v>
      </c>
      <c r="Y50">
        <f>Y49/(1+'Study Parameters'!$C$3)^'LCOF Baseline'!Y$46</f>
        <v>20778464.683431525</v>
      </c>
      <c r="Z50">
        <f>Z49/(1+'Study Parameters'!$C$3)^'LCOF Baseline'!Z$46</f>
        <v>19239319.151325487</v>
      </c>
      <c r="AA50">
        <f>AA49/(1+'Study Parameters'!$C$3)^'LCOF Baseline'!AA$46</f>
        <v>17814184.399375446</v>
      </c>
      <c r="AB50">
        <f>AB49/(1+'Study Parameters'!$C$3)^'LCOF Baseline'!AB$46</f>
        <v>16494615.184606897</v>
      </c>
      <c r="AC50">
        <f>AC49/(1+'Study Parameters'!$C$3)^'LCOF Baseline'!AC$46</f>
        <v>15272791.837598978</v>
      </c>
      <c r="AD50">
        <f>AD49/(1+'Study Parameters'!$C$3)^'LCOF Baseline'!AD$46</f>
        <v>14141473.923702758</v>
      </c>
      <c r="AE50">
        <f>AE49/(1+'Study Parameters'!$C$3)^'LCOF Baseline'!AE$46</f>
        <v>13093957.336761812</v>
      </c>
      <c r="AF50">
        <f>AF49/(1+'Study Parameters'!$C$3)^'LCOF Baseline'!AF$46</f>
        <v>12124034.571075751</v>
      </c>
    </row>
    <row r="51" spans="1:32" x14ac:dyDescent="0.25">
      <c r="A51" t="s">
        <v>157</v>
      </c>
      <c r="B51">
        <v>0</v>
      </c>
      <c r="C51">
        <f>'Study Parameters'!$C$9</f>
        <v>157410000</v>
      </c>
      <c r="D51">
        <f>'Study Parameters'!$C$9</f>
        <v>157410000</v>
      </c>
      <c r="E51">
        <f>'Study Parameters'!$C$9</f>
        <v>157410000</v>
      </c>
      <c r="F51">
        <f>'Study Parameters'!$C$9</f>
        <v>157410000</v>
      </c>
      <c r="G51">
        <f>'Study Parameters'!$C$9</f>
        <v>157410000</v>
      </c>
      <c r="H51">
        <f>'Study Parameters'!$C$9</f>
        <v>157410000</v>
      </c>
      <c r="I51">
        <f>'Study Parameters'!$C$9</f>
        <v>157410000</v>
      </c>
      <c r="J51">
        <f>'Study Parameters'!$C$9</f>
        <v>157410000</v>
      </c>
      <c r="K51">
        <f>'Study Parameters'!$C$9</f>
        <v>157410000</v>
      </c>
      <c r="L51">
        <f>'Study Parameters'!$C$9</f>
        <v>157410000</v>
      </c>
      <c r="M51">
        <f>'Study Parameters'!$C$9</f>
        <v>157410000</v>
      </c>
      <c r="N51">
        <f>'Study Parameters'!$C$9</f>
        <v>157410000</v>
      </c>
      <c r="O51">
        <f>'Study Parameters'!$C$9</f>
        <v>157410000</v>
      </c>
      <c r="P51">
        <f>'Study Parameters'!$C$9</f>
        <v>157410000</v>
      </c>
      <c r="Q51">
        <f>'Study Parameters'!$C$9</f>
        <v>157410000</v>
      </c>
      <c r="R51">
        <f>'Study Parameters'!$C$9</f>
        <v>157410000</v>
      </c>
      <c r="S51">
        <f>'Study Parameters'!$C$9</f>
        <v>157410000</v>
      </c>
      <c r="T51">
        <f>'Study Parameters'!$C$9</f>
        <v>157410000</v>
      </c>
      <c r="U51">
        <f>'Study Parameters'!$C$9</f>
        <v>157410000</v>
      </c>
      <c r="V51">
        <f>'Study Parameters'!$C$9</f>
        <v>157410000</v>
      </c>
      <c r="W51">
        <f>'Study Parameters'!$C$9</f>
        <v>157410000</v>
      </c>
      <c r="X51">
        <f>'Study Parameters'!$C$9</f>
        <v>157410000</v>
      </c>
      <c r="Y51">
        <f>'Study Parameters'!$C$9</f>
        <v>157410000</v>
      </c>
      <c r="Z51">
        <f>'Study Parameters'!$C$9</f>
        <v>157410000</v>
      </c>
      <c r="AA51">
        <f>'Study Parameters'!$C$9</f>
        <v>157410000</v>
      </c>
      <c r="AB51">
        <f>'Study Parameters'!$C$9</f>
        <v>157410000</v>
      </c>
      <c r="AC51">
        <f>'Study Parameters'!$C$9</f>
        <v>157410000</v>
      </c>
      <c r="AD51">
        <f>'Study Parameters'!$C$9</f>
        <v>157410000</v>
      </c>
      <c r="AE51">
        <f>'Study Parameters'!$C$9</f>
        <v>157410000</v>
      </c>
      <c r="AF51">
        <f>'Study Parameters'!$C$9</f>
        <v>157410000</v>
      </c>
    </row>
    <row r="52" spans="1:32" x14ac:dyDescent="0.25">
      <c r="A52" t="s">
        <v>158</v>
      </c>
      <c r="B52">
        <v>0</v>
      </c>
      <c r="C52">
        <f>C51/(1+'Study Parameters'!$C$3)^'LCOF Baseline'!C$46</f>
        <v>145750000</v>
      </c>
      <c r="D52">
        <f>D51/(1+'Study Parameters'!$C$3)^'LCOF Baseline'!D$46</f>
        <v>134953703.7037037</v>
      </c>
      <c r="E52">
        <f>E51/(1+'Study Parameters'!$C$3)^'LCOF Baseline'!E$46</f>
        <v>124957133.05898489</v>
      </c>
      <c r="F52">
        <f>F51/(1+'Study Parameters'!$C$3)^'LCOF Baseline'!F$46</f>
        <v>115701049.12868971</v>
      </c>
      <c r="G52">
        <f>G51/(1+'Study Parameters'!$C$3)^'LCOF Baseline'!G$46</f>
        <v>107130601.04508306</v>
      </c>
      <c r="H52">
        <f>H51/(1+'Study Parameters'!$C$3)^'LCOF Baseline'!H$46</f>
        <v>99195000.967669487</v>
      </c>
      <c r="I52">
        <f>I51/(1+'Study Parameters'!$C$3)^'LCOF Baseline'!I$46</f>
        <v>91847223.118212491</v>
      </c>
      <c r="J52">
        <f>J51/(1+'Study Parameters'!$C$3)^'LCOF Baseline'!J$46</f>
        <v>85043725.109456003</v>
      </c>
      <c r="K52">
        <f>K51/(1+'Study Parameters'!$C$3)^'LCOF Baseline'!K$46</f>
        <v>78744189.916162968</v>
      </c>
      <c r="L52">
        <f>L51/(1+'Study Parameters'!$C$3)^'LCOF Baseline'!L$46</f>
        <v>72911286.959410146</v>
      </c>
      <c r="M52">
        <f>M51/(1+'Study Parameters'!$C$3)^'LCOF Baseline'!M$46</f>
        <v>67510450.888342723</v>
      </c>
      <c r="N52">
        <f>N51/(1+'Study Parameters'!$C$3)^'LCOF Baseline'!N$46</f>
        <v>62509676.748465486</v>
      </c>
      <c r="O52">
        <f>O51/(1+'Study Parameters'!$C$3)^'LCOF Baseline'!O$46</f>
        <v>57879330.322653227</v>
      </c>
      <c r="P52">
        <f>P51/(1+'Study Parameters'!$C$3)^'LCOF Baseline'!P$46</f>
        <v>53591972.520975202</v>
      </c>
      <c r="Q52">
        <f>Q51/(1+'Study Parameters'!$C$3)^'LCOF Baseline'!Q$46</f>
        <v>49622196.778680742</v>
      </c>
      <c r="R52">
        <f>R51/(1+'Study Parameters'!$C$3)^'LCOF Baseline'!R$46</f>
        <v>45946478.498778462</v>
      </c>
      <c r="S52">
        <f>S51/(1+'Study Parameters'!$C$3)^'LCOF Baseline'!S$46</f>
        <v>42543035.647017092</v>
      </c>
      <c r="T52">
        <f>T51/(1+'Study Parameters'!$C$3)^'LCOF Baseline'!T$46</f>
        <v>39391699.673163973</v>
      </c>
      <c r="U52">
        <f>U51/(1+'Study Parameters'!$C$3)^'LCOF Baseline'!U$46</f>
        <v>36473795.993670344</v>
      </c>
      <c r="V52">
        <f>V51/(1+'Study Parameters'!$C$3)^'LCOF Baseline'!V$46</f>
        <v>33772033.327472538</v>
      </c>
      <c r="W52">
        <f>W51/(1+'Study Parameters'!$C$3)^'LCOF Baseline'!W$46</f>
        <v>31270401.229141239</v>
      </c>
      <c r="X52">
        <f>X51/(1+'Study Parameters'!$C$3)^'LCOF Baseline'!X$46</f>
        <v>28954075.212167811</v>
      </c>
      <c r="Y52">
        <f>Y51/(1+'Study Parameters'!$C$3)^'LCOF Baseline'!Y$46</f>
        <v>26809328.90015538</v>
      </c>
      <c r="Z52">
        <f>Z51/(1+'Study Parameters'!$C$3)^'LCOF Baseline'!Z$46</f>
        <v>24823452.685329054</v>
      </c>
      <c r="AA52">
        <f>AA51/(1+'Study Parameters'!$C$3)^'LCOF Baseline'!AA$46</f>
        <v>22984678.412341714</v>
      </c>
      <c r="AB52">
        <f>AB51/(1+'Study Parameters'!$C$3)^'LCOF Baseline'!AB$46</f>
        <v>21282109.641057145</v>
      </c>
      <c r="AC52">
        <f>AC51/(1+'Study Parameters'!$C$3)^'LCOF Baseline'!AC$46</f>
        <v>19705657.07505291</v>
      </c>
      <c r="AD52">
        <f>AD51/(1+'Study Parameters'!$C$3)^'LCOF Baseline'!AD$46</f>
        <v>18245978.773197141</v>
      </c>
      <c r="AE52">
        <f>AE51/(1+'Study Parameters'!$C$3)^'LCOF Baseline'!AE$46</f>
        <v>16894424.78999735</v>
      </c>
      <c r="AF52">
        <f>AF51/(1+'Study Parameters'!$C$3)^'LCOF Baseline'!AF$46</f>
        <v>15642985.916664211</v>
      </c>
    </row>
    <row r="54" spans="1:32" x14ac:dyDescent="0.25">
      <c r="A54" t="s">
        <v>159</v>
      </c>
      <c r="B54">
        <f>(SUM(B48:AF48) - SUM(B50:AF50)) / SUM(B52:AF52)</f>
        <v>5.5152185771588691</v>
      </c>
    </row>
    <row r="56" spans="1:32" x14ac:dyDescent="0.25">
      <c r="A56" s="1" t="s">
        <v>18</v>
      </c>
    </row>
    <row r="57" spans="1:32" x14ac:dyDescent="0.25">
      <c r="A57" t="s">
        <v>21</v>
      </c>
      <c r="B57">
        <v>0</v>
      </c>
      <c r="C57">
        <v>1</v>
      </c>
      <c r="D57">
        <v>2</v>
      </c>
      <c r="E57">
        <v>3</v>
      </c>
      <c r="F57">
        <v>4</v>
      </c>
      <c r="G57">
        <v>5</v>
      </c>
      <c r="H57">
        <v>6</v>
      </c>
      <c r="I57">
        <v>7</v>
      </c>
      <c r="J57">
        <v>8</v>
      </c>
      <c r="K57">
        <v>9</v>
      </c>
      <c r="L57">
        <v>10</v>
      </c>
      <c r="M57">
        <v>11</v>
      </c>
      <c r="N57">
        <v>12</v>
      </c>
      <c r="O57">
        <v>13</v>
      </c>
      <c r="P57">
        <v>14</v>
      </c>
      <c r="Q57">
        <v>15</v>
      </c>
      <c r="R57">
        <v>16</v>
      </c>
      <c r="S57">
        <v>17</v>
      </c>
      <c r="T57">
        <v>18</v>
      </c>
      <c r="U57">
        <v>19</v>
      </c>
      <c r="V57">
        <v>20</v>
      </c>
      <c r="W57">
        <v>21</v>
      </c>
      <c r="X57">
        <v>22</v>
      </c>
      <c r="Y57">
        <v>23</v>
      </c>
      <c r="Z57">
        <v>24</v>
      </c>
      <c r="AA57">
        <v>25</v>
      </c>
      <c r="AB57">
        <v>26</v>
      </c>
      <c r="AC57">
        <v>27</v>
      </c>
      <c r="AD57">
        <v>28</v>
      </c>
      <c r="AE57">
        <v>29</v>
      </c>
      <c r="AF57">
        <v>30</v>
      </c>
    </row>
    <row r="58" spans="1:32" x14ac:dyDescent="0.25">
      <c r="A58" t="s">
        <v>110</v>
      </c>
      <c r="B58">
        <f>'Cost Components'!$AF$23*10^6</f>
        <v>795000000</v>
      </c>
      <c r="C58">
        <f>'Cost Components'!$AF$26*10^6</f>
        <v>862404631.57894742</v>
      </c>
      <c r="D58">
        <f>'Cost Components'!$AF$26*10^6</f>
        <v>862404631.57894742</v>
      </c>
      <c r="E58">
        <f>'Cost Components'!$AF$26*10^6</f>
        <v>862404631.57894742</v>
      </c>
      <c r="F58">
        <f>'Cost Components'!$AF$26*10^6</f>
        <v>862404631.57894742</v>
      </c>
      <c r="G58">
        <f>'Cost Components'!$AF$26*10^6</f>
        <v>862404631.57894742</v>
      </c>
      <c r="H58">
        <f>'Cost Components'!$AF$26*10^6</f>
        <v>862404631.57894742</v>
      </c>
      <c r="I58">
        <f>'Cost Components'!$AF$26*10^6</f>
        <v>862404631.57894742</v>
      </c>
      <c r="J58">
        <f>'Cost Components'!$AF$26*10^6</f>
        <v>862404631.57894742</v>
      </c>
      <c r="K58">
        <f>'Cost Components'!$AF$26*10^6</f>
        <v>862404631.57894742</v>
      </c>
      <c r="L58">
        <f>'Cost Components'!$AF$26*10^6 + 'Cost Components'!$AF$7 * 10^6</f>
        <v>932404631.57894742</v>
      </c>
      <c r="M58">
        <f>'Cost Components'!$AF$26*10^6</f>
        <v>862404631.57894742</v>
      </c>
      <c r="N58">
        <f>'Cost Components'!$AF$26*10^6</f>
        <v>862404631.57894742</v>
      </c>
      <c r="O58">
        <f>'Cost Components'!$AF$26*10^6</f>
        <v>862404631.57894742</v>
      </c>
      <c r="P58">
        <f>'Cost Components'!$AF$26*10^6</f>
        <v>862404631.57894742</v>
      </c>
      <c r="Q58">
        <f>'Cost Components'!$AF$26*10^6</f>
        <v>862404631.57894742</v>
      </c>
      <c r="R58">
        <f>'Cost Components'!$AF$26*10^6</f>
        <v>862404631.57894742</v>
      </c>
      <c r="S58">
        <f>'Cost Components'!$AF$26*10^6</f>
        <v>862404631.57894742</v>
      </c>
      <c r="T58">
        <f>'Cost Components'!$AF$26*10^6</f>
        <v>862404631.57894742</v>
      </c>
      <c r="U58">
        <f>'Cost Components'!$AF$26*10^6</f>
        <v>862404631.57894742</v>
      </c>
      <c r="V58">
        <f>'Cost Components'!$AF$26*10^6 + 'Cost Components'!$AF$7 * 10^6</f>
        <v>932404631.57894742</v>
      </c>
      <c r="W58">
        <f>'Cost Components'!$AF$26*10^6</f>
        <v>862404631.57894742</v>
      </c>
      <c r="X58">
        <f>'Cost Components'!$AF$26*10^6</f>
        <v>862404631.57894742</v>
      </c>
      <c r="Y58">
        <f>'Cost Components'!$AF$26*10^6</f>
        <v>862404631.57894742</v>
      </c>
      <c r="Z58">
        <f>'Cost Components'!$AF$26*10^6</f>
        <v>862404631.57894742</v>
      </c>
      <c r="AA58">
        <f>'Cost Components'!$AF$26*10^6</f>
        <v>862404631.57894742</v>
      </c>
      <c r="AB58">
        <f>'Cost Components'!$AF$26*10^6</f>
        <v>862404631.57894742</v>
      </c>
      <c r="AC58">
        <f>'Cost Components'!$AF$26*10^6</f>
        <v>862404631.57894742</v>
      </c>
      <c r="AD58">
        <f>'Cost Components'!$AF$26*10^6</f>
        <v>862404631.57894742</v>
      </c>
      <c r="AE58">
        <f>'Cost Components'!$AF$26*10^6</f>
        <v>862404631.57894742</v>
      </c>
      <c r="AF58">
        <f>'Cost Components'!$AF$26*10^6</f>
        <v>862404631.57894742</v>
      </c>
    </row>
    <row r="59" spans="1:32" x14ac:dyDescent="0.25">
      <c r="A59" t="s">
        <v>111</v>
      </c>
      <c r="B59">
        <f>B58/(1+'Study Parameters'!$C$3)^'LCOF Baseline'!B$57</f>
        <v>795000000</v>
      </c>
      <c r="C59">
        <f>C58/(1+'Study Parameters'!$C$3)^'LCOF Baseline'!C$57</f>
        <v>798522807.01754391</v>
      </c>
      <c r="D59">
        <f>D58/(1+'Study Parameters'!$C$3)^'LCOF Baseline'!D$57</f>
        <v>739372969.46068871</v>
      </c>
      <c r="E59">
        <f>E58/(1+'Study Parameters'!$C$3)^'LCOF Baseline'!E$57</f>
        <v>684604601.35248959</v>
      </c>
      <c r="F59">
        <f>F58/(1+'Study Parameters'!$C$3)^'LCOF Baseline'!F$57</f>
        <v>633893149.40045321</v>
      </c>
      <c r="G59">
        <f>G58/(1+'Study Parameters'!$C$3)^'LCOF Baseline'!G$57</f>
        <v>586938101.29671597</v>
      </c>
      <c r="H59">
        <f>H58/(1+'Study Parameters'!$C$3)^'LCOF Baseline'!H$57</f>
        <v>543461204.90436661</v>
      </c>
      <c r="I59">
        <f>I58/(1+'Study Parameters'!$C$3)^'LCOF Baseline'!I$57</f>
        <v>503204819.35589492</v>
      </c>
      <c r="J59">
        <f>J58/(1+'Study Parameters'!$C$3)^'LCOF Baseline'!J$57</f>
        <v>465930388.29249531</v>
      </c>
      <c r="K59">
        <f>K58/(1+'Study Parameters'!$C$3)^'LCOF Baseline'!K$57</f>
        <v>431417026.19675487</v>
      </c>
      <c r="L59">
        <f>L58/(1+'Study Parameters'!$C$3)^'LCOF Baseline'!L$57</f>
        <v>431883753.60736758</v>
      </c>
      <c r="M59">
        <f>M58/(1+'Study Parameters'!$C$3)^'LCOF Baseline'!M$57</f>
        <v>369870564.29762936</v>
      </c>
      <c r="N59">
        <f>N58/(1+'Study Parameters'!$C$3)^'LCOF Baseline'!N$57</f>
        <v>342472744.72002715</v>
      </c>
      <c r="O59">
        <f>O58/(1+'Study Parameters'!$C$3)^'LCOF Baseline'!O$57</f>
        <v>317104393.25928438</v>
      </c>
      <c r="P59">
        <f>P58/(1+'Study Parameters'!$C$3)^'LCOF Baseline'!P$57</f>
        <v>293615178.94378179</v>
      </c>
      <c r="Q59">
        <f>Q58/(1+'Study Parameters'!$C$3)^'LCOF Baseline'!Q$57</f>
        <v>271865906.42942756</v>
      </c>
      <c r="R59">
        <f>R58/(1+'Study Parameters'!$C$3)^'LCOF Baseline'!R$57</f>
        <v>251727691.13835886</v>
      </c>
      <c r="S59">
        <f>S58/(1+'Study Parameters'!$C$3)^'LCOF Baseline'!S$57</f>
        <v>233081195.49848044</v>
      </c>
      <c r="T59">
        <f>T58/(1+'Study Parameters'!$C$3)^'LCOF Baseline'!T$57</f>
        <v>215815921.75785223</v>
      </c>
      <c r="U59">
        <f>U58/(1+'Study Parameters'!$C$3)^'LCOF Baseline'!U$57</f>
        <v>199829557.18319649</v>
      </c>
      <c r="V59">
        <f>V58/(1+'Study Parameters'!$C$3)^'LCOF Baseline'!V$57</f>
        <v>200045742.28050295</v>
      </c>
      <c r="W59">
        <f>W58/(1+'Study Parameters'!$C$3)^'LCOF Baseline'!W$57</f>
        <v>171321636.81686941</v>
      </c>
      <c r="X59">
        <f>X58/(1+'Study Parameters'!$C$3)^'LCOF Baseline'!X$57</f>
        <v>158631145.20080501</v>
      </c>
      <c r="Y59">
        <f>Y58/(1+'Study Parameters'!$C$3)^'LCOF Baseline'!Y$57</f>
        <v>146880690.00074536</v>
      </c>
      <c r="Z59">
        <f>Z58/(1+'Study Parameters'!$C$3)^'LCOF Baseline'!Z$57</f>
        <v>136000638.88957903</v>
      </c>
      <c r="AA59">
        <f>AA58/(1+'Study Parameters'!$C$3)^'LCOF Baseline'!AA$57</f>
        <v>125926517.49035095</v>
      </c>
      <c r="AB59">
        <f>AB58/(1+'Study Parameters'!$C$3)^'LCOF Baseline'!AB$57</f>
        <v>116598627.30588052</v>
      </c>
      <c r="AC59">
        <f>AC58/(1+'Study Parameters'!$C$3)^'LCOF Baseline'!AC$57</f>
        <v>107961691.94988936</v>
      </c>
      <c r="AD59">
        <f>AD58/(1+'Study Parameters'!$C$3)^'LCOF Baseline'!AD$57</f>
        <v>99964529.583230883</v>
      </c>
      <c r="AE59">
        <f>AE58/(1+'Study Parameters'!$C$3)^'LCOF Baseline'!AE$57</f>
        <v>92559749.614102662</v>
      </c>
      <c r="AF59">
        <f>AF58/(1+'Study Parameters'!$C$3)^'LCOF Baseline'!AF$57</f>
        <v>85703471.864909872</v>
      </c>
    </row>
    <row r="60" spans="1:32" x14ac:dyDescent="0.25">
      <c r="A60" t="s">
        <v>155</v>
      </c>
      <c r="B60">
        <v>0</v>
      </c>
      <c r="C60">
        <f>'Study Parameters'!$C$42 * 10^6</f>
        <v>122000000</v>
      </c>
      <c r="D60">
        <f>'Study Parameters'!$C$42 * 10^6</f>
        <v>122000000</v>
      </c>
      <c r="E60">
        <f>'Study Parameters'!$C$42 * 10^6</f>
        <v>122000000</v>
      </c>
      <c r="F60">
        <f>'Study Parameters'!$C$42 * 10^6</f>
        <v>122000000</v>
      </c>
      <c r="G60">
        <f>'Study Parameters'!$C$42 * 10^6</f>
        <v>122000000</v>
      </c>
      <c r="H60">
        <f>'Study Parameters'!$C$42 * 10^6</f>
        <v>122000000</v>
      </c>
      <c r="I60">
        <f>'Study Parameters'!$C$42 * 10^6</f>
        <v>122000000</v>
      </c>
      <c r="J60">
        <f>'Study Parameters'!$C$42 * 10^6</f>
        <v>122000000</v>
      </c>
      <c r="K60">
        <f>'Study Parameters'!$C$42 * 10^6</f>
        <v>122000000</v>
      </c>
      <c r="L60">
        <f>'Study Parameters'!$C$42 * 10^6</f>
        <v>122000000</v>
      </c>
      <c r="M60">
        <f>'Study Parameters'!$C$42 * 10^6</f>
        <v>122000000</v>
      </c>
      <c r="N60">
        <f>'Study Parameters'!$C$42 * 10^6</f>
        <v>122000000</v>
      </c>
      <c r="O60">
        <f>'Study Parameters'!$C$42 * 10^6</f>
        <v>122000000</v>
      </c>
      <c r="P60">
        <f>'Study Parameters'!$C$42 * 10^6</f>
        <v>122000000</v>
      </c>
      <c r="Q60">
        <f>'Study Parameters'!$C$42 * 10^6</f>
        <v>122000000</v>
      </c>
      <c r="R60">
        <f>'Study Parameters'!$C$42 * 10^6</f>
        <v>122000000</v>
      </c>
      <c r="S60">
        <f>'Study Parameters'!$C$42 * 10^6</f>
        <v>122000000</v>
      </c>
      <c r="T60">
        <f>'Study Parameters'!$C$42 * 10^6</f>
        <v>122000000</v>
      </c>
      <c r="U60">
        <f>'Study Parameters'!$C$42 * 10^6</f>
        <v>122000000</v>
      </c>
      <c r="V60">
        <f>'Study Parameters'!$C$42 * 10^6</f>
        <v>122000000</v>
      </c>
      <c r="W60">
        <f>'Study Parameters'!$C$42 * 10^6</f>
        <v>122000000</v>
      </c>
      <c r="X60">
        <f>'Study Parameters'!$C$42 * 10^6</f>
        <v>122000000</v>
      </c>
      <c r="Y60">
        <f>'Study Parameters'!$C$42 * 10^6</f>
        <v>122000000</v>
      </c>
      <c r="Z60">
        <f>'Study Parameters'!$C$42 * 10^6</f>
        <v>122000000</v>
      </c>
      <c r="AA60">
        <f>'Study Parameters'!$C$42 * 10^6</f>
        <v>122000000</v>
      </c>
      <c r="AB60">
        <f>'Study Parameters'!$C$42 * 10^6</f>
        <v>122000000</v>
      </c>
      <c r="AC60">
        <f>'Study Parameters'!$C$42 * 10^6</f>
        <v>122000000</v>
      </c>
      <c r="AD60">
        <f>'Study Parameters'!$C$42 * 10^6</f>
        <v>122000000</v>
      </c>
      <c r="AE60">
        <f>'Study Parameters'!$C$42 * 10^6</f>
        <v>122000000</v>
      </c>
      <c r="AF60">
        <f>'Study Parameters'!$C$42 * 10^6</f>
        <v>122000000</v>
      </c>
    </row>
    <row r="61" spans="1:32" x14ac:dyDescent="0.25">
      <c r="A61" t="s">
        <v>156</v>
      </c>
      <c r="B61">
        <v>0</v>
      </c>
      <c r="C61">
        <f>C60/(1+'Study Parameters'!$C$3)^'LCOF Baseline'!C$57</f>
        <v>112962962.96296296</v>
      </c>
      <c r="D61">
        <f>D60/(1+'Study Parameters'!$C$3)^'LCOF Baseline'!D$57</f>
        <v>104595336.07681754</v>
      </c>
      <c r="E61">
        <f>E60/(1+'Study Parameters'!$C$3)^'LCOF Baseline'!E$57</f>
        <v>96847533.404460683</v>
      </c>
      <c r="F61">
        <f>F60/(1+'Study Parameters'!$C$3)^'LCOF Baseline'!F$57</f>
        <v>89673642.041167304</v>
      </c>
      <c r="G61">
        <f>G60/(1+'Study Parameters'!$C$3)^'LCOF Baseline'!G$57</f>
        <v>83031150.038117871</v>
      </c>
      <c r="H61">
        <f>H60/(1+'Study Parameters'!$C$3)^'LCOF Baseline'!H$57</f>
        <v>76880694.479738757</v>
      </c>
      <c r="I61">
        <f>I60/(1+'Study Parameters'!$C$3)^'LCOF Baseline'!I$57</f>
        <v>71185828.221980333</v>
      </c>
      <c r="J61">
        <f>J60/(1+'Study Parameters'!$C$3)^'LCOF Baseline'!J$57</f>
        <v>65912803.909241043</v>
      </c>
      <c r="K61">
        <f>K60/(1+'Study Parameters'!$C$3)^'LCOF Baseline'!K$57</f>
        <v>61030373.990038</v>
      </c>
      <c r="L61">
        <f>L60/(1+'Study Parameters'!$C$3)^'LCOF Baseline'!L$57</f>
        <v>56509605.54633148</v>
      </c>
      <c r="M61">
        <f>M60/(1+'Study Parameters'!$C$3)^'LCOF Baseline'!M$57</f>
        <v>52323708.839195818</v>
      </c>
      <c r="N61">
        <f>N60/(1+'Study Parameters'!$C$3)^'LCOF Baseline'!N$57</f>
        <v>48447878.554810934</v>
      </c>
      <c r="O61">
        <f>O60/(1+'Study Parameters'!$C$3)^'LCOF Baseline'!O$57</f>
        <v>44859146.810010128</v>
      </c>
      <c r="P61">
        <f>P60/(1+'Study Parameters'!$C$3)^'LCOF Baseline'!P$57</f>
        <v>41536247.046305664</v>
      </c>
      <c r="Q61">
        <f>Q60/(1+'Study Parameters'!$C$3)^'LCOF Baseline'!Q$57</f>
        <v>38459488.005838573</v>
      </c>
      <c r="R61">
        <f>R60/(1+'Study Parameters'!$C$3)^'LCOF Baseline'!R$57</f>
        <v>35610637.042443126</v>
      </c>
      <c r="S61">
        <f>S60/(1+'Study Parameters'!$C$3)^'LCOF Baseline'!S$57</f>
        <v>32972812.076336227</v>
      </c>
      <c r="T61">
        <f>T60/(1+'Study Parameters'!$C$3)^'LCOF Baseline'!T$57</f>
        <v>30530381.552163169</v>
      </c>
      <c r="U61">
        <f>U60/(1+'Study Parameters'!$C$3)^'LCOF Baseline'!U$57</f>
        <v>28268871.807558488</v>
      </c>
      <c r="V61">
        <f>V60/(1+'Study Parameters'!$C$3)^'LCOF Baseline'!V$57</f>
        <v>26174881.303294897</v>
      </c>
      <c r="W61">
        <f>W60/(1+'Study Parameters'!$C$3)^'LCOF Baseline'!W$57</f>
        <v>24236001.206754535</v>
      </c>
      <c r="X61">
        <f>X60/(1+'Study Parameters'!$C$3)^'LCOF Baseline'!X$57</f>
        <v>22440741.858106047</v>
      </c>
      <c r="Y61">
        <f>Y60/(1+'Study Parameters'!$C$3)^'LCOF Baseline'!Y$57</f>
        <v>20778464.683431525</v>
      </c>
      <c r="Z61">
        <f>Z60/(1+'Study Parameters'!$C$3)^'LCOF Baseline'!Z$57</f>
        <v>19239319.151325487</v>
      </c>
      <c r="AA61">
        <f>AA60/(1+'Study Parameters'!$C$3)^'LCOF Baseline'!AA$57</f>
        <v>17814184.399375446</v>
      </c>
      <c r="AB61">
        <f>AB60/(1+'Study Parameters'!$C$3)^'LCOF Baseline'!AB$57</f>
        <v>16494615.184606897</v>
      </c>
      <c r="AC61">
        <f>AC60/(1+'Study Parameters'!$C$3)^'LCOF Baseline'!AC$57</f>
        <v>15272791.837598978</v>
      </c>
      <c r="AD61">
        <f>AD60/(1+'Study Parameters'!$C$3)^'LCOF Baseline'!AD$57</f>
        <v>14141473.923702758</v>
      </c>
      <c r="AE61">
        <f>AE60/(1+'Study Parameters'!$C$3)^'LCOF Baseline'!AE$57</f>
        <v>13093957.336761812</v>
      </c>
      <c r="AF61">
        <f>AF60/(1+'Study Parameters'!$C$3)^'LCOF Baseline'!AF$57</f>
        <v>12124034.571075751</v>
      </c>
    </row>
    <row r="62" spans="1:32" x14ac:dyDescent="0.25">
      <c r="A62" t="s">
        <v>157</v>
      </c>
      <c r="B62">
        <v>0</v>
      </c>
      <c r="C62">
        <f>'Study Parameters'!$C$9</f>
        <v>157410000</v>
      </c>
      <c r="D62">
        <f>'Study Parameters'!$C$9</f>
        <v>157410000</v>
      </c>
      <c r="E62">
        <f>'Study Parameters'!$C$9</f>
        <v>157410000</v>
      </c>
      <c r="F62">
        <f>'Study Parameters'!$C$9</f>
        <v>157410000</v>
      </c>
      <c r="G62">
        <f>'Study Parameters'!$C$9</f>
        <v>157410000</v>
      </c>
      <c r="H62">
        <f>'Study Parameters'!$C$9</f>
        <v>157410000</v>
      </c>
      <c r="I62">
        <f>'Study Parameters'!$C$9</f>
        <v>157410000</v>
      </c>
      <c r="J62">
        <f>'Study Parameters'!$C$9</f>
        <v>157410000</v>
      </c>
      <c r="K62">
        <f>'Study Parameters'!$C$9</f>
        <v>157410000</v>
      </c>
      <c r="L62">
        <f>'Study Parameters'!$C$9</f>
        <v>157410000</v>
      </c>
      <c r="M62">
        <f>'Study Parameters'!$C$9</f>
        <v>157410000</v>
      </c>
      <c r="N62">
        <f>'Study Parameters'!$C$9</f>
        <v>157410000</v>
      </c>
      <c r="O62">
        <f>'Study Parameters'!$C$9</f>
        <v>157410000</v>
      </c>
      <c r="P62">
        <f>'Study Parameters'!$C$9</f>
        <v>157410000</v>
      </c>
      <c r="Q62">
        <f>'Study Parameters'!$C$9</f>
        <v>157410000</v>
      </c>
      <c r="R62">
        <f>'Study Parameters'!$C$9</f>
        <v>157410000</v>
      </c>
      <c r="S62">
        <f>'Study Parameters'!$C$9</f>
        <v>157410000</v>
      </c>
      <c r="T62">
        <f>'Study Parameters'!$C$9</f>
        <v>157410000</v>
      </c>
      <c r="U62">
        <f>'Study Parameters'!$C$9</f>
        <v>157410000</v>
      </c>
      <c r="V62">
        <f>'Study Parameters'!$C$9</f>
        <v>157410000</v>
      </c>
      <c r="W62">
        <f>'Study Parameters'!$C$9</f>
        <v>157410000</v>
      </c>
      <c r="X62">
        <f>'Study Parameters'!$C$9</f>
        <v>157410000</v>
      </c>
      <c r="Y62">
        <f>'Study Parameters'!$C$9</f>
        <v>157410000</v>
      </c>
      <c r="Z62">
        <f>'Study Parameters'!$C$9</f>
        <v>157410000</v>
      </c>
      <c r="AA62">
        <f>'Study Parameters'!$C$9</f>
        <v>157410000</v>
      </c>
      <c r="AB62">
        <f>'Study Parameters'!$C$9</f>
        <v>157410000</v>
      </c>
      <c r="AC62">
        <f>'Study Parameters'!$C$9</f>
        <v>157410000</v>
      </c>
      <c r="AD62">
        <f>'Study Parameters'!$C$9</f>
        <v>157410000</v>
      </c>
      <c r="AE62">
        <f>'Study Parameters'!$C$9</f>
        <v>157410000</v>
      </c>
      <c r="AF62">
        <f>'Study Parameters'!$C$9</f>
        <v>157410000</v>
      </c>
    </row>
    <row r="63" spans="1:32" x14ac:dyDescent="0.25">
      <c r="A63" t="s">
        <v>158</v>
      </c>
      <c r="B63">
        <v>0</v>
      </c>
      <c r="C63">
        <f>C62/(1+'Study Parameters'!$C$3)^'LCOF Baseline'!C$57</f>
        <v>145750000</v>
      </c>
      <c r="D63">
        <f>D62/(1+'Study Parameters'!$C$3)^'LCOF Baseline'!D$57</f>
        <v>134953703.7037037</v>
      </c>
      <c r="E63">
        <f>E62/(1+'Study Parameters'!$C$3)^'LCOF Baseline'!E$57</f>
        <v>124957133.05898489</v>
      </c>
      <c r="F63">
        <f>F62/(1+'Study Parameters'!$C$3)^'LCOF Baseline'!F$57</f>
        <v>115701049.12868971</v>
      </c>
      <c r="G63">
        <f>G62/(1+'Study Parameters'!$C$3)^'LCOF Baseline'!G$57</f>
        <v>107130601.04508306</v>
      </c>
      <c r="H63">
        <f>H62/(1+'Study Parameters'!$C$3)^'LCOF Baseline'!H$57</f>
        <v>99195000.967669487</v>
      </c>
      <c r="I63">
        <f>I62/(1+'Study Parameters'!$C$3)^'LCOF Baseline'!I$57</f>
        <v>91847223.118212491</v>
      </c>
      <c r="J63">
        <f>J62/(1+'Study Parameters'!$C$3)^'LCOF Baseline'!J$57</f>
        <v>85043725.109456003</v>
      </c>
      <c r="K63">
        <f>K62/(1+'Study Parameters'!$C$3)^'LCOF Baseline'!K$57</f>
        <v>78744189.916162968</v>
      </c>
      <c r="L63">
        <f>L62/(1+'Study Parameters'!$C$3)^'LCOF Baseline'!L$57</f>
        <v>72911286.959410146</v>
      </c>
      <c r="M63">
        <f>M62/(1+'Study Parameters'!$C$3)^'LCOF Baseline'!M$57</f>
        <v>67510450.888342723</v>
      </c>
      <c r="N63">
        <f>N62/(1+'Study Parameters'!$C$3)^'LCOF Baseline'!N$57</f>
        <v>62509676.748465486</v>
      </c>
      <c r="O63">
        <f>O62/(1+'Study Parameters'!$C$3)^'LCOF Baseline'!O$57</f>
        <v>57879330.322653227</v>
      </c>
      <c r="P63">
        <f>P62/(1+'Study Parameters'!$C$3)^'LCOF Baseline'!P$57</f>
        <v>53591972.520975202</v>
      </c>
      <c r="Q63">
        <f>Q62/(1+'Study Parameters'!$C$3)^'LCOF Baseline'!Q$57</f>
        <v>49622196.778680742</v>
      </c>
      <c r="R63">
        <f>R62/(1+'Study Parameters'!$C$3)^'LCOF Baseline'!R$57</f>
        <v>45946478.498778462</v>
      </c>
      <c r="S63">
        <f>S62/(1+'Study Parameters'!$C$3)^'LCOF Baseline'!S$57</f>
        <v>42543035.647017092</v>
      </c>
      <c r="T63">
        <f>T62/(1+'Study Parameters'!$C$3)^'LCOF Baseline'!T$57</f>
        <v>39391699.673163973</v>
      </c>
      <c r="U63">
        <f>U62/(1+'Study Parameters'!$C$3)^'LCOF Baseline'!U$57</f>
        <v>36473795.993670344</v>
      </c>
      <c r="V63">
        <f>V62/(1+'Study Parameters'!$C$3)^'LCOF Baseline'!V$57</f>
        <v>33772033.327472538</v>
      </c>
      <c r="W63">
        <f>W62/(1+'Study Parameters'!$C$3)^'LCOF Baseline'!W$57</f>
        <v>31270401.229141239</v>
      </c>
      <c r="X63">
        <f>X62/(1+'Study Parameters'!$C$3)^'LCOF Baseline'!X$57</f>
        <v>28954075.212167811</v>
      </c>
      <c r="Y63">
        <f>Y62/(1+'Study Parameters'!$C$3)^'LCOF Baseline'!Y$57</f>
        <v>26809328.90015538</v>
      </c>
      <c r="Z63">
        <f>Z62/(1+'Study Parameters'!$C$3)^'LCOF Baseline'!Z$57</f>
        <v>24823452.685329054</v>
      </c>
      <c r="AA63">
        <f>AA62/(1+'Study Parameters'!$C$3)^'LCOF Baseline'!AA$57</f>
        <v>22984678.412341714</v>
      </c>
      <c r="AB63">
        <f>AB62/(1+'Study Parameters'!$C$3)^'LCOF Baseline'!AB$57</f>
        <v>21282109.641057145</v>
      </c>
      <c r="AC63">
        <f>AC62/(1+'Study Parameters'!$C$3)^'LCOF Baseline'!AC$57</f>
        <v>19705657.07505291</v>
      </c>
      <c r="AD63">
        <f>AD62/(1+'Study Parameters'!$C$3)^'LCOF Baseline'!AD$57</f>
        <v>18245978.773197141</v>
      </c>
      <c r="AE63">
        <f>AE62/(1+'Study Parameters'!$C$3)^'LCOF Baseline'!AE$57</f>
        <v>16894424.78999735</v>
      </c>
      <c r="AF63">
        <f>AF62/(1+'Study Parameters'!$C$3)^'LCOF Baseline'!AF$57</f>
        <v>15642985.916664211</v>
      </c>
    </row>
    <row r="65" spans="1:2" x14ac:dyDescent="0.25">
      <c r="A65" t="s">
        <v>159</v>
      </c>
      <c r="B65">
        <f>(SUM(B59:AF59) - SUM(B61:AF61)) / SUM(B63:AF63)</f>
        <v>5.179064767127346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65"/>
  <sheetViews>
    <sheetView topLeftCell="A20" workbookViewId="0">
      <selection activeCell="A12" sqref="A12"/>
    </sheetView>
  </sheetViews>
  <sheetFormatPr defaultColWidth="11.25" defaultRowHeight="15.75" x14ac:dyDescent="0.25"/>
  <cols>
    <col min="1" max="1" width="22.25" bestFit="1" customWidth="1"/>
    <col min="2" max="3" width="12.25" bestFit="1" customWidth="1"/>
    <col min="9" max="9" width="11.25" bestFit="1" customWidth="1"/>
    <col min="12" max="12" width="12.25" bestFit="1" customWidth="1"/>
    <col min="15" max="15" width="11.25" bestFit="1" customWidth="1"/>
    <col min="21" max="22" width="11.25" bestFit="1" customWidth="1"/>
    <col min="27" max="27" width="11.25" bestFit="1" customWidth="1"/>
  </cols>
  <sheetData>
    <row r="1" spans="1:32" x14ac:dyDescent="0.25">
      <c r="A1" s="1" t="s">
        <v>3</v>
      </c>
    </row>
    <row r="2" spans="1:32" x14ac:dyDescent="0.25">
      <c r="A2" t="s">
        <v>21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 x14ac:dyDescent="0.25">
      <c r="A3" t="s">
        <v>110</v>
      </c>
      <c r="B3">
        <f>'Cost Components'!B23*10^6</f>
        <v>1100000000</v>
      </c>
      <c r="C3">
        <f>'Cost Components'!$B$26 * 10^6</f>
        <v>1856261016.9491527</v>
      </c>
      <c r="D3">
        <f>'Cost Components'!$B$26 * 10^6</f>
        <v>1856261016.9491527</v>
      </c>
      <c r="E3">
        <f>'Cost Components'!$B$26 * 10^6</f>
        <v>1856261016.9491527</v>
      </c>
      <c r="F3">
        <f>'Cost Components'!$B$26 * 10^6</f>
        <v>1856261016.9491527</v>
      </c>
      <c r="G3">
        <f>'Cost Components'!$B$26 * 10^6</f>
        <v>1856261016.9491527</v>
      </c>
      <c r="H3">
        <f>'Cost Components'!$B$26 * 10^6</f>
        <v>1856261016.9491527</v>
      </c>
      <c r="I3">
        <f>'Cost Components'!$B$26 * 10^6</f>
        <v>1856261016.9491527</v>
      </c>
      <c r="J3">
        <f>'Cost Components'!$B$26 * 10^6</f>
        <v>1856261016.9491527</v>
      </c>
      <c r="K3">
        <f>'Cost Components'!$B$26 * 10^6</f>
        <v>1856261016.9491527</v>
      </c>
      <c r="L3">
        <f>'Cost Components'!$B$26 * 10^6 + 'Cost Components'!$B$7*10^6</f>
        <v>2033261016.9491527</v>
      </c>
      <c r="M3">
        <f>'Cost Components'!$B$26 * 10^6</f>
        <v>1856261016.9491527</v>
      </c>
      <c r="N3">
        <f>'Cost Components'!$B$26 * 10^6</f>
        <v>1856261016.9491527</v>
      </c>
      <c r="O3">
        <f>'Cost Components'!$B$26 * 10^6</f>
        <v>1856261016.9491527</v>
      </c>
      <c r="P3">
        <f>'Cost Components'!$B$26 * 10^6</f>
        <v>1856261016.9491527</v>
      </c>
      <c r="Q3">
        <f>'Cost Components'!$B$26 * 10^6</f>
        <v>1856261016.9491527</v>
      </c>
      <c r="R3">
        <f>'Cost Components'!$B$26 * 10^6</f>
        <v>1856261016.9491527</v>
      </c>
      <c r="S3">
        <f>'Cost Components'!$B$26 * 10^6</f>
        <v>1856261016.9491527</v>
      </c>
      <c r="T3">
        <f>'Cost Components'!$B$26 * 10^6</f>
        <v>1856261016.9491527</v>
      </c>
      <c r="U3">
        <f>'Cost Components'!$B$26 * 10^6</f>
        <v>1856261016.9491527</v>
      </c>
      <c r="V3">
        <f>'Cost Components'!$B$26 * 10^6 + 'Cost Components'!$B$7*10^6</f>
        <v>2033261016.9491527</v>
      </c>
      <c r="W3">
        <f>'Cost Components'!$B$26 * 10^6</f>
        <v>1856261016.9491527</v>
      </c>
      <c r="X3">
        <f>'Cost Components'!$B$26 * 10^6</f>
        <v>1856261016.9491527</v>
      </c>
      <c r="Y3">
        <f>'Cost Components'!$B$26 * 10^6</f>
        <v>1856261016.9491527</v>
      </c>
      <c r="Z3">
        <f>'Cost Components'!$B$26 * 10^6</f>
        <v>1856261016.9491527</v>
      </c>
      <c r="AA3">
        <f>'Cost Components'!$B$26 * 10^6</f>
        <v>1856261016.9491527</v>
      </c>
      <c r="AB3">
        <f>'Cost Components'!$B$26 * 10^6</f>
        <v>1856261016.9491527</v>
      </c>
      <c r="AC3">
        <f>'Cost Components'!$B$26 * 10^6</f>
        <v>1856261016.9491527</v>
      </c>
      <c r="AD3">
        <f>'Cost Components'!$B$26 * 10^6</f>
        <v>1856261016.9491527</v>
      </c>
      <c r="AE3">
        <f>'Cost Components'!$B$26 * 10^6</f>
        <v>1856261016.9491527</v>
      </c>
      <c r="AF3">
        <f>'Cost Components'!$B$26 * 10^6</f>
        <v>1856261016.9491527</v>
      </c>
    </row>
    <row r="4" spans="1:32" x14ac:dyDescent="0.25">
      <c r="A4" t="s">
        <v>111</v>
      </c>
      <c r="B4">
        <f>B3/(1+Inputs!$C$5) ^ 'LCOF Baseline'!B2</f>
        <v>1100000000</v>
      </c>
      <c r="C4">
        <f>C3/(1+Inputs!$C$5) ^ 'LCOF Baseline'!C2</f>
        <v>1734823380.3263109</v>
      </c>
      <c r="D4">
        <f>D3/(1+Inputs!$C$5) ^ 'LCOF Baseline'!D2</f>
        <v>1621330261.9872065</v>
      </c>
      <c r="E4">
        <f>E3/(1+Inputs!$C$5) ^ 'LCOF Baseline'!E2</f>
        <v>1515261927.090847</v>
      </c>
      <c r="F4">
        <f>F3/(1+Inputs!$C$5) ^ 'LCOF Baseline'!F2</f>
        <v>1416132642.1409786</v>
      </c>
      <c r="G4">
        <f>G3/(1+Inputs!$C$5) ^ 'LCOF Baseline'!G2</f>
        <v>1323488450.5990453</v>
      </c>
      <c r="H4">
        <f>H3/(1+Inputs!$C$5) ^ 'LCOF Baseline'!H2</f>
        <v>1236905094.0177994</v>
      </c>
      <c r="I4">
        <f>I3/(1+Inputs!$C$5) ^ 'LCOF Baseline'!I2</f>
        <v>1155986069.1755135</v>
      </c>
      <c r="J4">
        <f>J3/(1+Inputs!$C$5) ^ 'LCOF Baseline'!J2</f>
        <v>1080360812.3135641</v>
      </c>
      <c r="K4">
        <f>K3/(1+Inputs!$C$5) ^ 'LCOF Baseline'!K2</f>
        <v>1009683002.1622093</v>
      </c>
      <c r="L4">
        <f>L3/(1+Inputs!$C$5) ^ 'LCOF Baseline'!L2</f>
        <v>1033606798.6912183</v>
      </c>
      <c r="M4">
        <f>M3/(1+Inputs!$C$5) ^ 'LCOF Baseline'!M2</f>
        <v>881896237.36763835</v>
      </c>
      <c r="N4">
        <f>N3/(1+Inputs!$C$5) ^ 'LCOF Baseline'!N2</f>
        <v>824202090.99779308</v>
      </c>
      <c r="O4">
        <f>O3/(1+Inputs!$C$5) ^ 'LCOF Baseline'!O2</f>
        <v>770282328.03532052</v>
      </c>
      <c r="P4">
        <f>P3/(1+Inputs!$C$5) ^ 'LCOF Baseline'!P2</f>
        <v>719890026.20123422</v>
      </c>
      <c r="Q4">
        <f>Q3/(1+Inputs!$C$5) ^ 'LCOF Baseline'!Q2</f>
        <v>672794417.01049912</v>
      </c>
      <c r="R4">
        <f>R3/(1+Inputs!$C$5) ^ 'LCOF Baseline'!R2</f>
        <v>628779828.98177493</v>
      </c>
      <c r="S4">
        <f>S3/(1+Inputs!$C$5) ^ 'LCOF Baseline'!S2</f>
        <v>587644699.98296726</v>
      </c>
      <c r="T4">
        <f>T3/(1+Inputs!$C$5) ^ 'LCOF Baseline'!T2</f>
        <v>549200654.18968904</v>
      </c>
      <c r="U4">
        <f>U3/(1+Inputs!$C$5) ^ 'LCOF Baseline'!U2</f>
        <v>513271639.42961586</v>
      </c>
      <c r="V4">
        <f>V3/(1+Inputs!$C$5) ^ 'LCOF Baseline'!V2</f>
        <v>525433284.4603126</v>
      </c>
      <c r="W4">
        <f>W3/(1+Inputs!$C$5) ^ 'LCOF Baseline'!W2</f>
        <v>448311328.00211012</v>
      </c>
      <c r="X4">
        <f>X3/(1+Inputs!$C$5) ^ 'LCOF Baseline'!X2</f>
        <v>418982549.53468239</v>
      </c>
      <c r="Y4">
        <f>Y3/(1+Inputs!$C$5) ^ 'LCOF Baseline'!Y2</f>
        <v>391572476.2006377</v>
      </c>
      <c r="Z4">
        <f>Z3/(1+Inputs!$C$5) ^ 'LCOF Baseline'!Z2</f>
        <v>365955585.23424083</v>
      </c>
      <c r="AA4">
        <f>AA3/(1+Inputs!$C$5) ^ 'LCOF Baseline'!AA2</f>
        <v>342014565.63947743</v>
      </c>
      <c r="AB4">
        <f>AB3/(1+Inputs!$C$5) ^ 'LCOF Baseline'!AB2</f>
        <v>319639780.97147423</v>
      </c>
      <c r="AC4">
        <f>AC3/(1+Inputs!$C$5) ^ 'LCOF Baseline'!AC2</f>
        <v>298728767.26305997</v>
      </c>
      <c r="AD4">
        <f>AD3/(1+Inputs!$C$5) ^ 'LCOF Baseline'!AD2</f>
        <v>279185763.79725236</v>
      </c>
      <c r="AE4">
        <f>AE3/(1+Inputs!$C$5) ^ 'LCOF Baseline'!AE2</f>
        <v>260921274.57687137</v>
      </c>
      <c r="AF4">
        <f>AF3/(1+Inputs!$C$5) ^ 'LCOF Baseline'!AF2</f>
        <v>243851658.48305735</v>
      </c>
    </row>
    <row r="5" spans="1:32" x14ac:dyDescent="0.25">
      <c r="A5" t="s">
        <v>155</v>
      </c>
      <c r="B5">
        <v>0</v>
      </c>
      <c r="C5">
        <f>'Study Parameters'!$C$42*10^6</f>
        <v>122000000</v>
      </c>
      <c r="D5">
        <f>'Study Parameters'!$C$42*10^6</f>
        <v>122000000</v>
      </c>
      <c r="E5">
        <f>'Study Parameters'!$C$42*10^6</f>
        <v>122000000</v>
      </c>
      <c r="F5">
        <f>'Study Parameters'!$C$42*10^6</f>
        <v>122000000</v>
      </c>
      <c r="G5">
        <f>'Study Parameters'!$C$42*10^6</f>
        <v>122000000</v>
      </c>
      <c r="H5">
        <f>'Study Parameters'!$C$42*10^6</f>
        <v>122000000</v>
      </c>
      <c r="I5">
        <f>'Study Parameters'!$C$42*10^6</f>
        <v>122000000</v>
      </c>
      <c r="J5">
        <f>'Study Parameters'!$C$42*10^6</f>
        <v>122000000</v>
      </c>
      <c r="K5">
        <f>'Study Parameters'!$C$42*10^6</f>
        <v>122000000</v>
      </c>
      <c r="L5">
        <f>'Study Parameters'!$C$42*10^6</f>
        <v>122000000</v>
      </c>
      <c r="M5">
        <f>'Study Parameters'!$C$42*10^6</f>
        <v>122000000</v>
      </c>
      <c r="N5">
        <f>'Study Parameters'!$C$42*10^6</f>
        <v>122000000</v>
      </c>
      <c r="O5">
        <f>'Study Parameters'!$C$42*10^6</f>
        <v>122000000</v>
      </c>
      <c r="P5">
        <f>'Study Parameters'!$C$42*10^6</f>
        <v>122000000</v>
      </c>
      <c r="Q5">
        <f>'Study Parameters'!$C$42*10^6</f>
        <v>122000000</v>
      </c>
      <c r="R5">
        <f>'Study Parameters'!$C$42*10^6</f>
        <v>122000000</v>
      </c>
      <c r="S5">
        <f>'Study Parameters'!$C$42*10^6</f>
        <v>122000000</v>
      </c>
      <c r="T5">
        <f>'Study Parameters'!$C$42*10^6</f>
        <v>122000000</v>
      </c>
      <c r="U5">
        <f>'Study Parameters'!$C$42*10^6</f>
        <v>122000000</v>
      </c>
      <c r="V5">
        <f>'Study Parameters'!$C$42*10^6</f>
        <v>122000000</v>
      </c>
      <c r="W5">
        <f>'Study Parameters'!$C$42*10^6</f>
        <v>122000000</v>
      </c>
      <c r="X5">
        <f>'Study Parameters'!$C$42*10^6</f>
        <v>122000000</v>
      </c>
      <c r="Y5">
        <f>'Study Parameters'!$C$42*10^6</f>
        <v>122000000</v>
      </c>
      <c r="Z5">
        <f>'Study Parameters'!$C$42*10^6</f>
        <v>122000000</v>
      </c>
      <c r="AA5">
        <f>'Study Parameters'!$C$42*10^6</f>
        <v>122000000</v>
      </c>
      <c r="AB5">
        <f>'Study Parameters'!$C$42*10^6</f>
        <v>122000000</v>
      </c>
      <c r="AC5">
        <f>'Study Parameters'!$C$42*10^6</f>
        <v>122000000</v>
      </c>
      <c r="AD5">
        <f>'Study Parameters'!$C$42*10^6</f>
        <v>122000000</v>
      </c>
      <c r="AE5">
        <f>'Study Parameters'!$C$42*10^6</f>
        <v>122000000</v>
      </c>
      <c r="AF5">
        <f>'Study Parameters'!$C$42*10^6</f>
        <v>122000000</v>
      </c>
    </row>
    <row r="6" spans="1:32" x14ac:dyDescent="0.25">
      <c r="A6" t="s">
        <v>156</v>
      </c>
      <c r="B6">
        <v>0</v>
      </c>
      <c r="C6">
        <f>C5/(1+Inputs!$C$5) ^'LCOF Baseline'!C2</f>
        <v>114018691.58878504</v>
      </c>
      <c r="D6">
        <f>D5/(1+Inputs!$C$5) ^'LCOF Baseline'!D2</f>
        <v>106559524.84933181</v>
      </c>
      <c r="E6">
        <f>E5/(1+Inputs!$C$5) ^'LCOF Baseline'!E2</f>
        <v>99588340.980683938</v>
      </c>
      <c r="F6">
        <f>F5/(1+Inputs!$C$5) ^'LCOF Baseline'!F2</f>
        <v>93073215.869798079</v>
      </c>
      <c r="G6">
        <f>G5/(1+Inputs!$C$5) ^'LCOF Baseline'!G2</f>
        <v>86984313.89700754</v>
      </c>
      <c r="H6">
        <f>H5/(1+Inputs!$C$5) ^'LCOF Baseline'!H2</f>
        <v>81293751.305614531</v>
      </c>
      <c r="I6">
        <f>I5/(1+Inputs!$C$5) ^'LCOF Baseline'!I2</f>
        <v>75975468.50992012</v>
      </c>
      <c r="J6">
        <f>J5/(1+Inputs!$C$5) ^'LCOF Baseline'!J2</f>
        <v>71005110.756934687</v>
      </c>
      <c r="K6">
        <f>K5/(1+Inputs!$C$5) ^'LCOF Baseline'!K2</f>
        <v>66359916.595266059</v>
      </c>
      <c r="L6">
        <f>L5/(1+Inputs!$C$5) ^'LCOF Baseline'!L2</f>
        <v>62018613.640435569</v>
      </c>
      <c r="M6">
        <f>M5/(1+Inputs!$C$5) ^'LCOF Baseline'!M2</f>
        <v>57961321.159285575</v>
      </c>
      <c r="N6">
        <f>N5/(1+Inputs!$C$5) ^'LCOF Baseline'!N2</f>
        <v>54169459.027369708</v>
      </c>
      <c r="O6">
        <f>O5/(1+Inputs!$C$5) ^'LCOF Baseline'!O2</f>
        <v>50625662.642401591</v>
      </c>
      <c r="P6">
        <f>P5/(1+Inputs!$C$5) ^'LCOF Baseline'!P2</f>
        <v>47313703.404113635</v>
      </c>
      <c r="Q6">
        <f>Q5/(1+Inputs!$C$5) ^'LCOF Baseline'!Q2</f>
        <v>44218414.396367878</v>
      </c>
      <c r="R6">
        <f>R5/(1+Inputs!$C$5) ^'LCOF Baseline'!R2</f>
        <v>41325620.93118494</v>
      </c>
      <c r="S6">
        <f>S5/(1+Inputs!$C$5) ^'LCOF Baseline'!S2</f>
        <v>38622075.636621438</v>
      </c>
      <c r="T6">
        <f>T5/(1+Inputs!$C$5) ^'LCOF Baseline'!T2</f>
        <v>36095397.791234992</v>
      </c>
      <c r="U6">
        <f>U5/(1+Inputs!$C$5) ^'LCOF Baseline'!U2</f>
        <v>33734016.62732242</v>
      </c>
      <c r="V6">
        <f>V5/(1+Inputs!$C$5) ^'LCOF Baseline'!V2</f>
        <v>31527118.343291983</v>
      </c>
      <c r="W6">
        <f>W5/(1+Inputs!$C$5) ^'LCOF Baseline'!W2</f>
        <v>29464596.582515869</v>
      </c>
      <c r="X6">
        <f>X5/(1+Inputs!$C$5) ^'LCOF Baseline'!X2</f>
        <v>27537006.15188399</v>
      </c>
      <c r="Y6">
        <f>Y5/(1+Inputs!$C$5) ^'LCOF Baseline'!Y2</f>
        <v>25735519.768115878</v>
      </c>
      <c r="Z6">
        <f>Z5/(1+Inputs!$C$5) ^'LCOF Baseline'!Z2</f>
        <v>24051887.633753154</v>
      </c>
      <c r="AA6">
        <f>AA5/(1+Inputs!$C$5) ^'LCOF Baseline'!AA2</f>
        <v>22478399.657713227</v>
      </c>
      <c r="AB6">
        <f>AB5/(1+Inputs!$C$5) ^'LCOF Baseline'!AB2</f>
        <v>21007850.147395544</v>
      </c>
      <c r="AC6">
        <f>AC5/(1+Inputs!$C$5) ^'LCOF Baseline'!AC2</f>
        <v>19633504.810650036</v>
      </c>
      <c r="AD6">
        <f>AD5/(1+Inputs!$C$5) ^'LCOF Baseline'!AD2</f>
        <v>18349069.916495364</v>
      </c>
      <c r="AE6">
        <f>AE5/(1+Inputs!$C$5) ^'LCOF Baseline'!AE2</f>
        <v>17148663.473360151</v>
      </c>
      <c r="AF6">
        <f>AF5/(1+Inputs!$C$5) ^'LCOF Baseline'!AF2</f>
        <v>16026788.292859957</v>
      </c>
    </row>
    <row r="7" spans="1:32" x14ac:dyDescent="0.25">
      <c r="A7" t="s">
        <v>157</v>
      </c>
      <c r="B7">
        <v>0</v>
      </c>
      <c r="C7">
        <f>'Study Parameters'!$C$9</f>
        <v>157410000</v>
      </c>
      <c r="D7">
        <f>'Study Parameters'!$C$9</f>
        <v>157410000</v>
      </c>
      <c r="E7">
        <f>'Study Parameters'!$C$9</f>
        <v>157410000</v>
      </c>
      <c r="F7">
        <f>'Study Parameters'!$C$9</f>
        <v>157410000</v>
      </c>
      <c r="G7">
        <f>'Study Parameters'!$C$9</f>
        <v>157410000</v>
      </c>
      <c r="H7">
        <f>'Study Parameters'!$C$9</f>
        <v>157410000</v>
      </c>
      <c r="I7">
        <f>'Study Parameters'!$C$9</f>
        <v>157410000</v>
      </c>
      <c r="J7">
        <f>'Study Parameters'!$C$9</f>
        <v>157410000</v>
      </c>
      <c r="K7">
        <f>'Study Parameters'!$C$9</f>
        <v>157410000</v>
      </c>
      <c r="L7">
        <f>'Study Parameters'!$C$9</f>
        <v>157410000</v>
      </c>
      <c r="M7">
        <f>'Study Parameters'!$C$9</f>
        <v>157410000</v>
      </c>
      <c r="N7">
        <f>'Study Parameters'!$C$9</f>
        <v>157410000</v>
      </c>
      <c r="O7">
        <f>'Study Parameters'!$C$9</f>
        <v>157410000</v>
      </c>
      <c r="P7">
        <f>'Study Parameters'!$C$9</f>
        <v>157410000</v>
      </c>
      <c r="Q7">
        <f>'Study Parameters'!$C$9</f>
        <v>157410000</v>
      </c>
      <c r="R7">
        <f>'Study Parameters'!$C$9</f>
        <v>157410000</v>
      </c>
      <c r="S7">
        <f>'Study Parameters'!$C$9</f>
        <v>157410000</v>
      </c>
      <c r="T7">
        <f>'Study Parameters'!$C$9</f>
        <v>157410000</v>
      </c>
      <c r="U7">
        <f>'Study Parameters'!$C$9</f>
        <v>157410000</v>
      </c>
      <c r="V7">
        <f>'Study Parameters'!$C$9</f>
        <v>157410000</v>
      </c>
      <c r="W7">
        <f>'Study Parameters'!$C$9</f>
        <v>157410000</v>
      </c>
      <c r="X7">
        <f>'Study Parameters'!$C$9</f>
        <v>157410000</v>
      </c>
      <c r="Y7">
        <f>'Study Parameters'!$C$9</f>
        <v>157410000</v>
      </c>
      <c r="Z7">
        <f>'Study Parameters'!$C$9</f>
        <v>157410000</v>
      </c>
      <c r="AA7">
        <f>'Study Parameters'!$C$9</f>
        <v>157410000</v>
      </c>
      <c r="AB7">
        <f>'Study Parameters'!$C$9</f>
        <v>157410000</v>
      </c>
      <c r="AC7">
        <f>'Study Parameters'!$C$9</f>
        <v>157410000</v>
      </c>
      <c r="AD7">
        <f>'Study Parameters'!$C$9</f>
        <v>157410000</v>
      </c>
      <c r="AE7">
        <f>'Study Parameters'!$C$9</f>
        <v>157410000</v>
      </c>
      <c r="AF7">
        <f>'Study Parameters'!$C$9</f>
        <v>157410000</v>
      </c>
    </row>
    <row r="8" spans="1:32" x14ac:dyDescent="0.25">
      <c r="A8" t="s">
        <v>158</v>
      </c>
      <c r="B8">
        <v>0</v>
      </c>
      <c r="C8">
        <f>C7/(1+Inputs!$C$5) ^ 'LCOF Baseline'!C2</f>
        <v>147112149.53271028</v>
      </c>
      <c r="D8">
        <f>D7/(1+Inputs!$C$5) ^ 'LCOF Baseline'!D2</f>
        <v>137487990.21748623</v>
      </c>
      <c r="E8">
        <f>E7/(1+Inputs!$C$5) ^ 'LCOF Baseline'!E2</f>
        <v>128493448.80138901</v>
      </c>
      <c r="F8">
        <f>F7/(1+Inputs!$C$5) ^ 'LCOF Baseline'!F2</f>
        <v>120087335.32840094</v>
      </c>
      <c r="G8">
        <f>G7/(1+Inputs!$C$5) ^ 'LCOF Baseline'!G2</f>
        <v>112231154.51252423</v>
      </c>
      <c r="H8">
        <f>H7/(1+Inputs!$C$5) ^ 'LCOF Baseline'!H2</f>
        <v>104888929.45095724</v>
      </c>
      <c r="I8">
        <f>I7/(1+Inputs!$C$5) ^ 'LCOF Baseline'!I2</f>
        <v>98027036.870053485</v>
      </c>
      <c r="J8">
        <f>J7/(1+Inputs!$C$5) ^ 'LCOF Baseline'!J2</f>
        <v>91614053.149582699</v>
      </c>
      <c r="K8">
        <f>K7/(1+Inputs!$C$5) ^ 'LCOF Baseline'!K2</f>
        <v>85620610.420170739</v>
      </c>
      <c r="L8">
        <f>L7/(1+Inputs!$C$5) ^ 'LCOF Baseline'!L2</f>
        <v>80019262.074925929</v>
      </c>
      <c r="M8">
        <f>M7/(1+Inputs!$C$5) ^ 'LCOF Baseline'!M2</f>
        <v>74784357.079370022</v>
      </c>
      <c r="N8">
        <f>N7/(1+Inputs!$C$5) ^ 'LCOF Baseline'!N2</f>
        <v>69891922.50408414</v>
      </c>
      <c r="O8">
        <f>O7/(1+Inputs!$C$5) ^ 'LCOF Baseline'!O2</f>
        <v>65319553.742134705</v>
      </c>
      <c r="P8">
        <f>P7/(1+Inputs!$C$5) ^ 'LCOF Baseline'!P2</f>
        <v>61046311.908537112</v>
      </c>
      <c r="Q8">
        <f>Q7/(1+Inputs!$C$5) ^ 'LCOF Baseline'!Q2</f>
        <v>57052627.951903835</v>
      </c>
      <c r="R8">
        <f>R7/(1+Inputs!$C$5) ^ 'LCOF Baseline'!R2</f>
        <v>53320213.039162472</v>
      </c>
      <c r="S8">
        <f>S7/(1+Inputs!$C$5) ^ 'LCOF Baseline'!S2</f>
        <v>49831974.802955583</v>
      </c>
      <c r="T8">
        <f>T7/(1+Inputs!$C$5) ^ 'LCOF Baseline'!T2</f>
        <v>46571939.068182781</v>
      </c>
      <c r="U8">
        <f>U7/(1+Inputs!$C$5) ^ 'LCOF Baseline'!U2</f>
        <v>43525176.699236244</v>
      </c>
      <c r="V8">
        <f>V7/(1+Inputs!$C$5) ^ 'LCOF Baseline'!V2</f>
        <v>40677735.23293107</v>
      </c>
      <c r="W8">
        <f>W7/(1+Inputs!$C$5) ^ 'LCOF Baseline'!W2</f>
        <v>38016574.984047726</v>
      </c>
      <c r="X8">
        <f>X7/(1+Inputs!$C$5) ^ 'LCOF Baseline'!X2</f>
        <v>35529509.330885731</v>
      </c>
      <c r="Y8">
        <f>Y7/(1+Inputs!$C$5) ^ 'LCOF Baseline'!Y2</f>
        <v>33205148.907369837</v>
      </c>
      <c r="Z8">
        <f>Z7/(1+Inputs!$C$5) ^ 'LCOF Baseline'!Z2</f>
        <v>31032849.446140036</v>
      </c>
      <c r="AA8">
        <f>AA7/(1+Inputs!$C$5) ^ 'LCOF Baseline'!AA2</f>
        <v>29002663.033775732</v>
      </c>
      <c r="AB8">
        <f>AB7/(1+Inputs!$C$5) ^ 'LCOF Baseline'!AB2</f>
        <v>27105292.554930594</v>
      </c>
      <c r="AC8">
        <f>AC7/(1+Inputs!$C$5) ^ 'LCOF Baseline'!AC2</f>
        <v>25332049.116757557</v>
      </c>
      <c r="AD8">
        <f>AD7/(1+Inputs!$C$5) ^ 'LCOF Baseline'!AD2</f>
        <v>23674812.258651927</v>
      </c>
      <c r="AE8">
        <f>AE7/(1+Inputs!$C$5) ^ 'LCOF Baseline'!AE2</f>
        <v>22125992.76509526</v>
      </c>
      <c r="AF8">
        <f>AF7/(1+Inputs!$C$5) ^ 'LCOF Baseline'!AF2</f>
        <v>20678497.911303982</v>
      </c>
    </row>
    <row r="10" spans="1:32" x14ac:dyDescent="0.25">
      <c r="A10" t="s">
        <v>159</v>
      </c>
      <c r="B10">
        <f>(SUM(B4:AF4) - SUM(B6:AF6)) / SUM(B8:AF8)</f>
        <v>11.650105364161435</v>
      </c>
    </row>
    <row r="12" spans="1:32" x14ac:dyDescent="0.25">
      <c r="A12" s="1" t="s">
        <v>8</v>
      </c>
    </row>
    <row r="13" spans="1:32" x14ac:dyDescent="0.25">
      <c r="A13" t="s">
        <v>21</v>
      </c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  <c r="AB13">
        <v>26</v>
      </c>
      <c r="AC13">
        <v>27</v>
      </c>
      <c r="AD13">
        <v>28</v>
      </c>
      <c r="AE13">
        <v>29</v>
      </c>
      <c r="AF13">
        <v>30</v>
      </c>
    </row>
    <row r="14" spans="1:32" x14ac:dyDescent="0.25">
      <c r="A14" t="s">
        <v>110</v>
      </c>
      <c r="B14">
        <f>'Cost Components'!H23*10^6</f>
        <v>1100000000</v>
      </c>
      <c r="C14">
        <f>'Cost Components'!$H$26*10^6</f>
        <v>1901622556.3909774</v>
      </c>
      <c r="D14">
        <f>'Cost Components'!$H$26*10^6</f>
        <v>1901622556.3909774</v>
      </c>
      <c r="E14">
        <f>'Cost Components'!$H$26*10^6</f>
        <v>1901622556.3909774</v>
      </c>
      <c r="F14">
        <f>'Cost Components'!$H$26*10^6</f>
        <v>1901622556.3909774</v>
      </c>
      <c r="G14">
        <f>'Cost Components'!$H$26*10^6</f>
        <v>1901622556.3909774</v>
      </c>
      <c r="H14">
        <f>'Cost Components'!$H$26*10^6</f>
        <v>1901622556.3909774</v>
      </c>
      <c r="I14">
        <f>'Cost Components'!$H$26*10^6</f>
        <v>1901622556.3909774</v>
      </c>
      <c r="J14">
        <f>'Cost Components'!$H$26*10^6</f>
        <v>1901622556.3909774</v>
      </c>
      <c r="K14">
        <f>'Cost Components'!$H$26*10^6</f>
        <v>1901622556.3909774</v>
      </c>
      <c r="L14">
        <f>'Cost Components'!$H$26*10^6 + 'Cost Components'!$H$7 * 10^6</f>
        <v>2078622556.3909774</v>
      </c>
      <c r="M14">
        <f>'Cost Components'!$H$26*10^6</f>
        <v>1901622556.3909774</v>
      </c>
      <c r="N14">
        <f>'Cost Components'!$H$26*10^6</f>
        <v>1901622556.3909774</v>
      </c>
      <c r="O14">
        <f>'Cost Components'!$H$26*10^6</f>
        <v>1901622556.3909774</v>
      </c>
      <c r="P14">
        <f>'Cost Components'!$H$26*10^6</f>
        <v>1901622556.3909774</v>
      </c>
      <c r="Q14">
        <f>'Cost Components'!$H$26*10^6</f>
        <v>1901622556.3909774</v>
      </c>
      <c r="R14">
        <f>'Cost Components'!$H$26*10^6</f>
        <v>1901622556.3909774</v>
      </c>
      <c r="S14">
        <f>'Cost Components'!$H$26*10^6</f>
        <v>1901622556.3909774</v>
      </c>
      <c r="T14">
        <f>'Cost Components'!$H$26*10^6</f>
        <v>1901622556.3909774</v>
      </c>
      <c r="U14">
        <f>'Cost Components'!$H$26*10^6</f>
        <v>1901622556.3909774</v>
      </c>
      <c r="V14">
        <f>'Cost Components'!$H$26*10^6 + 'Cost Components'!$H$7 * 10^6</f>
        <v>2078622556.3909774</v>
      </c>
      <c r="W14">
        <f>'Cost Components'!$H$26*10^6</f>
        <v>1901622556.3909774</v>
      </c>
      <c r="X14">
        <f>'Cost Components'!$H$26*10^6</f>
        <v>1901622556.3909774</v>
      </c>
      <c r="Y14">
        <f>'Cost Components'!$H$26*10^6</f>
        <v>1901622556.3909774</v>
      </c>
      <c r="Z14">
        <f>'Cost Components'!$H$26*10^6</f>
        <v>1901622556.3909774</v>
      </c>
      <c r="AA14">
        <f>'Cost Components'!$H$26*10^6</f>
        <v>1901622556.3909774</v>
      </c>
      <c r="AB14">
        <f>'Cost Components'!$H$26*10^6</f>
        <v>1901622556.3909774</v>
      </c>
      <c r="AC14">
        <f>'Cost Components'!$H$26*10^6</f>
        <v>1901622556.3909774</v>
      </c>
      <c r="AD14">
        <f>'Cost Components'!$H$26*10^6</f>
        <v>1901622556.3909774</v>
      </c>
      <c r="AE14">
        <f>'Cost Components'!$H$26*10^6</f>
        <v>1901622556.3909774</v>
      </c>
      <c r="AF14">
        <f>'Cost Components'!$H$26*10^6</f>
        <v>1901622556.3909774</v>
      </c>
    </row>
    <row r="15" spans="1:32" x14ac:dyDescent="0.25">
      <c r="A15" t="s">
        <v>111</v>
      </c>
      <c r="B15">
        <f>B14/(1+Inputs!$C$5) ^'LCOF Baseline'!B$13</f>
        <v>1100000000</v>
      </c>
      <c r="C15">
        <f>C14/(1+Inputs!$C$5) ^'LCOF Baseline'!C$13</f>
        <v>1777217342.421474</v>
      </c>
      <c r="D15">
        <f>D14/(1+Inputs!$C$5) ^'LCOF Baseline'!D$13</f>
        <v>1660950787.3097889</v>
      </c>
      <c r="E15">
        <f>E14/(1+Inputs!$C$5) ^'LCOF Baseline'!E$13</f>
        <v>1552290455.4297092</v>
      </c>
      <c r="F15">
        <f>F14/(1+Inputs!$C$5) ^'LCOF Baseline'!F$13</f>
        <v>1450738743.3922517</v>
      </c>
      <c r="G15">
        <f>G14/(1+Inputs!$C$5) ^'LCOF Baseline'!G$13</f>
        <v>1355830601.3011696</v>
      </c>
      <c r="H15">
        <f>H14/(1+Inputs!$C$5) ^'LCOF Baseline'!H$13</f>
        <v>1267131403.0852053</v>
      </c>
      <c r="I15">
        <f>I14/(1+Inputs!$C$5) ^'LCOF Baseline'!I$13</f>
        <v>1184234956.1543975</v>
      </c>
      <c r="J15">
        <f>J14/(1+Inputs!$C$5) ^'LCOF Baseline'!J$13</f>
        <v>1106761641.2657921</v>
      </c>
      <c r="K15">
        <f>K14/(1+Inputs!$C$5) ^'LCOF Baseline'!K$13</f>
        <v>1034356674.0801793</v>
      </c>
      <c r="L15">
        <f>L14/(1+Inputs!$C$5) ^'LCOF Baseline'!L$13</f>
        <v>1056666305.1566108</v>
      </c>
      <c r="M15">
        <f>M14/(1+Inputs!$C$5) ^'LCOF Baseline'!M$13</f>
        <v>903447177.98950064</v>
      </c>
      <c r="N15">
        <f>N14/(1+Inputs!$C$5) ^'LCOF Baseline'!N$13</f>
        <v>844343156.99953353</v>
      </c>
      <c r="O15">
        <f>O14/(1+Inputs!$C$5) ^'LCOF Baseline'!O$13</f>
        <v>789105754.20517147</v>
      </c>
      <c r="P15">
        <f>P14/(1+Inputs!$C$5) ^'LCOF Baseline'!P$13</f>
        <v>737482013.27586114</v>
      </c>
      <c r="Q15">
        <f>Q14/(1+Inputs!$C$5) ^'LCOF Baseline'!Q$13</f>
        <v>689235526.42603838</v>
      </c>
      <c r="R15">
        <f>R14/(1+Inputs!$C$5) ^'LCOF Baseline'!R$13</f>
        <v>644145351.80003595</v>
      </c>
      <c r="S15">
        <f>S14/(1+Inputs!$C$5) ^'LCOF Baseline'!S$13</f>
        <v>602005001.68227661</v>
      </c>
      <c r="T15">
        <f>T14/(1+Inputs!$C$5) ^'LCOF Baseline'!T$13</f>
        <v>562621496.89932394</v>
      </c>
      <c r="U15">
        <f>U14/(1+Inputs!$C$5) ^'LCOF Baseline'!U$13</f>
        <v>525814483.08348024</v>
      </c>
      <c r="V15">
        <f>V14/(1+Inputs!$C$5) ^'LCOF Baseline'!V$13</f>
        <v>537155568.24897099</v>
      </c>
      <c r="W15">
        <f>W14/(1+Inputs!$C$5) ^'LCOF Baseline'!W$13</f>
        <v>459266733.41207117</v>
      </c>
      <c r="X15">
        <f>X14/(1+Inputs!$C$5) ^'LCOF Baseline'!X$13</f>
        <v>429221246.17950577</v>
      </c>
      <c r="Y15">
        <f>Y14/(1+Inputs!$C$5) ^'LCOF Baseline'!Y$13</f>
        <v>401141351.56963158</v>
      </c>
      <c r="Z15">
        <f>Z14/(1+Inputs!$C$5) ^'LCOF Baseline'!Z$13</f>
        <v>374898459.41087061</v>
      </c>
      <c r="AA15">
        <f>AA14/(1+Inputs!$C$5) ^'LCOF Baseline'!AA$13</f>
        <v>350372391.97277623</v>
      </c>
      <c r="AB15">
        <f>AB14/(1+Inputs!$C$5) ^'LCOF Baseline'!AB$13</f>
        <v>327450833.61941707</v>
      </c>
      <c r="AC15">
        <f>AC14/(1+Inputs!$C$5) ^'LCOF Baseline'!AC$13</f>
        <v>306028816.46674484</v>
      </c>
      <c r="AD15">
        <f>AD14/(1+Inputs!$C$5) ^'LCOF Baseline'!AD$13</f>
        <v>286008239.68854666</v>
      </c>
      <c r="AE15">
        <f>AE14/(1+Inputs!$C$5) ^'LCOF Baseline'!AE$13</f>
        <v>267297420.26966977</v>
      </c>
      <c r="AF15">
        <f>AF14/(1+Inputs!$C$5) ^'LCOF Baseline'!AF$13</f>
        <v>249810673.1492241</v>
      </c>
    </row>
    <row r="16" spans="1:32" x14ac:dyDescent="0.25">
      <c r="A16" t="s">
        <v>155</v>
      </c>
      <c r="B16">
        <v>0</v>
      </c>
      <c r="C16">
        <f>'Study Parameters'!$C$42 * 10^6</f>
        <v>122000000</v>
      </c>
      <c r="D16">
        <f>'Study Parameters'!$C$42 * 10^6</f>
        <v>122000000</v>
      </c>
      <c r="E16">
        <f>'Study Parameters'!$C$42 * 10^6</f>
        <v>122000000</v>
      </c>
      <c r="F16">
        <f>'Study Parameters'!$C$42 * 10^6</f>
        <v>122000000</v>
      </c>
      <c r="G16">
        <f>'Study Parameters'!$C$42 * 10^6</f>
        <v>122000000</v>
      </c>
      <c r="H16">
        <f>'Study Parameters'!$C$42 * 10^6</f>
        <v>122000000</v>
      </c>
      <c r="I16">
        <f>'Study Parameters'!$C$42 * 10^6</f>
        <v>122000000</v>
      </c>
      <c r="J16">
        <f>'Study Parameters'!$C$42 * 10^6</f>
        <v>122000000</v>
      </c>
      <c r="K16">
        <f>'Study Parameters'!$C$42 * 10^6</f>
        <v>122000000</v>
      </c>
      <c r="L16">
        <f>'Study Parameters'!$C$42 * 10^6</f>
        <v>122000000</v>
      </c>
      <c r="M16">
        <f>'Study Parameters'!$C$42 * 10^6</f>
        <v>122000000</v>
      </c>
      <c r="N16">
        <f>'Study Parameters'!$C$42 * 10^6</f>
        <v>122000000</v>
      </c>
      <c r="O16">
        <f>'Study Parameters'!$C$42 * 10^6</f>
        <v>122000000</v>
      </c>
      <c r="P16">
        <f>'Study Parameters'!$C$42 * 10^6</f>
        <v>122000000</v>
      </c>
      <c r="Q16">
        <f>'Study Parameters'!$C$42 * 10^6</f>
        <v>122000000</v>
      </c>
      <c r="R16">
        <f>'Study Parameters'!$C$42 * 10^6</f>
        <v>122000000</v>
      </c>
      <c r="S16">
        <f>'Study Parameters'!$C$42 * 10^6</f>
        <v>122000000</v>
      </c>
      <c r="T16">
        <f>'Study Parameters'!$C$42 * 10^6</f>
        <v>122000000</v>
      </c>
      <c r="U16">
        <f>'Study Parameters'!$C$42 * 10^6</f>
        <v>122000000</v>
      </c>
      <c r="V16">
        <f>'Study Parameters'!$C$42 * 10^6</f>
        <v>122000000</v>
      </c>
      <c r="W16">
        <f>'Study Parameters'!$C$42 * 10^6</f>
        <v>122000000</v>
      </c>
      <c r="X16">
        <f>'Study Parameters'!$C$42 * 10^6</f>
        <v>122000000</v>
      </c>
      <c r="Y16">
        <f>'Study Parameters'!$C$42 * 10^6</f>
        <v>122000000</v>
      </c>
      <c r="Z16">
        <f>'Study Parameters'!$C$42 * 10^6</f>
        <v>122000000</v>
      </c>
      <c r="AA16">
        <f>'Study Parameters'!$C$42 * 10^6</f>
        <v>122000000</v>
      </c>
      <c r="AB16">
        <f>'Study Parameters'!$C$42 * 10^6</f>
        <v>122000000</v>
      </c>
      <c r="AC16">
        <f>'Study Parameters'!$C$42 * 10^6</f>
        <v>122000000</v>
      </c>
      <c r="AD16">
        <f>'Study Parameters'!$C$42 * 10^6</f>
        <v>122000000</v>
      </c>
      <c r="AE16">
        <f>'Study Parameters'!$C$42 * 10^6</f>
        <v>122000000</v>
      </c>
      <c r="AF16">
        <f>'Study Parameters'!$C$42 * 10^6</f>
        <v>122000000</v>
      </c>
    </row>
    <row r="17" spans="1:32" x14ac:dyDescent="0.25">
      <c r="A17" t="s">
        <v>156</v>
      </c>
      <c r="B17">
        <v>0</v>
      </c>
      <c r="C17">
        <f>C16/(1+Inputs!$C$5) ^'LCOF Baseline'!C$13</f>
        <v>114018691.58878504</v>
      </c>
      <c r="D17">
        <f>D16/(1+Inputs!$C$5) ^'LCOF Baseline'!D$13</f>
        <v>106559524.84933181</v>
      </c>
      <c r="E17">
        <f>E16/(1+Inputs!$C$5) ^'LCOF Baseline'!E$13</f>
        <v>99588340.980683938</v>
      </c>
      <c r="F17">
        <f>F16/(1+Inputs!$C$5) ^'LCOF Baseline'!F$13</f>
        <v>93073215.869798079</v>
      </c>
      <c r="G17">
        <f>G16/(1+Inputs!$C$5) ^'LCOF Baseline'!G$13</f>
        <v>86984313.89700754</v>
      </c>
      <c r="H17">
        <f>H16/(1+Inputs!$C$5) ^'LCOF Baseline'!H$13</f>
        <v>81293751.305614531</v>
      </c>
      <c r="I17">
        <f>I16/(1+Inputs!$C$5) ^'LCOF Baseline'!I$13</f>
        <v>75975468.50992012</v>
      </c>
      <c r="J17">
        <f>J16/(1+Inputs!$C$5) ^'LCOF Baseline'!J$13</f>
        <v>71005110.756934687</v>
      </c>
      <c r="K17">
        <f>K16/(1+Inputs!$C$5) ^'LCOF Baseline'!K$13</f>
        <v>66359916.595266059</v>
      </c>
      <c r="L17">
        <f>L16/(1+Inputs!$C$5) ^'LCOF Baseline'!L$13</f>
        <v>62018613.640435569</v>
      </c>
      <c r="M17">
        <f>M16/(1+Inputs!$C$5) ^'LCOF Baseline'!M$13</f>
        <v>57961321.159285575</v>
      </c>
      <c r="N17">
        <f>N16/(1+Inputs!$C$5) ^'LCOF Baseline'!N$13</f>
        <v>54169459.027369708</v>
      </c>
      <c r="O17">
        <f>O16/(1+Inputs!$C$5) ^'LCOF Baseline'!O$13</f>
        <v>50625662.642401591</v>
      </c>
      <c r="P17">
        <f>P16/(1+Inputs!$C$5) ^'LCOF Baseline'!P$13</f>
        <v>47313703.404113635</v>
      </c>
      <c r="Q17">
        <f>Q16/(1+Inputs!$C$5) ^'LCOF Baseline'!Q$13</f>
        <v>44218414.396367878</v>
      </c>
      <c r="R17">
        <f>R16/(1+Inputs!$C$5) ^'LCOF Baseline'!R$13</f>
        <v>41325620.93118494</v>
      </c>
      <c r="S17">
        <f>S16/(1+Inputs!$C$5) ^'LCOF Baseline'!S$13</f>
        <v>38622075.636621438</v>
      </c>
      <c r="T17">
        <f>T16/(1+Inputs!$C$5) ^'LCOF Baseline'!T$13</f>
        <v>36095397.791234992</v>
      </c>
      <c r="U17">
        <f>U16/(1+Inputs!$C$5) ^'LCOF Baseline'!U$13</f>
        <v>33734016.62732242</v>
      </c>
      <c r="V17">
        <f>V16/(1+Inputs!$C$5) ^'LCOF Baseline'!V$13</f>
        <v>31527118.343291983</v>
      </c>
      <c r="W17">
        <f>W16/(1+Inputs!$C$5) ^'LCOF Baseline'!W$13</f>
        <v>29464596.582515869</v>
      </c>
      <c r="X17">
        <f>X16/(1+Inputs!$C$5) ^'LCOF Baseline'!X$13</f>
        <v>27537006.15188399</v>
      </c>
      <c r="Y17">
        <f>Y16/(1+Inputs!$C$5) ^'LCOF Baseline'!Y$13</f>
        <v>25735519.768115878</v>
      </c>
      <c r="Z17">
        <f>Z16/(1+Inputs!$C$5) ^'LCOF Baseline'!Z$13</f>
        <v>24051887.633753154</v>
      </c>
      <c r="AA17">
        <f>AA16/(1+Inputs!$C$5) ^'LCOF Baseline'!AA$13</f>
        <v>22478399.657713227</v>
      </c>
      <c r="AB17">
        <f>AB16/(1+Inputs!$C$5) ^'LCOF Baseline'!AB$13</f>
        <v>21007850.147395544</v>
      </c>
      <c r="AC17">
        <f>AC16/(1+Inputs!$C$5) ^'LCOF Baseline'!AC$13</f>
        <v>19633504.810650036</v>
      </c>
      <c r="AD17">
        <f>AD16/(1+Inputs!$C$5) ^'LCOF Baseline'!AD$13</f>
        <v>18349069.916495364</v>
      </c>
      <c r="AE17">
        <f>AE16/(1+Inputs!$C$5) ^'LCOF Baseline'!AE$13</f>
        <v>17148663.473360151</v>
      </c>
      <c r="AF17">
        <f>AF16/(1+Inputs!$C$5) ^'LCOF Baseline'!AF$13</f>
        <v>16026788.292859957</v>
      </c>
    </row>
    <row r="18" spans="1:32" x14ac:dyDescent="0.25">
      <c r="A18" t="s">
        <v>157</v>
      </c>
      <c r="B18">
        <v>0</v>
      </c>
      <c r="C18">
        <f>'Study Parameters'!$C$9</f>
        <v>157410000</v>
      </c>
      <c r="D18">
        <f>'Study Parameters'!$C$9</f>
        <v>157410000</v>
      </c>
      <c r="E18">
        <f>'Study Parameters'!$C$9</f>
        <v>157410000</v>
      </c>
      <c r="F18">
        <f>'Study Parameters'!$C$9</f>
        <v>157410000</v>
      </c>
      <c r="G18">
        <f>'Study Parameters'!$C$9</f>
        <v>157410000</v>
      </c>
      <c r="H18">
        <f>'Study Parameters'!$C$9</f>
        <v>157410000</v>
      </c>
      <c r="I18">
        <f>'Study Parameters'!$C$9</f>
        <v>157410000</v>
      </c>
      <c r="J18">
        <f>'Study Parameters'!$C$9</f>
        <v>157410000</v>
      </c>
      <c r="K18">
        <f>'Study Parameters'!$C$9</f>
        <v>157410000</v>
      </c>
      <c r="L18">
        <f>'Study Parameters'!$C$9</f>
        <v>157410000</v>
      </c>
      <c r="M18">
        <f>'Study Parameters'!$C$9</f>
        <v>157410000</v>
      </c>
      <c r="N18">
        <f>'Study Parameters'!$C$9</f>
        <v>157410000</v>
      </c>
      <c r="O18">
        <f>'Study Parameters'!$C$9</f>
        <v>157410000</v>
      </c>
      <c r="P18">
        <f>'Study Parameters'!$C$9</f>
        <v>157410000</v>
      </c>
      <c r="Q18">
        <f>'Study Parameters'!$C$9</f>
        <v>157410000</v>
      </c>
      <c r="R18">
        <f>'Study Parameters'!$C$9</f>
        <v>157410000</v>
      </c>
      <c r="S18">
        <f>'Study Parameters'!$C$9</f>
        <v>157410000</v>
      </c>
      <c r="T18">
        <f>'Study Parameters'!$C$9</f>
        <v>157410000</v>
      </c>
      <c r="U18">
        <f>'Study Parameters'!$C$9</f>
        <v>157410000</v>
      </c>
      <c r="V18">
        <f>'Study Parameters'!$C$9</f>
        <v>157410000</v>
      </c>
      <c r="W18">
        <f>'Study Parameters'!$C$9</f>
        <v>157410000</v>
      </c>
      <c r="X18">
        <f>'Study Parameters'!$C$9</f>
        <v>157410000</v>
      </c>
      <c r="Y18">
        <f>'Study Parameters'!$C$9</f>
        <v>157410000</v>
      </c>
      <c r="Z18">
        <f>'Study Parameters'!$C$9</f>
        <v>157410000</v>
      </c>
      <c r="AA18">
        <f>'Study Parameters'!$C$9</f>
        <v>157410000</v>
      </c>
      <c r="AB18">
        <f>'Study Parameters'!$C$9</f>
        <v>157410000</v>
      </c>
      <c r="AC18">
        <f>'Study Parameters'!$C$9</f>
        <v>157410000</v>
      </c>
      <c r="AD18">
        <f>'Study Parameters'!$C$9</f>
        <v>157410000</v>
      </c>
      <c r="AE18">
        <f>'Study Parameters'!$C$9</f>
        <v>157410000</v>
      </c>
      <c r="AF18">
        <f>'Study Parameters'!$C$9</f>
        <v>157410000</v>
      </c>
    </row>
    <row r="19" spans="1:32" x14ac:dyDescent="0.25">
      <c r="A19" t="s">
        <v>158</v>
      </c>
      <c r="B19">
        <v>0</v>
      </c>
      <c r="C19">
        <f>C18/(1+Inputs!$C$5) ^'LCOF Baseline'!C$13</f>
        <v>147112149.53271028</v>
      </c>
      <c r="D19">
        <f>D18/(1+Inputs!$C$5) ^'LCOF Baseline'!D$13</f>
        <v>137487990.21748623</v>
      </c>
      <c r="E19">
        <f>E18/(1+Inputs!$C$5) ^'LCOF Baseline'!E$13</f>
        <v>128493448.80138901</v>
      </c>
      <c r="F19">
        <f>F18/(1+Inputs!$C$5) ^'LCOF Baseline'!F$13</f>
        <v>120087335.32840094</v>
      </c>
      <c r="G19">
        <f>G18/(1+Inputs!$C$5) ^'LCOF Baseline'!G$13</f>
        <v>112231154.51252423</v>
      </c>
      <c r="H19">
        <f>H18/(1+Inputs!$C$5) ^'LCOF Baseline'!H$13</f>
        <v>104888929.45095724</v>
      </c>
      <c r="I19">
        <f>I18/(1+Inputs!$C$5) ^'LCOF Baseline'!I$13</f>
        <v>98027036.870053485</v>
      </c>
      <c r="J19">
        <f>J18/(1+Inputs!$C$5) ^'LCOF Baseline'!J$13</f>
        <v>91614053.149582699</v>
      </c>
      <c r="K19">
        <f>K18/(1+Inputs!$C$5) ^'LCOF Baseline'!K$13</f>
        <v>85620610.420170739</v>
      </c>
      <c r="L19">
        <f>L18/(1+Inputs!$C$5) ^'LCOF Baseline'!L$13</f>
        <v>80019262.074925929</v>
      </c>
      <c r="M19">
        <f>M18/(1+Inputs!$C$5) ^'LCOF Baseline'!M$13</f>
        <v>74784357.079370022</v>
      </c>
      <c r="N19">
        <f>N18/(1+Inputs!$C$5) ^'LCOF Baseline'!N$13</f>
        <v>69891922.50408414</v>
      </c>
      <c r="O19">
        <f>O18/(1+Inputs!$C$5) ^'LCOF Baseline'!O$13</f>
        <v>65319553.742134705</v>
      </c>
      <c r="P19">
        <f>P18/(1+Inputs!$C$5) ^'LCOF Baseline'!P$13</f>
        <v>61046311.908537112</v>
      </c>
      <c r="Q19">
        <f>Q18/(1+Inputs!$C$5) ^'LCOF Baseline'!Q$13</f>
        <v>57052627.951903835</v>
      </c>
      <c r="R19">
        <f>R18/(1+Inputs!$C$5) ^'LCOF Baseline'!R$13</f>
        <v>53320213.039162472</v>
      </c>
      <c r="S19">
        <f>S18/(1+Inputs!$C$5) ^'LCOF Baseline'!S$13</f>
        <v>49831974.802955583</v>
      </c>
      <c r="T19">
        <f>T18/(1+Inputs!$C$5) ^'LCOF Baseline'!T$13</f>
        <v>46571939.068182781</v>
      </c>
      <c r="U19">
        <f>U18/(1+Inputs!$C$5) ^'LCOF Baseline'!U$13</f>
        <v>43525176.699236244</v>
      </c>
      <c r="V19">
        <f>V18/(1+Inputs!$C$5) ^'LCOF Baseline'!V$13</f>
        <v>40677735.23293107</v>
      </c>
      <c r="W19">
        <f>W18/(1+Inputs!$C$5) ^'LCOF Baseline'!W$13</f>
        <v>38016574.984047726</v>
      </c>
      <c r="X19">
        <f>X18/(1+Inputs!$C$5) ^'LCOF Baseline'!X$13</f>
        <v>35529509.330885731</v>
      </c>
      <c r="Y19">
        <f>Y18/(1+Inputs!$C$5) ^'LCOF Baseline'!Y$13</f>
        <v>33205148.907369837</v>
      </c>
      <c r="Z19">
        <f>Z18/(1+Inputs!$C$5) ^'LCOF Baseline'!Z$13</f>
        <v>31032849.446140036</v>
      </c>
      <c r="AA19">
        <f>AA18/(1+Inputs!$C$5) ^'LCOF Baseline'!AA$13</f>
        <v>29002663.033775732</v>
      </c>
      <c r="AB19">
        <f>AB18/(1+Inputs!$C$5) ^'LCOF Baseline'!AB$13</f>
        <v>27105292.554930594</v>
      </c>
      <c r="AC19">
        <f>AC18/(1+Inputs!$C$5) ^'LCOF Baseline'!AC$13</f>
        <v>25332049.116757557</v>
      </c>
      <c r="AD19">
        <f>AD18/(1+Inputs!$C$5) ^'LCOF Baseline'!AD$13</f>
        <v>23674812.258651927</v>
      </c>
      <c r="AE19">
        <f>AE18/(1+Inputs!$C$5) ^'LCOF Baseline'!AE$13</f>
        <v>22125992.76509526</v>
      </c>
      <c r="AF19">
        <f>AF18/(1+Inputs!$C$5) ^'LCOF Baseline'!AF$13</f>
        <v>20678497.911303982</v>
      </c>
    </row>
    <row r="21" spans="1:32" x14ac:dyDescent="0.25">
      <c r="A21" t="s">
        <v>159</v>
      </c>
      <c r="B21">
        <f>(SUM(B15:AF15) - SUM(B17:AF17)) / SUM(B19:AF19)</f>
        <v>11.938279809506865</v>
      </c>
    </row>
    <row r="23" spans="1:32" x14ac:dyDescent="0.25">
      <c r="A23" s="1" t="s">
        <v>10</v>
      </c>
    </row>
    <row r="24" spans="1:32" x14ac:dyDescent="0.25">
      <c r="A24" t="s">
        <v>21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  <c r="O24">
        <v>13</v>
      </c>
      <c r="P24">
        <v>14</v>
      </c>
      <c r="Q24">
        <v>15</v>
      </c>
      <c r="R24">
        <v>16</v>
      </c>
      <c r="S24">
        <v>17</v>
      </c>
      <c r="T24">
        <v>18</v>
      </c>
      <c r="U24">
        <v>19</v>
      </c>
      <c r="V24">
        <v>20</v>
      </c>
      <c r="W24">
        <v>21</v>
      </c>
      <c r="X24">
        <v>22</v>
      </c>
      <c r="Y24">
        <v>23</v>
      </c>
      <c r="Z24">
        <v>24</v>
      </c>
      <c r="AA24">
        <v>25</v>
      </c>
      <c r="AB24">
        <v>26</v>
      </c>
      <c r="AC24">
        <v>27</v>
      </c>
      <c r="AD24">
        <v>28</v>
      </c>
      <c r="AE24">
        <v>29</v>
      </c>
      <c r="AF24">
        <v>30</v>
      </c>
    </row>
    <row r="25" spans="1:32" x14ac:dyDescent="0.25">
      <c r="A25" t="s">
        <v>110</v>
      </c>
      <c r="B25">
        <f>'Cost Components'!N23*10^6</f>
        <v>1370000000</v>
      </c>
      <c r="C25">
        <f>'Cost Components'!$N$26 * 10^6</f>
        <v>1816761904.7619045</v>
      </c>
      <c r="D25">
        <f>'Cost Components'!$N$26 * 10^6</f>
        <v>1816761904.7619045</v>
      </c>
      <c r="E25">
        <f>'Cost Components'!$N$26 * 10^6</f>
        <v>1816761904.7619045</v>
      </c>
      <c r="F25">
        <f>'Cost Components'!$N$26 * 10^6</f>
        <v>1816761904.7619045</v>
      </c>
      <c r="G25">
        <f>'Cost Components'!$N$26 * 10^6</f>
        <v>1816761904.7619045</v>
      </c>
      <c r="H25">
        <f>'Cost Components'!$N$26 * 10^6</f>
        <v>1816761904.7619045</v>
      </c>
      <c r="I25">
        <f>'Cost Components'!$N$26 * 10^6 + 'Cost Components'!$N$7 * 10^6</f>
        <v>2191761904.7619047</v>
      </c>
      <c r="J25">
        <f>'Cost Components'!$N$26 * 10^6</f>
        <v>1816761904.7619045</v>
      </c>
      <c r="K25">
        <f>'Cost Components'!$N$26 * 10^6</f>
        <v>1816761904.7619045</v>
      </c>
      <c r="L25">
        <f>'Cost Components'!$N$26 * 10^6</f>
        <v>1816761904.7619045</v>
      </c>
      <c r="M25">
        <f>'Cost Components'!$N$26 * 10^6</f>
        <v>1816761904.7619045</v>
      </c>
      <c r="N25">
        <f>'Cost Components'!$N$26 * 10^6</f>
        <v>1816761904.7619045</v>
      </c>
      <c r="O25">
        <f>'Cost Components'!$N$26 * 10^6 + 'Cost Components'!$N$7 * 10^6</f>
        <v>2191761904.7619047</v>
      </c>
      <c r="P25">
        <f>'Cost Components'!$N$26 * 10^6</f>
        <v>1816761904.7619045</v>
      </c>
      <c r="Q25">
        <f>'Cost Components'!$N$26 * 10^6</f>
        <v>1816761904.7619045</v>
      </c>
      <c r="R25">
        <f>'Cost Components'!$N$26 * 10^6</f>
        <v>1816761904.7619045</v>
      </c>
      <c r="S25">
        <f>'Cost Components'!$N$26 * 10^6</f>
        <v>1816761904.7619045</v>
      </c>
      <c r="T25">
        <f>'Cost Components'!$N$26 * 10^6</f>
        <v>1816761904.7619045</v>
      </c>
      <c r="U25">
        <f>'Cost Components'!$N$26 * 10^6 + 'Cost Components'!$N$7 * 10^6</f>
        <v>2191761904.7619047</v>
      </c>
      <c r="V25">
        <f>'Cost Components'!$N$26 * 10^6</f>
        <v>1816761904.7619045</v>
      </c>
      <c r="W25">
        <f>'Cost Components'!$N$26 * 10^6</f>
        <v>1816761904.7619045</v>
      </c>
      <c r="X25">
        <f>'Cost Components'!$N$26 * 10^6</f>
        <v>1816761904.7619045</v>
      </c>
      <c r="Y25">
        <f>'Cost Components'!$N$26 * 10^6</f>
        <v>1816761904.7619045</v>
      </c>
      <c r="Z25">
        <f>'Cost Components'!$N$26 * 10^6</f>
        <v>1816761904.7619045</v>
      </c>
      <c r="AA25">
        <f>'Cost Components'!$N$26* 10^6 + 'Cost Components'!$N$7 * 10^6</f>
        <v>2191761904.7619047</v>
      </c>
      <c r="AB25">
        <f>'Cost Components'!$N$26 * 10^6</f>
        <v>1816761904.7619045</v>
      </c>
      <c r="AC25">
        <f>'Cost Components'!$N$26 * 10^6</f>
        <v>1816761904.7619045</v>
      </c>
      <c r="AD25">
        <f>'Cost Components'!$N$26 * 10^6</f>
        <v>1816761904.7619045</v>
      </c>
      <c r="AE25">
        <f>'Cost Components'!$N$26 * 10^6</f>
        <v>1816761904.7619045</v>
      </c>
      <c r="AF25">
        <f>'Cost Components'!$N$26 * 10^6</f>
        <v>1816761904.7619045</v>
      </c>
    </row>
    <row r="26" spans="1:32" x14ac:dyDescent="0.25">
      <c r="A26" t="s">
        <v>111</v>
      </c>
      <c r="B26">
        <f>B25/(1+Inputs!$C$5)^'LCOF Baseline'!B$24</f>
        <v>1370000000</v>
      </c>
      <c r="C26">
        <f>C25/(1+Inputs!$C$5)^'LCOF Baseline'!C$24</f>
        <v>1697908322.2073872</v>
      </c>
      <c r="D26">
        <f>D25/(1+Inputs!$C$5)^'LCOF Baseline'!D$24</f>
        <v>1586830207.6704555</v>
      </c>
      <c r="E26">
        <f>E25/(1+Inputs!$C$5)^'LCOF Baseline'!E$24</f>
        <v>1483018885.6733227</v>
      </c>
      <c r="F26">
        <f>F25/(1+Inputs!$C$5)^'LCOF Baseline'!F$24</f>
        <v>1385998958.573199</v>
      </c>
      <c r="G26">
        <f>G25/(1+Inputs!$C$5)^'LCOF Baseline'!G$24</f>
        <v>1295326129.5076625</v>
      </c>
      <c r="H26">
        <f>H25/(1+Inputs!$C$5)^'LCOF Baseline'!H$24</f>
        <v>1210585167.7641706</v>
      </c>
      <c r="I26">
        <f>I25/(1+Inputs!$C$5)^'LCOF Baseline'!I$24</f>
        <v>1364919160.462956</v>
      </c>
      <c r="J26">
        <f>J25/(1+Inputs!$C$5)^'LCOF Baseline'!J$24</f>
        <v>1057371969.3983496</v>
      </c>
      <c r="K26">
        <f>K25/(1+Inputs!$C$5)^'LCOF Baseline'!K$24</f>
        <v>988198102.24144816</v>
      </c>
      <c r="L26">
        <f>L25/(1+Inputs!$C$5)^'LCOF Baseline'!L$24</f>
        <v>923549628.26303577</v>
      </c>
      <c r="M26">
        <f>M25/(1+Inputs!$C$5)^'LCOF Baseline'!M$24</f>
        <v>863130493.70377159</v>
      </c>
      <c r="N26">
        <f>N25/(1+Inputs!$C$5)^'LCOF Baseline'!N$24</f>
        <v>806664012.80726337</v>
      </c>
      <c r="O26">
        <f>O25/(1+Inputs!$C$5)^'LCOF Baseline'!O$24</f>
        <v>909503268.7126534</v>
      </c>
      <c r="P26">
        <f>P25/(1+Inputs!$C$5)^'LCOF Baseline'!P$24</f>
        <v>704571589.49014175</v>
      </c>
      <c r="Q26">
        <f>Q25/(1+Inputs!$C$5)^'LCOF Baseline'!Q$24</f>
        <v>658478121.01882398</v>
      </c>
      <c r="R26">
        <f>R25/(1+Inputs!$C$5)^'LCOF Baseline'!R$24</f>
        <v>615400113.10170472</v>
      </c>
      <c r="S26">
        <f>S25/(1+Inputs!$C$5)^'LCOF Baseline'!S$24</f>
        <v>575140292.61841571</v>
      </c>
      <c r="T26">
        <f>T25/(1+Inputs!$C$5)^'LCOF Baseline'!T$24</f>
        <v>537514292.16674364</v>
      </c>
      <c r="U26">
        <f>U25/(1+Inputs!$C$5)^'LCOF Baseline'!U$24</f>
        <v>606040430.64237666</v>
      </c>
      <c r="V26">
        <f>V25/(1+Inputs!$C$5)^'LCOF Baseline'!V$24</f>
        <v>469485799.77879608</v>
      </c>
      <c r="W26">
        <f>W25/(1+Inputs!$C$5)^'LCOF Baseline'!W$24</f>
        <v>438771775.4942019</v>
      </c>
      <c r="X26">
        <f>X25/(1+Inputs!$C$5)^'LCOF Baseline'!X$24</f>
        <v>410067079.90112329</v>
      </c>
      <c r="Y26">
        <f>Y25/(1+Inputs!$C$5)^'LCOF Baseline'!Y$24</f>
        <v>383240261.58983481</v>
      </c>
      <c r="Z26">
        <f>Z25/(1+Inputs!$C$5)^'LCOF Baseline'!Z$24</f>
        <v>358168468.77554655</v>
      </c>
      <c r="AA26">
        <f>AA25/(1+Inputs!$C$5)^'LCOF Baseline'!AA$24</f>
        <v>403830328.27695811</v>
      </c>
      <c r="AB26">
        <f>AB25/(1+Inputs!$C$5)^'LCOF Baseline'!AB$24</f>
        <v>312838211.87487692</v>
      </c>
      <c r="AC26">
        <f>AC25/(1+Inputs!$C$5)^'LCOF Baseline'!AC$24</f>
        <v>292372160.63072604</v>
      </c>
      <c r="AD26">
        <f>AD25/(1+Inputs!$C$5)^'LCOF Baseline'!AD$24</f>
        <v>273245009.93525803</v>
      </c>
      <c r="AE26">
        <f>AE25/(1+Inputs!$C$5)^'LCOF Baseline'!AE$24</f>
        <v>255369168.16379252</v>
      </c>
      <c r="AF26">
        <f>AF25/(1+Inputs!$C$5)^'LCOF Baseline'!AF$24</f>
        <v>238662773.98485282</v>
      </c>
    </row>
    <row r="27" spans="1:32" x14ac:dyDescent="0.25">
      <c r="A27" t="s">
        <v>155</v>
      </c>
      <c r="B27">
        <v>0</v>
      </c>
      <c r="C27">
        <f>'Study Parameters'!$C$42 * 10^6</f>
        <v>122000000</v>
      </c>
      <c r="D27">
        <f>'Study Parameters'!$C$42 * 10^6</f>
        <v>122000000</v>
      </c>
      <c r="E27">
        <f>'Study Parameters'!$C$42 * 10^6</f>
        <v>122000000</v>
      </c>
      <c r="F27">
        <f>'Study Parameters'!$C$42 * 10^6</f>
        <v>122000000</v>
      </c>
      <c r="G27">
        <f>'Study Parameters'!$C$42 * 10^6</f>
        <v>122000000</v>
      </c>
      <c r="H27">
        <f>'Study Parameters'!$C$42 * 10^6</f>
        <v>122000000</v>
      </c>
      <c r="I27">
        <f>'Study Parameters'!$C$42 * 10^6</f>
        <v>122000000</v>
      </c>
      <c r="J27">
        <f>'Study Parameters'!$C$42 * 10^6</f>
        <v>122000000</v>
      </c>
      <c r="K27">
        <f>'Study Parameters'!$C$42 * 10^6</f>
        <v>122000000</v>
      </c>
      <c r="L27">
        <f>'Study Parameters'!$C$42 * 10^6</f>
        <v>122000000</v>
      </c>
      <c r="M27">
        <f>'Study Parameters'!$C$42 * 10^6</f>
        <v>122000000</v>
      </c>
      <c r="N27">
        <f>'Study Parameters'!$C$42 * 10^6</f>
        <v>122000000</v>
      </c>
      <c r="O27">
        <f>'Study Parameters'!$C$42 * 10^6</f>
        <v>122000000</v>
      </c>
      <c r="P27">
        <f>'Study Parameters'!$C$42 * 10^6</f>
        <v>122000000</v>
      </c>
      <c r="Q27">
        <f>'Study Parameters'!$C$42 * 10^6</f>
        <v>122000000</v>
      </c>
      <c r="R27">
        <f>'Study Parameters'!$C$42 * 10^6</f>
        <v>122000000</v>
      </c>
      <c r="S27">
        <f>'Study Parameters'!$C$42 * 10^6</f>
        <v>122000000</v>
      </c>
      <c r="T27">
        <f>'Study Parameters'!$C$42 * 10^6</f>
        <v>122000000</v>
      </c>
      <c r="U27">
        <f>'Study Parameters'!$C$42 * 10^6</f>
        <v>122000000</v>
      </c>
      <c r="V27">
        <f>'Study Parameters'!$C$42 * 10^6</f>
        <v>122000000</v>
      </c>
      <c r="W27">
        <f>'Study Parameters'!$C$42 * 10^6</f>
        <v>122000000</v>
      </c>
      <c r="X27">
        <f>'Study Parameters'!$C$42 * 10^6</f>
        <v>122000000</v>
      </c>
      <c r="Y27">
        <f>'Study Parameters'!$C$42 * 10^6</f>
        <v>122000000</v>
      </c>
      <c r="Z27">
        <f>'Study Parameters'!$C$42 * 10^6</f>
        <v>122000000</v>
      </c>
      <c r="AA27">
        <f>'Study Parameters'!$C$42 * 10^6</f>
        <v>122000000</v>
      </c>
      <c r="AB27">
        <f>'Study Parameters'!$C$42 * 10^6</f>
        <v>122000000</v>
      </c>
      <c r="AC27">
        <f>'Study Parameters'!$C$42 * 10^6</f>
        <v>122000000</v>
      </c>
      <c r="AD27">
        <f>'Study Parameters'!$C$42 * 10^6</f>
        <v>122000000</v>
      </c>
      <c r="AE27">
        <f>'Study Parameters'!$C$42 * 10^6</f>
        <v>122000000</v>
      </c>
      <c r="AF27">
        <f>'Study Parameters'!$C$42 * 10^6</f>
        <v>122000000</v>
      </c>
    </row>
    <row r="28" spans="1:32" x14ac:dyDescent="0.25">
      <c r="A28" t="s">
        <v>156</v>
      </c>
      <c r="B28">
        <v>0</v>
      </c>
      <c r="C28">
        <f>C27/(1+Inputs!$C$5)^'LCOF Baseline'!C$24</f>
        <v>114018691.58878504</v>
      </c>
      <c r="D28">
        <f>D27/(1+Inputs!$C$5)^'LCOF Baseline'!D$24</f>
        <v>106559524.84933181</v>
      </c>
      <c r="E28">
        <f>E27/(1+Inputs!$C$5)^'LCOF Baseline'!E$24</f>
        <v>99588340.980683938</v>
      </c>
      <c r="F28">
        <f>F27/(1+Inputs!$C$5)^'LCOF Baseline'!F$24</f>
        <v>93073215.869798079</v>
      </c>
      <c r="G28">
        <f>G27/(1+Inputs!$C$5)^'LCOF Baseline'!G$24</f>
        <v>86984313.89700754</v>
      </c>
      <c r="H28">
        <f>H27/(1+Inputs!$C$5)^'LCOF Baseline'!H$24</f>
        <v>81293751.305614531</v>
      </c>
      <c r="I28">
        <f>I27/(1+Inputs!$C$5)^'LCOF Baseline'!I$24</f>
        <v>75975468.50992012</v>
      </c>
      <c r="J28">
        <f>J27/(1+Inputs!$C$5)^'LCOF Baseline'!J$24</f>
        <v>71005110.756934687</v>
      </c>
      <c r="K28">
        <f>K27/(1+Inputs!$C$5)^'LCOF Baseline'!K$24</f>
        <v>66359916.595266059</v>
      </c>
      <c r="L28">
        <f>L27/(1+Inputs!$C$5)^'LCOF Baseline'!L$24</f>
        <v>62018613.640435569</v>
      </c>
      <c r="M28">
        <f>M27/(1+Inputs!$C$5)^'LCOF Baseline'!M$24</f>
        <v>57961321.159285575</v>
      </c>
      <c r="N28">
        <f>N27/(1+Inputs!$C$5)^'LCOF Baseline'!N$24</f>
        <v>54169459.027369708</v>
      </c>
      <c r="O28">
        <f>O27/(1+Inputs!$C$5)^'LCOF Baseline'!O$24</f>
        <v>50625662.642401591</v>
      </c>
      <c r="P28">
        <f>P27/(1+Inputs!$C$5)^'LCOF Baseline'!P$24</f>
        <v>47313703.404113635</v>
      </c>
      <c r="Q28">
        <f>Q27/(1+Inputs!$C$5)^'LCOF Baseline'!Q$24</f>
        <v>44218414.396367878</v>
      </c>
      <c r="R28">
        <f>R27/(1+Inputs!$C$5)^'LCOF Baseline'!R$24</f>
        <v>41325620.93118494</v>
      </c>
      <c r="S28">
        <f>S27/(1+Inputs!$C$5)^'LCOF Baseline'!S$24</f>
        <v>38622075.636621438</v>
      </c>
      <c r="T28">
        <f>T27/(1+Inputs!$C$5)^'LCOF Baseline'!T$24</f>
        <v>36095397.791234992</v>
      </c>
      <c r="U28">
        <f>U27/(1+Inputs!$C$5)^'LCOF Baseline'!U$24</f>
        <v>33734016.62732242</v>
      </c>
      <c r="V28">
        <f>V27/(1+Inputs!$C$5)^'LCOF Baseline'!V$24</f>
        <v>31527118.343291983</v>
      </c>
      <c r="W28">
        <f>W27/(1+Inputs!$C$5)^'LCOF Baseline'!W$24</f>
        <v>29464596.582515869</v>
      </c>
      <c r="X28">
        <f>X27/(1+Inputs!$C$5)^'LCOF Baseline'!X$24</f>
        <v>27537006.15188399</v>
      </c>
      <c r="Y28">
        <f>Y27/(1+Inputs!$C$5)^'LCOF Baseline'!Y$24</f>
        <v>25735519.768115878</v>
      </c>
      <c r="Z28">
        <f>Z27/(1+Inputs!$C$5)^'LCOF Baseline'!Z$24</f>
        <v>24051887.633753154</v>
      </c>
      <c r="AA28">
        <f>AA27/(1+Inputs!$C$5)^'LCOF Baseline'!AA$24</f>
        <v>22478399.657713227</v>
      </c>
      <c r="AB28">
        <f>AB27/(1+Inputs!$C$5)^'LCOF Baseline'!AB$24</f>
        <v>21007850.147395544</v>
      </c>
      <c r="AC28">
        <f>AC27/(1+Inputs!$C$5)^'LCOF Baseline'!AC$24</f>
        <v>19633504.810650036</v>
      </c>
      <c r="AD28">
        <f>AD27/(1+Inputs!$C$5)^'LCOF Baseline'!AD$24</f>
        <v>18349069.916495364</v>
      </c>
      <c r="AE28">
        <f>AE27/(1+Inputs!$C$5)^'LCOF Baseline'!AE$24</f>
        <v>17148663.473360151</v>
      </c>
      <c r="AF28">
        <f>AF27/(1+Inputs!$C$5)^'LCOF Baseline'!AF$24</f>
        <v>16026788.292859957</v>
      </c>
    </row>
    <row r="29" spans="1:32" x14ac:dyDescent="0.25">
      <c r="A29" t="s">
        <v>157</v>
      </c>
      <c r="B29">
        <v>0</v>
      </c>
      <c r="C29">
        <f>'Study Parameters'!$C$9</f>
        <v>157410000</v>
      </c>
      <c r="D29">
        <f>'Study Parameters'!$C$9</f>
        <v>157410000</v>
      </c>
      <c r="E29">
        <f>'Study Parameters'!$C$9</f>
        <v>157410000</v>
      </c>
      <c r="F29">
        <f>'Study Parameters'!$C$9</f>
        <v>157410000</v>
      </c>
      <c r="G29">
        <f>'Study Parameters'!$C$9</f>
        <v>157410000</v>
      </c>
      <c r="H29">
        <f>'Study Parameters'!$C$9</f>
        <v>157410000</v>
      </c>
      <c r="I29">
        <f>'Study Parameters'!$C$9</f>
        <v>157410000</v>
      </c>
      <c r="J29">
        <f>'Study Parameters'!$C$9</f>
        <v>157410000</v>
      </c>
      <c r="K29">
        <f>'Study Parameters'!$C$9</f>
        <v>157410000</v>
      </c>
      <c r="L29">
        <f>'Study Parameters'!$C$9</f>
        <v>157410000</v>
      </c>
      <c r="M29">
        <f>'Study Parameters'!$C$9</f>
        <v>157410000</v>
      </c>
      <c r="N29">
        <f>'Study Parameters'!$C$9</f>
        <v>157410000</v>
      </c>
      <c r="O29">
        <f>'Study Parameters'!$C$9</f>
        <v>157410000</v>
      </c>
      <c r="P29">
        <f>'Study Parameters'!$C$9</f>
        <v>157410000</v>
      </c>
      <c r="Q29">
        <f>'Study Parameters'!$C$9</f>
        <v>157410000</v>
      </c>
      <c r="R29">
        <f>'Study Parameters'!$C$9</f>
        <v>157410000</v>
      </c>
      <c r="S29">
        <f>'Study Parameters'!$C$9</f>
        <v>157410000</v>
      </c>
      <c r="T29">
        <f>'Study Parameters'!$C$9</f>
        <v>157410000</v>
      </c>
      <c r="U29">
        <f>'Study Parameters'!$C$9</f>
        <v>157410000</v>
      </c>
      <c r="V29">
        <f>'Study Parameters'!$C$9</f>
        <v>157410000</v>
      </c>
      <c r="W29">
        <f>'Study Parameters'!$C$9</f>
        <v>157410000</v>
      </c>
      <c r="X29">
        <f>'Study Parameters'!$C$9</f>
        <v>157410000</v>
      </c>
      <c r="Y29">
        <f>'Study Parameters'!$C$9</f>
        <v>157410000</v>
      </c>
      <c r="Z29">
        <f>'Study Parameters'!$C$9</f>
        <v>157410000</v>
      </c>
      <c r="AA29">
        <f>'Study Parameters'!$C$9</f>
        <v>157410000</v>
      </c>
      <c r="AB29">
        <f>'Study Parameters'!$C$9</f>
        <v>157410000</v>
      </c>
      <c r="AC29">
        <f>'Study Parameters'!$C$9</f>
        <v>157410000</v>
      </c>
      <c r="AD29">
        <f>'Study Parameters'!$C$9</f>
        <v>157410000</v>
      </c>
      <c r="AE29">
        <f>'Study Parameters'!$C$9</f>
        <v>157410000</v>
      </c>
      <c r="AF29">
        <f>'Study Parameters'!$C$9</f>
        <v>157410000</v>
      </c>
    </row>
    <row r="30" spans="1:32" x14ac:dyDescent="0.25">
      <c r="A30" t="s">
        <v>158</v>
      </c>
      <c r="B30">
        <v>0</v>
      </c>
      <c r="C30">
        <f>C29/(1+Inputs!$C$5)^'LCOF Baseline'!C$24</f>
        <v>147112149.53271028</v>
      </c>
      <c r="D30">
        <f>D29/(1+Inputs!$C$5)^'LCOF Baseline'!D$24</f>
        <v>137487990.21748623</v>
      </c>
      <c r="E30">
        <f>E29/(1+Inputs!$C$5)^'LCOF Baseline'!E$24</f>
        <v>128493448.80138901</v>
      </c>
      <c r="F30">
        <f>F29/(1+Inputs!$C$5)^'LCOF Baseline'!F$24</f>
        <v>120087335.32840094</v>
      </c>
      <c r="G30">
        <f>G29/(1+Inputs!$C$5)^'LCOF Baseline'!G$24</f>
        <v>112231154.51252423</v>
      </c>
      <c r="H30">
        <f>H29/(1+Inputs!$C$5)^'LCOF Baseline'!H$24</f>
        <v>104888929.45095724</v>
      </c>
      <c r="I30">
        <f>I29/(1+Inputs!$C$5)^'LCOF Baseline'!I$24</f>
        <v>98027036.870053485</v>
      </c>
      <c r="J30">
        <f>J29/(1+Inputs!$C$5)^'LCOF Baseline'!J$24</f>
        <v>91614053.149582699</v>
      </c>
      <c r="K30">
        <f>K29/(1+Inputs!$C$5)^'LCOF Baseline'!K$24</f>
        <v>85620610.420170739</v>
      </c>
      <c r="L30">
        <f>L29/(1+Inputs!$C$5)^'LCOF Baseline'!L$24</f>
        <v>80019262.074925929</v>
      </c>
      <c r="M30">
        <f>M29/(1+Inputs!$C$5)^'LCOF Baseline'!M$24</f>
        <v>74784357.079370022</v>
      </c>
      <c r="N30">
        <f>N29/(1+Inputs!$C$5)^'LCOF Baseline'!N$24</f>
        <v>69891922.50408414</v>
      </c>
      <c r="O30">
        <f>O29/(1+Inputs!$C$5)^'LCOF Baseline'!O$24</f>
        <v>65319553.742134705</v>
      </c>
      <c r="P30">
        <f>P29/(1+Inputs!$C$5)^'LCOF Baseline'!P$24</f>
        <v>61046311.908537112</v>
      </c>
      <c r="Q30">
        <f>Q29/(1+Inputs!$C$5)^'LCOF Baseline'!Q$24</f>
        <v>57052627.951903835</v>
      </c>
      <c r="R30">
        <f>R29/(1+Inputs!$C$5)^'LCOF Baseline'!R$24</f>
        <v>53320213.039162472</v>
      </c>
      <c r="S30">
        <f>S29/(1+Inputs!$C$5)^'LCOF Baseline'!S$24</f>
        <v>49831974.802955583</v>
      </c>
      <c r="T30">
        <f>T29/(1+Inputs!$C$5)^'LCOF Baseline'!T$24</f>
        <v>46571939.068182781</v>
      </c>
      <c r="U30">
        <f>U29/(1+Inputs!$C$5)^'LCOF Baseline'!U$24</f>
        <v>43525176.699236244</v>
      </c>
      <c r="V30">
        <f>V29/(1+Inputs!$C$5)^'LCOF Baseline'!V$24</f>
        <v>40677735.23293107</v>
      </c>
      <c r="W30">
        <f>W29/(1+Inputs!$C$5)^'LCOF Baseline'!W$24</f>
        <v>38016574.984047726</v>
      </c>
      <c r="X30">
        <f>X29/(1+Inputs!$C$5)^'LCOF Baseline'!X$24</f>
        <v>35529509.330885731</v>
      </c>
      <c r="Y30">
        <f>Y29/(1+Inputs!$C$5)^'LCOF Baseline'!Y$24</f>
        <v>33205148.907369837</v>
      </c>
      <c r="Z30">
        <f>Z29/(1+Inputs!$C$5)^'LCOF Baseline'!Z$24</f>
        <v>31032849.446140036</v>
      </c>
      <c r="AA30">
        <f>AA29/(1+Inputs!$C$5)^'LCOF Baseline'!AA$24</f>
        <v>29002663.033775732</v>
      </c>
      <c r="AB30">
        <f>AB29/(1+Inputs!$C$5)^'LCOF Baseline'!AB$24</f>
        <v>27105292.554930594</v>
      </c>
      <c r="AC30">
        <f>AC29/(1+Inputs!$C$5)^'LCOF Baseline'!AC$24</f>
        <v>25332049.116757557</v>
      </c>
      <c r="AD30">
        <f>AD29/(1+Inputs!$C$5)^'LCOF Baseline'!AD$24</f>
        <v>23674812.258651927</v>
      </c>
      <c r="AE30">
        <f>AE29/(1+Inputs!$C$5)^'LCOF Baseline'!AE$24</f>
        <v>22125992.76509526</v>
      </c>
      <c r="AF30">
        <f>AF29/(1+Inputs!$C$5)^'LCOF Baseline'!AF$24</f>
        <v>20678497.911303982</v>
      </c>
    </row>
    <row r="32" spans="1:32" x14ac:dyDescent="0.25">
      <c r="A32" t="s">
        <v>159</v>
      </c>
      <c r="B32">
        <f>(SUM(B26:AF26) - SUM(B28:AF28)) / SUM(B30:AF30)</f>
        <v>11.755599672709472</v>
      </c>
    </row>
    <row r="34" spans="1:32" x14ac:dyDescent="0.25">
      <c r="A34" s="1" t="s">
        <v>12</v>
      </c>
    </row>
    <row r="35" spans="1:32" x14ac:dyDescent="0.25">
      <c r="A35" t="s">
        <v>21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</row>
    <row r="36" spans="1:32" x14ac:dyDescent="0.25">
      <c r="A36" t="s">
        <v>110</v>
      </c>
      <c r="B36">
        <f>'Cost Components'!T23 * 10^6</f>
        <v>850000000</v>
      </c>
      <c r="C36">
        <f>'Cost Components'!$T$26 * 10^6</f>
        <v>936839999.99999988</v>
      </c>
      <c r="D36">
        <f>'Cost Components'!$T$26 * 10^6</f>
        <v>936839999.99999988</v>
      </c>
      <c r="E36">
        <f>'Cost Components'!$T$26 * 10^6</f>
        <v>936839999.99999988</v>
      </c>
      <c r="F36">
        <f>'Cost Components'!$T$26 * 10^6</f>
        <v>936839999.99999988</v>
      </c>
      <c r="G36">
        <f>'Cost Components'!$T$26 * 10^6</f>
        <v>936839999.99999988</v>
      </c>
      <c r="H36">
        <f>'Cost Components'!$T$26 * 10^6</f>
        <v>936839999.99999988</v>
      </c>
      <c r="I36">
        <f>'Cost Components'!$T$26 * 10^6</f>
        <v>936839999.99999988</v>
      </c>
      <c r="J36">
        <f>'Cost Components'!$T$26 * 10^6</f>
        <v>936839999.99999988</v>
      </c>
      <c r="K36">
        <f>'Cost Components'!$T$26 * 10^6</f>
        <v>936839999.99999988</v>
      </c>
      <c r="L36">
        <f>'Cost Components'!$T$26 * 10^6</f>
        <v>936839999.99999988</v>
      </c>
      <c r="M36">
        <f>'Cost Components'!$T$26 * 10^6</f>
        <v>936839999.99999988</v>
      </c>
      <c r="N36">
        <f>'Cost Components'!$T$26 * 10^6 + 'Cost Components'!$T$7 * 10^6</f>
        <v>1005839999.9999999</v>
      </c>
      <c r="O36">
        <f>'Cost Components'!$T$26 * 10^6</f>
        <v>936839999.99999988</v>
      </c>
      <c r="P36">
        <f>'Cost Components'!$T$26 * 10^6</f>
        <v>936839999.99999988</v>
      </c>
      <c r="Q36">
        <f>'Cost Components'!$T$26 * 10^6</f>
        <v>936839999.99999988</v>
      </c>
      <c r="R36">
        <f>'Cost Components'!$T$26 * 10^6</f>
        <v>936839999.99999988</v>
      </c>
      <c r="S36">
        <f>'Cost Components'!$T$26 * 10^6</f>
        <v>936839999.99999988</v>
      </c>
      <c r="T36">
        <f>'Cost Components'!$T$26 * 10^6</f>
        <v>936839999.99999988</v>
      </c>
      <c r="U36">
        <f>'Cost Components'!$T$26 * 10^6</f>
        <v>936839999.99999988</v>
      </c>
      <c r="V36">
        <f>'Cost Components'!$T$26 * 10^6</f>
        <v>936839999.99999988</v>
      </c>
      <c r="W36">
        <f>'Cost Components'!$T$26 * 10^6</f>
        <v>936839999.99999988</v>
      </c>
      <c r="X36">
        <f>'Cost Components'!$T$26 * 10^6</f>
        <v>936839999.99999988</v>
      </c>
      <c r="Y36">
        <f>'Cost Components'!$T$26 * 10^6</f>
        <v>936839999.99999988</v>
      </c>
      <c r="Z36">
        <f>'Cost Components'!$T$26 * 10^6 + 'Cost Components'!$T$7 * 10^6</f>
        <v>1005839999.9999999</v>
      </c>
      <c r="AA36">
        <f>'Cost Components'!$T$26 * 10^6</f>
        <v>936839999.99999988</v>
      </c>
      <c r="AB36">
        <f>'Cost Components'!$T$26 * 10^6</f>
        <v>936839999.99999988</v>
      </c>
      <c r="AC36">
        <f>'Cost Components'!$T$26 * 10^6</f>
        <v>936839999.99999988</v>
      </c>
      <c r="AD36">
        <f>'Cost Components'!$T$26 * 10^6</f>
        <v>936839999.99999988</v>
      </c>
      <c r="AE36">
        <f>'Cost Components'!$T$26 * 10^6</f>
        <v>936839999.99999988</v>
      </c>
      <c r="AF36">
        <f>'Cost Components'!$T$26 * 10^6</f>
        <v>936839999.99999988</v>
      </c>
    </row>
    <row r="37" spans="1:32" x14ac:dyDescent="0.25">
      <c r="A37" t="s">
        <v>111</v>
      </c>
      <c r="B37">
        <f>B36/(1+Inputs!$C$5)^'LCOF Baseline'!B$35</f>
        <v>850000000</v>
      </c>
      <c r="C37">
        <f>C36/(1+Inputs!$C$5)^'LCOF Baseline'!C$35</f>
        <v>875551401.86915874</v>
      </c>
      <c r="D37">
        <f>D36/(1+Inputs!$C$5)^'LCOF Baseline'!D$35</f>
        <v>818272338.19547546</v>
      </c>
      <c r="E37">
        <f>E36/(1+Inputs!$C$5)^'LCOF Baseline'!E$35</f>
        <v>764740502.98642564</v>
      </c>
      <c r="F37">
        <f>F36/(1+Inputs!$C$5)^'LCOF Baseline'!F$35</f>
        <v>714710750.45460343</v>
      </c>
      <c r="G37">
        <f>G36/(1+Inputs!$C$5)^'LCOF Baseline'!G$35</f>
        <v>667953972.38747978</v>
      </c>
      <c r="H37">
        <f>H36/(1+Inputs!$C$5)^'LCOF Baseline'!H$35</f>
        <v>624256048.96026146</v>
      </c>
      <c r="I37">
        <f>I36/(1+Inputs!$C$5)^'LCOF Baseline'!I$35</f>
        <v>583416868.18716025</v>
      </c>
      <c r="J37">
        <f>J36/(1+Inputs!$C$5)^'LCOF Baseline'!J$35</f>
        <v>545249409.52071059</v>
      </c>
      <c r="K37">
        <f>K36/(1+Inputs!$C$5)^'LCOF Baseline'!K$35</f>
        <v>509578887.40253317</v>
      </c>
      <c r="L37">
        <f>L36/(1+Inputs!$C$5)^'LCOF Baseline'!L$35</f>
        <v>476241950.84348893</v>
      </c>
      <c r="M37">
        <f>M36/(1+Inputs!$C$5)^'LCOF Baseline'!M$35</f>
        <v>445085935.36774665</v>
      </c>
      <c r="N37">
        <f>N36/(1+Inputs!$C$5)^'LCOF Baseline'!N$35</f>
        <v>446604989.08270115</v>
      </c>
      <c r="O37">
        <f>O36/(1+Inputs!$C$5)^'LCOF Baseline'!O$35</f>
        <v>388755293.35989755</v>
      </c>
      <c r="P37">
        <f>P36/(1+Inputs!$C$5)^'LCOF Baseline'!P$35</f>
        <v>363322704.07467061</v>
      </c>
      <c r="Q37">
        <f>Q36/(1+Inputs!$C$5)^'LCOF Baseline'!Q$35</f>
        <v>339553929.04174817</v>
      </c>
      <c r="R37">
        <f>R36/(1+Inputs!$C$5)^'LCOF Baseline'!R$35</f>
        <v>317340120.5997647</v>
      </c>
      <c r="S37">
        <f>S36/(1+Inputs!$C$5)^'LCOF Baseline'!S$35</f>
        <v>296579551.96239692</v>
      </c>
      <c r="T37">
        <f>T36/(1+Inputs!$C$5)^'LCOF Baseline'!T$35</f>
        <v>277177151.3667261</v>
      </c>
      <c r="U37">
        <f>U36/(1+Inputs!$C$5)^'LCOF Baseline'!U$35</f>
        <v>259044066.69787484</v>
      </c>
      <c r="V37">
        <f>V36/(1+Inputs!$C$5)^'LCOF Baseline'!V$35</f>
        <v>242097258.59614474</v>
      </c>
      <c r="W37">
        <f>W36/(1+Inputs!$C$5)^'LCOF Baseline'!W$35</f>
        <v>226259120.1833128</v>
      </c>
      <c r="X37">
        <f>X36/(1+Inputs!$C$5)^'LCOF Baseline'!X$35</f>
        <v>211457121.66664749</v>
      </c>
      <c r="Y37">
        <f>Y36/(1+Inputs!$C$5)^'LCOF Baseline'!Y$35</f>
        <v>197623478.1931285</v>
      </c>
      <c r="Z37">
        <f>Z36/(1+Inputs!$C$5)^'LCOF Baseline'!Z$35</f>
        <v>198297956.2092973</v>
      </c>
      <c r="AA37">
        <f>AA36/(1+Inputs!$C$5)^'LCOF Baseline'!AA$35</f>
        <v>172611999.46993491</v>
      </c>
      <c r="AB37">
        <f>AB36/(1+Inputs!$C$5)^'LCOF Baseline'!AB$35</f>
        <v>161319625.67283636</v>
      </c>
      <c r="AC37">
        <f>AC36/(1+Inputs!$C$5)^'LCOF Baseline'!AC$35</f>
        <v>150766005.30171621</v>
      </c>
      <c r="AD37">
        <f>AD36/(1+Inputs!$C$5)^'LCOF Baseline'!AD$35</f>
        <v>140902808.69319275</v>
      </c>
      <c r="AE37">
        <f>AE36/(1+Inputs!$C$5)^'LCOF Baseline'!AE$35</f>
        <v>131684867.9375633</v>
      </c>
      <c r="AF37">
        <f>AF36/(1+Inputs!$C$5)^'LCOF Baseline'!AF$35</f>
        <v>123069970.0351059</v>
      </c>
    </row>
    <row r="38" spans="1:32" x14ac:dyDescent="0.25">
      <c r="A38" t="s">
        <v>155</v>
      </c>
      <c r="B38">
        <v>0</v>
      </c>
      <c r="C38">
        <f>'Study Parameters'!$C$42 * 10^6</f>
        <v>122000000</v>
      </c>
      <c r="D38">
        <f>'Study Parameters'!$C$42 * 10^6</f>
        <v>122000000</v>
      </c>
      <c r="E38">
        <f>'Study Parameters'!$C$42 * 10^6</f>
        <v>122000000</v>
      </c>
      <c r="F38">
        <f>'Study Parameters'!$C$42 * 10^6</f>
        <v>122000000</v>
      </c>
      <c r="G38">
        <f>'Study Parameters'!$C$42 * 10^6</f>
        <v>122000000</v>
      </c>
      <c r="H38">
        <f>'Study Parameters'!$C$42 * 10^6</f>
        <v>122000000</v>
      </c>
      <c r="I38">
        <f>'Study Parameters'!$C$42 * 10^6</f>
        <v>122000000</v>
      </c>
      <c r="J38">
        <f>'Study Parameters'!$C$42 * 10^6</f>
        <v>122000000</v>
      </c>
      <c r="K38">
        <f>'Study Parameters'!$C$42 * 10^6</f>
        <v>122000000</v>
      </c>
      <c r="L38">
        <f>'Study Parameters'!$C$42 * 10^6</f>
        <v>122000000</v>
      </c>
      <c r="M38">
        <f>'Study Parameters'!$C$42 * 10^6</f>
        <v>122000000</v>
      </c>
      <c r="N38">
        <f>'Study Parameters'!$C$42 * 10^6</f>
        <v>122000000</v>
      </c>
      <c r="O38">
        <f>'Study Parameters'!$C$42 * 10^6</f>
        <v>122000000</v>
      </c>
      <c r="P38">
        <f>'Study Parameters'!$C$42 * 10^6</f>
        <v>122000000</v>
      </c>
      <c r="Q38">
        <f>'Study Parameters'!$C$42 * 10^6</f>
        <v>122000000</v>
      </c>
      <c r="R38">
        <f>'Study Parameters'!$C$42 * 10^6</f>
        <v>122000000</v>
      </c>
      <c r="S38">
        <f>'Study Parameters'!$C$42 * 10^6</f>
        <v>122000000</v>
      </c>
      <c r="T38">
        <f>'Study Parameters'!$C$42 * 10^6</f>
        <v>122000000</v>
      </c>
      <c r="U38">
        <f>'Study Parameters'!$C$42 * 10^6</f>
        <v>122000000</v>
      </c>
      <c r="V38">
        <f>'Study Parameters'!$C$42 * 10^6</f>
        <v>122000000</v>
      </c>
      <c r="W38">
        <f>'Study Parameters'!$C$42 * 10^6</f>
        <v>122000000</v>
      </c>
      <c r="X38">
        <f>'Study Parameters'!$C$42 * 10^6</f>
        <v>122000000</v>
      </c>
      <c r="Y38">
        <f>'Study Parameters'!$C$42 * 10^6</f>
        <v>122000000</v>
      </c>
      <c r="Z38">
        <f>'Study Parameters'!$C$42 * 10^6</f>
        <v>122000000</v>
      </c>
      <c r="AA38">
        <f>'Study Parameters'!$C$42 * 10^6</f>
        <v>122000000</v>
      </c>
      <c r="AB38">
        <f>'Study Parameters'!$C$42 * 10^6</f>
        <v>122000000</v>
      </c>
      <c r="AC38">
        <f>'Study Parameters'!$C$42 * 10^6</f>
        <v>122000000</v>
      </c>
      <c r="AD38">
        <f>'Study Parameters'!$C$42 * 10^6</f>
        <v>122000000</v>
      </c>
      <c r="AE38">
        <f>'Study Parameters'!$C$42 * 10^6</f>
        <v>122000000</v>
      </c>
      <c r="AF38">
        <f>'Study Parameters'!$C$42 * 10^6</f>
        <v>122000000</v>
      </c>
    </row>
    <row r="39" spans="1:32" x14ac:dyDescent="0.25">
      <c r="A39" t="s">
        <v>156</v>
      </c>
      <c r="B39">
        <v>0</v>
      </c>
      <c r="C39">
        <f>C38/(1+Inputs!$C$5)^'LCOF Baseline'!C$35</f>
        <v>114018691.58878504</v>
      </c>
      <c r="D39">
        <f>D38/(1+Inputs!$C$5)^'LCOF Baseline'!D$35</f>
        <v>106559524.84933181</v>
      </c>
      <c r="E39">
        <f>E38/(1+Inputs!$C$5)^'LCOF Baseline'!E$35</f>
        <v>99588340.980683938</v>
      </c>
      <c r="F39">
        <f>F38/(1+Inputs!$C$5)^'LCOF Baseline'!F$35</f>
        <v>93073215.869798079</v>
      </c>
      <c r="G39">
        <f>G38/(1+Inputs!$C$5)^'LCOF Baseline'!G$35</f>
        <v>86984313.89700754</v>
      </c>
      <c r="H39">
        <f>H38/(1+Inputs!$C$5)^'LCOF Baseline'!H$35</f>
        <v>81293751.305614531</v>
      </c>
      <c r="I39">
        <f>I38/(1+Inputs!$C$5)^'LCOF Baseline'!I$35</f>
        <v>75975468.50992012</v>
      </c>
      <c r="J39">
        <f>J38/(1+Inputs!$C$5)^'LCOF Baseline'!J$35</f>
        <v>71005110.756934687</v>
      </c>
      <c r="K39">
        <f>K38/(1+Inputs!$C$5)^'LCOF Baseline'!K$35</f>
        <v>66359916.595266059</v>
      </c>
      <c r="L39">
        <f>L38/(1+Inputs!$C$5)^'LCOF Baseline'!L$35</f>
        <v>62018613.640435569</v>
      </c>
      <c r="M39">
        <f>M38/(1+Inputs!$C$5)^'LCOF Baseline'!M$35</f>
        <v>57961321.159285575</v>
      </c>
      <c r="N39">
        <f>N38/(1+Inputs!$C$5)^'LCOF Baseline'!N$35</f>
        <v>54169459.027369708</v>
      </c>
      <c r="O39">
        <f>O38/(1+Inputs!$C$5)^'LCOF Baseline'!O$35</f>
        <v>50625662.642401591</v>
      </c>
      <c r="P39">
        <f>P38/(1+Inputs!$C$5)^'LCOF Baseline'!P$35</f>
        <v>47313703.404113635</v>
      </c>
      <c r="Q39">
        <f>Q38/(1+Inputs!$C$5)^'LCOF Baseline'!Q$35</f>
        <v>44218414.396367878</v>
      </c>
      <c r="R39">
        <f>R38/(1+Inputs!$C$5)^'LCOF Baseline'!R$35</f>
        <v>41325620.93118494</v>
      </c>
      <c r="S39">
        <f>S38/(1+Inputs!$C$5)^'LCOF Baseline'!S$35</f>
        <v>38622075.636621438</v>
      </c>
      <c r="T39">
        <f>T38/(1+Inputs!$C$5)^'LCOF Baseline'!T$35</f>
        <v>36095397.791234992</v>
      </c>
      <c r="U39">
        <f>U38/(1+Inputs!$C$5)^'LCOF Baseline'!U$35</f>
        <v>33734016.62732242</v>
      </c>
      <c r="V39">
        <f>V38/(1+Inputs!$C$5)^'LCOF Baseline'!V$35</f>
        <v>31527118.343291983</v>
      </c>
      <c r="W39">
        <f>W38/(1+Inputs!$C$5)^'LCOF Baseline'!W$35</f>
        <v>29464596.582515869</v>
      </c>
      <c r="X39">
        <f>X38/(1+Inputs!$C$5)^'LCOF Baseline'!X$35</f>
        <v>27537006.15188399</v>
      </c>
      <c r="Y39">
        <f>Y38/(1+Inputs!$C$5)^'LCOF Baseline'!Y$35</f>
        <v>25735519.768115878</v>
      </c>
      <c r="Z39">
        <f>Z38/(1+Inputs!$C$5)^'LCOF Baseline'!Z$35</f>
        <v>24051887.633753154</v>
      </c>
      <c r="AA39">
        <f>AA38/(1+Inputs!$C$5)^'LCOF Baseline'!AA$35</f>
        <v>22478399.657713227</v>
      </c>
      <c r="AB39">
        <f>AB38/(1+Inputs!$C$5)^'LCOF Baseline'!AB$35</f>
        <v>21007850.147395544</v>
      </c>
      <c r="AC39">
        <f>AC38/(1+Inputs!$C$5)^'LCOF Baseline'!AC$35</f>
        <v>19633504.810650036</v>
      </c>
      <c r="AD39">
        <f>AD38/(1+Inputs!$C$5)^'LCOF Baseline'!AD$35</f>
        <v>18349069.916495364</v>
      </c>
      <c r="AE39">
        <f>AE38/(1+Inputs!$C$5)^'LCOF Baseline'!AE$35</f>
        <v>17148663.473360151</v>
      </c>
      <c r="AF39">
        <f>AF38/(1+Inputs!$C$5)^'LCOF Baseline'!AF$35</f>
        <v>16026788.292859957</v>
      </c>
    </row>
    <row r="40" spans="1:32" x14ac:dyDescent="0.25">
      <c r="A40" t="s">
        <v>157</v>
      </c>
      <c r="B40">
        <v>0</v>
      </c>
      <c r="C40">
        <f>'Study Parameters'!$C$9</f>
        <v>157410000</v>
      </c>
      <c r="D40">
        <f>'Study Parameters'!$C$9</f>
        <v>157410000</v>
      </c>
      <c r="E40">
        <f>'Study Parameters'!$C$9</f>
        <v>157410000</v>
      </c>
      <c r="F40">
        <f>'Study Parameters'!$C$9</f>
        <v>157410000</v>
      </c>
      <c r="G40">
        <f>'Study Parameters'!$C$9</f>
        <v>157410000</v>
      </c>
      <c r="H40">
        <f>'Study Parameters'!$C$9</f>
        <v>157410000</v>
      </c>
      <c r="I40">
        <f>'Study Parameters'!$C$9</f>
        <v>157410000</v>
      </c>
      <c r="J40">
        <f>'Study Parameters'!$C$9</f>
        <v>157410000</v>
      </c>
      <c r="K40">
        <f>'Study Parameters'!$C$9</f>
        <v>157410000</v>
      </c>
      <c r="L40">
        <f>'Study Parameters'!$C$9</f>
        <v>157410000</v>
      </c>
      <c r="M40">
        <f>'Study Parameters'!$C$9</f>
        <v>157410000</v>
      </c>
      <c r="N40">
        <f>'Study Parameters'!$C$9</f>
        <v>157410000</v>
      </c>
      <c r="O40">
        <f>'Study Parameters'!$C$9</f>
        <v>157410000</v>
      </c>
      <c r="P40">
        <f>'Study Parameters'!$C$9</f>
        <v>157410000</v>
      </c>
      <c r="Q40">
        <f>'Study Parameters'!$C$9</f>
        <v>157410000</v>
      </c>
      <c r="R40">
        <f>'Study Parameters'!$C$9</f>
        <v>157410000</v>
      </c>
      <c r="S40">
        <f>'Study Parameters'!$C$9</f>
        <v>157410000</v>
      </c>
      <c r="T40">
        <f>'Study Parameters'!$C$9</f>
        <v>157410000</v>
      </c>
      <c r="U40">
        <f>'Study Parameters'!$C$9</f>
        <v>157410000</v>
      </c>
      <c r="V40">
        <f>'Study Parameters'!$C$9</f>
        <v>157410000</v>
      </c>
      <c r="W40">
        <f>'Study Parameters'!$C$9</f>
        <v>157410000</v>
      </c>
      <c r="X40">
        <f>'Study Parameters'!$C$9</f>
        <v>157410000</v>
      </c>
      <c r="Y40">
        <f>'Study Parameters'!$C$9</f>
        <v>157410000</v>
      </c>
      <c r="Z40">
        <f>'Study Parameters'!$C$9</f>
        <v>157410000</v>
      </c>
      <c r="AA40">
        <f>'Study Parameters'!$C$9</f>
        <v>157410000</v>
      </c>
      <c r="AB40">
        <f>'Study Parameters'!$C$9</f>
        <v>157410000</v>
      </c>
      <c r="AC40">
        <f>'Study Parameters'!$C$9</f>
        <v>157410000</v>
      </c>
      <c r="AD40">
        <f>'Study Parameters'!$C$9</f>
        <v>157410000</v>
      </c>
      <c r="AE40">
        <f>'Study Parameters'!$C$9</f>
        <v>157410000</v>
      </c>
      <c r="AF40">
        <f>'Study Parameters'!$C$9</f>
        <v>157410000</v>
      </c>
    </row>
    <row r="41" spans="1:32" x14ac:dyDescent="0.25">
      <c r="A41" t="s">
        <v>158</v>
      </c>
      <c r="B41">
        <v>0</v>
      </c>
      <c r="C41">
        <f>C40/(1+Inputs!$C$5)^'LCOF Baseline'!C$35</f>
        <v>147112149.53271028</v>
      </c>
      <c r="D41">
        <f>D40/(1+Inputs!$C$5)^'LCOF Baseline'!D$35</f>
        <v>137487990.21748623</v>
      </c>
      <c r="E41">
        <f>E40/(1+Inputs!$C$5)^'LCOF Baseline'!E$35</f>
        <v>128493448.80138901</v>
      </c>
      <c r="F41">
        <f>F40/(1+Inputs!$C$5)^'LCOF Baseline'!F$35</f>
        <v>120087335.32840094</v>
      </c>
      <c r="G41">
        <f>G40/(1+Inputs!$C$5)^'LCOF Baseline'!G$35</f>
        <v>112231154.51252423</v>
      </c>
      <c r="H41">
        <f>H40/(1+Inputs!$C$5)^'LCOF Baseline'!H$35</f>
        <v>104888929.45095724</v>
      </c>
      <c r="I41">
        <f>I40/(1+Inputs!$C$5)^'LCOF Baseline'!I$35</f>
        <v>98027036.870053485</v>
      </c>
      <c r="J41">
        <f>J40/(1+Inputs!$C$5)^'LCOF Baseline'!J$35</f>
        <v>91614053.149582699</v>
      </c>
      <c r="K41">
        <f>K40/(1+Inputs!$C$5)^'LCOF Baseline'!K$35</f>
        <v>85620610.420170739</v>
      </c>
      <c r="L41">
        <f>L40/(1+Inputs!$C$5)^'LCOF Baseline'!L$35</f>
        <v>80019262.074925929</v>
      </c>
      <c r="M41">
        <f>M40/(1+Inputs!$C$5)^'LCOF Baseline'!M$35</f>
        <v>74784357.079370022</v>
      </c>
      <c r="N41">
        <f>N40/(1+Inputs!$C$5)^'LCOF Baseline'!N$35</f>
        <v>69891922.50408414</v>
      </c>
      <c r="O41">
        <f>O40/(1+Inputs!$C$5)^'LCOF Baseline'!O$35</f>
        <v>65319553.742134705</v>
      </c>
      <c r="P41">
        <f>P40/(1+Inputs!$C$5)^'LCOF Baseline'!P$35</f>
        <v>61046311.908537112</v>
      </c>
      <c r="Q41">
        <f>Q40/(1+Inputs!$C$5)^'LCOF Baseline'!Q$35</f>
        <v>57052627.951903835</v>
      </c>
      <c r="R41">
        <f>R40/(1+Inputs!$C$5)^'LCOF Baseline'!R$35</f>
        <v>53320213.039162472</v>
      </c>
      <c r="S41">
        <f>S40/(1+Inputs!$C$5)^'LCOF Baseline'!S$35</f>
        <v>49831974.802955583</v>
      </c>
      <c r="T41">
        <f>T40/(1+Inputs!$C$5)^'LCOF Baseline'!T$35</f>
        <v>46571939.068182781</v>
      </c>
      <c r="U41">
        <f>U40/(1+Inputs!$C$5)^'LCOF Baseline'!U$35</f>
        <v>43525176.699236244</v>
      </c>
      <c r="V41">
        <f>V40/(1+Inputs!$C$5)^'LCOF Baseline'!V$35</f>
        <v>40677735.23293107</v>
      </c>
      <c r="W41">
        <f>W40/(1+Inputs!$C$5)^'LCOF Baseline'!W$35</f>
        <v>38016574.984047726</v>
      </c>
      <c r="X41">
        <f>X40/(1+Inputs!$C$5)^'LCOF Baseline'!X$35</f>
        <v>35529509.330885731</v>
      </c>
      <c r="Y41">
        <f>Y40/(1+Inputs!$C$5)^'LCOF Baseline'!Y$35</f>
        <v>33205148.907369837</v>
      </c>
      <c r="Z41">
        <f>Z40/(1+Inputs!$C$5)^'LCOF Baseline'!Z$35</f>
        <v>31032849.446140036</v>
      </c>
      <c r="AA41">
        <f>AA40/(1+Inputs!$C$5)^'LCOF Baseline'!AA$35</f>
        <v>29002663.033775732</v>
      </c>
      <c r="AB41">
        <f>AB40/(1+Inputs!$C$5)^'LCOF Baseline'!AB$35</f>
        <v>27105292.554930594</v>
      </c>
      <c r="AC41">
        <f>AC40/(1+Inputs!$C$5)^'LCOF Baseline'!AC$35</f>
        <v>25332049.116757557</v>
      </c>
      <c r="AD41">
        <f>AD40/(1+Inputs!$C$5)^'LCOF Baseline'!AD$35</f>
        <v>23674812.258651927</v>
      </c>
      <c r="AE41">
        <f>AE40/(1+Inputs!$C$5)^'LCOF Baseline'!AE$35</f>
        <v>22125992.76509526</v>
      </c>
      <c r="AF41">
        <f>AF40/(1+Inputs!$C$5)^'LCOF Baseline'!AF$35</f>
        <v>20678497.911303982</v>
      </c>
    </row>
    <row r="43" spans="1:32" x14ac:dyDescent="0.25">
      <c r="A43" t="s">
        <v>159</v>
      </c>
      <c r="B43">
        <f>(SUM(B37:AF37) - SUM(B39:AF39)) / SUM(B41:AF41)</f>
        <v>5.634353476900257</v>
      </c>
    </row>
    <row r="45" spans="1:32" x14ac:dyDescent="0.25">
      <c r="A45" s="1" t="s">
        <v>16</v>
      </c>
    </row>
    <row r="46" spans="1:32" x14ac:dyDescent="0.25">
      <c r="A46" t="s">
        <v>21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6</v>
      </c>
      <c r="I46">
        <v>7</v>
      </c>
      <c r="J46">
        <v>8</v>
      </c>
      <c r="K46">
        <v>9</v>
      </c>
      <c r="L46">
        <v>10</v>
      </c>
      <c r="M46">
        <v>11</v>
      </c>
      <c r="N46">
        <v>12</v>
      </c>
      <c r="O46">
        <v>13</v>
      </c>
      <c r="P46">
        <v>14</v>
      </c>
      <c r="Q46">
        <v>15</v>
      </c>
      <c r="R46">
        <v>16</v>
      </c>
      <c r="S46">
        <v>17</v>
      </c>
      <c r="T46">
        <v>18</v>
      </c>
      <c r="U46">
        <v>19</v>
      </c>
      <c r="V46">
        <v>20</v>
      </c>
      <c r="W46">
        <v>21</v>
      </c>
      <c r="X46">
        <v>22</v>
      </c>
      <c r="Y46">
        <v>23</v>
      </c>
      <c r="Z46">
        <v>24</v>
      </c>
      <c r="AA46">
        <v>25</v>
      </c>
      <c r="AB46">
        <v>26</v>
      </c>
      <c r="AC46">
        <v>27</v>
      </c>
      <c r="AD46">
        <v>28</v>
      </c>
      <c r="AE46">
        <v>29</v>
      </c>
      <c r="AF46">
        <v>30</v>
      </c>
    </row>
    <row r="47" spans="1:32" x14ac:dyDescent="0.25">
      <c r="A47" t="s">
        <v>110</v>
      </c>
      <c r="B47">
        <f>'Cost Components'!Z23 * 10^6</f>
        <v>850000000</v>
      </c>
      <c r="C47">
        <f>'Cost Components'!$Z$26 * 10^6</f>
        <v>911246736.84210527</v>
      </c>
      <c r="D47">
        <f>'Cost Components'!$Z$26 * 10^6</f>
        <v>911246736.84210527</v>
      </c>
      <c r="E47">
        <f>'Cost Components'!$Z$26 * 10^6</f>
        <v>911246736.84210527</v>
      </c>
      <c r="F47">
        <f>'Cost Components'!$Z$26 * 10^6</f>
        <v>911246736.84210527</v>
      </c>
      <c r="G47">
        <f>'Cost Components'!$Z$26 * 10^6</f>
        <v>911246736.84210527</v>
      </c>
      <c r="H47">
        <f>'Cost Components'!$Z$26 * 10^6</f>
        <v>911246736.84210527</v>
      </c>
      <c r="I47">
        <f>'Cost Components'!$Z$26 * 10^6</f>
        <v>911246736.84210527</v>
      </c>
      <c r="J47">
        <f>'Cost Components'!$Z$26 * 10^6</f>
        <v>911246736.84210527</v>
      </c>
      <c r="K47">
        <f>'Cost Components'!$Z$26 * 10^6</f>
        <v>911246736.84210527</v>
      </c>
      <c r="L47">
        <f>'Cost Components'!$Z$26 * 10^6</f>
        <v>911246736.84210527</v>
      </c>
      <c r="M47">
        <f>'Cost Components'!$Z$26 * 10^6</f>
        <v>911246736.84210527</v>
      </c>
      <c r="N47">
        <f>'Cost Components'!$Z$26* 10^6 + 'Cost Components'!$Z$7 * 10^6</f>
        <v>980246736.84210527</v>
      </c>
      <c r="O47">
        <f>'Cost Components'!$Z$26 * 10^6</f>
        <v>911246736.84210527</v>
      </c>
      <c r="P47">
        <f>'Cost Components'!$Z$26 * 10^6</f>
        <v>911246736.84210527</v>
      </c>
      <c r="Q47">
        <f>'Cost Components'!$Z$26 * 10^6</f>
        <v>911246736.84210527</v>
      </c>
      <c r="R47">
        <f>'Cost Components'!$Z$26 * 10^6</f>
        <v>911246736.84210527</v>
      </c>
      <c r="S47">
        <f>'Cost Components'!$Z$26 * 10^6</f>
        <v>911246736.84210527</v>
      </c>
      <c r="T47">
        <f>'Cost Components'!$Z$26 * 10^6</f>
        <v>911246736.84210527</v>
      </c>
      <c r="U47">
        <f>'Cost Components'!$Z$26 * 10^6</f>
        <v>911246736.84210527</v>
      </c>
      <c r="V47">
        <f>'Cost Components'!$Z$26 * 10^6</f>
        <v>911246736.84210527</v>
      </c>
      <c r="W47">
        <f>'Cost Components'!$Z$26 * 10^6</f>
        <v>911246736.84210527</v>
      </c>
      <c r="X47">
        <f>'Cost Components'!$Z$26 * 10^6</f>
        <v>911246736.84210527</v>
      </c>
      <c r="Y47">
        <f>'Cost Components'!$Z$26 * 10^6</f>
        <v>911246736.84210527</v>
      </c>
      <c r="Z47">
        <f>'Cost Components'!$Z$26 * 10^6 + 'Cost Components'!$Z$7 * 10^6</f>
        <v>980246736.84210527</v>
      </c>
      <c r="AA47">
        <f>'Cost Components'!$Z$26 * 10^6</f>
        <v>911246736.84210527</v>
      </c>
      <c r="AB47">
        <f>'Cost Components'!$Z$26 * 10^6</f>
        <v>911246736.84210527</v>
      </c>
      <c r="AC47">
        <f>'Cost Components'!$Z$26 * 10^6</f>
        <v>911246736.84210527</v>
      </c>
      <c r="AD47">
        <f>'Cost Components'!$Z$26 * 10^6</f>
        <v>911246736.84210527</v>
      </c>
      <c r="AE47">
        <f>'Cost Components'!$Z$26 * 10^6</f>
        <v>911246736.84210527</v>
      </c>
      <c r="AF47">
        <f>'Cost Components'!$Z$26 * 10^6</f>
        <v>911246736.84210527</v>
      </c>
    </row>
    <row r="48" spans="1:32" x14ac:dyDescent="0.25">
      <c r="A48" t="s">
        <v>111</v>
      </c>
      <c r="B48">
        <f>B47/(1+Inputs!$C$5)^'LCOF Baseline'!B$46</f>
        <v>850000000</v>
      </c>
      <c r="C48">
        <f>C47/(1+Inputs!$C$5)^'LCOF Baseline'!C$46</f>
        <v>851632464.3384161</v>
      </c>
      <c r="D48">
        <f>D47/(1+Inputs!$C$5)^'LCOF Baseline'!D$46</f>
        <v>795918190.97048235</v>
      </c>
      <c r="E48">
        <f>E47/(1+Inputs!$C$5)^'LCOF Baseline'!E$46</f>
        <v>743848776.60792744</v>
      </c>
      <c r="F48">
        <f>F47/(1+Inputs!$C$5)^'LCOF Baseline'!F$46</f>
        <v>695185772.53077328</v>
      </c>
      <c r="G48">
        <f>G47/(1+Inputs!$C$5)^'LCOF Baseline'!G$46</f>
        <v>649706329.46801233</v>
      </c>
      <c r="H48">
        <f>H47/(1+Inputs!$C$5)^'LCOF Baseline'!H$46</f>
        <v>607202177.07290876</v>
      </c>
      <c r="I48">
        <f>I47/(1+Inputs!$C$5)^'LCOF Baseline'!I$46</f>
        <v>567478670.16159701</v>
      </c>
      <c r="J48">
        <f>J47/(1+Inputs!$C$5)^'LCOF Baseline'!J$46</f>
        <v>530353897.34728688</v>
      </c>
      <c r="K48">
        <f>K47/(1+Inputs!$C$5)^'LCOF Baseline'!K$46</f>
        <v>495657847.98811853</v>
      </c>
      <c r="L48">
        <f>L47/(1+Inputs!$C$5)^'LCOF Baseline'!L$46</f>
        <v>463231633.63375568</v>
      </c>
      <c r="M48">
        <f>M47/(1+Inputs!$C$5)^'LCOF Baseline'!M$46</f>
        <v>432926760.40537906</v>
      </c>
      <c r="N48">
        <f>N47/(1+Inputs!$C$5)^'LCOF Baseline'!N$46</f>
        <v>435241274.16460061</v>
      </c>
      <c r="O48">
        <f>O47/(1+Inputs!$C$5)^'LCOF Baseline'!O$46</f>
        <v>378134999.04391575</v>
      </c>
      <c r="P48">
        <f>P47/(1+Inputs!$C$5)^'LCOF Baseline'!P$46</f>
        <v>353397195.36814559</v>
      </c>
      <c r="Q48">
        <f>Q47/(1+Inputs!$C$5)^'LCOF Baseline'!Q$46</f>
        <v>330277752.68050987</v>
      </c>
      <c r="R48">
        <f>R47/(1+Inputs!$C$5)^'LCOF Baseline'!R$46</f>
        <v>308670796.89767277</v>
      </c>
      <c r="S48">
        <f>S47/(1+Inputs!$C$5)^'LCOF Baseline'!S$46</f>
        <v>288477380.27819884</v>
      </c>
      <c r="T48">
        <f>T47/(1+Inputs!$C$5)^'LCOF Baseline'!T$46</f>
        <v>269605028.29738212</v>
      </c>
      <c r="U48">
        <f>U47/(1+Inputs!$C$5)^'LCOF Baseline'!U$46</f>
        <v>251967316.16577765</v>
      </c>
      <c r="V48">
        <f>V47/(1+Inputs!$C$5)^'LCOF Baseline'!V$46</f>
        <v>235483473.05212867</v>
      </c>
      <c r="W48">
        <f>W47/(1+Inputs!$C$5)^'LCOF Baseline'!W$46</f>
        <v>220078012.19825107</v>
      </c>
      <c r="X48">
        <f>X47/(1+Inputs!$C$5)^'LCOF Baseline'!X$46</f>
        <v>205680385.23201036</v>
      </c>
      <c r="Y48">
        <f>Y47/(1+Inputs!$C$5)^'LCOF Baseline'!Y$46</f>
        <v>192224659.09533679</v>
      </c>
      <c r="Z48">
        <f>Z47/(1+Inputs!$C$5)^'LCOF Baseline'!Z$46</f>
        <v>193252330.88425833</v>
      </c>
      <c r="AA48">
        <f>AA47/(1+Inputs!$C$5)^'LCOF Baseline'!AA$46</f>
        <v>167896461.78298259</v>
      </c>
      <c r="AB48">
        <f>AB47/(1+Inputs!$C$5)^'LCOF Baseline'!AB$46</f>
        <v>156912581.10559121</v>
      </c>
      <c r="AC48">
        <f>AC47/(1+Inputs!$C$5)^'LCOF Baseline'!AC$46</f>
        <v>146647272.06130016</v>
      </c>
      <c r="AD48">
        <f>AD47/(1+Inputs!$C$5)^'LCOF Baseline'!AD$46</f>
        <v>137053525.29093477</v>
      </c>
      <c r="AE48">
        <f>AE47/(1+Inputs!$C$5)^'LCOF Baseline'!AE$46</f>
        <v>128087406.81395772</v>
      </c>
      <c r="AF48">
        <f>AF47/(1+Inputs!$C$5)^'LCOF Baseline'!AF$46</f>
        <v>119707856.83547451</v>
      </c>
    </row>
    <row r="49" spans="1:32" x14ac:dyDescent="0.25">
      <c r="A49" t="s">
        <v>155</v>
      </c>
      <c r="B49">
        <v>0</v>
      </c>
      <c r="C49">
        <f>'Study Parameters'!$C$42 * 10^6</f>
        <v>122000000</v>
      </c>
      <c r="D49">
        <f>'Study Parameters'!$C$42 * 10^6</f>
        <v>122000000</v>
      </c>
      <c r="E49">
        <f>'Study Parameters'!$C$42 * 10^6</f>
        <v>122000000</v>
      </c>
      <c r="F49">
        <f>'Study Parameters'!$C$42 * 10^6</f>
        <v>122000000</v>
      </c>
      <c r="G49">
        <f>'Study Parameters'!$C$42 * 10^6</f>
        <v>122000000</v>
      </c>
      <c r="H49">
        <f>'Study Parameters'!$C$42 * 10^6</f>
        <v>122000000</v>
      </c>
      <c r="I49">
        <f>'Study Parameters'!$C$42 * 10^6</f>
        <v>122000000</v>
      </c>
      <c r="J49">
        <f>'Study Parameters'!$C$42 * 10^6</f>
        <v>122000000</v>
      </c>
      <c r="K49">
        <f>'Study Parameters'!$C$42 * 10^6</f>
        <v>122000000</v>
      </c>
      <c r="L49">
        <f>'Study Parameters'!$C$42 * 10^6</f>
        <v>122000000</v>
      </c>
      <c r="M49">
        <f>'Study Parameters'!$C$42 * 10^6</f>
        <v>122000000</v>
      </c>
      <c r="N49">
        <f>'Study Parameters'!$C$42 * 10^6</f>
        <v>122000000</v>
      </c>
      <c r="O49">
        <f>'Study Parameters'!$C$42 * 10^6</f>
        <v>122000000</v>
      </c>
      <c r="P49">
        <f>'Study Parameters'!$C$42 * 10^6</f>
        <v>122000000</v>
      </c>
      <c r="Q49">
        <f>'Study Parameters'!$C$42 * 10^6</f>
        <v>122000000</v>
      </c>
      <c r="R49">
        <f>'Study Parameters'!$C$42 * 10^6</f>
        <v>122000000</v>
      </c>
      <c r="S49">
        <f>'Study Parameters'!$C$42 * 10^6</f>
        <v>122000000</v>
      </c>
      <c r="T49">
        <f>'Study Parameters'!$C$42 * 10^6</f>
        <v>122000000</v>
      </c>
      <c r="U49">
        <f>'Study Parameters'!$C$42 * 10^6</f>
        <v>122000000</v>
      </c>
      <c r="V49">
        <f>'Study Parameters'!$C$42 * 10^6</f>
        <v>122000000</v>
      </c>
      <c r="W49">
        <f>'Study Parameters'!$C$42 * 10^6</f>
        <v>122000000</v>
      </c>
      <c r="X49">
        <f>'Study Parameters'!$C$42 * 10^6</f>
        <v>122000000</v>
      </c>
      <c r="Y49">
        <f>'Study Parameters'!$C$42 * 10^6</f>
        <v>122000000</v>
      </c>
      <c r="Z49">
        <f>'Study Parameters'!$C$42 * 10^6</f>
        <v>122000000</v>
      </c>
      <c r="AA49">
        <f>'Study Parameters'!$C$42 * 10^6</f>
        <v>122000000</v>
      </c>
      <c r="AB49">
        <f>'Study Parameters'!$C$42 * 10^6</f>
        <v>122000000</v>
      </c>
      <c r="AC49">
        <f>'Study Parameters'!$C$42 * 10^6</f>
        <v>122000000</v>
      </c>
      <c r="AD49">
        <f>'Study Parameters'!$C$42 * 10^6</f>
        <v>122000000</v>
      </c>
      <c r="AE49">
        <f>'Study Parameters'!$C$42 * 10^6</f>
        <v>122000000</v>
      </c>
      <c r="AF49">
        <f>'Study Parameters'!$C$42 * 10^6</f>
        <v>122000000</v>
      </c>
    </row>
    <row r="50" spans="1:32" x14ac:dyDescent="0.25">
      <c r="A50" t="s">
        <v>156</v>
      </c>
      <c r="B50">
        <v>0</v>
      </c>
      <c r="C50">
        <f>C49/(1+Inputs!$C$5)^'LCOF Baseline'!C$46</f>
        <v>114018691.58878504</v>
      </c>
      <c r="D50">
        <f>D49/(1+Inputs!$C$5)^'LCOF Baseline'!D$46</f>
        <v>106559524.84933181</v>
      </c>
      <c r="E50">
        <f>E49/(1+Inputs!$C$5)^'LCOF Baseline'!E$46</f>
        <v>99588340.980683938</v>
      </c>
      <c r="F50">
        <f>F49/(1+Inputs!$C$5)^'LCOF Baseline'!F$46</f>
        <v>93073215.869798079</v>
      </c>
      <c r="G50">
        <f>G49/(1+Inputs!$C$5)^'LCOF Baseline'!G$46</f>
        <v>86984313.89700754</v>
      </c>
      <c r="H50">
        <f>H49/(1+Inputs!$C$5)^'LCOF Baseline'!H$46</f>
        <v>81293751.305614531</v>
      </c>
      <c r="I50">
        <f>I49/(1+Inputs!$C$5)^'LCOF Baseline'!I$46</f>
        <v>75975468.50992012</v>
      </c>
      <c r="J50">
        <f>J49/(1+Inputs!$C$5)^'LCOF Baseline'!J$46</f>
        <v>71005110.756934687</v>
      </c>
      <c r="K50">
        <f>K49/(1+Inputs!$C$5)^'LCOF Baseline'!K$46</f>
        <v>66359916.595266059</v>
      </c>
      <c r="L50">
        <f>L49/(1+Inputs!$C$5)^'LCOF Baseline'!L$46</f>
        <v>62018613.640435569</v>
      </c>
      <c r="M50">
        <f>M49/(1+Inputs!$C$5)^'LCOF Baseline'!M$46</f>
        <v>57961321.159285575</v>
      </c>
      <c r="N50">
        <f>N49/(1+Inputs!$C$5)^'LCOF Baseline'!N$46</f>
        <v>54169459.027369708</v>
      </c>
      <c r="O50">
        <f>O49/(1+Inputs!$C$5)^'LCOF Baseline'!O$46</f>
        <v>50625662.642401591</v>
      </c>
      <c r="P50">
        <f>P49/(1+Inputs!$C$5)^'LCOF Baseline'!P$46</f>
        <v>47313703.404113635</v>
      </c>
      <c r="Q50">
        <f>Q49/(1+Inputs!$C$5)^'LCOF Baseline'!Q$46</f>
        <v>44218414.396367878</v>
      </c>
      <c r="R50">
        <f>R49/(1+Inputs!$C$5)^'LCOF Baseline'!R$46</f>
        <v>41325620.93118494</v>
      </c>
      <c r="S50">
        <f>S49/(1+Inputs!$C$5)^'LCOF Baseline'!S$46</f>
        <v>38622075.636621438</v>
      </c>
      <c r="T50">
        <f>T49/(1+Inputs!$C$5)^'LCOF Baseline'!T$46</f>
        <v>36095397.791234992</v>
      </c>
      <c r="U50">
        <f>U49/(1+Inputs!$C$5)^'LCOF Baseline'!U$46</f>
        <v>33734016.62732242</v>
      </c>
      <c r="V50">
        <f>V49/(1+Inputs!$C$5)^'LCOF Baseline'!V$46</f>
        <v>31527118.343291983</v>
      </c>
      <c r="W50">
        <f>W49/(1+Inputs!$C$5)^'LCOF Baseline'!W$46</f>
        <v>29464596.582515869</v>
      </c>
      <c r="X50">
        <f>X49/(1+Inputs!$C$5)^'LCOF Baseline'!X$46</f>
        <v>27537006.15188399</v>
      </c>
      <c r="Y50">
        <f>Y49/(1+Inputs!$C$5)^'LCOF Baseline'!Y$46</f>
        <v>25735519.768115878</v>
      </c>
      <c r="Z50">
        <f>Z49/(1+Inputs!$C$5)^'LCOF Baseline'!Z$46</f>
        <v>24051887.633753154</v>
      </c>
      <c r="AA50">
        <f>AA49/(1+Inputs!$C$5)^'LCOF Baseline'!AA$46</f>
        <v>22478399.657713227</v>
      </c>
      <c r="AB50">
        <f>AB49/(1+Inputs!$C$5)^'LCOF Baseline'!AB$46</f>
        <v>21007850.147395544</v>
      </c>
      <c r="AC50">
        <f>AC49/(1+Inputs!$C$5)^'LCOF Baseline'!AC$46</f>
        <v>19633504.810650036</v>
      </c>
      <c r="AD50">
        <f>AD49/(1+Inputs!$C$5)^'LCOF Baseline'!AD$46</f>
        <v>18349069.916495364</v>
      </c>
      <c r="AE50">
        <f>AE49/(1+Inputs!$C$5)^'LCOF Baseline'!AE$46</f>
        <v>17148663.473360151</v>
      </c>
      <c r="AF50">
        <f>AF49/(1+Inputs!$C$5)^'LCOF Baseline'!AF$46</f>
        <v>16026788.292859957</v>
      </c>
    </row>
    <row r="51" spans="1:32" x14ac:dyDescent="0.25">
      <c r="A51" t="s">
        <v>157</v>
      </c>
      <c r="B51">
        <v>0</v>
      </c>
      <c r="C51">
        <f>'Study Parameters'!$C$9</f>
        <v>157410000</v>
      </c>
      <c r="D51">
        <f>'Study Parameters'!$C$9</f>
        <v>157410000</v>
      </c>
      <c r="E51">
        <f>'Study Parameters'!$C$9</f>
        <v>157410000</v>
      </c>
      <c r="F51">
        <f>'Study Parameters'!$C$9</f>
        <v>157410000</v>
      </c>
      <c r="G51">
        <f>'Study Parameters'!$C$9</f>
        <v>157410000</v>
      </c>
      <c r="H51">
        <f>'Study Parameters'!$C$9</f>
        <v>157410000</v>
      </c>
      <c r="I51">
        <f>'Study Parameters'!$C$9</f>
        <v>157410000</v>
      </c>
      <c r="J51">
        <f>'Study Parameters'!$C$9</f>
        <v>157410000</v>
      </c>
      <c r="K51">
        <f>'Study Parameters'!$C$9</f>
        <v>157410000</v>
      </c>
      <c r="L51">
        <f>'Study Parameters'!$C$9</f>
        <v>157410000</v>
      </c>
      <c r="M51">
        <f>'Study Parameters'!$C$9</f>
        <v>157410000</v>
      </c>
      <c r="N51">
        <f>'Study Parameters'!$C$9</f>
        <v>157410000</v>
      </c>
      <c r="O51">
        <f>'Study Parameters'!$C$9</f>
        <v>157410000</v>
      </c>
      <c r="P51">
        <f>'Study Parameters'!$C$9</f>
        <v>157410000</v>
      </c>
      <c r="Q51">
        <f>'Study Parameters'!$C$9</f>
        <v>157410000</v>
      </c>
      <c r="R51">
        <f>'Study Parameters'!$C$9</f>
        <v>157410000</v>
      </c>
      <c r="S51">
        <f>'Study Parameters'!$C$9</f>
        <v>157410000</v>
      </c>
      <c r="T51">
        <f>'Study Parameters'!$C$9</f>
        <v>157410000</v>
      </c>
      <c r="U51">
        <f>'Study Parameters'!$C$9</f>
        <v>157410000</v>
      </c>
      <c r="V51">
        <f>'Study Parameters'!$C$9</f>
        <v>157410000</v>
      </c>
      <c r="W51">
        <f>'Study Parameters'!$C$9</f>
        <v>157410000</v>
      </c>
      <c r="X51">
        <f>'Study Parameters'!$C$9</f>
        <v>157410000</v>
      </c>
      <c r="Y51">
        <f>'Study Parameters'!$C$9</f>
        <v>157410000</v>
      </c>
      <c r="Z51">
        <f>'Study Parameters'!$C$9</f>
        <v>157410000</v>
      </c>
      <c r="AA51">
        <f>'Study Parameters'!$C$9</f>
        <v>157410000</v>
      </c>
      <c r="AB51">
        <f>'Study Parameters'!$C$9</f>
        <v>157410000</v>
      </c>
      <c r="AC51">
        <f>'Study Parameters'!$C$9</f>
        <v>157410000</v>
      </c>
      <c r="AD51">
        <f>'Study Parameters'!$C$9</f>
        <v>157410000</v>
      </c>
      <c r="AE51">
        <f>'Study Parameters'!$C$9</f>
        <v>157410000</v>
      </c>
      <c r="AF51">
        <f>'Study Parameters'!$C$9</f>
        <v>157410000</v>
      </c>
    </row>
    <row r="52" spans="1:32" x14ac:dyDescent="0.25">
      <c r="A52" t="s">
        <v>158</v>
      </c>
      <c r="B52">
        <v>0</v>
      </c>
      <c r="C52">
        <f>C51/(1+Inputs!$C$5)^'LCOF Baseline'!C$46</f>
        <v>147112149.53271028</v>
      </c>
      <c r="D52">
        <f>D51/(1+Inputs!$C$5)^'LCOF Baseline'!D$46</f>
        <v>137487990.21748623</v>
      </c>
      <c r="E52">
        <f>E51/(1+Inputs!$C$5)^'LCOF Baseline'!E$46</f>
        <v>128493448.80138901</v>
      </c>
      <c r="F52">
        <f>F51/(1+Inputs!$C$5)^'LCOF Baseline'!F$46</f>
        <v>120087335.32840094</v>
      </c>
      <c r="G52">
        <f>G51/(1+Inputs!$C$5)^'LCOF Baseline'!G$46</f>
        <v>112231154.51252423</v>
      </c>
      <c r="H52">
        <f>H51/(1+Inputs!$C$5)^'LCOF Baseline'!H$46</f>
        <v>104888929.45095724</v>
      </c>
      <c r="I52">
        <f>I51/(1+Inputs!$C$5)^'LCOF Baseline'!I$46</f>
        <v>98027036.870053485</v>
      </c>
      <c r="J52">
        <f>J51/(1+Inputs!$C$5)^'LCOF Baseline'!J$46</f>
        <v>91614053.149582699</v>
      </c>
      <c r="K52">
        <f>K51/(1+Inputs!$C$5)^'LCOF Baseline'!K$46</f>
        <v>85620610.420170739</v>
      </c>
      <c r="L52">
        <f>L51/(1+Inputs!$C$5)^'LCOF Baseline'!L$46</f>
        <v>80019262.074925929</v>
      </c>
      <c r="M52">
        <f>M51/(1+Inputs!$C$5)^'LCOF Baseline'!M$46</f>
        <v>74784357.079370022</v>
      </c>
      <c r="N52">
        <f>N51/(1+Inputs!$C$5)^'LCOF Baseline'!N$46</f>
        <v>69891922.50408414</v>
      </c>
      <c r="O52">
        <f>O51/(1+Inputs!$C$5)^'LCOF Baseline'!O$46</f>
        <v>65319553.742134705</v>
      </c>
      <c r="P52">
        <f>P51/(1+Inputs!$C$5)^'LCOF Baseline'!P$46</f>
        <v>61046311.908537112</v>
      </c>
      <c r="Q52">
        <f>Q51/(1+Inputs!$C$5)^'LCOF Baseline'!Q$46</f>
        <v>57052627.951903835</v>
      </c>
      <c r="R52">
        <f>R51/(1+Inputs!$C$5)^'LCOF Baseline'!R$46</f>
        <v>53320213.039162472</v>
      </c>
      <c r="S52">
        <f>S51/(1+Inputs!$C$5)^'LCOF Baseline'!S$46</f>
        <v>49831974.802955583</v>
      </c>
      <c r="T52">
        <f>T51/(1+Inputs!$C$5)^'LCOF Baseline'!T$46</f>
        <v>46571939.068182781</v>
      </c>
      <c r="U52">
        <f>U51/(1+Inputs!$C$5)^'LCOF Baseline'!U$46</f>
        <v>43525176.699236244</v>
      </c>
      <c r="V52">
        <f>V51/(1+Inputs!$C$5)^'LCOF Baseline'!V$46</f>
        <v>40677735.23293107</v>
      </c>
      <c r="W52">
        <f>W51/(1+Inputs!$C$5)^'LCOF Baseline'!W$46</f>
        <v>38016574.984047726</v>
      </c>
      <c r="X52">
        <f>X51/(1+Inputs!$C$5)^'LCOF Baseline'!X$46</f>
        <v>35529509.330885731</v>
      </c>
      <c r="Y52">
        <f>Y51/(1+Inputs!$C$5)^'LCOF Baseline'!Y$46</f>
        <v>33205148.907369837</v>
      </c>
      <c r="Z52">
        <f>Z51/(1+Inputs!$C$5)^'LCOF Baseline'!Z$46</f>
        <v>31032849.446140036</v>
      </c>
      <c r="AA52">
        <f>AA51/(1+Inputs!$C$5)^'LCOF Baseline'!AA$46</f>
        <v>29002663.033775732</v>
      </c>
      <c r="AB52">
        <f>AB51/(1+Inputs!$C$5)^'LCOF Baseline'!AB$46</f>
        <v>27105292.554930594</v>
      </c>
      <c r="AC52">
        <f>AC51/(1+Inputs!$C$5)^'LCOF Baseline'!AC$46</f>
        <v>25332049.116757557</v>
      </c>
      <c r="AD52">
        <f>AD51/(1+Inputs!$C$5)^'LCOF Baseline'!AD$46</f>
        <v>23674812.258651927</v>
      </c>
      <c r="AE52">
        <f>AE51/(1+Inputs!$C$5)^'LCOF Baseline'!AE$46</f>
        <v>22125992.76509526</v>
      </c>
      <c r="AF52">
        <f>AF51/(1+Inputs!$C$5)^'LCOF Baseline'!AF$46</f>
        <v>20678497.911303982</v>
      </c>
    </row>
    <row r="54" spans="1:32" x14ac:dyDescent="0.25">
      <c r="A54" t="s">
        <v>159</v>
      </c>
      <c r="B54">
        <f>(SUM(B48:AF48) - SUM(B50:AF50)) / SUM(B52:AF52)</f>
        <v>5.4717636594941528</v>
      </c>
    </row>
    <row r="56" spans="1:32" x14ac:dyDescent="0.25">
      <c r="A56" s="1" t="s">
        <v>18</v>
      </c>
    </row>
    <row r="57" spans="1:32" x14ac:dyDescent="0.25">
      <c r="A57" t="s">
        <v>21</v>
      </c>
      <c r="B57">
        <v>0</v>
      </c>
      <c r="C57">
        <v>1</v>
      </c>
      <c r="D57">
        <v>2</v>
      </c>
      <c r="E57">
        <v>3</v>
      </c>
      <c r="F57">
        <v>4</v>
      </c>
      <c r="G57">
        <v>5</v>
      </c>
      <c r="H57">
        <v>6</v>
      </c>
      <c r="I57">
        <v>7</v>
      </c>
      <c r="J57">
        <v>8</v>
      </c>
      <c r="K57">
        <v>9</v>
      </c>
      <c r="L57">
        <v>10</v>
      </c>
      <c r="M57">
        <v>11</v>
      </c>
      <c r="N57">
        <v>12</v>
      </c>
      <c r="O57">
        <v>13</v>
      </c>
      <c r="P57">
        <v>14</v>
      </c>
      <c r="Q57">
        <v>15</v>
      </c>
      <c r="R57">
        <v>16</v>
      </c>
      <c r="S57">
        <v>17</v>
      </c>
      <c r="T57">
        <v>18</v>
      </c>
      <c r="U57">
        <v>19</v>
      </c>
      <c r="V57">
        <v>20</v>
      </c>
      <c r="W57">
        <v>21</v>
      </c>
      <c r="X57">
        <v>22</v>
      </c>
      <c r="Y57">
        <v>23</v>
      </c>
      <c r="Z57">
        <v>24</v>
      </c>
      <c r="AA57">
        <v>25</v>
      </c>
      <c r="AB57">
        <v>26</v>
      </c>
      <c r="AC57">
        <v>27</v>
      </c>
      <c r="AD57">
        <v>28</v>
      </c>
      <c r="AE57">
        <v>29</v>
      </c>
      <c r="AF57">
        <v>30</v>
      </c>
    </row>
    <row r="58" spans="1:32" x14ac:dyDescent="0.25">
      <c r="A58" t="s">
        <v>110</v>
      </c>
      <c r="B58">
        <f>'Cost Components'!$AF$23*10^6</f>
        <v>795000000</v>
      </c>
      <c r="C58">
        <f>'Cost Components'!$AF$26*10^6</f>
        <v>862404631.57894742</v>
      </c>
      <c r="D58">
        <f>'Cost Components'!$AF$26*10^6</f>
        <v>862404631.57894742</v>
      </c>
      <c r="E58">
        <f>'Cost Components'!$AF$26*10^6</f>
        <v>862404631.57894742</v>
      </c>
      <c r="F58">
        <f>'Cost Components'!$AF$26*10^6</f>
        <v>862404631.57894742</v>
      </c>
      <c r="G58">
        <f>'Cost Components'!$AF$26*10^6</f>
        <v>862404631.57894742</v>
      </c>
      <c r="H58">
        <f>'Cost Components'!$AF$26*10^6</f>
        <v>862404631.57894742</v>
      </c>
      <c r="I58">
        <f>'Cost Components'!$AF$26*10^6</f>
        <v>862404631.57894742</v>
      </c>
      <c r="J58">
        <f>'Cost Components'!$AF$26*10^6</f>
        <v>862404631.57894742</v>
      </c>
      <c r="K58">
        <f>'Cost Components'!$AF$26*10^6</f>
        <v>862404631.57894742</v>
      </c>
      <c r="L58">
        <f>'Cost Components'!$AF$26*10^6 + 'Cost Components'!$AF$7 * 10^6</f>
        <v>932404631.57894742</v>
      </c>
      <c r="M58">
        <f>'Cost Components'!$AF$26*10^6</f>
        <v>862404631.57894742</v>
      </c>
      <c r="N58">
        <f>'Cost Components'!$AF$26*10^6</f>
        <v>862404631.57894742</v>
      </c>
      <c r="O58">
        <f>'Cost Components'!$AF$26*10^6</f>
        <v>862404631.57894742</v>
      </c>
      <c r="P58">
        <f>'Cost Components'!$AF$26*10^6</f>
        <v>862404631.57894742</v>
      </c>
      <c r="Q58">
        <f>'Cost Components'!$AF$26*10^6</f>
        <v>862404631.57894742</v>
      </c>
      <c r="R58">
        <f>'Cost Components'!$AF$26*10^6</f>
        <v>862404631.57894742</v>
      </c>
      <c r="S58">
        <f>'Cost Components'!$AF$26*10^6</f>
        <v>862404631.57894742</v>
      </c>
      <c r="T58">
        <f>'Cost Components'!$AF$26*10^6</f>
        <v>862404631.57894742</v>
      </c>
      <c r="U58">
        <f>'Cost Components'!$AF$26*10^6</f>
        <v>862404631.57894742</v>
      </c>
      <c r="V58">
        <f>'Cost Components'!$AF$26*10^6 + 'Cost Components'!$AF$7 * 10^6</f>
        <v>932404631.57894742</v>
      </c>
      <c r="W58">
        <f>'Cost Components'!$AF$26*10^6</f>
        <v>862404631.57894742</v>
      </c>
      <c r="X58">
        <f>'Cost Components'!$AF$26*10^6</f>
        <v>862404631.57894742</v>
      </c>
      <c r="Y58">
        <f>'Cost Components'!$AF$26*10^6</f>
        <v>862404631.57894742</v>
      </c>
      <c r="Z58">
        <f>'Cost Components'!$AF$26*10^6</f>
        <v>862404631.57894742</v>
      </c>
      <c r="AA58">
        <f>'Cost Components'!$AF$26*10^6</f>
        <v>862404631.57894742</v>
      </c>
      <c r="AB58">
        <f>'Cost Components'!$AF$26*10^6</f>
        <v>862404631.57894742</v>
      </c>
      <c r="AC58">
        <f>'Cost Components'!$AF$26*10^6</f>
        <v>862404631.57894742</v>
      </c>
      <c r="AD58">
        <f>'Cost Components'!$AF$26*10^6</f>
        <v>862404631.57894742</v>
      </c>
      <c r="AE58">
        <f>'Cost Components'!$AF$26*10^6</f>
        <v>862404631.57894742</v>
      </c>
      <c r="AF58">
        <f>'Cost Components'!$AF$26*10^6</f>
        <v>862404631.57894742</v>
      </c>
    </row>
    <row r="59" spans="1:32" x14ac:dyDescent="0.25">
      <c r="A59" t="s">
        <v>111</v>
      </c>
      <c r="B59">
        <f>B58/(1+Inputs!$C$5)^'LCOF Baseline'!B$57</f>
        <v>795000000</v>
      </c>
      <c r="C59">
        <f>C58/(1+Inputs!$C$5)^'LCOF Baseline'!C$57</f>
        <v>805985636.9896704</v>
      </c>
      <c r="D59">
        <f>D58/(1+Inputs!$C$5)^'LCOF Baseline'!D$57</f>
        <v>753257604.66324341</v>
      </c>
      <c r="E59">
        <f>E58/(1+Inputs!$C$5)^'LCOF Baseline'!E$57</f>
        <v>703979069.77873218</v>
      </c>
      <c r="F59">
        <f>F58/(1+Inputs!$C$5)^'LCOF Baseline'!F$57</f>
        <v>657924364.27918899</v>
      </c>
      <c r="G59">
        <f>G58/(1+Inputs!$C$5)^'LCOF Baseline'!G$57</f>
        <v>614882583.43849432</v>
      </c>
      <c r="H59">
        <f>H58/(1+Inputs!$C$5)^'LCOF Baseline'!H$57</f>
        <v>574656620.03597605</v>
      </c>
      <c r="I59">
        <f>I58/(1+Inputs!$C$5)^'LCOF Baseline'!I$57</f>
        <v>537062261.71586537</v>
      </c>
      <c r="J59">
        <f>J58/(1+Inputs!$C$5)^'LCOF Baseline'!J$57</f>
        <v>501927347.39800507</v>
      </c>
      <c r="K59">
        <f>K58/(1+Inputs!$C$5)^'LCOF Baseline'!K$57</f>
        <v>469090978.8766402</v>
      </c>
      <c r="L59">
        <f>L58/(1+Inputs!$C$5)^'LCOF Baseline'!L$57</f>
        <v>473987234.44629025</v>
      </c>
      <c r="M59">
        <f>M58/(1+Inputs!$C$5)^'LCOF Baseline'!M$57</f>
        <v>409722228.03444856</v>
      </c>
      <c r="N59">
        <f>N58/(1+Inputs!$C$5)^'LCOF Baseline'!N$57</f>
        <v>382917970.12565291</v>
      </c>
      <c r="O59">
        <f>O58/(1+Inputs!$C$5)^'LCOF Baseline'!O$57</f>
        <v>357867261.79967558</v>
      </c>
      <c r="P59">
        <f>P58/(1+Inputs!$C$5)^'LCOF Baseline'!P$57</f>
        <v>334455384.85950994</v>
      </c>
      <c r="Q59">
        <f>Q58/(1+Inputs!$C$5)^'LCOF Baseline'!Q$57</f>
        <v>312575126.03692514</v>
      </c>
      <c r="R59">
        <f>R58/(1+Inputs!$C$5)^'LCOF Baseline'!R$57</f>
        <v>292126286.01581794</v>
      </c>
      <c r="S59">
        <f>S58/(1+Inputs!$C$5)^'LCOF Baseline'!S$57</f>
        <v>273015220.57553077</v>
      </c>
      <c r="T59">
        <f>T58/(1+Inputs!$C$5)^'LCOF Baseline'!T$57</f>
        <v>255154411.75283247</v>
      </c>
      <c r="U59">
        <f>U58/(1+Inputs!$C$5)^'LCOF Baseline'!U$57</f>
        <v>238462067.05872193</v>
      </c>
      <c r="V59">
        <f>V58/(1+Inputs!$C$5)^'LCOF Baseline'!V$57</f>
        <v>240951075.11166424</v>
      </c>
      <c r="W59">
        <f>W58/(1+Inputs!$C$5)^'LCOF Baseline'!W$57</f>
        <v>208282004.59317139</v>
      </c>
      <c r="X59">
        <f>X58/(1+Inputs!$C$5)^'LCOF Baseline'!X$57</f>
        <v>194656079.0590387</v>
      </c>
      <c r="Y59">
        <f>Y58/(1+Inputs!$C$5)^'LCOF Baseline'!Y$57</f>
        <v>181921569.21405485</v>
      </c>
      <c r="Z59">
        <f>Z58/(1+Inputs!$C$5)^'LCOF Baseline'!Z$57</f>
        <v>170020158.14397648</v>
      </c>
      <c r="AA59">
        <f>AA58/(1+Inputs!$C$5)^'LCOF Baseline'!AA$57</f>
        <v>158897344.05979109</v>
      </c>
      <c r="AB59">
        <f>AB58/(1+Inputs!$C$5)^'LCOF Baseline'!AB$57</f>
        <v>148502190.71008515</v>
      </c>
      <c r="AC59">
        <f>AC58/(1+Inputs!$C$5)^'LCOF Baseline'!AC$57</f>
        <v>138787094.12157488</v>
      </c>
      <c r="AD59">
        <f>AD58/(1+Inputs!$C$5)^'LCOF Baseline'!AD$57</f>
        <v>129707564.59960271</v>
      </c>
      <c r="AE59">
        <f>AE58/(1+Inputs!$C$5)^'LCOF Baseline'!AE$57</f>
        <v>121222022.99028291</v>
      </c>
      <c r="AF59">
        <f>AF58/(1+Inputs!$C$5)^'LCOF Baseline'!AF$57</f>
        <v>113291610.27129245</v>
      </c>
    </row>
    <row r="60" spans="1:32" x14ac:dyDescent="0.25">
      <c r="A60" t="s">
        <v>155</v>
      </c>
      <c r="B60">
        <v>0</v>
      </c>
      <c r="C60">
        <f>'Study Parameters'!$C$42 * 10^6</f>
        <v>122000000</v>
      </c>
      <c r="D60">
        <f>'Study Parameters'!$C$42 * 10^6</f>
        <v>122000000</v>
      </c>
      <c r="E60">
        <f>'Study Parameters'!$C$42 * 10^6</f>
        <v>122000000</v>
      </c>
      <c r="F60">
        <f>'Study Parameters'!$C$42 * 10^6</f>
        <v>122000000</v>
      </c>
      <c r="G60">
        <f>'Study Parameters'!$C$42 * 10^6</f>
        <v>122000000</v>
      </c>
      <c r="H60">
        <f>'Study Parameters'!$C$42 * 10^6</f>
        <v>122000000</v>
      </c>
      <c r="I60">
        <f>'Study Parameters'!$C$42 * 10^6</f>
        <v>122000000</v>
      </c>
      <c r="J60">
        <f>'Study Parameters'!$C$42 * 10^6</f>
        <v>122000000</v>
      </c>
      <c r="K60">
        <f>'Study Parameters'!$C$42 * 10^6</f>
        <v>122000000</v>
      </c>
      <c r="L60">
        <f>'Study Parameters'!$C$42 * 10^6</f>
        <v>122000000</v>
      </c>
      <c r="M60">
        <f>'Study Parameters'!$C$42 * 10^6</f>
        <v>122000000</v>
      </c>
      <c r="N60">
        <f>'Study Parameters'!$C$42 * 10^6</f>
        <v>122000000</v>
      </c>
      <c r="O60">
        <f>'Study Parameters'!$C$42 * 10^6</f>
        <v>122000000</v>
      </c>
      <c r="P60">
        <f>'Study Parameters'!$C$42 * 10^6</f>
        <v>122000000</v>
      </c>
      <c r="Q60">
        <f>'Study Parameters'!$C$42 * 10^6</f>
        <v>122000000</v>
      </c>
      <c r="R60">
        <f>'Study Parameters'!$C$42 * 10^6</f>
        <v>122000000</v>
      </c>
      <c r="S60">
        <f>'Study Parameters'!$C$42 * 10^6</f>
        <v>122000000</v>
      </c>
      <c r="T60">
        <f>'Study Parameters'!$C$42 * 10^6</f>
        <v>122000000</v>
      </c>
      <c r="U60">
        <f>'Study Parameters'!$C$42 * 10^6</f>
        <v>122000000</v>
      </c>
      <c r="V60">
        <f>'Study Parameters'!$C$42 * 10^6</f>
        <v>122000000</v>
      </c>
      <c r="W60">
        <f>'Study Parameters'!$C$42 * 10^6</f>
        <v>122000000</v>
      </c>
      <c r="X60">
        <f>'Study Parameters'!$C$42 * 10^6</f>
        <v>122000000</v>
      </c>
      <c r="Y60">
        <f>'Study Parameters'!$C$42 * 10^6</f>
        <v>122000000</v>
      </c>
      <c r="Z60">
        <f>'Study Parameters'!$C$42 * 10^6</f>
        <v>122000000</v>
      </c>
      <c r="AA60">
        <f>'Study Parameters'!$C$42 * 10^6</f>
        <v>122000000</v>
      </c>
      <c r="AB60">
        <f>'Study Parameters'!$C$42 * 10^6</f>
        <v>122000000</v>
      </c>
      <c r="AC60">
        <f>'Study Parameters'!$C$42 * 10^6</f>
        <v>122000000</v>
      </c>
      <c r="AD60">
        <f>'Study Parameters'!$C$42 * 10^6</f>
        <v>122000000</v>
      </c>
      <c r="AE60">
        <f>'Study Parameters'!$C$42 * 10^6</f>
        <v>122000000</v>
      </c>
      <c r="AF60">
        <f>'Study Parameters'!$C$42 * 10^6</f>
        <v>122000000</v>
      </c>
    </row>
    <row r="61" spans="1:32" x14ac:dyDescent="0.25">
      <c r="A61" t="s">
        <v>156</v>
      </c>
      <c r="B61">
        <v>0</v>
      </c>
      <c r="C61">
        <f>C60/(1+Inputs!$C$5)^'LCOF Baseline'!C$57</f>
        <v>114018691.58878504</v>
      </c>
      <c r="D61">
        <f>D60/(1+Inputs!$C$5)^'LCOF Baseline'!D$57</f>
        <v>106559524.84933181</v>
      </c>
      <c r="E61">
        <f>E60/(1+Inputs!$C$5)^'LCOF Baseline'!E$57</f>
        <v>99588340.980683938</v>
      </c>
      <c r="F61">
        <f>F60/(1+Inputs!$C$5)^'LCOF Baseline'!F$57</f>
        <v>93073215.869798079</v>
      </c>
      <c r="G61">
        <f>G60/(1+Inputs!$C$5)^'LCOF Baseline'!G$57</f>
        <v>86984313.89700754</v>
      </c>
      <c r="H61">
        <f>H60/(1+Inputs!$C$5)^'LCOF Baseline'!H$57</f>
        <v>81293751.305614531</v>
      </c>
      <c r="I61">
        <f>I60/(1+Inputs!$C$5)^'LCOF Baseline'!I$57</f>
        <v>75975468.50992012</v>
      </c>
      <c r="J61">
        <f>J60/(1+Inputs!$C$5)^'LCOF Baseline'!J$57</f>
        <v>71005110.756934687</v>
      </c>
      <c r="K61">
        <f>K60/(1+Inputs!$C$5)^'LCOF Baseline'!K$57</f>
        <v>66359916.595266059</v>
      </c>
      <c r="L61">
        <f>L60/(1+Inputs!$C$5)^'LCOF Baseline'!L$57</f>
        <v>62018613.640435569</v>
      </c>
      <c r="M61">
        <f>M60/(1+Inputs!$C$5)^'LCOF Baseline'!M$57</f>
        <v>57961321.159285575</v>
      </c>
      <c r="N61">
        <f>N60/(1+Inputs!$C$5)^'LCOF Baseline'!N$57</f>
        <v>54169459.027369708</v>
      </c>
      <c r="O61">
        <f>O60/(1+Inputs!$C$5)^'LCOF Baseline'!O$57</f>
        <v>50625662.642401591</v>
      </c>
      <c r="P61">
        <f>P60/(1+Inputs!$C$5)^'LCOF Baseline'!P$57</f>
        <v>47313703.404113635</v>
      </c>
      <c r="Q61">
        <f>Q60/(1+Inputs!$C$5)^'LCOF Baseline'!Q$57</f>
        <v>44218414.396367878</v>
      </c>
      <c r="R61">
        <f>R60/(1+Inputs!$C$5)^'LCOF Baseline'!R$57</f>
        <v>41325620.93118494</v>
      </c>
      <c r="S61">
        <f>S60/(1+Inputs!$C$5)^'LCOF Baseline'!S$57</f>
        <v>38622075.636621438</v>
      </c>
      <c r="T61">
        <f>T60/(1+Inputs!$C$5)^'LCOF Baseline'!T$57</f>
        <v>36095397.791234992</v>
      </c>
      <c r="U61">
        <f>U60/(1+Inputs!$C$5)^'LCOF Baseline'!U$57</f>
        <v>33734016.62732242</v>
      </c>
      <c r="V61">
        <f>V60/(1+Inputs!$C$5)^'LCOF Baseline'!V$57</f>
        <v>31527118.343291983</v>
      </c>
      <c r="W61">
        <f>W60/(1+Inputs!$C$5)^'LCOF Baseline'!W$57</f>
        <v>29464596.582515869</v>
      </c>
      <c r="X61">
        <f>X60/(1+Inputs!$C$5)^'LCOF Baseline'!X$57</f>
        <v>27537006.15188399</v>
      </c>
      <c r="Y61">
        <f>Y60/(1+Inputs!$C$5)^'LCOF Baseline'!Y$57</f>
        <v>25735519.768115878</v>
      </c>
      <c r="Z61">
        <f>Z60/(1+Inputs!$C$5)^'LCOF Baseline'!Z$57</f>
        <v>24051887.633753154</v>
      </c>
      <c r="AA61">
        <f>AA60/(1+Inputs!$C$5)^'LCOF Baseline'!AA$57</f>
        <v>22478399.657713227</v>
      </c>
      <c r="AB61">
        <f>AB60/(1+Inputs!$C$5)^'LCOF Baseline'!AB$57</f>
        <v>21007850.147395544</v>
      </c>
      <c r="AC61">
        <f>AC60/(1+Inputs!$C$5)^'LCOF Baseline'!AC$57</f>
        <v>19633504.810650036</v>
      </c>
      <c r="AD61">
        <f>AD60/(1+Inputs!$C$5)^'LCOF Baseline'!AD$57</f>
        <v>18349069.916495364</v>
      </c>
      <c r="AE61">
        <f>AE60/(1+Inputs!$C$5)^'LCOF Baseline'!AE$57</f>
        <v>17148663.473360151</v>
      </c>
      <c r="AF61">
        <f>AF60/(1+Inputs!$C$5)^'LCOF Baseline'!AF$57</f>
        <v>16026788.292859957</v>
      </c>
    </row>
    <row r="62" spans="1:32" x14ac:dyDescent="0.25">
      <c r="A62" t="s">
        <v>157</v>
      </c>
      <c r="B62">
        <v>0</v>
      </c>
      <c r="C62">
        <f>'Study Parameters'!$C$9</f>
        <v>157410000</v>
      </c>
      <c r="D62">
        <f>'Study Parameters'!$C$9</f>
        <v>157410000</v>
      </c>
      <c r="E62">
        <f>'Study Parameters'!$C$9</f>
        <v>157410000</v>
      </c>
      <c r="F62">
        <f>'Study Parameters'!$C$9</f>
        <v>157410000</v>
      </c>
      <c r="G62">
        <f>'Study Parameters'!$C$9</f>
        <v>157410000</v>
      </c>
      <c r="H62">
        <f>'Study Parameters'!$C$9</f>
        <v>157410000</v>
      </c>
      <c r="I62">
        <f>'Study Parameters'!$C$9</f>
        <v>157410000</v>
      </c>
      <c r="J62">
        <f>'Study Parameters'!$C$9</f>
        <v>157410000</v>
      </c>
      <c r="K62">
        <f>'Study Parameters'!$C$9</f>
        <v>157410000</v>
      </c>
      <c r="L62">
        <f>'Study Parameters'!$C$9</f>
        <v>157410000</v>
      </c>
      <c r="M62">
        <f>'Study Parameters'!$C$9</f>
        <v>157410000</v>
      </c>
      <c r="N62">
        <f>'Study Parameters'!$C$9</f>
        <v>157410000</v>
      </c>
      <c r="O62">
        <f>'Study Parameters'!$C$9</f>
        <v>157410000</v>
      </c>
      <c r="P62">
        <f>'Study Parameters'!$C$9</f>
        <v>157410000</v>
      </c>
      <c r="Q62">
        <f>'Study Parameters'!$C$9</f>
        <v>157410000</v>
      </c>
      <c r="R62">
        <f>'Study Parameters'!$C$9</f>
        <v>157410000</v>
      </c>
      <c r="S62">
        <f>'Study Parameters'!$C$9</f>
        <v>157410000</v>
      </c>
      <c r="T62">
        <f>'Study Parameters'!$C$9</f>
        <v>157410000</v>
      </c>
      <c r="U62">
        <f>'Study Parameters'!$C$9</f>
        <v>157410000</v>
      </c>
      <c r="V62">
        <f>'Study Parameters'!$C$9</f>
        <v>157410000</v>
      </c>
      <c r="W62">
        <f>'Study Parameters'!$C$9</f>
        <v>157410000</v>
      </c>
      <c r="X62">
        <f>'Study Parameters'!$C$9</f>
        <v>157410000</v>
      </c>
      <c r="Y62">
        <f>'Study Parameters'!$C$9</f>
        <v>157410000</v>
      </c>
      <c r="Z62">
        <f>'Study Parameters'!$C$9</f>
        <v>157410000</v>
      </c>
      <c r="AA62">
        <f>'Study Parameters'!$C$9</f>
        <v>157410000</v>
      </c>
      <c r="AB62">
        <f>'Study Parameters'!$C$9</f>
        <v>157410000</v>
      </c>
      <c r="AC62">
        <f>'Study Parameters'!$C$9</f>
        <v>157410000</v>
      </c>
      <c r="AD62">
        <f>'Study Parameters'!$C$9</f>
        <v>157410000</v>
      </c>
      <c r="AE62">
        <f>'Study Parameters'!$C$9</f>
        <v>157410000</v>
      </c>
      <c r="AF62">
        <f>'Study Parameters'!$C$9</f>
        <v>157410000</v>
      </c>
    </row>
    <row r="63" spans="1:32" x14ac:dyDescent="0.25">
      <c r="A63" t="s">
        <v>158</v>
      </c>
      <c r="B63">
        <v>0</v>
      </c>
      <c r="C63">
        <f>C62/(1+Inputs!$C$5)^'LCOF Baseline'!C$57</f>
        <v>147112149.53271028</v>
      </c>
      <c r="D63">
        <f>D62/(1+Inputs!$C$5)^'LCOF Baseline'!D$57</f>
        <v>137487990.21748623</v>
      </c>
      <c r="E63">
        <f>E62/(1+Inputs!$C$5)^'LCOF Baseline'!E$57</f>
        <v>128493448.80138901</v>
      </c>
      <c r="F63">
        <f>F62/(1+Inputs!$C$5)^'LCOF Baseline'!F$57</f>
        <v>120087335.32840094</v>
      </c>
      <c r="G63">
        <f>G62/(1+Inputs!$C$5)^'LCOF Baseline'!G$57</f>
        <v>112231154.51252423</v>
      </c>
      <c r="H63">
        <f>H62/(1+Inputs!$C$5)^'LCOF Baseline'!H$57</f>
        <v>104888929.45095724</v>
      </c>
      <c r="I63">
        <f>I62/(1+Inputs!$C$5)^'LCOF Baseline'!I$57</f>
        <v>98027036.870053485</v>
      </c>
      <c r="J63">
        <f>J62/(1+Inputs!$C$5)^'LCOF Baseline'!J$57</f>
        <v>91614053.149582699</v>
      </c>
      <c r="K63">
        <f>K62/(1+Inputs!$C$5)^'LCOF Baseline'!K$57</f>
        <v>85620610.420170739</v>
      </c>
      <c r="L63">
        <f>L62/(1+Inputs!$C$5)^'LCOF Baseline'!L$57</f>
        <v>80019262.074925929</v>
      </c>
      <c r="M63">
        <f>M62/(1+Inputs!$C$5)^'LCOF Baseline'!M$57</f>
        <v>74784357.079370022</v>
      </c>
      <c r="N63">
        <f>N62/(1+Inputs!$C$5)^'LCOF Baseline'!N$57</f>
        <v>69891922.50408414</v>
      </c>
      <c r="O63">
        <f>O62/(1+Inputs!$C$5)^'LCOF Baseline'!O$57</f>
        <v>65319553.742134705</v>
      </c>
      <c r="P63">
        <f>P62/(1+Inputs!$C$5)^'LCOF Baseline'!P$57</f>
        <v>61046311.908537112</v>
      </c>
      <c r="Q63">
        <f>Q62/(1+Inputs!$C$5)^'LCOF Baseline'!Q$57</f>
        <v>57052627.951903835</v>
      </c>
      <c r="R63">
        <f>R62/(1+Inputs!$C$5)^'LCOF Baseline'!R$57</f>
        <v>53320213.039162472</v>
      </c>
      <c r="S63">
        <f>S62/(1+Inputs!$C$5)^'LCOF Baseline'!S$57</f>
        <v>49831974.802955583</v>
      </c>
      <c r="T63">
        <f>T62/(1+Inputs!$C$5)^'LCOF Baseline'!T$57</f>
        <v>46571939.068182781</v>
      </c>
      <c r="U63">
        <f>U62/(1+Inputs!$C$5)^'LCOF Baseline'!U$57</f>
        <v>43525176.699236244</v>
      </c>
      <c r="V63">
        <f>V62/(1+Inputs!$C$5)^'LCOF Baseline'!V$57</f>
        <v>40677735.23293107</v>
      </c>
      <c r="W63">
        <f>W62/(1+Inputs!$C$5)^'LCOF Baseline'!W$57</f>
        <v>38016574.984047726</v>
      </c>
      <c r="X63">
        <f>X62/(1+Inputs!$C$5)^'LCOF Baseline'!X$57</f>
        <v>35529509.330885731</v>
      </c>
      <c r="Y63">
        <f>Y62/(1+Inputs!$C$5)^'LCOF Baseline'!Y$57</f>
        <v>33205148.907369837</v>
      </c>
      <c r="Z63">
        <f>Z62/(1+Inputs!$C$5)^'LCOF Baseline'!Z$57</f>
        <v>31032849.446140036</v>
      </c>
      <c r="AA63">
        <f>AA62/(1+Inputs!$C$5)^'LCOF Baseline'!AA$57</f>
        <v>29002663.033775732</v>
      </c>
      <c r="AB63">
        <f>AB62/(1+Inputs!$C$5)^'LCOF Baseline'!AB$57</f>
        <v>27105292.554930594</v>
      </c>
      <c r="AC63">
        <f>AC62/(1+Inputs!$C$5)^'LCOF Baseline'!AC$57</f>
        <v>25332049.116757557</v>
      </c>
      <c r="AD63">
        <f>AD62/(1+Inputs!$C$5)^'LCOF Baseline'!AD$57</f>
        <v>23674812.258651927</v>
      </c>
      <c r="AE63">
        <f>AE62/(1+Inputs!$C$5)^'LCOF Baseline'!AE$57</f>
        <v>22125992.76509526</v>
      </c>
      <c r="AF63">
        <f>AF62/(1+Inputs!$C$5)^'LCOF Baseline'!AF$57</f>
        <v>20678497.911303982</v>
      </c>
    </row>
    <row r="65" spans="1:2" x14ac:dyDescent="0.25">
      <c r="A65" t="s">
        <v>159</v>
      </c>
      <c r="B65">
        <f>(SUM(B59:AF59) - SUM(B61:AF61)) / SUM(B63:AF63)</f>
        <v>5.1381500496500747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2BC9-8FE5-1449-9DFF-90664D21177E}">
  <dimension ref="A1:AF24"/>
  <sheetViews>
    <sheetView workbookViewId="0">
      <selection activeCell="D20" sqref="D20"/>
    </sheetView>
  </sheetViews>
  <sheetFormatPr defaultColWidth="11.25" defaultRowHeight="15.75" x14ac:dyDescent="0.25"/>
  <cols>
    <col min="2" max="3" width="11.25" bestFit="1" customWidth="1"/>
  </cols>
  <sheetData>
    <row r="1" spans="1:32" x14ac:dyDescent="0.25">
      <c r="A1" t="s">
        <v>21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 s="1" t="s">
        <v>160</v>
      </c>
    </row>
    <row r="3" spans="1:32" x14ac:dyDescent="0.25">
      <c r="A3" t="s">
        <v>161</v>
      </c>
      <c r="B3">
        <v>0</v>
      </c>
      <c r="C3">
        <f>('Cost Components'!$B$24 * 10^6) / (1+Inputs!$C$5) ^ 'Cost Breakdowns'!C1</f>
        <v>1281308411.2149532</v>
      </c>
      <c r="D3">
        <f>('Cost Components'!$B$24 * 10^6) / (1+Inputs!$C$5) ^ 'Cost Breakdowns'!D1</f>
        <v>1197484496.4625731</v>
      </c>
      <c r="E3">
        <f>('Cost Components'!$B$24 * 10^6) / (1+Inputs!$C$5) ^ 'Cost Breakdowns'!E1</f>
        <v>1119144389.2173579</v>
      </c>
      <c r="F3">
        <f>('Cost Components'!$B$24 * 10^6) / (1+Inputs!$C$5) ^ 'Cost Breakdowns'!F1</f>
        <v>1045929335.7171571</v>
      </c>
      <c r="G3">
        <f>('Cost Components'!$B$24 * 10^6) / (1+Inputs!$C$5) ^ 'Cost Breakdowns'!G1</f>
        <v>977504052.07210934</v>
      </c>
      <c r="H3">
        <f>('Cost Components'!$B$24 * 10^6) / (1+Inputs!$C$5) ^ 'Cost Breakdowns'!H1</f>
        <v>913555188.85243869</v>
      </c>
      <c r="I3">
        <f>('Cost Components'!$B$24 * 10^6) / (1+Inputs!$C$5) ^ 'Cost Breakdowns'!I1</f>
        <v>853789896.12377441</v>
      </c>
      <c r="J3">
        <f>('Cost Components'!$B$24 * 10^6) / (1+Inputs!$C$5) ^ 'Cost Breakdowns'!J1</f>
        <v>797934482.35866773</v>
      </c>
      <c r="K3">
        <f>('Cost Components'!$B$24 * 10^6) / (1+Inputs!$C$5) ^ 'Cost Breakdowns'!K1</f>
        <v>745733161.08286691</v>
      </c>
      <c r="L3">
        <f>('Cost Components'!$B$24 * 10^6) / (1+Inputs!$C$5) ^ 'Cost Breakdowns'!L1</f>
        <v>696946879.51669812</v>
      </c>
      <c r="M3">
        <f>('Cost Components'!$B$24 * 10^6) / (1+Inputs!$C$5) ^ 'Cost Breakdowns'!M1</f>
        <v>651352223.84738135</v>
      </c>
      <c r="N3">
        <f>('Cost Components'!$B$24 * 10^6) / (1+Inputs!$C$5) ^ 'Cost Breakdowns'!N1</f>
        <v>608740396.11904812</v>
      </c>
      <c r="O3">
        <f>('Cost Components'!$B$24 * 10^6) / (1+Inputs!$C$5) ^ 'Cost Breakdowns'!O1</f>
        <v>568916258.05518508</v>
      </c>
      <c r="P3">
        <f>('Cost Components'!$B$24 * 10^6) / (1+Inputs!$C$5) ^ 'Cost Breakdowns'!P1</f>
        <v>531697437.43475246</v>
      </c>
      <c r="Q3">
        <f>('Cost Components'!$B$24 * 10^6) / (1+Inputs!$C$5) ^ 'Cost Breakdowns'!Q1</f>
        <v>496913492.9296751</v>
      </c>
      <c r="R3">
        <f>('Cost Components'!$B$24 * 10^6) / (1+Inputs!$C$5) ^ 'Cost Breakdowns'!R1</f>
        <v>464405133.57913566</v>
      </c>
      <c r="S3">
        <f>('Cost Components'!$B$24 * 10^6) / (1+Inputs!$C$5) ^ 'Cost Breakdowns'!S1</f>
        <v>434023489.32629502</v>
      </c>
      <c r="T3">
        <f>('Cost Components'!$B$24 * 10^6) / (1+Inputs!$C$5) ^ 'Cost Breakdowns'!T1</f>
        <v>405629429.2769112</v>
      </c>
      <c r="U3">
        <f>('Cost Components'!$B$24 * 10^6) / (1+Inputs!$C$5) ^ 'Cost Breakdowns'!U1</f>
        <v>379092924.55786091</v>
      </c>
      <c r="V3">
        <f>('Cost Components'!$B$24 * 10^6) / (1+Inputs!$C$5) ^ 'Cost Breakdowns'!V1</f>
        <v>354292452.85781401</v>
      </c>
      <c r="W3">
        <f>('Cost Components'!$B$24 * 10^6) / (1+Inputs!$C$5) ^ 'Cost Breakdowns'!W1</f>
        <v>331114441.92319059</v>
      </c>
      <c r="X3">
        <f>('Cost Components'!$B$24 * 10^6) / (1+Inputs!$C$5) ^ 'Cost Breakdowns'!X1</f>
        <v>309452749.46092582</v>
      </c>
      <c r="Y3">
        <f>('Cost Components'!$B$24 * 10^6) / (1+Inputs!$C$5) ^ 'Cost Breakdowns'!Y1</f>
        <v>289208177.06628579</v>
      </c>
      <c r="Z3">
        <f>('Cost Components'!$B$24 * 10^6) / (1+Inputs!$C$5) ^ 'Cost Breakdowns'!Z1</f>
        <v>270288015.94979984</v>
      </c>
      <c r="AA3">
        <f>('Cost Components'!$B$24 * 10^6) / (1+Inputs!$C$5) ^ 'Cost Breakdowns'!AA1</f>
        <v>252605622.38299045</v>
      </c>
      <c r="AB3">
        <f>('Cost Components'!$B$24 * 10^6) / (1+Inputs!$C$5) ^ 'Cost Breakdowns'!AB1</f>
        <v>236080020.91868269</v>
      </c>
      <c r="AC3">
        <f>('Cost Components'!$B$24 * 10^6) / (1+Inputs!$C$5) ^ 'Cost Breakdowns'!AC1</f>
        <v>220635533.56886229</v>
      </c>
      <c r="AD3">
        <f>('Cost Components'!$B$24 * 10^6) / (1+Inputs!$C$5) ^ 'Cost Breakdowns'!AD1</f>
        <v>206201433.24192742</v>
      </c>
      <c r="AE3">
        <f>('Cost Components'!$B$24 * 10^6) / (1+Inputs!$C$5) ^ 'Cost Breakdowns'!AE1</f>
        <v>192711619.85226861</v>
      </c>
      <c r="AF3">
        <f>('Cost Components'!$B$24 * 10^6) / (1+Inputs!$C$5) ^ 'Cost Breakdowns'!AF1</f>
        <v>180104317.61894262</v>
      </c>
    </row>
    <row r="4" spans="1:32" x14ac:dyDescent="0.25">
      <c r="A4" t="s">
        <v>29</v>
      </c>
      <c r="B4">
        <v>0</v>
      </c>
      <c r="C4">
        <f>('Cost Components'!$H$25* 10^6) / (1+ Inputs!$C$5) ^'Cost Breakdowns'!C1</f>
        <v>382264071.39343685</v>
      </c>
      <c r="D4">
        <f>('Cost Components'!$H$25* 10^6) / (1+ Inputs!$C$5) ^'Cost Breakdowns'!D1</f>
        <v>357256141.48919332</v>
      </c>
      <c r="E4">
        <f>('Cost Components'!$H$25* 10^6) / (1+ Inputs!$C$5) ^'Cost Breakdowns'!E1</f>
        <v>333884244.38242364</v>
      </c>
      <c r="F4">
        <f>('Cost Components'!$H$25* 10^6) / (1+ Inputs!$C$5) ^'Cost Breakdowns'!F1</f>
        <v>312041349.89011556</v>
      </c>
      <c r="G4">
        <f>('Cost Components'!$H$25* 10^6) / (1+ Inputs!$C$5) ^'Cost Breakdowns'!G1</f>
        <v>291627429.8038463</v>
      </c>
      <c r="H4">
        <f>('Cost Components'!$H$25* 10^6) / (1+ Inputs!$C$5) ^'Cost Breakdowns'!H1</f>
        <v>272548999.81667882</v>
      </c>
      <c r="I4">
        <f>('Cost Components'!$H$25* 10^6) / (1+ Inputs!$C$5) ^'Cost Breakdowns'!I1</f>
        <v>254718691.41745681</v>
      </c>
      <c r="J4">
        <f>('Cost Components'!$H$25* 10^6) / (1+ Inputs!$C$5) ^'Cost Breakdowns'!J1</f>
        <v>238054851.79201573</v>
      </c>
      <c r="K4">
        <f>('Cost Components'!$H$25* 10^6) / (1+ Inputs!$C$5) ^'Cost Breakdowns'!K1</f>
        <v>222481169.8990801</v>
      </c>
      <c r="L4">
        <f>('Cost Components'!$H$25* 10^6) / (1+ Inputs!$C$5) ^'Cost Breakdowns'!L1</f>
        <v>207926327.00848606</v>
      </c>
      <c r="M4">
        <f>('Cost Components'!$H$25* 10^6) / (1+ Inputs!$C$5) ^'Cost Breakdowns'!M1</f>
        <v>194323670.10138884</v>
      </c>
      <c r="N4">
        <f>('Cost Components'!$H$25* 10^6) / (1+ Inputs!$C$5) ^'Cost Breakdowns'!N1</f>
        <v>181610906.63681203</v>
      </c>
      <c r="O4">
        <f>('Cost Components'!$H$25* 10^6) / (1+ Inputs!$C$5) ^'Cost Breakdowns'!O1</f>
        <v>169729819.28674018</v>
      </c>
      <c r="P4">
        <f>('Cost Components'!$H$25* 10^6) / (1+ Inputs!$C$5) ^'Cost Breakdowns'!P1</f>
        <v>158625999.33340207</v>
      </c>
      <c r="Q4">
        <f>('Cost Components'!$H$25* 10^6) / (1+ Inputs!$C$5) ^'Cost Breakdowns'!Q1</f>
        <v>148248597.50785238</v>
      </c>
      <c r="R4">
        <f>('Cost Components'!$H$25* 10^6) / (1+ Inputs!$C$5) ^'Cost Breakdowns'!R1</f>
        <v>138550091.12883401</v>
      </c>
      <c r="S4">
        <f>('Cost Components'!$H$25* 10^6) / (1+ Inputs!$C$5) ^'Cost Breakdowns'!S1</f>
        <v>129486066.47554581</v>
      </c>
      <c r="T4">
        <f>('Cost Components'!$H$25* 10^6) / (1+ Inputs!$C$5) ^'Cost Breakdowns'!T1</f>
        <v>121015015.39770636</v>
      </c>
      <c r="U4">
        <f>('Cost Components'!$H$25* 10^6) / (1+ Inputs!$C$5) ^'Cost Breakdowns'!U1</f>
        <v>113098145.23150127</v>
      </c>
      <c r="V4">
        <f>('Cost Components'!$H$25* 10^6) / (1+ Inputs!$C$5) ^'Cost Breakdowns'!V1</f>
        <v>105699201.15093577</v>
      </c>
      <c r="W4">
        <f>('Cost Components'!$H$25* 10^6) / (1+ Inputs!$C$5) ^'Cost Breakdowns'!W1</f>
        <v>98784300.141061455</v>
      </c>
      <c r="X4">
        <f>('Cost Components'!$H$25* 10^6) / (1+ Inputs!$C$5) ^'Cost Breakdowns'!X1</f>
        <v>92321775.832767725</v>
      </c>
      <c r="Y4">
        <f>('Cost Components'!$H$25* 10^6) / (1+ Inputs!$C$5) ^'Cost Breakdowns'!Y1</f>
        <v>86282033.488567963</v>
      </c>
      <c r="Z4">
        <f>('Cost Components'!$H$25* 10^6) / (1+ Inputs!$C$5) ^'Cost Breakdowns'!Z1</f>
        <v>80637414.475297153</v>
      </c>
      <c r="AA4">
        <f>('Cost Components'!$H$25* 10^6) / (1+ Inputs!$C$5) ^'Cost Breakdowns'!AA1</f>
        <v>75362069.60308145</v>
      </c>
      <c r="AB4">
        <f>('Cost Components'!$H$25* 10^6) / (1+ Inputs!$C$5) ^'Cost Breakdowns'!AB1</f>
        <v>70431840.750543416</v>
      </c>
      <c r="AC4">
        <f>('Cost Components'!$H$25* 10^6) / (1+ Inputs!$C$5) ^'Cost Breakdowns'!AC1</f>
        <v>65824150.234152712</v>
      </c>
      <c r="AD4">
        <f>('Cost Components'!$H$25* 10^6) / (1+ Inputs!$C$5) ^'Cost Breakdowns'!AD1</f>
        <v>61517897.415096007</v>
      </c>
      <c r="AE4">
        <f>('Cost Components'!$H$25* 10^6) / (1+ Inputs!$C$5) ^'Cost Breakdowns'!AE1</f>
        <v>57493362.07018318</v>
      </c>
      <c r="AF4">
        <f>('Cost Components'!$H$25* 10^6) / (1+ Inputs!$C$5) ^'Cost Breakdowns'!AF1</f>
        <v>53732114.084283352</v>
      </c>
    </row>
    <row r="5" spans="1:32" x14ac:dyDescent="0.25">
      <c r="A5" t="s">
        <v>120</v>
      </c>
      <c r="B5">
        <f>'Cost Components'!B23 * 10^6</f>
        <v>1100000000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162</v>
      </c>
      <c r="B6">
        <v>0</v>
      </c>
      <c r="C6">
        <f>(('Cost Components'!$H$16-'Cost Components'!$H$12) * 10^6) / (1+Inputs!$C$5) ^'Cost Breakdowns'!C1</f>
        <v>168691588.78504682</v>
      </c>
      <c r="D6">
        <f>(('Cost Components'!$H$16-'Cost Components'!$H$12) * 10^6) / (1+Inputs!$C$5) ^'Cost Breakdowns'!D1</f>
        <v>157655690.45331481</v>
      </c>
      <c r="E6">
        <f>(('Cost Components'!$H$16-'Cost Components'!$H$12) * 10^6) / (1+Inputs!$C$5) ^'Cost Breakdowns'!E1</f>
        <v>147341766.77879888</v>
      </c>
      <c r="F6">
        <f>(('Cost Components'!$H$16-'Cost Components'!$H$12) * 10^6) / (1+Inputs!$C$5) ^'Cost Breakdowns'!F1</f>
        <v>137702585.77457839</v>
      </c>
      <c r="G6">
        <f>(('Cost Components'!$H$16-'Cost Components'!$H$12) * 10^6) / (1+Inputs!$C$5) ^'Cost Breakdowns'!G1</f>
        <v>128694005.39680222</v>
      </c>
      <c r="H6">
        <f>(('Cost Components'!$H$16-'Cost Components'!$H$12) * 10^6) / (1+Inputs!$C$5) ^'Cost Breakdowns'!H1</f>
        <v>120274771.39888059</v>
      </c>
      <c r="I6">
        <f>(('Cost Components'!$H$16-'Cost Components'!$H$12) * 10^6) / (1+Inputs!$C$5) ^'Cost Breakdowns'!I1</f>
        <v>112406328.41016877</v>
      </c>
      <c r="J6">
        <f>(('Cost Components'!$H$16-'Cost Components'!$H$12) * 10^6) / (1+Inputs!$C$5) ^'Cost Breakdowns'!J1</f>
        <v>105052643.37398951</v>
      </c>
      <c r="K6">
        <f>(('Cost Components'!$H$16-'Cost Components'!$H$12) * 10^6) / (1+Inputs!$C$5) ^'Cost Breakdowns'!K1</f>
        <v>98180040.536438778</v>
      </c>
      <c r="L6">
        <f>(('Cost Components'!$H$16-'Cost Components'!$H$12) * 10^6) / (1+Inputs!$C$5) ^'Cost Breakdowns'!L1</f>
        <v>91757047.230316624</v>
      </c>
      <c r="M6">
        <f>(('Cost Components'!$H$16-'Cost Components'!$H$12) * 10^6) / (1+Inputs!$C$5) ^'Cost Breakdowns'!M1</f>
        <v>85754249.74795945</v>
      </c>
      <c r="N6">
        <f>(('Cost Components'!$H$16-'Cost Components'!$H$12) * 10^6) / (1+Inputs!$C$5) ^'Cost Breakdowns'!N1</f>
        <v>80144158.64295277</v>
      </c>
      <c r="O6">
        <f>(('Cost Components'!$H$16-'Cost Components'!$H$12) * 10^6) / (1+Inputs!$C$5) ^'Cost Breakdowns'!O1</f>
        <v>74901082.843881086</v>
      </c>
      <c r="P6">
        <f>(('Cost Components'!$H$16-'Cost Components'!$H$12) * 10^6) / (1+Inputs!$C$5) ^'Cost Breakdowns'!P1</f>
        <v>70001012.003627196</v>
      </c>
      <c r="Q6">
        <f>(('Cost Components'!$H$16-'Cost Components'!$H$12) * 10^6) / (1+Inputs!$C$5) ^'Cost Breakdowns'!Q1</f>
        <v>65421506.545445964</v>
      </c>
      <c r="R6">
        <f>(('Cost Components'!$H$16-'Cost Components'!$H$12) * 10^6) / (1+Inputs!$C$5) ^'Cost Breakdowns'!R1</f>
        <v>61141594.902285956</v>
      </c>
      <c r="S6">
        <f>(('Cost Components'!$H$16-'Cost Components'!$H$12) * 10^6) / (1+Inputs!$C$5) ^'Cost Breakdowns'!S1</f>
        <v>57141677.478771918</v>
      </c>
      <c r="T6">
        <f>(('Cost Components'!$H$16-'Cost Components'!$H$12) * 10^6) / (1+Inputs!$C$5) ^'Cost Breakdowns'!T1</f>
        <v>53403436.896048523</v>
      </c>
      <c r="U6">
        <f>(('Cost Components'!$H$16-'Cost Components'!$H$12) * 10^6) / (1+Inputs!$C$5) ^'Cost Breakdowns'!U1</f>
        <v>49909754.108456559</v>
      </c>
      <c r="V6">
        <f>(('Cost Components'!$H$16-'Cost Components'!$H$12) * 10^6) / (1+Inputs!$C$5) ^'Cost Breakdowns'!V1</f>
        <v>46644630.00790333</v>
      </c>
      <c r="W6">
        <f>(('Cost Components'!$H$16-'Cost Components'!$H$12) * 10^6) / (1+Inputs!$C$5) ^'Cost Breakdowns'!W1</f>
        <v>43593112.156918995</v>
      </c>
      <c r="X6">
        <f>(('Cost Components'!$H$16-'Cost Components'!$H$12) * 10^6) / (1+Inputs!$C$5) ^'Cost Breakdowns'!X1</f>
        <v>40741226.31487757</v>
      </c>
      <c r="Y6">
        <f>(('Cost Components'!$H$16-'Cost Components'!$H$12) * 10^6) / (1+Inputs!$C$5) ^'Cost Breakdowns'!Y1</f>
        <v>38075912.443810813</v>
      </c>
      <c r="Z6">
        <f>(('Cost Components'!$H$16-'Cost Components'!$H$12) * 10^6) / (1+Inputs!$C$5) ^'Cost Breakdowns'!Z1</f>
        <v>35584964.900757767</v>
      </c>
      <c r="AA6">
        <f>(('Cost Components'!$H$16-'Cost Components'!$H$12) * 10^6) / (1+Inputs!$C$5) ^'Cost Breakdowns'!AA1</f>
        <v>33256976.542764265</v>
      </c>
      <c r="AB6">
        <f>(('Cost Components'!$H$16-'Cost Components'!$H$12) * 10^6) / (1+Inputs!$C$5) ^'Cost Breakdowns'!AB1</f>
        <v>31081286.488564737</v>
      </c>
      <c r="AC6">
        <f>(('Cost Components'!$H$16-'Cost Components'!$H$12) * 10^6) / (1+Inputs!$C$5) ^'Cost Breakdowns'!AC1</f>
        <v>29047931.297724046</v>
      </c>
      <c r="AD6">
        <f>(('Cost Components'!$H$16-'Cost Components'!$H$12) * 10^6) / (1+Inputs!$C$5) ^'Cost Breakdowns'!AD1</f>
        <v>27147599.34366734</v>
      </c>
      <c r="AE6">
        <f>(('Cost Components'!$H$16-'Cost Components'!$H$12) * 10^6) / (1+Inputs!$C$5) ^'Cost Breakdowns'!AE1</f>
        <v>25371588.171651717</v>
      </c>
      <c r="AF6">
        <f>(('Cost Components'!$H$16-'Cost Components'!$H$12) * 10^6) / (1+Inputs!$C$5) ^'Cost Breakdowns'!AF1</f>
        <v>23711764.646403477</v>
      </c>
    </row>
    <row r="8" spans="1:32" x14ac:dyDescent="0.25">
      <c r="A8" t="s">
        <v>163</v>
      </c>
    </row>
    <row r="9" spans="1:32" x14ac:dyDescent="0.25">
      <c r="A9" t="s">
        <v>161</v>
      </c>
      <c r="B9" s="16">
        <f>SUM(B3:AF3) / SUM($B$3:$AF$6)</f>
        <v>0.66905215553408037</v>
      </c>
    </row>
    <row r="10" spans="1:32" x14ac:dyDescent="0.25">
      <c r="A10" t="s">
        <v>29</v>
      </c>
      <c r="B10" s="16">
        <f t="shared" ref="B10:B12" si="0">SUM(B4:AF4) / SUM($B$3:$AF$6)</f>
        <v>0.19960424727603457</v>
      </c>
    </row>
    <row r="11" spans="1:32" x14ac:dyDescent="0.25">
      <c r="A11" t="s">
        <v>120</v>
      </c>
      <c r="B11" s="16">
        <f t="shared" si="0"/>
        <v>4.3259050090031316E-2</v>
      </c>
    </row>
    <row r="12" spans="1:32" x14ac:dyDescent="0.25">
      <c r="A12" t="s">
        <v>162</v>
      </c>
      <c r="B12" s="16">
        <f t="shared" si="0"/>
        <v>8.8084547099855262E-2</v>
      </c>
    </row>
    <row r="14" spans="1:32" x14ac:dyDescent="0.25">
      <c r="A14" s="1" t="s">
        <v>164</v>
      </c>
    </row>
    <row r="15" spans="1:32" x14ac:dyDescent="0.25">
      <c r="A15" t="s">
        <v>161</v>
      </c>
      <c r="B15">
        <v>0</v>
      </c>
      <c r="C15">
        <f>('Cost Components'!$Z$24 * 10^6) / (1+Inputs!$C$5) ^ 'Cost Breakdowns'!C1</f>
        <v>488785046.72897196</v>
      </c>
      <c r="D15">
        <f>('Cost Components'!$Z$24 * 10^6) / (1+Inputs!$C$5) ^ 'Cost Breakdowns'!D1</f>
        <v>456808454.8868897</v>
      </c>
      <c r="E15">
        <f>('Cost Components'!$Z$24 * 10^6) / (1+Inputs!$C$5) ^ 'Cost Breakdowns'!E1</f>
        <v>426923789.61391556</v>
      </c>
      <c r="F15">
        <f>('Cost Components'!$Z$24 * 10^6) / (1+Inputs!$C$5) ^ 'Cost Breakdowns'!F1</f>
        <v>398994195.90085572</v>
      </c>
      <c r="G15">
        <f>('Cost Components'!$Z$24 * 10^6) / (1+Inputs!$C$5) ^ 'Cost Breakdowns'!G1</f>
        <v>372891771.86995852</v>
      </c>
      <c r="H15">
        <f>('Cost Components'!$Z$24 * 10^6) / (1+Inputs!$C$5) ^ 'Cost Breakdowns'!H1</f>
        <v>348496983.05603606</v>
      </c>
      <c r="I15">
        <f>('Cost Components'!$Z$24 * 10^6) / (1+Inputs!$C$5) ^ 'Cost Breakdowns'!I1</f>
        <v>325698115.00564116</v>
      </c>
      <c r="J15">
        <f>('Cost Components'!$Z$24 * 10^6) / (1+Inputs!$C$5) ^ 'Cost Breakdowns'!J1</f>
        <v>304390761.68751508</v>
      </c>
      <c r="K15">
        <f>('Cost Components'!$Z$24 * 10^6) / (1+Inputs!$C$5) ^ 'Cost Breakdowns'!K1</f>
        <v>284477347.37150943</v>
      </c>
      <c r="L15">
        <f>('Cost Components'!$Z$24 * 10^6) / (1+Inputs!$C$5) ^ 'Cost Breakdowns'!L1</f>
        <v>265866679.78645742</v>
      </c>
      <c r="M15">
        <f>('Cost Components'!$Z$24 * 10^6) / (1+Inputs!$C$5) ^ 'Cost Breakdowns'!M1</f>
        <v>248473532.51070783</v>
      </c>
      <c r="N15">
        <f>('Cost Components'!$Z$24 * 10^6) / (1+Inputs!$C$5) ^ 'Cost Breakdowns'!N1</f>
        <v>232218254.68290454</v>
      </c>
      <c r="O15">
        <f>('Cost Components'!$Z$24 * 10^6) / (1+Inputs!$C$5) ^ 'Cost Breakdowns'!O1</f>
        <v>217026406.24570519</v>
      </c>
      <c r="P15">
        <f>('Cost Components'!$Z$24 * 10^6) / (1+Inputs!$C$5) ^ 'Cost Breakdowns'!P1</f>
        <v>202828417.05206093</v>
      </c>
      <c r="Q15">
        <f>('Cost Components'!$Z$24 * 10^6) / (1+Inputs!$C$5) ^ 'Cost Breakdowns'!Q1</f>
        <v>189559268.27295411</v>
      </c>
      <c r="R15">
        <f>('Cost Components'!$Z$24 * 10^6) / (1+Inputs!$C$5) ^ 'Cost Breakdowns'!R1</f>
        <v>177158194.64762068</v>
      </c>
      <c r="S15">
        <f>('Cost Components'!$Z$24 * 10^6) / (1+Inputs!$C$5) ^ 'Cost Breakdowns'!S1</f>
        <v>165568406.2127296</v>
      </c>
      <c r="T15">
        <f>('Cost Components'!$Z$24 * 10^6) / (1+Inputs!$C$5) ^ 'Cost Breakdowns'!T1</f>
        <v>154736828.23619589</v>
      </c>
      <c r="U15">
        <f>('Cost Components'!$Z$24 * 10^6) / (1+Inputs!$C$5) ^ 'Cost Breakdowns'!U1</f>
        <v>144613858.16466907</v>
      </c>
      <c r="V15">
        <f>('Cost Components'!$Z$24 * 10^6) / (1+Inputs!$C$5) ^ 'Cost Breakdowns'!V1</f>
        <v>135153138.47165334</v>
      </c>
      <c r="W15">
        <f>('Cost Components'!$Z$24 * 10^6) / (1+Inputs!$C$5) ^ 'Cost Breakdowns'!W1</f>
        <v>126311344.36603114</v>
      </c>
      <c r="X15">
        <f>('Cost Components'!$Z$24 * 10^6) / (1+Inputs!$C$5) ^ 'Cost Breakdowns'!X1</f>
        <v>118047985.38881415</v>
      </c>
      <c r="Y15">
        <f>('Cost Components'!$Z$24 * 10^6) / (1+Inputs!$C$5) ^ 'Cost Breakdowns'!Y1</f>
        <v>110325219.98954594</v>
      </c>
      <c r="Z15">
        <f>('Cost Components'!$Z$24 * 10^6) / (1+Inputs!$C$5) ^ 'Cost Breakdowns'!Z1</f>
        <v>103107682.2332205</v>
      </c>
      <c r="AA15">
        <f>('Cost Components'!$Z$24 * 10^6) / (1+Inputs!$C$5) ^ 'Cost Breakdowns'!AA1</f>
        <v>96362319.844131306</v>
      </c>
      <c r="AB15">
        <f>('Cost Components'!$Z$24 * 10^6) / (1+Inputs!$C$5) ^ 'Cost Breakdowns'!AB1</f>
        <v>90058242.844982535</v>
      </c>
      <c r="AC15">
        <f>('Cost Components'!$Z$24 * 10^6) / (1+Inputs!$C$5) ^ 'Cost Breakdowns'!AC1</f>
        <v>84166582.098114491</v>
      </c>
      <c r="AD15">
        <f>('Cost Components'!$Z$24 * 10^6) / (1+Inputs!$C$5) ^ 'Cost Breakdowns'!AD1</f>
        <v>78660357.1010416</v>
      </c>
      <c r="AE15">
        <f>('Cost Components'!$Z$24 * 10^6) / (1+Inputs!$C$5) ^ 'Cost Breakdowns'!AE1</f>
        <v>73514352.430879995</v>
      </c>
      <c r="AF15">
        <f>('Cost Components'!$Z$24 * 10^6) / (1+Inputs!$C$5) ^ 'Cost Breakdowns'!AF1</f>
        <v>68705002.271850467</v>
      </c>
    </row>
    <row r="16" spans="1:32" x14ac:dyDescent="0.25">
      <c r="A16" t="s">
        <v>29</v>
      </c>
      <c r="B16">
        <v>0</v>
      </c>
      <c r="C16">
        <f>('Cost Components'!$Z$25 * 10^6) / (1+ Inputs!$C$5) ^'Cost Breakdowns'!C1</f>
        <v>278735268.07673389</v>
      </c>
      <c r="D16">
        <f>('Cost Components'!$Z$25 * 10^6) / (1+ Inputs!$C$5) ^'Cost Breakdowns'!D1</f>
        <v>260500250.53900364</v>
      </c>
      <c r="E16">
        <f>('Cost Components'!$Z$25 * 10^6) / (1+ Inputs!$C$5) ^'Cost Breakdowns'!E1</f>
        <v>243458178.07383516</v>
      </c>
      <c r="F16">
        <f>('Cost Components'!$Z$25 * 10^6) / (1+ Inputs!$C$5) ^'Cost Breakdowns'!F1</f>
        <v>227531007.54564035</v>
      </c>
      <c r="G16">
        <f>('Cost Components'!$Z$25 * 10^6) / (1+ Inputs!$C$5) ^'Cost Breakdowns'!G1</f>
        <v>212645801.44452366</v>
      </c>
      <c r="H16">
        <f>('Cost Components'!$Z$25 * 10^6) / (1+ Inputs!$C$5) ^'Cost Breakdowns'!H1</f>
        <v>198734393.87338662</v>
      </c>
      <c r="I16">
        <f>('Cost Components'!$Z$25 * 10^6) / (1+ Inputs!$C$5) ^'Cost Breakdowns'!I1</f>
        <v>185733078.38634261</v>
      </c>
      <c r="J16">
        <f>('Cost Components'!$Z$25 * 10^6) / (1+ Inputs!$C$5) ^'Cost Breakdowns'!J1</f>
        <v>173582316.24891835</v>
      </c>
      <c r="K16">
        <f>('Cost Components'!$Z$25 * 10^6) / (1+ Inputs!$C$5) ^'Cost Breakdowns'!K1</f>
        <v>162226463.78403583</v>
      </c>
      <c r="L16">
        <f>('Cost Components'!$Z$25 * 10^6) / (1+ Inputs!$C$5) ^'Cost Breakdowns'!L1</f>
        <v>151613517.55517367</v>
      </c>
      <c r="M16">
        <f>('Cost Components'!$Z$25 * 10^6) / (1+ Inputs!$C$5) ^'Cost Breakdowns'!M1</f>
        <v>141694876.21978846</v>
      </c>
      <c r="N16">
        <f>('Cost Components'!$Z$25 * 10^6) / (1+ Inputs!$C$5) ^'Cost Breakdowns'!N1</f>
        <v>132425117.96241915</v>
      </c>
      <c r="O16">
        <f>('Cost Components'!$Z$25 * 10^6) / (1+ Inputs!$C$5) ^'Cost Breakdowns'!O1</f>
        <v>123761792.48824218</v>
      </c>
      <c r="P16">
        <f>('Cost Components'!$Z$25 * 10^6) / (1+ Inputs!$C$5) ^'Cost Breakdowns'!P1</f>
        <v>115665226.62452541</v>
      </c>
      <c r="Q16">
        <f>('Cost Components'!$Z$25 * 10^6) / (1+ Inputs!$C$5) ^'Cost Breakdowns'!Q1</f>
        <v>108098342.63974336</v>
      </c>
      <c r="R16">
        <f>('Cost Components'!$Z$25 * 10^6) / (1+ Inputs!$C$5) ^'Cost Breakdowns'!R1</f>
        <v>101026488.4483583</v>
      </c>
      <c r="S16">
        <f>('Cost Components'!$Z$25 * 10^6) / (1+ Inputs!$C$5) ^'Cost Breakdowns'!S1</f>
        <v>94417278.923699334</v>
      </c>
      <c r="T16">
        <f>('Cost Components'!$Z$25 * 10^6) / (1+ Inputs!$C$5) ^'Cost Breakdowns'!T1</f>
        <v>88240447.592242375</v>
      </c>
      <c r="U16">
        <f>('Cost Components'!$Z$25 * 10^6) / (1+ Inputs!$C$5) ^'Cost Breakdowns'!U1</f>
        <v>82467708.030133054</v>
      </c>
      <c r="V16">
        <f>('Cost Components'!$Z$25 * 10^6) / (1+ Inputs!$C$5) ^'Cost Breakdowns'!V1</f>
        <v>77072624.32722716</v>
      </c>
      <c r="W16">
        <f>('Cost Components'!$Z$25 * 10^6) / (1+ Inputs!$C$5) ^'Cost Breakdowns'!W1</f>
        <v>72030490.025445938</v>
      </c>
      <c r="X16">
        <f>('Cost Components'!$Z$25 * 10^6) / (1+ Inputs!$C$5) ^'Cost Breakdowns'!X1</f>
        <v>67318214.977052286</v>
      </c>
      <c r="Y16">
        <f>('Cost Components'!$Z$25 * 10^6) / (1+ Inputs!$C$5) ^'Cost Breakdowns'!Y1</f>
        <v>62914219.604721755</v>
      </c>
      <c r="Z16">
        <f>('Cost Components'!$Z$25 * 10^6) / (1+ Inputs!$C$5) ^'Cost Breakdowns'!Z1</f>
        <v>58798336.079179205</v>
      </c>
      <c r="AA16">
        <f>('Cost Components'!$Z$25 * 10^6) / (1+ Inputs!$C$5) ^'Cost Breakdowns'!AA1</f>
        <v>54951715.961849727</v>
      </c>
      <c r="AB16">
        <f>('Cost Components'!$Z$25 * 10^6) / (1+ Inputs!$C$5) ^'Cost Breakdowns'!AB1</f>
        <v>51356743.889579184</v>
      </c>
      <c r="AC16">
        <f>('Cost Components'!$Z$25 * 10^6) / (1+ Inputs!$C$5) ^'Cost Breakdowns'!AC1</f>
        <v>47996956.906148762</v>
      </c>
      <c r="AD16">
        <f>('Cost Components'!$Z$25 * 10^6) / (1+ Inputs!$C$5) ^'Cost Breakdowns'!AD1</f>
        <v>44856969.071167074</v>
      </c>
      <c r="AE16">
        <f>('Cost Components'!$Z$25 * 10^6) / (1+ Inputs!$C$5) ^'Cost Breakdowns'!AE1</f>
        <v>41922401.001090728</v>
      </c>
      <c r="AF16">
        <f>('Cost Components'!$Z$25 * 10^6) / (1+ Inputs!$C$5) ^'Cost Breakdowns'!AF1</f>
        <v>39179814.019710958</v>
      </c>
    </row>
    <row r="17" spans="1:32" x14ac:dyDescent="0.25">
      <c r="A17" t="s">
        <v>120</v>
      </c>
      <c r="B17">
        <f>'Cost Components'!Z23 * 10^6</f>
        <v>850000000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162</v>
      </c>
      <c r="B18">
        <v>0</v>
      </c>
      <c r="C18">
        <f>(('Cost Components'!$Z$16-'Cost Components'!$Z$12) * 10^6) / (1+Inputs!$C$5) ^'Cost Breakdowns'!C1</f>
        <v>131775700.93457943</v>
      </c>
      <c r="D18">
        <f>(('Cost Components'!$Z$16-'Cost Components'!$Z$12) * 10^6) / (1+Inputs!$C$5) ^'Cost Breakdowns'!D1</f>
        <v>123154860.68652284</v>
      </c>
      <c r="E18">
        <f>(('Cost Components'!$Z$16-'Cost Components'!$Z$12) * 10^6) / (1+Inputs!$C$5) ^'Cost Breakdowns'!E1</f>
        <v>115098000.64161012</v>
      </c>
      <c r="F18">
        <f>(('Cost Components'!$Z$16-'Cost Components'!$Z$12) * 10^6) / (1+Inputs!$C$5) ^'Cost Breakdowns'!F1</f>
        <v>107568224.89870106</v>
      </c>
      <c r="G18">
        <f>(('Cost Components'!$Z$16-'Cost Components'!$Z$12) * 10^6) / (1+Inputs!$C$5) ^'Cost Breakdowns'!G1</f>
        <v>100531051.30719724</v>
      </c>
      <c r="H18">
        <f>(('Cost Components'!$Z$16-'Cost Components'!$Z$12) * 10^6) / (1+Inputs!$C$5) ^'Cost Breakdowns'!H1</f>
        <v>93954253.558128268</v>
      </c>
      <c r="I18">
        <f>(('Cost Components'!$Z$16-'Cost Components'!$Z$12) * 10^6) / (1+Inputs!$C$5) ^'Cost Breakdowns'!I1</f>
        <v>87807713.605727345</v>
      </c>
      <c r="J18">
        <f>(('Cost Components'!$Z$16-'Cost Components'!$Z$12) * 10^6) / (1+Inputs!$C$5) ^'Cost Breakdowns'!J1</f>
        <v>82063283.743670419</v>
      </c>
      <c r="K18">
        <f>(('Cost Components'!$Z$16-'Cost Components'!$Z$12) * 10^6) / (1+Inputs!$C$5) ^'Cost Breakdowns'!K1</f>
        <v>76694657.704364866</v>
      </c>
      <c r="L18">
        <f>(('Cost Components'!$Z$16-'Cost Components'!$Z$12) * 10^6) / (1+Inputs!$C$5) ^'Cost Breakdowns'!L1</f>
        <v>71677250.190995216</v>
      </c>
      <c r="M18">
        <f>(('Cost Components'!$Z$16-'Cost Components'!$Z$12) * 10^6) / (1+Inputs!$C$5) ^'Cost Breakdowns'!M1</f>
        <v>66988084.29064972</v>
      </c>
      <c r="N18">
        <f>(('Cost Components'!$Z$16-'Cost Components'!$Z$12) * 10^6) / (1+Inputs!$C$5) ^'Cost Breakdowns'!N1</f>
        <v>62605686.252943672</v>
      </c>
      <c r="O18">
        <f>(('Cost Components'!$Z$16-'Cost Components'!$Z$12) * 10^6) / (1+Inputs!$C$5) ^'Cost Breakdowns'!O1</f>
        <v>58509987.152283803</v>
      </c>
      <c r="P18">
        <f>(('Cost Components'!$Z$16-'Cost Components'!$Z$12) * 10^6) / (1+Inputs!$C$5) ^'Cost Breakdowns'!P1</f>
        <v>54682230.983442813</v>
      </c>
      <c r="Q18">
        <f>(('Cost Components'!$Z$16-'Cost Components'!$Z$12) * 10^6) / (1+Inputs!$C$5) ^'Cost Breakdowns'!Q1</f>
        <v>51104888.769572712</v>
      </c>
      <c r="R18">
        <f>(('Cost Components'!$Z$16-'Cost Components'!$Z$12) * 10^6) / (1+Inputs!$C$5) ^'Cost Breakdowns'!R1</f>
        <v>47761578.289320298</v>
      </c>
      <c r="S18">
        <f>(('Cost Components'!$Z$16-'Cost Components'!$Z$12) * 10^6) / (1+Inputs!$C$5) ^'Cost Breakdowns'!S1</f>
        <v>44636989.055439532</v>
      </c>
      <c r="T18">
        <f>(('Cost Components'!$Z$16-'Cost Components'!$Z$12) * 10^6) / (1+Inputs!$C$5) ^'Cost Breakdowns'!T1</f>
        <v>41716812.201345354</v>
      </c>
      <c r="U18">
        <f>(('Cost Components'!$Z$16-'Cost Components'!$Z$12) * 10^6) / (1+Inputs!$C$5) ^'Cost Breakdowns'!U1</f>
        <v>38987674.954528369</v>
      </c>
      <c r="V18">
        <f>(('Cost Components'!$Z$16-'Cost Components'!$Z$12) * 10^6) / (1+Inputs!$C$5) ^'Cost Breakdowns'!V1</f>
        <v>36437079.396755487</v>
      </c>
      <c r="W18">
        <f>(('Cost Components'!$Z$16-'Cost Components'!$Z$12) * 10^6) / (1+Inputs!$C$5) ^'Cost Breakdowns'!W1</f>
        <v>34053345.230612606</v>
      </c>
      <c r="X18">
        <f>(('Cost Components'!$Z$16-'Cost Components'!$Z$12) * 10^6) / (1+Inputs!$C$5) ^'Cost Breakdowns'!X1</f>
        <v>31825556.290292151</v>
      </c>
      <c r="Y18">
        <f>(('Cost Components'!$Z$16-'Cost Components'!$Z$12) * 10^6) / (1+Inputs!$C$5) ^'Cost Breakdowns'!Y1</f>
        <v>29743510.55167491</v>
      </c>
      <c r="Z18">
        <f>(('Cost Components'!$Z$16-'Cost Components'!$Z$12) * 10^6) / (1+Inputs!$C$5) ^'Cost Breakdowns'!Z1</f>
        <v>27797673.412780285</v>
      </c>
      <c r="AA18">
        <f>(('Cost Components'!$Z$16-'Cost Components'!$Z$12) * 10^6) / (1+Inputs!$C$5) ^'Cost Breakdowns'!AA1</f>
        <v>25979134.030635782</v>
      </c>
      <c r="AB18">
        <f>(('Cost Components'!$Z$16-'Cost Components'!$Z$12) * 10^6) / (1+Inputs!$C$5) ^'Cost Breakdowns'!AB1</f>
        <v>24279564.51461288</v>
      </c>
      <c r="AC18">
        <f>(('Cost Components'!$Z$16-'Cost Components'!$Z$12) * 10^6) / (1+Inputs!$C$5) ^'Cost Breakdowns'!AC1</f>
        <v>22691181.78935783</v>
      </c>
      <c r="AD18">
        <f>(('Cost Components'!$Z$16-'Cost Components'!$Z$12) * 10^6) / (1+Inputs!$C$5) ^'Cost Breakdowns'!AD1</f>
        <v>21206711.952670872</v>
      </c>
      <c r="AE18">
        <f>(('Cost Components'!$Z$16-'Cost Components'!$Z$12) * 10^6) / (1+Inputs!$C$5) ^'Cost Breakdowns'!AE1</f>
        <v>19819356.965112962</v>
      </c>
      <c r="AF18">
        <f>(('Cost Components'!$Z$16-'Cost Components'!$Z$12) * 10^6) / (1+Inputs!$C$5) ^'Cost Breakdowns'!AF1</f>
        <v>18522763.518797163</v>
      </c>
    </row>
    <row r="20" spans="1:32" x14ac:dyDescent="0.25">
      <c r="A20" t="s">
        <v>163</v>
      </c>
    </row>
    <row r="21" spans="1:32" x14ac:dyDescent="0.25">
      <c r="A21" t="s">
        <v>161</v>
      </c>
      <c r="B21" s="16">
        <f>SUM(B15:AF15) / SUM($B$15:$AF$18)</f>
        <v>0.50739989886540982</v>
      </c>
    </row>
    <row r="22" spans="1:32" x14ac:dyDescent="0.25">
      <c r="A22" t="s">
        <v>29</v>
      </c>
      <c r="B22" s="16">
        <f t="shared" ref="B22:B24" si="1">SUM(B16:AF16) / SUM($B$15:$AF$18)</f>
        <v>0.28935060059392492</v>
      </c>
    </row>
    <row r="23" spans="1:32" x14ac:dyDescent="0.25">
      <c r="A23" t="s">
        <v>120</v>
      </c>
      <c r="B23" s="16">
        <f t="shared" si="1"/>
        <v>6.6455263944063481E-2</v>
      </c>
    </row>
    <row r="24" spans="1:32" x14ac:dyDescent="0.25">
      <c r="A24" t="s">
        <v>162</v>
      </c>
      <c r="B24" s="16">
        <f t="shared" si="1"/>
        <v>0.13679423659660192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6"/>
  <sheetViews>
    <sheetView workbookViewId="0">
      <selection activeCell="B3" sqref="B3:B10"/>
    </sheetView>
  </sheetViews>
  <sheetFormatPr defaultColWidth="11.25" defaultRowHeight="15.75" x14ac:dyDescent="0.25"/>
  <cols>
    <col min="1" max="1" width="17" bestFit="1" customWidth="1"/>
    <col min="2" max="2" width="9.5" bestFit="1" customWidth="1"/>
    <col min="3" max="3" width="13.75" bestFit="1" customWidth="1"/>
    <col min="4" max="4" width="14.5" bestFit="1" customWidth="1"/>
    <col min="5" max="5" width="18" bestFit="1" customWidth="1"/>
    <col min="6" max="6" width="15.25" bestFit="1" customWidth="1"/>
    <col min="8" max="8" width="17" bestFit="1" customWidth="1"/>
    <col min="9" max="9" width="9.5" bestFit="1" customWidth="1"/>
    <col min="10" max="10" width="13.75" bestFit="1" customWidth="1"/>
    <col min="11" max="11" width="14.5" bestFit="1" customWidth="1"/>
    <col min="12" max="12" width="18" bestFit="1" customWidth="1"/>
    <col min="13" max="13" width="15.25" bestFit="1" customWidth="1"/>
    <col min="15" max="15" width="17" bestFit="1" customWidth="1"/>
    <col min="16" max="16" width="9.5" bestFit="1" customWidth="1"/>
    <col min="17" max="17" width="13.75" bestFit="1" customWidth="1"/>
    <col min="18" max="18" width="14.5" bestFit="1" customWidth="1"/>
    <col min="19" max="19" width="18" bestFit="1" customWidth="1"/>
    <col min="20" max="20" width="15.25" bestFit="1" customWidth="1"/>
  </cols>
  <sheetData>
    <row r="1" spans="1:20" x14ac:dyDescent="0.25">
      <c r="A1" s="29" t="s">
        <v>165</v>
      </c>
      <c r="B1" s="30"/>
      <c r="C1" s="30"/>
      <c r="D1" s="30"/>
      <c r="E1" s="30"/>
      <c r="F1" s="30"/>
      <c r="H1" s="29" t="s">
        <v>166</v>
      </c>
      <c r="I1" s="30"/>
      <c r="J1" s="30"/>
      <c r="K1" s="30"/>
      <c r="L1" s="30"/>
      <c r="M1" s="30"/>
      <c r="O1" s="29" t="s">
        <v>167</v>
      </c>
      <c r="P1" s="30"/>
      <c r="Q1" s="30"/>
      <c r="R1" s="30"/>
      <c r="S1" s="30"/>
      <c r="T1" s="30"/>
    </row>
    <row r="2" spans="1:20" x14ac:dyDescent="0.25">
      <c r="A2" s="11" t="s">
        <v>20</v>
      </c>
      <c r="B2" s="11" t="s">
        <v>23</v>
      </c>
      <c r="C2" s="9" t="s">
        <v>168</v>
      </c>
      <c r="D2" s="9" t="s">
        <v>169</v>
      </c>
      <c r="E2" s="9" t="s">
        <v>170</v>
      </c>
      <c r="F2" s="9" t="s">
        <v>171</v>
      </c>
      <c r="H2" s="11" t="s">
        <v>20</v>
      </c>
      <c r="I2" s="11" t="s">
        <v>23</v>
      </c>
      <c r="J2" s="9" t="s">
        <v>168</v>
      </c>
      <c r="K2" s="9" t="s">
        <v>169</v>
      </c>
      <c r="L2" s="9" t="s">
        <v>170</v>
      </c>
      <c r="M2" s="9" t="s">
        <v>171</v>
      </c>
      <c r="O2" s="11" t="s">
        <v>20</v>
      </c>
      <c r="P2" s="11" t="s">
        <v>23</v>
      </c>
      <c r="Q2" s="9" t="s">
        <v>168</v>
      </c>
      <c r="R2" s="9" t="s">
        <v>169</v>
      </c>
      <c r="S2" s="9" t="s">
        <v>170</v>
      </c>
      <c r="T2" s="9" t="s">
        <v>171</v>
      </c>
    </row>
    <row r="3" spans="1:20" x14ac:dyDescent="0.25">
      <c r="A3" s="11" t="s">
        <v>172</v>
      </c>
      <c r="B3" s="11" t="s">
        <v>173</v>
      </c>
      <c r="C3" s="14">
        <f>'LCOF Baseline'!B10</f>
        <v>9.1316404015676635</v>
      </c>
      <c r="D3" s="14">
        <f>'LCOF LCOE Corrected'!B10</f>
        <v>7.3568211313547511</v>
      </c>
      <c r="E3" s="14">
        <f>'LCOF CO2 Cost Corrected'!B10</f>
        <v>11.705907867765633</v>
      </c>
      <c r="F3" s="14">
        <f>'LCOF WACC Corrected '!B10</f>
        <v>11.650105364161435</v>
      </c>
      <c r="H3" s="11" t="s">
        <v>172</v>
      </c>
      <c r="I3" s="11" t="s">
        <v>173</v>
      </c>
      <c r="J3" s="14">
        <f>'LCOF Baseline'!B21</f>
        <v>7.9246014586796623</v>
      </c>
      <c r="K3" s="14">
        <f>'LCOF LCOE Corrected'!B21</f>
        <v>7.2831082650514132</v>
      </c>
      <c r="L3" s="14">
        <f>'LCOF CO2 Cost Corrected'!B21</f>
        <v>11.994082313111065</v>
      </c>
      <c r="M3" s="14">
        <f>'LCOF WACC Corrected '!B21</f>
        <v>11.938279809506865</v>
      </c>
      <c r="O3" s="11" t="s">
        <v>172</v>
      </c>
      <c r="P3" s="11" t="s">
        <v>173</v>
      </c>
      <c r="Q3" s="14">
        <f>'LCOF Baseline'!B32</f>
        <v>7.6253466052205301</v>
      </c>
      <c r="R3" s="14">
        <f>'LCOF LCOE Corrected'!B32</f>
        <v>7.1473712844779129</v>
      </c>
      <c r="S3" s="14">
        <f>'LCOF CO2 Cost Corrected'!B32</f>
        <v>11.820863596942624</v>
      </c>
      <c r="T3" s="14">
        <f>'LCOF WACC Corrected '!B32</f>
        <v>11.755599672709472</v>
      </c>
    </row>
    <row r="4" spans="1:20" x14ac:dyDescent="0.25">
      <c r="A4" s="11" t="s">
        <v>172</v>
      </c>
      <c r="B4" s="11" t="s">
        <v>41</v>
      </c>
      <c r="C4" s="14">
        <f>C3/Inputs!$C$6</f>
        <v>10.146267112852959</v>
      </c>
      <c r="D4" s="14">
        <f>D3/Inputs!$C$6</f>
        <v>8.1742457015052796</v>
      </c>
      <c r="E4" s="14">
        <f>E3/Inputs!$C$6</f>
        <v>13.00656429751737</v>
      </c>
      <c r="F4" s="14">
        <f>F3/Inputs!$C$6</f>
        <v>12.944561515734927</v>
      </c>
      <c r="H4" s="11" t="s">
        <v>172</v>
      </c>
      <c r="I4" s="11" t="s">
        <v>41</v>
      </c>
      <c r="J4" s="14">
        <f>J3/Inputs!$C$6</f>
        <v>8.8051127318662914</v>
      </c>
      <c r="K4" s="14">
        <f>K3/Inputs!$C$6</f>
        <v>8.092342516723793</v>
      </c>
      <c r="L4" s="14">
        <f>L3/Inputs!$C$6</f>
        <v>13.32675812567896</v>
      </c>
      <c r="M4" s="14">
        <f>M3/Inputs!$C$6</f>
        <v>13.264755343896516</v>
      </c>
      <c r="O4" s="11" t="s">
        <v>172</v>
      </c>
      <c r="P4" s="11" t="s">
        <v>41</v>
      </c>
      <c r="Q4" s="14">
        <f>Q3/Inputs!$C$6</f>
        <v>8.4726073391339227</v>
      </c>
      <c r="R4" s="14">
        <f>R3/Inputs!$C$6</f>
        <v>7.9415236494199029</v>
      </c>
      <c r="S4" s="14">
        <f>S3/Inputs!$C$6</f>
        <v>13.134292885491805</v>
      </c>
      <c r="T4" s="14">
        <f>T3/Inputs!$C$6</f>
        <v>13.061777414121636</v>
      </c>
    </row>
    <row r="5" spans="1:20" x14ac:dyDescent="0.25">
      <c r="A5" s="11" t="s">
        <v>174</v>
      </c>
      <c r="B5" s="11" t="s">
        <v>41</v>
      </c>
      <c r="C5" s="14">
        <f>Inputs!$C$16</f>
        <v>0.8</v>
      </c>
      <c r="D5" s="14">
        <f>Inputs!$C$16</f>
        <v>0.8</v>
      </c>
      <c r="E5" s="14">
        <f>Inputs!$C$16</f>
        <v>0.8</v>
      </c>
      <c r="F5" s="14">
        <f>Inputs!$C$16</f>
        <v>0.8</v>
      </c>
      <c r="H5" s="11" t="s">
        <v>174</v>
      </c>
      <c r="I5" s="11" t="s">
        <v>41</v>
      </c>
      <c r="J5" s="14">
        <f>Inputs!$C$16</f>
        <v>0.8</v>
      </c>
      <c r="K5" s="14">
        <f>Inputs!$C$16</f>
        <v>0.8</v>
      </c>
      <c r="L5" s="14">
        <f>Inputs!$C$16</f>
        <v>0.8</v>
      </c>
      <c r="M5" s="14">
        <f>Inputs!$C$16</f>
        <v>0.8</v>
      </c>
      <c r="O5" s="11" t="s">
        <v>174</v>
      </c>
      <c r="P5" s="11" t="s">
        <v>41</v>
      </c>
      <c r="Q5" s="14">
        <f>Inputs!$C$16</f>
        <v>0.8</v>
      </c>
      <c r="R5" s="14">
        <f>Inputs!$C$16</f>
        <v>0.8</v>
      </c>
      <c r="S5" s="14">
        <f>Inputs!$C$16</f>
        <v>0.8</v>
      </c>
      <c r="T5" s="14">
        <f>Inputs!$C$16</f>
        <v>0.8</v>
      </c>
    </row>
    <row r="6" spans="1:20" x14ac:dyDescent="0.25">
      <c r="A6" s="11" t="s">
        <v>175</v>
      </c>
      <c r="B6" s="11" t="s">
        <v>176</v>
      </c>
      <c r="C6" s="14">
        <f>0.07 *Inputs!$C$11</f>
        <v>6.2090000000000005</v>
      </c>
      <c r="D6" s="14">
        <f>0.07 *Inputs!$C$11</f>
        <v>6.2090000000000005</v>
      </c>
      <c r="E6" s="14">
        <f>0.07 *Inputs!$C$11</f>
        <v>6.2090000000000005</v>
      </c>
      <c r="F6" s="14">
        <f>0.07 *Inputs!$C$11</f>
        <v>6.2090000000000005</v>
      </c>
      <c r="H6" s="11" t="s">
        <v>175</v>
      </c>
      <c r="I6" s="11" t="s">
        <v>176</v>
      </c>
      <c r="J6" s="14">
        <f>0.07 *Inputs!$C$11</f>
        <v>6.2090000000000005</v>
      </c>
      <c r="K6" s="14">
        <f>0.07 *Inputs!$C$11</f>
        <v>6.2090000000000005</v>
      </c>
      <c r="L6" s="14">
        <f>0.07 *Inputs!$C$11</f>
        <v>6.2090000000000005</v>
      </c>
      <c r="M6" s="14">
        <f>0.07 *Inputs!$C$11</f>
        <v>6.2090000000000005</v>
      </c>
      <c r="O6" s="11" t="s">
        <v>175</v>
      </c>
      <c r="P6" s="11" t="s">
        <v>176</v>
      </c>
      <c r="Q6" s="14">
        <f>0.07 *Inputs!$C$11</f>
        <v>6.2090000000000005</v>
      </c>
      <c r="R6" s="14">
        <f>0.07 *Inputs!$C$11</f>
        <v>6.2090000000000005</v>
      </c>
      <c r="S6" s="14">
        <f>0.07 *Inputs!$C$11</f>
        <v>6.2090000000000005</v>
      </c>
      <c r="T6" s="14">
        <f>0.07 *Inputs!$C$11</f>
        <v>6.2090000000000005</v>
      </c>
    </row>
    <row r="7" spans="1:20" x14ac:dyDescent="0.25">
      <c r="A7" s="11" t="s">
        <v>177</v>
      </c>
      <c r="B7" s="11" t="s">
        <v>176</v>
      </c>
      <c r="C7" s="14">
        <f>Inputs!$C$11</f>
        <v>88.7</v>
      </c>
      <c r="D7" s="14">
        <f>Inputs!$C$11</f>
        <v>88.7</v>
      </c>
      <c r="E7" s="14">
        <f>Inputs!$C$11</f>
        <v>88.7</v>
      </c>
      <c r="F7" s="14">
        <f>Inputs!$C$11</f>
        <v>88.7</v>
      </c>
      <c r="H7" s="11" t="s">
        <v>177</v>
      </c>
      <c r="I7" s="11" t="s">
        <v>176</v>
      </c>
      <c r="J7" s="14">
        <f>Inputs!$C$11</f>
        <v>88.7</v>
      </c>
      <c r="K7" s="14">
        <f>Inputs!$C$11</f>
        <v>88.7</v>
      </c>
      <c r="L7" s="14">
        <f>Inputs!$C$11</f>
        <v>88.7</v>
      </c>
      <c r="M7" s="14">
        <f>Inputs!$C$11</f>
        <v>88.7</v>
      </c>
      <c r="O7" s="11" t="s">
        <v>177</v>
      </c>
      <c r="P7" s="11" t="s">
        <v>176</v>
      </c>
      <c r="Q7" s="14">
        <f>Inputs!$C$11</f>
        <v>88.7</v>
      </c>
      <c r="R7" s="14">
        <f>Inputs!$C$11</f>
        <v>88.7</v>
      </c>
      <c r="S7" s="14">
        <f>Inputs!$C$11</f>
        <v>88.7</v>
      </c>
      <c r="T7" s="14">
        <f>Inputs!$C$11</f>
        <v>88.7</v>
      </c>
    </row>
    <row r="8" spans="1:20" x14ac:dyDescent="0.25">
      <c r="A8" s="11" t="s">
        <v>178</v>
      </c>
      <c r="B8" s="11" t="s">
        <v>176</v>
      </c>
      <c r="C8" s="14">
        <f>C7-C6</f>
        <v>82.491</v>
      </c>
      <c r="D8" s="14">
        <f>D7-D6</f>
        <v>82.491</v>
      </c>
      <c r="E8" s="14">
        <f>E7-E6</f>
        <v>82.491</v>
      </c>
      <c r="F8" s="14">
        <f>F7-F6</f>
        <v>82.491</v>
      </c>
      <c r="H8" s="11" t="s">
        <v>178</v>
      </c>
      <c r="I8" s="11" t="s">
        <v>176</v>
      </c>
      <c r="J8" s="14">
        <f>J7-J6</f>
        <v>82.491</v>
      </c>
      <c r="K8" s="14">
        <f>K7-K6</f>
        <v>82.491</v>
      </c>
      <c r="L8" s="14">
        <f>L7-L6</f>
        <v>82.491</v>
      </c>
      <c r="M8" s="14">
        <f>M7-M6</f>
        <v>82.491</v>
      </c>
      <c r="O8" s="11" t="s">
        <v>178</v>
      </c>
      <c r="P8" s="11" t="s">
        <v>176</v>
      </c>
      <c r="Q8" s="14">
        <f>Q7-Q6</f>
        <v>82.491</v>
      </c>
      <c r="R8" s="14">
        <f>R7-R6</f>
        <v>82.491</v>
      </c>
      <c r="S8" s="14">
        <f>S7-S6</f>
        <v>82.491</v>
      </c>
      <c r="T8" s="14">
        <f>T7-T6</f>
        <v>82.491</v>
      </c>
    </row>
    <row r="9" spans="1:20" x14ac:dyDescent="0.25">
      <c r="A9" s="11" t="s">
        <v>178</v>
      </c>
      <c r="B9" s="11" t="s">
        <v>179</v>
      </c>
      <c r="C9" s="14">
        <f>C8*Inputs!$C$14</f>
        <v>2861.5797936000004</v>
      </c>
      <c r="D9" s="14">
        <f>D8*Inputs!$C$14</f>
        <v>2861.5797936000004</v>
      </c>
      <c r="E9" s="14">
        <f>E8*Inputs!$C$14</f>
        <v>2861.5797936000004</v>
      </c>
      <c r="F9" s="14">
        <f>F8*Inputs!$C$14</f>
        <v>2861.5797936000004</v>
      </c>
      <c r="H9" s="11" t="s">
        <v>178</v>
      </c>
      <c r="I9" s="11" t="s">
        <v>179</v>
      </c>
      <c r="J9" s="14">
        <f>J8*Inputs!$C$14</f>
        <v>2861.5797936000004</v>
      </c>
      <c r="K9" s="14">
        <f>K8*Inputs!$C$14</f>
        <v>2861.5797936000004</v>
      </c>
      <c r="L9" s="14">
        <f>L8*Inputs!$C$14</f>
        <v>2861.5797936000004</v>
      </c>
      <c r="M9" s="14">
        <f>M8*Inputs!$C$14</f>
        <v>2861.5797936000004</v>
      </c>
      <c r="O9" s="11" t="s">
        <v>178</v>
      </c>
      <c r="P9" s="11" t="s">
        <v>179</v>
      </c>
      <c r="Q9" s="14">
        <f>Q8*Inputs!$C$14</f>
        <v>2861.5797936000004</v>
      </c>
      <c r="R9" s="14">
        <f>R8*Inputs!$C$14</f>
        <v>2861.5797936000004</v>
      </c>
      <c r="S9" s="14">
        <f>S8*Inputs!$C$14</f>
        <v>2861.5797936000004</v>
      </c>
      <c r="T9" s="14">
        <f>T8*Inputs!$C$14</f>
        <v>2861.5797936000004</v>
      </c>
    </row>
    <row r="10" spans="1:20" x14ac:dyDescent="0.25">
      <c r="A10" s="11" t="s">
        <v>180</v>
      </c>
      <c r="B10" s="11" t="s">
        <v>49</v>
      </c>
      <c r="C10" s="14">
        <f>(C4-C5) / C9 * 10^6</f>
        <v>3266.1214388486155</v>
      </c>
      <c r="D10" s="14">
        <f>(D4-D5) / D9 * 10^6</f>
        <v>2576.9841253415252</v>
      </c>
      <c r="E10" s="14">
        <f>(E4-E5) / E9 * 10^6</f>
        <v>4265.6732217699036</v>
      </c>
      <c r="F10" s="14">
        <f>(F4-F5) / F9 * 10^6</f>
        <v>4244.0058959378184</v>
      </c>
      <c r="H10" s="11" t="s">
        <v>180</v>
      </c>
      <c r="I10" s="11" t="s">
        <v>49</v>
      </c>
      <c r="J10" s="14">
        <f>(J4-J5) / J9 * 10^6</f>
        <v>2797.4452258049691</v>
      </c>
      <c r="K10" s="14">
        <f>(K4-K5) / K9 * 10^6</f>
        <v>2548.3624580496798</v>
      </c>
      <c r="L10" s="14">
        <f>(L4-L5) / L9 * 10^6</f>
        <v>4377.5672982089782</v>
      </c>
      <c r="M10" s="14">
        <f>(M4-M5) / M9 * 10^6</f>
        <v>4355.899972376892</v>
      </c>
      <c r="O10" s="11" t="s">
        <v>180</v>
      </c>
      <c r="P10" s="11" t="s">
        <v>49</v>
      </c>
      <c r="Q10" s="14">
        <f>(Q4-Q5) / Q9 * 10^6</f>
        <v>2681.2487830302389</v>
      </c>
      <c r="R10" s="14">
        <f>(R4-R5) / R9 * 10^6</f>
        <v>2495.6577011733561</v>
      </c>
      <c r="S10" s="14">
        <f>(S4-S5) / S9 * 10^6</f>
        <v>4310.3089115591947</v>
      </c>
      <c r="T10" s="14">
        <f>(T4-T5) / T9 * 10^6</f>
        <v>4284.9678494185027</v>
      </c>
    </row>
    <row r="13" spans="1:20" x14ac:dyDescent="0.25">
      <c r="A13" s="29" t="s">
        <v>181</v>
      </c>
      <c r="B13" s="30"/>
      <c r="C13" s="30"/>
      <c r="D13" s="30"/>
      <c r="E13" s="30"/>
      <c r="F13" s="30"/>
      <c r="H13" s="29" t="s">
        <v>182</v>
      </c>
      <c r="I13" s="30"/>
      <c r="J13" s="30"/>
      <c r="K13" s="30"/>
      <c r="L13" s="30"/>
      <c r="M13" s="30"/>
      <c r="O13" s="29" t="s">
        <v>183</v>
      </c>
      <c r="P13" s="30"/>
      <c r="Q13" s="30"/>
      <c r="R13" s="30"/>
      <c r="S13" s="30"/>
      <c r="T13" s="30"/>
    </row>
    <row r="14" spans="1:20" x14ac:dyDescent="0.25">
      <c r="A14" s="11" t="s">
        <v>20</v>
      </c>
      <c r="B14" s="11" t="s">
        <v>23</v>
      </c>
      <c r="C14" s="9" t="s">
        <v>168</v>
      </c>
      <c r="D14" s="9" t="s">
        <v>169</v>
      </c>
      <c r="E14" s="9" t="s">
        <v>170</v>
      </c>
      <c r="F14" s="9" t="s">
        <v>171</v>
      </c>
      <c r="H14" s="11" t="s">
        <v>20</v>
      </c>
      <c r="I14" s="11" t="s">
        <v>23</v>
      </c>
      <c r="J14" s="9" t="s">
        <v>168</v>
      </c>
      <c r="K14" s="9" t="s">
        <v>169</v>
      </c>
      <c r="L14" s="9" t="s">
        <v>170</v>
      </c>
      <c r="M14" s="9" t="s">
        <v>171</v>
      </c>
      <c r="O14" s="11" t="s">
        <v>20</v>
      </c>
      <c r="P14" s="11" t="s">
        <v>23</v>
      </c>
      <c r="Q14" s="9" t="s">
        <v>168</v>
      </c>
      <c r="R14" s="9" t="s">
        <v>169</v>
      </c>
      <c r="S14" s="9" t="s">
        <v>170</v>
      </c>
      <c r="T14" s="9" t="s">
        <v>171</v>
      </c>
    </row>
    <row r="15" spans="1:20" x14ac:dyDescent="0.25">
      <c r="A15" s="11" t="s">
        <v>172</v>
      </c>
      <c r="B15" s="11" t="s">
        <v>173</v>
      </c>
      <c r="C15" s="14">
        <f>'LCOF Baseline'!B43</f>
        <v>3.6063103110725292</v>
      </c>
      <c r="D15" s="14">
        <f>'LCOF LCOE Corrected'!B43</f>
        <v>2.3526415479698048</v>
      </c>
      <c r="E15" s="14">
        <f>'LCOF CO2 Cost Corrected'!B43</f>
        <v>5.677808394564976</v>
      </c>
      <c r="F15" s="14">
        <f>'LCOF WACC Corrected '!B43</f>
        <v>5.634353476900257</v>
      </c>
      <c r="H15" s="11" t="s">
        <v>172</v>
      </c>
      <c r="I15" s="11" t="s">
        <v>173</v>
      </c>
      <c r="J15" s="14">
        <f>'LCOF Baseline'!B54</f>
        <v>3.1743174262494587</v>
      </c>
      <c r="K15" s="14">
        <f>'LCOF LCOE Corrected'!B54</f>
        <v>2.3437676384007613</v>
      </c>
      <c r="L15" s="14">
        <f>'LCOF CO2 Cost Corrected'!B54</f>
        <v>5.5152185771588691</v>
      </c>
      <c r="M15" s="14">
        <f>'LCOF WACC Corrected '!B54</f>
        <v>5.4717636594941528</v>
      </c>
      <c r="O15" s="11" t="s">
        <v>172</v>
      </c>
      <c r="P15" s="11" t="s">
        <v>173</v>
      </c>
      <c r="Q15" s="14">
        <f>'LCOF Baseline'!B65</f>
        <v>2.8498662098470384</v>
      </c>
      <c r="R15" s="14">
        <f>'LCOF LCOE Corrected'!B65</f>
        <v>2.1502182907353653</v>
      </c>
      <c r="S15" s="14">
        <f>'LCOF CO2 Cost Corrected'!B65</f>
        <v>5.179064767127346</v>
      </c>
      <c r="T15" s="14">
        <f>'LCOF WACC Corrected '!B65</f>
        <v>5.1381500496500747</v>
      </c>
    </row>
    <row r="16" spans="1:20" x14ac:dyDescent="0.25">
      <c r="A16" s="11" t="s">
        <v>172</v>
      </c>
      <c r="B16" s="11" t="s">
        <v>41</v>
      </c>
      <c r="C16" s="14">
        <f>C15/Inputs!$C$6</f>
        <v>4.0070114567472546</v>
      </c>
      <c r="D16" s="14">
        <f>D15/Inputs!$C$6</f>
        <v>2.6140461644108943</v>
      </c>
      <c r="E16" s="14">
        <f>E15/Inputs!$C$6</f>
        <v>6.3086759939610841</v>
      </c>
      <c r="F16" s="14">
        <f>F15/Inputs!$C$6</f>
        <v>6.2603927521113967</v>
      </c>
      <c r="H16" s="11" t="s">
        <v>172</v>
      </c>
      <c r="I16" s="11" t="s">
        <v>41</v>
      </c>
      <c r="J16" s="14">
        <f>J15/Inputs!$C$6</f>
        <v>3.5270193624993986</v>
      </c>
      <c r="K16" s="14">
        <f>K15/Inputs!$C$6</f>
        <v>2.6041862648897349</v>
      </c>
      <c r="L16" s="14">
        <f>L15/Inputs!$C$6</f>
        <v>6.1280206412876321</v>
      </c>
      <c r="M16" s="14">
        <f>M15/Inputs!$C$6</f>
        <v>6.0797373994379473</v>
      </c>
      <c r="O16" s="11" t="s">
        <v>172</v>
      </c>
      <c r="P16" s="11" t="s">
        <v>41</v>
      </c>
      <c r="Q16" s="14">
        <f>Q15/Inputs!$C$6</f>
        <v>3.1665180109411537</v>
      </c>
      <c r="R16" s="14">
        <f>R15/Inputs!$C$6</f>
        <v>2.3891314341504057</v>
      </c>
      <c r="S16" s="14">
        <f>S15/Inputs!$C$6</f>
        <v>5.7545164079192732</v>
      </c>
      <c r="T16" s="14">
        <f>T15/Inputs!$C$6</f>
        <v>5.7090556107223049</v>
      </c>
    </row>
    <row r="17" spans="1:20" x14ac:dyDescent="0.25">
      <c r="A17" s="11" t="s">
        <v>174</v>
      </c>
      <c r="B17" s="11" t="s">
        <v>41</v>
      </c>
      <c r="C17" s="14">
        <f>Inputs!$C$18</f>
        <v>1.7</v>
      </c>
      <c r="D17" s="14">
        <f>Inputs!$C$18</f>
        <v>1.7</v>
      </c>
      <c r="E17" s="14">
        <f>Inputs!$C$18</f>
        <v>1.7</v>
      </c>
      <c r="F17" s="14">
        <f>Inputs!$C$18</f>
        <v>1.7</v>
      </c>
      <c r="H17" s="11" t="s">
        <v>174</v>
      </c>
      <c r="I17" s="11" t="s">
        <v>41</v>
      </c>
      <c r="J17" s="14">
        <f>Inputs!$C$18</f>
        <v>1.7</v>
      </c>
      <c r="K17" s="14">
        <f>Inputs!$C$18</f>
        <v>1.7</v>
      </c>
      <c r="L17" s="14">
        <f>Inputs!$C$18</f>
        <v>1.7</v>
      </c>
      <c r="M17" s="14">
        <f>Inputs!$C$18</f>
        <v>1.7</v>
      </c>
      <c r="O17" s="11" t="s">
        <v>174</v>
      </c>
      <c r="P17" s="11" t="s">
        <v>41</v>
      </c>
      <c r="Q17" s="14">
        <f>Inputs!$C$18</f>
        <v>1.7</v>
      </c>
      <c r="R17" s="14">
        <f>Inputs!$C$18</f>
        <v>1.7</v>
      </c>
      <c r="S17" s="14">
        <f>Inputs!$C$18</f>
        <v>1.7</v>
      </c>
      <c r="T17" s="14">
        <f>Inputs!$C$18</f>
        <v>1.7</v>
      </c>
    </row>
    <row r="18" spans="1:20" x14ac:dyDescent="0.25">
      <c r="A18" s="11" t="s">
        <v>175</v>
      </c>
      <c r="B18" s="11" t="s">
        <v>176</v>
      </c>
      <c r="C18" s="14">
        <f>0.07 *Inputs!$C$11</f>
        <v>6.2090000000000005</v>
      </c>
      <c r="D18" s="14">
        <f>0.07 *Inputs!$C$11</f>
        <v>6.2090000000000005</v>
      </c>
      <c r="E18" s="14">
        <f>0.07 *Inputs!$C$11</f>
        <v>6.2090000000000005</v>
      </c>
      <c r="F18" s="14">
        <f>0.07 *Inputs!$C$11</f>
        <v>6.2090000000000005</v>
      </c>
      <c r="H18" s="11" t="s">
        <v>175</v>
      </c>
      <c r="I18" s="11" t="s">
        <v>176</v>
      </c>
      <c r="J18" s="14">
        <f>0.07 *Inputs!$C$11</f>
        <v>6.2090000000000005</v>
      </c>
      <c r="K18" s="14">
        <f>0.07 *Inputs!$C$11</f>
        <v>6.2090000000000005</v>
      </c>
      <c r="L18" s="14">
        <f>0.07 *Inputs!$C$11</f>
        <v>6.2090000000000005</v>
      </c>
      <c r="M18" s="14">
        <f>0.07 *Inputs!$C$11</f>
        <v>6.2090000000000005</v>
      </c>
      <c r="O18" s="11" t="s">
        <v>175</v>
      </c>
      <c r="P18" s="11" t="s">
        <v>176</v>
      </c>
      <c r="Q18" s="14">
        <f>0.07 *Inputs!$C$11</f>
        <v>6.2090000000000005</v>
      </c>
      <c r="R18" s="14">
        <f>0.07 *Inputs!$C$11</f>
        <v>6.2090000000000005</v>
      </c>
      <c r="S18" s="14">
        <f>0.07 *Inputs!$C$11</f>
        <v>6.2090000000000005</v>
      </c>
      <c r="T18" s="14">
        <f>0.07 *Inputs!$C$11</f>
        <v>6.2090000000000005</v>
      </c>
    </row>
    <row r="19" spans="1:20" x14ac:dyDescent="0.25">
      <c r="A19" s="11" t="s">
        <v>177</v>
      </c>
      <c r="B19" s="11" t="s">
        <v>176</v>
      </c>
      <c r="C19" s="14">
        <f>Inputs!$C$11</f>
        <v>88.7</v>
      </c>
      <c r="D19" s="14">
        <f>Inputs!$C$11</f>
        <v>88.7</v>
      </c>
      <c r="E19" s="14">
        <f>Inputs!$C$11</f>
        <v>88.7</v>
      </c>
      <c r="F19" s="14">
        <f>Inputs!$C$11</f>
        <v>88.7</v>
      </c>
      <c r="H19" s="11" t="s">
        <v>177</v>
      </c>
      <c r="I19" s="11" t="s">
        <v>176</v>
      </c>
      <c r="J19" s="14">
        <f>Inputs!$C$11</f>
        <v>88.7</v>
      </c>
      <c r="K19" s="14">
        <f>Inputs!$C$11</f>
        <v>88.7</v>
      </c>
      <c r="L19" s="14">
        <f>Inputs!$C$11</f>
        <v>88.7</v>
      </c>
      <c r="M19" s="14">
        <f>Inputs!$C$11</f>
        <v>88.7</v>
      </c>
      <c r="O19" s="11" t="s">
        <v>177</v>
      </c>
      <c r="P19" s="11" t="s">
        <v>176</v>
      </c>
      <c r="Q19" s="14">
        <f>Inputs!$C$11</f>
        <v>88.7</v>
      </c>
      <c r="R19" s="14">
        <f>Inputs!$C$11</f>
        <v>88.7</v>
      </c>
      <c r="S19" s="14">
        <f>Inputs!$C$11</f>
        <v>88.7</v>
      </c>
      <c r="T19" s="14">
        <f>Inputs!$C$11</f>
        <v>88.7</v>
      </c>
    </row>
    <row r="20" spans="1:20" x14ac:dyDescent="0.25">
      <c r="A20" s="11" t="s">
        <v>178</v>
      </c>
      <c r="B20" s="11" t="s">
        <v>176</v>
      </c>
      <c r="C20" s="14">
        <f>C19-C18</f>
        <v>82.491</v>
      </c>
      <c r="D20" s="14">
        <f>D19-D18</f>
        <v>82.491</v>
      </c>
      <c r="E20" s="14">
        <f>E19-E18</f>
        <v>82.491</v>
      </c>
      <c r="F20" s="14">
        <f>F19-F18</f>
        <v>82.491</v>
      </c>
      <c r="H20" s="11" t="s">
        <v>178</v>
      </c>
      <c r="I20" s="11" t="s">
        <v>176</v>
      </c>
      <c r="J20" s="14">
        <f>J19-J18</f>
        <v>82.491</v>
      </c>
      <c r="K20" s="14">
        <f>K19-K18</f>
        <v>82.491</v>
      </c>
      <c r="L20" s="14">
        <f>L19-L18</f>
        <v>82.491</v>
      </c>
      <c r="M20" s="14">
        <f>M19-M18</f>
        <v>82.491</v>
      </c>
      <c r="O20" s="11" t="s">
        <v>178</v>
      </c>
      <c r="P20" s="11" t="s">
        <v>176</v>
      </c>
      <c r="Q20" s="14">
        <f>Q19-Q18</f>
        <v>82.491</v>
      </c>
      <c r="R20" s="14">
        <f>R19-R18</f>
        <v>82.491</v>
      </c>
      <c r="S20" s="14">
        <f>S19-S18</f>
        <v>82.491</v>
      </c>
      <c r="T20" s="14">
        <f>T19-T18</f>
        <v>82.491</v>
      </c>
    </row>
    <row r="21" spans="1:20" x14ac:dyDescent="0.25">
      <c r="A21" s="11" t="s">
        <v>178</v>
      </c>
      <c r="B21" s="11" t="s">
        <v>179</v>
      </c>
      <c r="C21" s="14">
        <f>C20*Inputs!$C$14</f>
        <v>2861.5797936000004</v>
      </c>
      <c r="D21" s="14">
        <f>D20*Inputs!$C$14</f>
        <v>2861.5797936000004</v>
      </c>
      <c r="E21" s="14">
        <f>E20*Inputs!$C$14</f>
        <v>2861.5797936000004</v>
      </c>
      <c r="F21" s="14">
        <f>F20*Inputs!$C$14</f>
        <v>2861.5797936000004</v>
      </c>
      <c r="H21" s="11" t="s">
        <v>178</v>
      </c>
      <c r="I21" s="11" t="s">
        <v>179</v>
      </c>
      <c r="J21" s="14">
        <f>J20*Inputs!$C$14</f>
        <v>2861.5797936000004</v>
      </c>
      <c r="K21" s="14">
        <f>K20*Inputs!$C$14</f>
        <v>2861.5797936000004</v>
      </c>
      <c r="L21" s="14">
        <f>L20*Inputs!$C$14</f>
        <v>2861.5797936000004</v>
      </c>
      <c r="M21" s="14">
        <f>M20*Inputs!$C$14</f>
        <v>2861.5797936000004</v>
      </c>
      <c r="O21" s="11" t="s">
        <v>178</v>
      </c>
      <c r="P21" s="11" t="s">
        <v>179</v>
      </c>
      <c r="Q21" s="14">
        <f>Q20*Inputs!$C$14</f>
        <v>2861.5797936000004</v>
      </c>
      <c r="R21" s="14">
        <f>R20*Inputs!$C$14</f>
        <v>2861.5797936000004</v>
      </c>
      <c r="S21" s="14">
        <f>S20*Inputs!$C$14</f>
        <v>2861.5797936000004</v>
      </c>
      <c r="T21" s="14">
        <f>T20*Inputs!$C$14</f>
        <v>2861.5797936000004</v>
      </c>
    </row>
    <row r="22" spans="1:20" x14ac:dyDescent="0.25">
      <c r="A22" s="11" t="s">
        <v>180</v>
      </c>
      <c r="B22" s="11" t="s">
        <v>49</v>
      </c>
      <c r="C22" s="14">
        <f>(C16-C17) / C21 * 10^6</f>
        <v>806.20203633913934</v>
      </c>
      <c r="D22" s="14">
        <f>(D16-D17) / D21 * 10^6</f>
        <v>319.42012117054469</v>
      </c>
      <c r="E22" s="14">
        <f>(E16-E17) / E21 * 10^6</f>
        <v>1610.5355525184063</v>
      </c>
      <c r="F22" s="14">
        <f>(F16-F17) / F21 * 10^6</f>
        <v>1593.662620315826</v>
      </c>
      <c r="H22" s="11" t="s">
        <v>180</v>
      </c>
      <c r="I22" s="11" t="s">
        <v>49</v>
      </c>
      <c r="J22" s="14">
        <f>(J16-J17) / J21 * 10^6</f>
        <v>638.46528640773045</v>
      </c>
      <c r="K22" s="14">
        <f>(K16-K17) / K21 * 10^6</f>
        <v>315.97450712783603</v>
      </c>
      <c r="L22" s="14">
        <f>(L16-L17) / L21 * 10^6</f>
        <v>1547.4042174853969</v>
      </c>
      <c r="M22" s="14">
        <f>(M16-M17) / M21 * 10^6</f>
        <v>1530.5312852828172</v>
      </c>
      <c r="O22" s="11" t="s">
        <v>180</v>
      </c>
      <c r="P22" s="11" t="s">
        <v>49</v>
      </c>
      <c r="Q22" s="14">
        <f>(Q16-Q17) / Q21 * 10^6</f>
        <v>512.48545094603355</v>
      </c>
      <c r="R22" s="14">
        <f>(R16-R17) / R21 * 10^6</f>
        <v>240.8220227482968</v>
      </c>
      <c r="S22" s="14">
        <f>(S16-S17) / S21 * 10^6</f>
        <v>1416.8804298196776</v>
      </c>
      <c r="T22" s="14">
        <f>(T16-T17) / T21 * 10^6</f>
        <v>1400.9938215557243</v>
      </c>
    </row>
    <row r="24" spans="1:20" x14ac:dyDescent="0.25">
      <c r="A24" s="28" t="s">
        <v>184</v>
      </c>
      <c r="B24" s="28"/>
      <c r="C24" s="28"/>
      <c r="H24" s="28" t="s">
        <v>185</v>
      </c>
      <c r="I24" s="28"/>
      <c r="J24" s="28"/>
      <c r="O24" s="28" t="s">
        <v>186</v>
      </c>
      <c r="P24" s="28"/>
      <c r="Q24" s="28"/>
    </row>
    <row r="25" spans="1:20" x14ac:dyDescent="0.25">
      <c r="A25" s="18" t="s">
        <v>20</v>
      </c>
      <c r="B25" s="18" t="s">
        <v>23</v>
      </c>
      <c r="C25" t="s">
        <v>22</v>
      </c>
      <c r="H25" s="18" t="s">
        <v>20</v>
      </c>
      <c r="I25" s="18" t="s">
        <v>23</v>
      </c>
      <c r="J25" t="s">
        <v>22</v>
      </c>
      <c r="O25" s="18" t="s">
        <v>20</v>
      </c>
      <c r="P25" s="18" t="s">
        <v>23</v>
      </c>
      <c r="Q25" t="s">
        <v>22</v>
      </c>
    </row>
    <row r="26" spans="1:20" x14ac:dyDescent="0.25">
      <c r="A26" s="18" t="s">
        <v>187</v>
      </c>
      <c r="B26" s="18" t="s">
        <v>179</v>
      </c>
      <c r="C26" s="5">
        <f>F6*Inputs!$C$14</f>
        <v>215.38772640000005</v>
      </c>
      <c r="H26" s="18" t="s">
        <v>187</v>
      </c>
      <c r="I26" s="18" t="s">
        <v>179</v>
      </c>
      <c r="J26" s="5">
        <f>M6*Inputs!$C$14</f>
        <v>215.38772640000005</v>
      </c>
      <c r="O26" s="18" t="s">
        <v>187</v>
      </c>
      <c r="P26" s="18" t="s">
        <v>179</v>
      </c>
      <c r="Q26" s="5">
        <f>T6*Inputs!$C$14</f>
        <v>215.38772640000005</v>
      </c>
    </row>
    <row r="27" spans="1:20" x14ac:dyDescent="0.25">
      <c r="A27" s="18" t="s">
        <v>188</v>
      </c>
      <c r="B27" s="18" t="s">
        <v>41</v>
      </c>
      <c r="C27" s="19">
        <f>C26*Inputs!$C$32 * 10^-6</f>
        <v>0.29529657289440003</v>
      </c>
      <c r="H27" s="18" t="s">
        <v>188</v>
      </c>
      <c r="I27" s="18" t="s">
        <v>41</v>
      </c>
      <c r="J27" s="19">
        <f>J26*Inputs!$C$32 * 10^-6</f>
        <v>0.29529657289440003</v>
      </c>
      <c r="O27" s="18" t="s">
        <v>188</v>
      </c>
      <c r="P27" s="18" t="s">
        <v>41</v>
      </c>
      <c r="Q27" s="19">
        <f>Q26*Inputs!$C$32 * 10^-6</f>
        <v>0.29529657289440003</v>
      </c>
    </row>
    <row r="28" spans="1:20" x14ac:dyDescent="0.25">
      <c r="A28" s="18" t="s">
        <v>189</v>
      </c>
      <c r="B28" s="18" t="s">
        <v>41</v>
      </c>
      <c r="C28" s="19">
        <f>F4+C27</f>
        <v>13.239858088629328</v>
      </c>
      <c r="H28" s="18" t="s">
        <v>189</v>
      </c>
      <c r="I28" s="18" t="s">
        <v>41</v>
      </c>
      <c r="J28" s="19">
        <f>M4+J27</f>
        <v>13.560051916790917</v>
      </c>
      <c r="O28" s="18" t="s">
        <v>189</v>
      </c>
      <c r="P28" s="18" t="s">
        <v>41</v>
      </c>
      <c r="Q28" s="19">
        <f>T4+Q27</f>
        <v>13.357073987016037</v>
      </c>
    </row>
    <row r="29" spans="1:20" x14ac:dyDescent="0.25">
      <c r="A29" s="18" t="s">
        <v>190</v>
      </c>
      <c r="B29" s="18" t="s">
        <v>49</v>
      </c>
      <c r="C29" s="5">
        <f>(C28-C17) /C21 * 10^6</f>
        <v>4032.6878580980092</v>
      </c>
      <c r="H29" s="18" t="s">
        <v>190</v>
      </c>
      <c r="I29" s="18" t="s">
        <v>49</v>
      </c>
      <c r="J29" s="5">
        <f>(J28-J17) /J21 * 10^6</f>
        <v>4144.5819345370837</v>
      </c>
      <c r="O29" s="18" t="s">
        <v>190</v>
      </c>
      <c r="P29" s="18" t="s">
        <v>49</v>
      </c>
      <c r="Q29" s="5">
        <f>(Q28-Q17) /Q21 * 10^6</f>
        <v>4073.6498115786935</v>
      </c>
    </row>
    <row r="31" spans="1:20" x14ac:dyDescent="0.25">
      <c r="A31" s="28" t="s">
        <v>191</v>
      </c>
      <c r="B31" s="28"/>
      <c r="C31" s="28"/>
      <c r="H31" s="28" t="s">
        <v>192</v>
      </c>
      <c r="I31" s="28"/>
      <c r="J31" s="28"/>
      <c r="O31" s="28" t="s">
        <v>193</v>
      </c>
      <c r="P31" s="28"/>
      <c r="Q31" s="28"/>
    </row>
    <row r="32" spans="1:20" x14ac:dyDescent="0.25">
      <c r="A32" s="18" t="s">
        <v>20</v>
      </c>
      <c r="B32" s="18" t="s">
        <v>23</v>
      </c>
      <c r="C32" t="s">
        <v>22</v>
      </c>
      <c r="H32" s="18" t="s">
        <v>20</v>
      </c>
      <c r="I32" s="18" t="s">
        <v>23</v>
      </c>
      <c r="J32" t="s">
        <v>22</v>
      </c>
      <c r="O32" s="18" t="s">
        <v>20</v>
      </c>
      <c r="P32" s="18" t="s">
        <v>23</v>
      </c>
      <c r="Q32" t="s">
        <v>22</v>
      </c>
    </row>
    <row r="33" spans="1:17" x14ac:dyDescent="0.25">
      <c r="A33" s="18" t="s">
        <v>187</v>
      </c>
      <c r="B33" s="18" t="s">
        <v>179</v>
      </c>
      <c r="C33" s="5">
        <f>F18*Inputs!$C$14</f>
        <v>215.38772640000005</v>
      </c>
      <c r="H33" s="18" t="s">
        <v>187</v>
      </c>
      <c r="I33" s="18" t="s">
        <v>179</v>
      </c>
      <c r="J33" s="5">
        <f>M18*Inputs!$C$14</f>
        <v>215.38772640000005</v>
      </c>
      <c r="O33" s="18" t="s">
        <v>187</v>
      </c>
      <c r="P33" s="18" t="s">
        <v>179</v>
      </c>
      <c r="Q33" s="5">
        <f>T18*Inputs!$C$14</f>
        <v>215.38772640000005</v>
      </c>
    </row>
    <row r="34" spans="1:17" x14ac:dyDescent="0.25">
      <c r="A34" s="18" t="s">
        <v>188</v>
      </c>
      <c r="B34" s="18" t="s">
        <v>41</v>
      </c>
      <c r="C34" s="19">
        <f>C33*Inputs!$C$33 * 10^-6</f>
        <v>0.11264778090720001</v>
      </c>
      <c r="H34" s="18" t="s">
        <v>188</v>
      </c>
      <c r="I34" s="18" t="s">
        <v>41</v>
      </c>
      <c r="J34" s="19">
        <f>J33*Inputs!$C$33 * 10^-6</f>
        <v>0.11264778090720001</v>
      </c>
      <c r="O34" s="18" t="s">
        <v>188</v>
      </c>
      <c r="P34" s="18" t="s">
        <v>41</v>
      </c>
      <c r="Q34" s="19">
        <f>Q33*Inputs!$C$33 * 10^-6</f>
        <v>0.11264778090720001</v>
      </c>
    </row>
    <row r="35" spans="1:17" x14ac:dyDescent="0.25">
      <c r="A35" s="18" t="s">
        <v>189</v>
      </c>
      <c r="B35" s="18" t="s">
        <v>41</v>
      </c>
      <c r="C35" s="19">
        <f>F16+C34</f>
        <v>6.3730405330185969</v>
      </c>
      <c r="H35" s="18" t="s">
        <v>189</v>
      </c>
      <c r="I35" s="18" t="s">
        <v>41</v>
      </c>
      <c r="J35" s="19">
        <f>M16+J34</f>
        <v>6.1923851803451475</v>
      </c>
      <c r="O35" s="18" t="s">
        <v>189</v>
      </c>
      <c r="P35" s="18" t="s">
        <v>41</v>
      </c>
      <c r="Q35" s="19">
        <f>T16+Q34</f>
        <v>5.8217033916295051</v>
      </c>
    </row>
    <row r="36" spans="1:17" x14ac:dyDescent="0.25">
      <c r="A36" s="18" t="s">
        <v>190</v>
      </c>
      <c r="B36" s="18" t="s">
        <v>49</v>
      </c>
      <c r="C36" s="5">
        <f>(C35-C17) /C21 * 10^6</f>
        <v>1633.0282117136753</v>
      </c>
      <c r="H36" s="18" t="s">
        <v>190</v>
      </c>
      <c r="I36" s="18" t="s">
        <v>49</v>
      </c>
      <c r="J36" s="5">
        <f>(J35-J17) /J21 * 10^6</f>
        <v>1569.8968766806668</v>
      </c>
      <c r="O36" s="18" t="s">
        <v>190</v>
      </c>
      <c r="P36" s="18" t="s">
        <v>49</v>
      </c>
      <c r="Q36" s="5">
        <f>(Q35-Q17) /Q21 * 10^6</f>
        <v>1440.3594129535736</v>
      </c>
    </row>
  </sheetData>
  <mergeCells count="12">
    <mergeCell ref="H1:M1"/>
    <mergeCell ref="O1:T1"/>
    <mergeCell ref="A13:F13"/>
    <mergeCell ref="A1:F1"/>
    <mergeCell ref="H13:M13"/>
    <mergeCell ref="O13:T13"/>
    <mergeCell ref="A24:C24"/>
    <mergeCell ref="H24:J24"/>
    <mergeCell ref="O24:Q24"/>
    <mergeCell ref="A31:C31"/>
    <mergeCell ref="H31:J31"/>
    <mergeCell ref="O31:Q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Legend</vt:lpstr>
      <vt:lpstr>Inputs</vt:lpstr>
      <vt:lpstr>Study Parameters</vt:lpstr>
      <vt:lpstr>NPV DAC CAPEX</vt:lpstr>
      <vt:lpstr>Cost Components</vt:lpstr>
      <vt:lpstr>LCOF Baseline</vt:lpstr>
      <vt:lpstr>LCOF LCOE Corrected</vt:lpstr>
      <vt:lpstr>LCOF CO2 Cost Corrected</vt:lpstr>
      <vt:lpstr>LCOF WACC Corrected </vt:lpstr>
      <vt:lpstr>Cost Breakdowns</vt:lpstr>
      <vt:lpstr>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Dubey</dc:creator>
  <cp:keywords/>
  <dc:description/>
  <cp:lastModifiedBy>Dubey  Yash</cp:lastModifiedBy>
  <cp:revision/>
  <dcterms:created xsi:type="dcterms:W3CDTF">2024-07-07T13:59:20Z</dcterms:created>
  <dcterms:modified xsi:type="dcterms:W3CDTF">2025-05-05T16:03:24Z</dcterms:modified>
  <cp:category/>
  <cp:contentStatus/>
</cp:coreProperties>
</file>
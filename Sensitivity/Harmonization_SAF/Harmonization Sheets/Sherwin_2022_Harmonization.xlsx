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updateLinks="always"/>
  <mc:AlternateContent xmlns:mc="http://schemas.openxmlformats.org/markup-compatibility/2006">
    <mc:Choice Requires="x15">
      <x15ac:absPath xmlns:x15ac="http://schemas.microsoft.com/office/spreadsheetml/2010/11/ac" url="https://ethz-my.sharepoint.com/personal/ydubey_ethz_ch/Documents/Documents/GitHub/DACCSvDACCU/Sensitivity/Harmonization_SAF/Harmonization Sheets/"/>
    </mc:Choice>
  </mc:AlternateContent>
  <xr:revisionPtr revIDLastSave="103" documentId="13_ncr:1_{B84FD12B-CCB6-0543-A95D-92C612F77944}" xr6:coauthVersionLast="47" xr6:coauthVersionMax="47" xr10:uidLastSave="{D21CA660-74B3-4DE0-9843-8378FB94577A}"/>
  <bookViews>
    <workbookView xWindow="1950" yWindow="1950" windowWidth="28800" windowHeight="15345" xr2:uid="{00000000-000D-0000-FFFF-FFFF00000000}"/>
  </bookViews>
  <sheets>
    <sheet name="Inputs" sheetId="1" r:id="rId1"/>
    <sheet name="Standardization" sheetId="2" r:id="rId2"/>
    <sheet name="Outputs" sheetId="3" r:id="rId3"/>
  </sheets>
  <externalReferences>
    <externalReference r:id="rId4"/>
  </externalReferences>
  <definedNames>
    <definedName name="DACS_average_203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H106" i="2" s="1"/>
  <c r="C32" i="1"/>
  <c r="D152" i="2" s="1"/>
  <c r="C30" i="1"/>
  <c r="C29" i="1"/>
  <c r="C27" i="1"/>
  <c r="C26" i="1"/>
  <c r="C24" i="1"/>
  <c r="C23" i="1"/>
  <c r="C21" i="1"/>
  <c r="C20" i="1"/>
  <c r="C18" i="1"/>
  <c r="L4" i="3" s="1"/>
  <c r="C16" i="1"/>
  <c r="D173" i="2" s="1"/>
  <c r="C15" i="1"/>
  <c r="C14" i="1"/>
  <c r="C13" i="1"/>
  <c r="C12" i="1"/>
  <c r="C11" i="1"/>
  <c r="M6" i="3" s="1"/>
  <c r="M7" i="3" s="1"/>
  <c r="C9" i="1"/>
  <c r="C8" i="1"/>
  <c r="D109" i="2" s="1"/>
  <c r="D116" i="2" s="1"/>
  <c r="D120" i="2" s="1"/>
  <c r="C6" i="1"/>
  <c r="C5" i="1"/>
  <c r="H112" i="2" s="1"/>
  <c r="H118" i="2" s="1"/>
  <c r="C4" i="1"/>
  <c r="C3" i="1"/>
  <c r="J3" i="3"/>
  <c r="C3" i="3"/>
  <c r="C233" i="2" a="1"/>
  <c r="C233" i="2" s="1"/>
  <c r="C232" i="2" a="1"/>
  <c r="C232" i="2" s="1"/>
  <c r="C231" i="2" a="1"/>
  <c r="C231" i="2" s="1"/>
  <c r="C230" i="2" a="1"/>
  <c r="C230" i="2" s="1"/>
  <c r="C227" i="2" a="1"/>
  <c r="C227" i="2" s="1"/>
  <c r="C226" i="2" a="1"/>
  <c r="C226" i="2" s="1"/>
  <c r="C217" i="2" a="1"/>
  <c r="C217" i="2" s="1"/>
  <c r="F193" i="2"/>
  <c r="D225" i="2" s="1" a="1"/>
  <c r="D225" i="2" s="1"/>
  <c r="H192" i="2"/>
  <c r="C234" i="2" s="1" a="1"/>
  <c r="C234" i="2" s="1"/>
  <c r="G192" i="2"/>
  <c r="F192" i="2"/>
  <c r="E192" i="2"/>
  <c r="D192" i="2"/>
  <c r="H191" i="2"/>
  <c r="G191" i="2"/>
  <c r="F191" i="2"/>
  <c r="C225" i="2" s="1" a="1"/>
  <c r="C225" i="2" s="1"/>
  <c r="E191" i="2"/>
  <c r="C224" i="2" s="1" a="1"/>
  <c r="C224" i="2" s="1"/>
  <c r="D191" i="2"/>
  <c r="C223" i="2" s="1" a="1"/>
  <c r="C223" i="2" s="1"/>
  <c r="H179" i="2"/>
  <c r="C220" i="2" s="1" a="1"/>
  <c r="C220" i="2" s="1"/>
  <c r="G179" i="2"/>
  <c r="C219" i="2" s="1" a="1"/>
  <c r="C219" i="2" s="1"/>
  <c r="F179" i="2"/>
  <c r="C218" i="2" s="1" a="1"/>
  <c r="C218" i="2" s="1"/>
  <c r="E179" i="2"/>
  <c r="D179" i="2"/>
  <c r="C216" i="2" s="1" a="1"/>
  <c r="C216" i="2" s="1"/>
  <c r="H178" i="2"/>
  <c r="C212" i="2" s="1" a="1"/>
  <c r="C212" i="2" s="1"/>
  <c r="G178" i="2"/>
  <c r="C211" i="2" s="1" a="1"/>
  <c r="C211" i="2" s="1"/>
  <c r="F178" i="2"/>
  <c r="C210" i="2" s="1" a="1"/>
  <c r="C210" i="2" s="1"/>
  <c r="E178" i="2"/>
  <c r="C209" i="2" s="1" a="1"/>
  <c r="C209" i="2" s="1"/>
  <c r="D178" i="2"/>
  <c r="C208" i="2" s="1" a="1"/>
  <c r="C208" i="2" s="1"/>
  <c r="F160" i="2"/>
  <c r="E160" i="2"/>
  <c r="F162" i="2"/>
  <c r="F166" i="2" s="1"/>
  <c r="F194" i="2" s="1"/>
  <c r="D232" i="2" s="1" a="1"/>
  <c r="D232" i="2" s="1"/>
  <c r="E162" i="2"/>
  <c r="E166" i="2" s="1"/>
  <c r="F161" i="2"/>
  <c r="E161" i="2"/>
  <c r="E167" i="2" s="1"/>
  <c r="L134" i="2"/>
  <c r="E116" i="2"/>
  <c r="E120" i="2" s="1"/>
  <c r="F116" i="2"/>
  <c r="F120" i="2" s="1"/>
  <c r="F180" i="2" s="1"/>
  <c r="D210" i="2" s="1" a="1"/>
  <c r="D210" i="2" s="1"/>
  <c r="F114" i="2"/>
  <c r="E114" i="2"/>
  <c r="F101" i="2"/>
  <c r="D101" i="2"/>
  <c r="H99" i="2"/>
  <c r="H98" i="2"/>
  <c r="G98" i="2"/>
  <c r="F98" i="2"/>
  <c r="E98" i="2"/>
  <c r="H96" i="2"/>
  <c r="G96" i="2"/>
  <c r="F96" i="2"/>
  <c r="E96" i="2"/>
  <c r="D96" i="2"/>
  <c r="H95" i="2"/>
  <c r="G95" i="2"/>
  <c r="E95" i="2"/>
  <c r="H94" i="2"/>
  <c r="G94" i="2"/>
  <c r="H90" i="2"/>
  <c r="G90" i="2"/>
  <c r="F90" i="2"/>
  <c r="E90" i="2"/>
  <c r="L88" i="2"/>
  <c r="H87" i="2"/>
  <c r="E87" i="2"/>
  <c r="G86" i="2"/>
  <c r="F86" i="2"/>
  <c r="E86" i="2"/>
  <c r="H84" i="2"/>
  <c r="G84" i="2"/>
  <c r="H81" i="2"/>
  <c r="G81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AC43" i="2" s="1"/>
  <c r="F43" i="2"/>
  <c r="E43" i="2"/>
  <c r="D43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AC39" i="2" s="1"/>
  <c r="F39" i="2"/>
  <c r="E39" i="2"/>
  <c r="D39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AC38" i="2" s="1"/>
  <c r="C24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F6" i="2"/>
  <c r="G6" i="2" s="1"/>
  <c r="C6" i="2"/>
  <c r="F4" i="2"/>
  <c r="G4" i="2" s="1"/>
  <c r="C4" i="2"/>
  <c r="D155" i="2" l="1"/>
  <c r="D162" i="2" s="1"/>
  <c r="D166" i="2" s="1"/>
  <c r="D194" i="2" s="1"/>
  <c r="D230" i="2" s="1" a="1"/>
  <c r="D230" i="2" s="1"/>
  <c r="F4" i="3"/>
  <c r="G152" i="2"/>
  <c r="G161" i="2" s="1"/>
  <c r="K6" i="3"/>
  <c r="K7" i="3" s="1"/>
  <c r="K8" i="3" s="1"/>
  <c r="G106" i="2"/>
  <c r="G115" i="2" s="1"/>
  <c r="H152" i="2"/>
  <c r="H161" i="2" s="1"/>
  <c r="F112" i="2"/>
  <c r="F118" i="2" s="1"/>
  <c r="D112" i="2"/>
  <c r="D118" i="2" s="1"/>
  <c r="C4" i="3"/>
  <c r="D4" i="3"/>
  <c r="E4" i="3"/>
  <c r="J6" i="3"/>
  <c r="J7" i="3" s="1"/>
  <c r="J8" i="3" s="1"/>
  <c r="G112" i="2"/>
  <c r="G118" i="2" s="1"/>
  <c r="H158" i="2"/>
  <c r="H164" i="2" s="1"/>
  <c r="M8" i="3"/>
  <c r="E112" i="2"/>
  <c r="E118" i="2" s="1"/>
  <c r="F158" i="2"/>
  <c r="F164" i="2" s="1"/>
  <c r="F168" i="2" s="1"/>
  <c r="E180" i="2"/>
  <c r="D209" i="2" s="1" a="1"/>
  <c r="D209" i="2" s="1"/>
  <c r="E193" i="2"/>
  <c r="D224" i="2" s="1" a="1"/>
  <c r="D224" i="2" s="1"/>
  <c r="D180" i="2"/>
  <c r="D208" i="2" s="1" a="1"/>
  <c r="D208" i="2" s="1"/>
  <c r="D3" i="3"/>
  <c r="D193" i="2"/>
  <c r="D223" i="2" s="1" a="1"/>
  <c r="D223" i="2" s="1"/>
  <c r="C30" i="2"/>
  <c r="C33" i="2"/>
  <c r="C25" i="2"/>
  <c r="C28" i="2"/>
  <c r="C26" i="2"/>
  <c r="C42" i="2"/>
  <c r="C29" i="2"/>
  <c r="D45" i="2"/>
  <c r="C32" i="2"/>
  <c r="C27" i="2"/>
  <c r="H114" i="2"/>
  <c r="H115" i="2"/>
  <c r="G109" i="2"/>
  <c r="G116" i="2" s="1"/>
  <c r="G120" i="2" s="1"/>
  <c r="G155" i="2"/>
  <c r="G162" i="2" s="1"/>
  <c r="G166" i="2" s="1"/>
  <c r="H155" i="2"/>
  <c r="H162" i="2" s="1"/>
  <c r="H166" i="2" s="1"/>
  <c r="H109" i="2"/>
  <c r="H116" i="2" s="1"/>
  <c r="H120" i="2" s="1"/>
  <c r="E196" i="2"/>
  <c r="E231" i="2" s="1" a="1"/>
  <c r="E231" i="2" s="1"/>
  <c r="E183" i="2"/>
  <c r="E217" i="2" s="1" a="1"/>
  <c r="E217" i="2" s="1"/>
  <c r="E194" i="2"/>
  <c r="D231" i="2" s="1" a="1"/>
  <c r="D231" i="2" s="1"/>
  <c r="E181" i="2"/>
  <c r="D217" i="2" s="1" a="1"/>
  <c r="D217" i="2" s="1"/>
  <c r="F181" i="2"/>
  <c r="D218" i="2" s="1" a="1"/>
  <c r="D218" i="2" s="1"/>
  <c r="C31" i="2"/>
  <c r="F167" i="2"/>
  <c r="D172" i="2"/>
  <c r="G24" i="2"/>
  <c r="I24" i="2" s="1"/>
  <c r="O24" i="2" s="1"/>
  <c r="F24" i="2"/>
  <c r="H24" i="2" s="1"/>
  <c r="N24" i="2" s="1"/>
  <c r="AC40" i="2"/>
  <c r="D106" i="2"/>
  <c r="G158" i="2"/>
  <c r="G164" i="2" s="1"/>
  <c r="M4" i="3"/>
  <c r="E115" i="2"/>
  <c r="E121" i="2" s="1"/>
  <c r="C6" i="3"/>
  <c r="C7" i="3" s="1"/>
  <c r="C8" i="3" s="1"/>
  <c r="F115" i="2"/>
  <c r="D6" i="3"/>
  <c r="D7" i="3" s="1"/>
  <c r="D8" i="3" s="1"/>
  <c r="E6" i="3"/>
  <c r="E7" i="3" s="1"/>
  <c r="E8" i="3" s="1"/>
  <c r="F6" i="3"/>
  <c r="F7" i="3" s="1"/>
  <c r="F8" i="3" s="1"/>
  <c r="L6" i="3"/>
  <c r="L7" i="3" s="1"/>
  <c r="L8" i="3" s="1"/>
  <c r="D158" i="2"/>
  <c r="D164" i="2" s="1"/>
  <c r="G173" i="2"/>
  <c r="J4" i="3"/>
  <c r="E158" i="2"/>
  <c r="E164" i="2" s="1"/>
  <c r="E168" i="2" s="1"/>
  <c r="H173" i="2"/>
  <c r="K4" i="3"/>
  <c r="D181" i="2" l="1"/>
  <c r="D216" i="2" s="1" a="1"/>
  <c r="D216" i="2" s="1"/>
  <c r="G160" i="2"/>
  <c r="G168" i="2" s="1"/>
  <c r="G189" i="2" s="1"/>
  <c r="H219" i="2" s="1" a="1"/>
  <c r="H219" i="2" s="1"/>
  <c r="G114" i="2"/>
  <c r="G122" i="2" s="1"/>
  <c r="C9" i="3"/>
  <c r="F122" i="2"/>
  <c r="F197" i="2" s="1"/>
  <c r="F225" i="2" s="1" a="1"/>
  <c r="F225" i="2" s="1"/>
  <c r="H160" i="2"/>
  <c r="H168" i="2" s="1"/>
  <c r="D9" i="3"/>
  <c r="J9" i="3"/>
  <c r="E182" i="2"/>
  <c r="E209" i="2" s="1" a="1"/>
  <c r="E209" i="2" s="1"/>
  <c r="E195" i="2"/>
  <c r="E224" i="2" s="1" a="1"/>
  <c r="E224" i="2" s="1"/>
  <c r="E200" i="2"/>
  <c r="G231" i="2" s="1" a="1"/>
  <c r="G231" i="2" s="1"/>
  <c r="E198" i="2"/>
  <c r="F231" i="2" s="1" a="1"/>
  <c r="F231" i="2" s="1"/>
  <c r="E185" i="2"/>
  <c r="F217" i="2" s="1" a="1"/>
  <c r="F217" i="2" s="1"/>
  <c r="E187" i="2"/>
  <c r="G217" i="2" s="1" a="1"/>
  <c r="G217" i="2" s="1"/>
  <c r="E189" i="2"/>
  <c r="H217" i="2" s="1" a="1"/>
  <c r="H217" i="2" s="1"/>
  <c r="E202" i="2"/>
  <c r="H231" i="2" s="1" a="1"/>
  <c r="H231" i="2" s="1"/>
  <c r="E122" i="2"/>
  <c r="U42" i="2"/>
  <c r="J42" i="2"/>
  <c r="T42" i="2"/>
  <c r="I42" i="2"/>
  <c r="S42" i="2"/>
  <c r="H42" i="2"/>
  <c r="R42" i="2"/>
  <c r="G42" i="2"/>
  <c r="Z42" i="2"/>
  <c r="O42" i="2"/>
  <c r="D42" i="2"/>
  <c r="AC42" i="2" s="1"/>
  <c r="AC44" i="2" s="1"/>
  <c r="D46" i="2" s="1"/>
  <c r="Y42" i="2"/>
  <c r="N42" i="2"/>
  <c r="X42" i="2"/>
  <c r="M42" i="2"/>
  <c r="W42" i="2"/>
  <c r="L42" i="2"/>
  <c r="V42" i="2"/>
  <c r="K42" i="2"/>
  <c r="AB42" i="2"/>
  <c r="Q42" i="2"/>
  <c r="E42" i="2"/>
  <c r="AA42" i="2"/>
  <c r="F42" i="2"/>
  <c r="P42" i="2"/>
  <c r="G28" i="2"/>
  <c r="I28" i="2" s="1"/>
  <c r="O28" i="2" s="1"/>
  <c r="F28" i="2"/>
  <c r="H28" i="2" s="1"/>
  <c r="N28" i="2" s="1"/>
  <c r="F30" i="2"/>
  <c r="H30" i="2" s="1"/>
  <c r="N30" i="2" s="1"/>
  <c r="G30" i="2"/>
  <c r="I30" i="2" s="1"/>
  <c r="O30" i="2" s="1"/>
  <c r="G26" i="2"/>
  <c r="I26" i="2" s="1"/>
  <c r="O26" i="2" s="1"/>
  <c r="F26" i="2"/>
  <c r="H26" i="2" s="1"/>
  <c r="N26" i="2" s="1"/>
  <c r="G31" i="2"/>
  <c r="I31" i="2" s="1"/>
  <c r="O31" i="2" s="1"/>
  <c r="F31" i="2"/>
  <c r="H31" i="2" s="1"/>
  <c r="N31" i="2" s="1"/>
  <c r="G181" i="2"/>
  <c r="D219" i="2" s="1" a="1"/>
  <c r="D219" i="2" s="1"/>
  <c r="G194" i="2"/>
  <c r="D233" i="2" s="1" a="1"/>
  <c r="D233" i="2" s="1"/>
  <c r="G193" i="2"/>
  <c r="D226" i="2" s="1" a="1"/>
  <c r="D226" i="2" s="1"/>
  <c r="G180" i="2"/>
  <c r="D211" i="2" s="1" a="1"/>
  <c r="D211" i="2" s="1"/>
  <c r="H193" i="2"/>
  <c r="D227" i="2" s="1" a="1"/>
  <c r="D227" i="2" s="1"/>
  <c r="H180" i="2"/>
  <c r="D212" i="2" s="1" a="1"/>
  <c r="D212" i="2" s="1"/>
  <c r="K3" i="3"/>
  <c r="K9" i="3" s="1"/>
  <c r="H181" i="2"/>
  <c r="D220" i="2" s="1" a="1"/>
  <c r="D220" i="2" s="1"/>
  <c r="H194" i="2"/>
  <c r="D234" i="2" s="1" a="1"/>
  <c r="D234" i="2" s="1"/>
  <c r="G25" i="2"/>
  <c r="I25" i="2" s="1"/>
  <c r="O25" i="2" s="1"/>
  <c r="F25" i="2"/>
  <c r="H25" i="2" s="1"/>
  <c r="N25" i="2" s="1"/>
  <c r="H122" i="2"/>
  <c r="D161" i="2"/>
  <c r="D160" i="2"/>
  <c r="F121" i="2"/>
  <c r="F198" i="2"/>
  <c r="F232" i="2" s="1" a="1"/>
  <c r="F232" i="2" s="1"/>
  <c r="F202" i="2"/>
  <c r="H232" i="2" s="1" a="1"/>
  <c r="H232" i="2" s="1"/>
  <c r="F200" i="2"/>
  <c r="G232" i="2" s="1" a="1"/>
  <c r="G232" i="2" s="1"/>
  <c r="F185" i="2"/>
  <c r="F218" i="2" s="1" a="1"/>
  <c r="F218" i="2" s="1"/>
  <c r="F187" i="2"/>
  <c r="G218" i="2" s="1" a="1"/>
  <c r="G218" i="2" s="1"/>
  <c r="F189" i="2"/>
  <c r="H218" i="2" s="1" a="1"/>
  <c r="H218" i="2" s="1"/>
  <c r="F33" i="2"/>
  <c r="H33" i="2" s="1"/>
  <c r="N33" i="2" s="1"/>
  <c r="G33" i="2"/>
  <c r="I33" i="2" s="1"/>
  <c r="O33" i="2" s="1"/>
  <c r="H121" i="2"/>
  <c r="G27" i="2"/>
  <c r="I27" i="2" s="1"/>
  <c r="O27" i="2" s="1"/>
  <c r="F27" i="2"/>
  <c r="H27" i="2" s="1"/>
  <c r="N27" i="2" s="1"/>
  <c r="D115" i="2"/>
  <c r="D114" i="2"/>
  <c r="G32" i="2"/>
  <c r="I32" i="2" s="1"/>
  <c r="O32" i="2" s="1"/>
  <c r="F32" i="2"/>
  <c r="H32" i="2" s="1"/>
  <c r="N32" i="2" s="1"/>
  <c r="F196" i="2"/>
  <c r="E232" i="2" s="1" a="1"/>
  <c r="E232" i="2" s="1"/>
  <c r="F183" i="2"/>
  <c r="E218" i="2" s="1" a="1"/>
  <c r="E218" i="2" s="1"/>
  <c r="F29" i="2"/>
  <c r="H29" i="2" s="1"/>
  <c r="N29" i="2" s="1"/>
  <c r="G29" i="2"/>
  <c r="I29" i="2" s="1"/>
  <c r="O29" i="2" s="1"/>
  <c r="G167" i="2" l="1"/>
  <c r="G196" i="2" s="1"/>
  <c r="E233" i="2" s="1" a="1"/>
  <c r="E233" i="2" s="1"/>
  <c r="G121" i="2"/>
  <c r="G195" i="2" s="1"/>
  <c r="E226" i="2" s="1" a="1"/>
  <c r="E226" i="2" s="1"/>
  <c r="F184" i="2"/>
  <c r="F210" i="2" s="1" a="1"/>
  <c r="F210" i="2" s="1"/>
  <c r="F186" i="2"/>
  <c r="G210" i="2" s="1" a="1"/>
  <c r="G210" i="2" s="1"/>
  <c r="F188" i="2"/>
  <c r="H210" i="2" s="1" a="1"/>
  <c r="H210" i="2" s="1"/>
  <c r="F201" i="2"/>
  <c r="H225" i="2" s="1" a="1"/>
  <c r="H225" i="2" s="1"/>
  <c r="F199" i="2"/>
  <c r="G225" i="2" s="1" a="1"/>
  <c r="G225" i="2" s="1"/>
  <c r="G200" i="2"/>
  <c r="G233" i="2" s="1" a="1"/>
  <c r="G233" i="2" s="1"/>
  <c r="G198" i="2"/>
  <c r="F233" i="2" s="1" a="1"/>
  <c r="F233" i="2" s="1"/>
  <c r="H167" i="2"/>
  <c r="G202" i="2"/>
  <c r="H233" i="2" s="1" a="1"/>
  <c r="H233" i="2" s="1"/>
  <c r="G185" i="2"/>
  <c r="F219" i="2" s="1" a="1"/>
  <c r="F219" i="2" s="1"/>
  <c r="G187" i="2"/>
  <c r="G219" i="2" s="1" a="1"/>
  <c r="G219" i="2" s="1"/>
  <c r="D167" i="2"/>
  <c r="D196" i="2" s="1"/>
  <c r="E230" i="2" s="1" a="1"/>
  <c r="E230" i="2" s="1"/>
  <c r="D168" i="2"/>
  <c r="D200" i="2" s="1"/>
  <c r="G230" i="2" s="1" a="1"/>
  <c r="G230" i="2" s="1"/>
  <c r="H198" i="2"/>
  <c r="F234" i="2" s="1" a="1"/>
  <c r="F234" i="2" s="1"/>
  <c r="H200" i="2"/>
  <c r="G234" i="2" s="1" a="1"/>
  <c r="G234" i="2" s="1"/>
  <c r="H202" i="2"/>
  <c r="H234" i="2" s="1" a="1"/>
  <c r="H234" i="2" s="1"/>
  <c r="H187" i="2"/>
  <c r="G220" i="2" s="1" a="1"/>
  <c r="G220" i="2" s="1"/>
  <c r="H189" i="2"/>
  <c r="H220" i="2" s="1" a="1"/>
  <c r="H220" i="2" s="1"/>
  <c r="H185" i="2"/>
  <c r="F220" i="2" s="1" a="1"/>
  <c r="F220" i="2" s="1"/>
  <c r="L3" i="3"/>
  <c r="L9" i="3" s="1"/>
  <c r="H182" i="2"/>
  <c r="E212" i="2" s="1" a="1"/>
  <c r="E212" i="2" s="1"/>
  <c r="H195" i="2"/>
  <c r="E227" i="2" s="1" a="1"/>
  <c r="E227" i="2" s="1"/>
  <c r="H186" i="2"/>
  <c r="G212" i="2" s="1" a="1"/>
  <c r="G212" i="2" s="1"/>
  <c r="H188" i="2"/>
  <c r="H212" i="2" s="1" a="1"/>
  <c r="H212" i="2" s="1"/>
  <c r="H199" i="2"/>
  <c r="G227" i="2" s="1" a="1"/>
  <c r="G227" i="2" s="1"/>
  <c r="M3" i="3"/>
  <c r="M9" i="3" s="1"/>
  <c r="H201" i="2"/>
  <c r="H227" i="2" s="1" a="1"/>
  <c r="H227" i="2" s="1"/>
  <c r="H184" i="2"/>
  <c r="F212" i="2" s="1" a="1"/>
  <c r="F212" i="2" s="1"/>
  <c r="H197" i="2"/>
  <c r="F227" i="2" s="1" a="1"/>
  <c r="F227" i="2" s="1"/>
  <c r="E184" i="2"/>
  <c r="F209" i="2" s="1" a="1"/>
  <c r="F209" i="2" s="1"/>
  <c r="E188" i="2"/>
  <c r="H209" i="2" s="1" a="1"/>
  <c r="H209" i="2" s="1"/>
  <c r="E186" i="2"/>
  <c r="G209" i="2" s="1" a="1"/>
  <c r="G209" i="2" s="1"/>
  <c r="E197" i="2"/>
  <c r="F224" i="2" s="1" a="1"/>
  <c r="F224" i="2" s="1"/>
  <c r="E199" i="2"/>
  <c r="G224" i="2" s="1" a="1"/>
  <c r="G224" i="2" s="1"/>
  <c r="E201" i="2"/>
  <c r="H224" i="2" s="1" a="1"/>
  <c r="H224" i="2" s="1"/>
  <c r="F182" i="2"/>
  <c r="E210" i="2" s="1" a="1"/>
  <c r="E210" i="2" s="1"/>
  <c r="F195" i="2"/>
  <c r="E225" i="2" s="1" a="1"/>
  <c r="E225" i="2" s="1"/>
  <c r="D121" i="2"/>
  <c r="D122" i="2"/>
  <c r="G184" i="2"/>
  <c r="F211" i="2" s="1" a="1"/>
  <c r="F211" i="2" s="1"/>
  <c r="G186" i="2"/>
  <c r="G211" i="2" s="1" a="1"/>
  <c r="G211" i="2" s="1"/>
  <c r="G188" i="2"/>
  <c r="H211" i="2" s="1" a="1"/>
  <c r="H211" i="2" s="1"/>
  <c r="G197" i="2"/>
  <c r="F226" i="2" s="1" a="1"/>
  <c r="F226" i="2" s="1"/>
  <c r="G199" i="2"/>
  <c r="G226" i="2" s="1" a="1"/>
  <c r="G226" i="2" s="1"/>
  <c r="G201" i="2"/>
  <c r="H226" i="2" s="1" a="1"/>
  <c r="H226" i="2" s="1"/>
  <c r="G182" i="2" l="1"/>
  <c r="E211" i="2" s="1" a="1"/>
  <c r="E211" i="2" s="1"/>
  <c r="G183" i="2"/>
  <c r="E219" i="2" s="1" a="1"/>
  <c r="E219" i="2" s="1"/>
  <c r="D183" i="2"/>
  <c r="E216" i="2" s="1" a="1"/>
  <c r="E216" i="2" s="1"/>
  <c r="H196" i="2"/>
  <c r="E234" i="2" s="1" a="1"/>
  <c r="E234" i="2" s="1"/>
  <c r="H183" i="2"/>
  <c r="E220" i="2" s="1" a="1"/>
  <c r="E220" i="2" s="1"/>
  <c r="D198" i="2"/>
  <c r="F230" i="2" s="1" a="1"/>
  <c r="F230" i="2" s="1"/>
  <c r="D189" i="2"/>
  <c r="H216" i="2" s="1" a="1"/>
  <c r="H216" i="2" s="1"/>
  <c r="D202" i="2"/>
  <c r="H230" i="2" s="1" a="1"/>
  <c r="H230" i="2" s="1"/>
  <c r="D187" i="2"/>
  <c r="G216" i="2" s="1" a="1"/>
  <c r="G216" i="2" s="1"/>
  <c r="D185" i="2"/>
  <c r="F216" i="2" s="1" a="1"/>
  <c r="F216" i="2" s="1"/>
  <c r="F3" i="3"/>
  <c r="F9" i="3" s="1"/>
  <c r="D201" i="2"/>
  <c r="H223" i="2" s="1" a="1"/>
  <c r="H223" i="2" s="1"/>
  <c r="D186" i="2"/>
  <c r="G208" i="2" s="1" a="1"/>
  <c r="G208" i="2" s="1"/>
  <c r="D184" i="2"/>
  <c r="F208" i="2" s="1" a="1"/>
  <c r="F208" i="2" s="1"/>
  <c r="D197" i="2"/>
  <c r="F223" i="2" s="1" a="1"/>
  <c r="F223" i="2" s="1"/>
  <c r="D199" i="2"/>
  <c r="G223" i="2" s="1" a="1"/>
  <c r="G223" i="2" s="1"/>
  <c r="D188" i="2"/>
  <c r="H208" i="2" s="1" a="1"/>
  <c r="H208" i="2" s="1"/>
  <c r="E3" i="3"/>
  <c r="E9" i="3" s="1"/>
  <c r="D182" i="2"/>
  <c r="E208" i="2" s="1" a="1"/>
  <c r="E208" i="2" s="1"/>
  <c r="D195" i="2"/>
  <c r="E223" i="2" s="1" a="1"/>
  <c r="E223" i="2" s="1"/>
</calcChain>
</file>

<file path=xl/sharedStrings.xml><?xml version="1.0" encoding="utf-8"?>
<sst xmlns="http://schemas.openxmlformats.org/spreadsheetml/2006/main" count="495" uniqueCount="180">
  <si>
    <t>Parameter</t>
  </si>
  <si>
    <t>Year</t>
  </si>
  <si>
    <t>Value</t>
  </si>
  <si>
    <t>Unit</t>
  </si>
  <si>
    <t>Standard Values</t>
  </si>
  <si>
    <t>Current Year</t>
  </si>
  <si>
    <t>Inflation</t>
  </si>
  <si>
    <t>WACC</t>
  </si>
  <si>
    <t>USD to EUR</t>
  </si>
  <si>
    <t xml:space="preserve">Electricity </t>
  </si>
  <si>
    <t>LCOE</t>
  </si>
  <si>
    <t>$/MWh</t>
  </si>
  <si>
    <t>Jet Fuel A-1 Characteristics</t>
  </si>
  <si>
    <t>Emissions Intensity</t>
  </si>
  <si>
    <t>gCO2/MJ</t>
  </si>
  <si>
    <t>Energy Density</t>
  </si>
  <si>
    <t>MJ/kg</t>
  </si>
  <si>
    <t>MJ/l</t>
  </si>
  <si>
    <t>Volumetric Density</t>
  </si>
  <si>
    <t>kg/l</t>
  </si>
  <si>
    <t>Jet Fuel A-1 Price</t>
  </si>
  <si>
    <t>$/l</t>
  </si>
  <si>
    <t>Scenario Specific Values</t>
  </si>
  <si>
    <t>IEA Reference</t>
  </si>
  <si>
    <t>EIA Reference</t>
  </si>
  <si>
    <t>EIA Low Oil Price Scenario</t>
  </si>
  <si>
    <t>EIA High Scenario</t>
  </si>
  <si>
    <t>Direct Air Capture</t>
  </si>
  <si>
    <t>LCOR</t>
  </si>
  <si>
    <t>$/tCO2</t>
  </si>
  <si>
    <t>Step 1: Define slop of sensitivity function</t>
  </si>
  <si>
    <t>% CAPEX change</t>
  </si>
  <si>
    <t>CAPEX</t>
  </si>
  <si>
    <t>Total fuel cost</t>
  </si>
  <si>
    <t>Change in % fuel cost</t>
  </si>
  <si>
    <t>Corresponds to year</t>
  </si>
  <si>
    <t>Change in generation capital cost</t>
  </si>
  <si>
    <t>-</t>
  </si>
  <si>
    <t>Next decade</t>
  </si>
  <si>
    <t>Today</t>
  </si>
  <si>
    <t>Step 2: Calculation of marginal abatement costs</t>
  </si>
  <si>
    <t>MSP</t>
  </si>
  <si>
    <t>High Fuel cost</t>
  </si>
  <si>
    <t>Low Fuel cost</t>
  </si>
  <si>
    <t>Low AC</t>
  </si>
  <si>
    <t>High AC</t>
  </si>
  <si>
    <t>Solar PV</t>
  </si>
  <si>
    <t>Today, Low-Temp</t>
  </si>
  <si>
    <t>Next-decade, low-temp</t>
  </si>
  <si>
    <t>Next-decade, high-temp</t>
  </si>
  <si>
    <t>2050, low-temp</t>
  </si>
  <si>
    <t>2050, high temp</t>
  </si>
  <si>
    <t>Wind</t>
  </si>
  <si>
    <t>Step 3: Calculate effect of MSP sensitivitiy on abatement cost sensitivitiy</t>
  </si>
  <si>
    <t>MSP * 1,21</t>
  </si>
  <si>
    <t>Low AC (High Fuel cost)</t>
  </si>
  <si>
    <t>High AC (low fuel cost)</t>
  </si>
  <si>
    <t>Change in AC in for 80% increase in CAPEX</t>
  </si>
  <si>
    <t>Change in AC for change in 100% of CAPEX</t>
  </si>
  <si>
    <t>Step 4: Calculate LCOE manually</t>
  </si>
  <si>
    <t>Year 0</t>
  </si>
  <si>
    <t>Costs</t>
  </si>
  <si>
    <t>Production</t>
  </si>
  <si>
    <t>Change in CAPEX by</t>
  </si>
  <si>
    <t>Causes change in LCOE by</t>
  </si>
  <si>
    <t>Step 5: Sensitivity of abatement cost caused by LCOE change</t>
  </si>
  <si>
    <t>not necessary - change in CAPEX and change in LCOE is the same</t>
  </si>
  <si>
    <t>Appendix: LCOE calculations</t>
  </si>
  <si>
    <t>Electricity CAPEX</t>
  </si>
  <si>
    <t>Electricity OPEX</t>
  </si>
  <si>
    <t>Lifetime</t>
  </si>
  <si>
    <t>Discount rate</t>
  </si>
  <si>
    <t>Hours running</t>
  </si>
  <si>
    <t>Figure 2</t>
  </si>
  <si>
    <t>$(2017)/liter of gasoline equivalent</t>
  </si>
  <si>
    <t>Today, low-temp</t>
  </si>
  <si>
    <t>Breakthrough, high-temp</t>
  </si>
  <si>
    <t>Breakthrough, low-temp</t>
  </si>
  <si>
    <t xml:space="preserve"> </t>
  </si>
  <si>
    <t>Solar PV LCOE</t>
  </si>
  <si>
    <t>Renewable generation</t>
  </si>
  <si>
    <t>Electricity storage</t>
  </si>
  <si>
    <t>OPEX</t>
  </si>
  <si>
    <t>Electricity: Variable</t>
  </si>
  <si>
    <t>Electrolyzer</t>
  </si>
  <si>
    <t>Capacity</t>
  </si>
  <si>
    <t>Hydrogen storage</t>
  </si>
  <si>
    <t>Hydrogen: Variable</t>
  </si>
  <si>
    <t>Electric kiln</t>
  </si>
  <si>
    <t>Heat storage</t>
  </si>
  <si>
    <t>WACC sensitivity</t>
  </si>
  <si>
    <t>$/GGE</t>
  </si>
  <si>
    <t>Heat: Variable</t>
  </si>
  <si>
    <t>DAC</t>
  </si>
  <si>
    <t>CO2 storage</t>
  </si>
  <si>
    <t>Fuel synthesis</t>
  </si>
  <si>
    <t>Fuel storage</t>
  </si>
  <si>
    <t>Fuel: Variable</t>
  </si>
  <si>
    <t>Grid interconnection</t>
  </si>
  <si>
    <t>Grid electricity</t>
  </si>
  <si>
    <t>Fuel pipeline</t>
  </si>
  <si>
    <t>Fuel pipeline: Variable</t>
  </si>
  <si>
    <t>Natural gas interconnection</t>
  </si>
  <si>
    <t>Natural gas</t>
  </si>
  <si>
    <t>Water interconnection</t>
  </si>
  <si>
    <t>Water</t>
  </si>
  <si>
    <t>Carbon payments</t>
  </si>
  <si>
    <t>Totals</t>
  </si>
  <si>
    <t>SS</t>
  </si>
  <si>
    <t>Assumed DAC costs</t>
  </si>
  <si>
    <t>LS</t>
  </si>
  <si>
    <t>New DAC costs</t>
  </si>
  <si>
    <t>Assumed LCOE</t>
  </si>
  <si>
    <t>New LCOE</t>
  </si>
  <si>
    <t>Assumed WACC</t>
  </si>
  <si>
    <t>New DAC</t>
  </si>
  <si>
    <t>New Carbon payments</t>
  </si>
  <si>
    <t>New Renewable generation</t>
  </si>
  <si>
    <t>WACC correction</t>
  </si>
  <si>
    <t>New Total</t>
  </si>
  <si>
    <t>w/LCOE</t>
  </si>
  <si>
    <t>w/LCOE + DAC</t>
  </si>
  <si>
    <t>w/LCOE + DAC + WACC</t>
  </si>
  <si>
    <t>Today, no storage</t>
  </si>
  <si>
    <t>Wind LCOE</t>
  </si>
  <si>
    <t>Null</t>
  </si>
  <si>
    <t>4.915m</t>
  </si>
  <si>
    <t>1.74m</t>
  </si>
  <si>
    <t>1.504m</t>
  </si>
  <si>
    <t>439.2u</t>
  </si>
  <si>
    <t>8.836m</t>
  </si>
  <si>
    <t>5.106m</t>
  </si>
  <si>
    <t>2.377m</t>
  </si>
  <si>
    <t>158.7u</t>
  </si>
  <si>
    <t>186.4u</t>
  </si>
  <si>
    <t>330.6u</t>
  </si>
  <si>
    <t>699.3u</t>
  </si>
  <si>
    <t>2.442m</t>
  </si>
  <si>
    <t>1.351m</t>
  </si>
  <si>
    <t>1.37m</t>
  </si>
  <si>
    <t>228.8u</t>
  </si>
  <si>
    <t>230.3u</t>
  </si>
  <si>
    <t>4.668m</t>
  </si>
  <si>
    <t>5.164m</t>
  </si>
  <si>
    <t>828.9u</t>
  </si>
  <si>
    <t>730u</t>
  </si>
  <si>
    <t>5.536m</t>
  </si>
  <si>
    <t>1.098m</t>
  </si>
  <si>
    <t>419u</t>
  </si>
  <si>
    <t>Undefined</t>
  </si>
  <si>
    <t>Standardised value</t>
  </si>
  <si>
    <t>GHG_petrofuel</t>
  </si>
  <si>
    <t>same</t>
  </si>
  <si>
    <t>kgCO2/lge</t>
  </si>
  <si>
    <t>Costs_petrofuel</t>
  </si>
  <si>
    <t>$/lge</t>
  </si>
  <si>
    <t>Initial abatement cost</t>
  </si>
  <si>
    <t>Solar PV (0,35 $/lge)</t>
  </si>
  <si>
    <t>Wind (0,35 $/lge)</t>
  </si>
  <si>
    <t>Abatement cost w/ new LCOE</t>
  </si>
  <si>
    <t>Abatement cost w/ new LCOE + DAC</t>
  </si>
  <si>
    <t>Abatement cost w/ new LCOE + DAC + WACC</t>
  </si>
  <si>
    <t>Abatement cost w/ new LCOE + DAC + WACC + ff_cost</t>
  </si>
  <si>
    <t>Abatement cost w/ new LCOE + DAC + WACC + ff_cost + ff_GHG</t>
  </si>
  <si>
    <t>Solar PV (0,8§ $/lge)</t>
  </si>
  <si>
    <t>Wind (0,81 $/lge)</t>
  </si>
  <si>
    <t>low temp</t>
  </si>
  <si>
    <t>high temp</t>
  </si>
  <si>
    <t>Base case</t>
  </si>
  <si>
    <t>Electricity correction</t>
  </si>
  <si>
    <t>DAC correction</t>
  </si>
  <si>
    <t>Syn-Fuel cost</t>
  </si>
  <si>
    <t>Fossil Fuel cost</t>
  </si>
  <si>
    <t>Syn-Fuel emissions</t>
  </si>
  <si>
    <t>gCO2eq/MJ</t>
  </si>
  <si>
    <t>Fossil Fuel emissions</t>
  </si>
  <si>
    <t>CO2 Abated</t>
  </si>
  <si>
    <t>gCO2eq/l</t>
  </si>
  <si>
    <t>Abatement cost</t>
  </si>
  <si>
    <t>Low FLH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</si>
</sst>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.00\ _€_-;\-* #,##0.00\ _€_-;_-* &quot;-&quot;??\ _€_-;_-@_-"/>
    <numFmt numFmtId="166" formatCode="_-* #,##0.0000_-;\-* #,##0.0000_-;_-* &quot;-&quot;??_-;_-@_-"/>
    <numFmt numFmtId="167" formatCode="_-* #,##0_-;\-* #,##0_-;_-* &quot;-&quot;??_-;_-@_-"/>
  </numFmts>
  <fonts count="1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 (Body)"/>
    </font>
    <font>
      <sz val="11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4" fontId="1" fillId="0" borderId="0"/>
    <xf numFmtId="9" fontId="1" fillId="0" borderId="0"/>
    <xf numFmtId="0" fontId="2" fillId="0" borderId="1"/>
    <xf numFmtId="0" fontId="3" fillId="2" borderId="0"/>
    <xf numFmtId="0" fontId="4" fillId="3" borderId="2"/>
  </cellStyleXfs>
  <cellXfs count="58">
    <xf numFmtId="0" fontId="0" fillId="0" borderId="0" xfId="0"/>
    <xf numFmtId="0" fontId="3" fillId="2" borderId="0" xfId="4"/>
    <xf numFmtId="0" fontId="5" fillId="0" borderId="0" xfId="0" applyFont="1" applyAlignment="1">
      <alignment wrapText="1"/>
    </xf>
    <xf numFmtId="9" fontId="0" fillId="0" borderId="0" xfId="2" applyFont="1"/>
    <xf numFmtId="164" fontId="0" fillId="0" borderId="0" xfId="1" applyFont="1"/>
    <xf numFmtId="165" fontId="0" fillId="0" borderId="0" xfId="0" applyNumberFormat="1"/>
    <xf numFmtId="0" fontId="5" fillId="0" borderId="0" xfId="0" applyFont="1"/>
    <xf numFmtId="164" fontId="5" fillId="0" borderId="0" xfId="1" applyFont="1"/>
    <xf numFmtId="9" fontId="5" fillId="0" borderId="0" xfId="2" applyFont="1"/>
    <xf numFmtId="9" fontId="0" fillId="0" borderId="0" xfId="0" applyNumberFormat="1"/>
    <xf numFmtId="164" fontId="1" fillId="0" borderId="0" xfId="1"/>
    <xf numFmtId="9" fontId="1" fillId="0" borderId="0" xfId="2"/>
    <xf numFmtId="166" fontId="0" fillId="0" borderId="0" xfId="1" applyNumberFormat="1" applyFont="1"/>
    <xf numFmtId="10" fontId="0" fillId="0" borderId="0" xfId="0" applyNumberFormat="1"/>
    <xf numFmtId="10" fontId="0" fillId="0" borderId="0" xfId="2" applyNumberFormat="1" applyFont="1"/>
    <xf numFmtId="0" fontId="2" fillId="0" borderId="1" xfId="3"/>
    <xf numFmtId="0" fontId="6" fillId="0" borderId="0" xfId="0" applyFont="1"/>
    <xf numFmtId="0" fontId="7" fillId="0" borderId="0" xfId="0" applyFont="1"/>
    <xf numFmtId="0" fontId="0" fillId="4" borderId="0" xfId="0" applyFill="1"/>
    <xf numFmtId="167" fontId="0" fillId="0" borderId="0" xfId="1" applyNumberFormat="1" applyFont="1"/>
    <xf numFmtId="167" fontId="0" fillId="0" borderId="0" xfId="0" applyNumberFormat="1"/>
    <xf numFmtId="164" fontId="4" fillId="3" borderId="2" xfId="5" applyNumberFormat="1"/>
    <xf numFmtId="164" fontId="0" fillId="0" borderId="0" xfId="0" applyNumberFormat="1"/>
    <xf numFmtId="9" fontId="4" fillId="3" borderId="2" xfId="5" applyNumberFormat="1"/>
    <xf numFmtId="0" fontId="0" fillId="0" borderId="3" xfId="0" applyBorder="1"/>
    <xf numFmtId="0" fontId="0" fillId="0" borderId="4" xfId="0" applyBorder="1"/>
    <xf numFmtId="165" fontId="0" fillId="0" borderId="4" xfId="0" applyNumberFormat="1" applyBorder="1"/>
    <xf numFmtId="165" fontId="0" fillId="0" borderId="5" xfId="0" applyNumberFormat="1" applyBorder="1"/>
    <xf numFmtId="0" fontId="0" fillId="0" borderId="6" xfId="0" applyBorder="1"/>
    <xf numFmtId="165" fontId="0" fillId="0" borderId="7" xfId="0" applyNumberFormat="1" applyBorder="1"/>
    <xf numFmtId="0" fontId="0" fillId="0" borderId="8" xfId="0" applyBorder="1"/>
    <xf numFmtId="0" fontId="0" fillId="0" borderId="9" xfId="0" applyBorder="1"/>
    <xf numFmtId="165" fontId="0" fillId="0" borderId="9" xfId="0" applyNumberFormat="1" applyBorder="1"/>
    <xf numFmtId="165" fontId="0" fillId="0" borderId="10" xfId="0" applyNumberFormat="1" applyBorder="1"/>
    <xf numFmtId="164" fontId="0" fillId="0" borderId="3" xfId="1" applyFont="1" applyBorder="1"/>
    <xf numFmtId="164" fontId="0" fillId="0" borderId="4" xfId="1" applyFont="1" applyBorder="1"/>
    <xf numFmtId="164" fontId="0" fillId="0" borderId="5" xfId="1" applyFont="1" applyBorder="1"/>
    <xf numFmtId="164" fontId="0" fillId="0" borderId="6" xfId="1" applyFont="1" applyBorder="1"/>
    <xf numFmtId="164" fontId="0" fillId="0" borderId="7" xfId="1" applyFont="1" applyBorder="1"/>
    <xf numFmtId="164" fontId="5" fillId="0" borderId="6" xfId="1" applyFont="1" applyBorder="1"/>
    <xf numFmtId="164" fontId="5" fillId="0" borderId="7" xfId="1" applyFont="1" applyBorder="1"/>
    <xf numFmtId="164" fontId="5" fillId="0" borderId="8" xfId="1" applyFont="1" applyBorder="1"/>
    <xf numFmtId="164" fontId="5" fillId="0" borderId="9" xfId="1" applyFont="1" applyBorder="1"/>
    <xf numFmtId="164" fontId="5" fillId="0" borderId="10" xfId="1" applyFont="1" applyBorder="1"/>
    <xf numFmtId="164" fontId="0" fillId="0" borderId="9" xfId="1" applyFont="1" applyBorder="1"/>
    <xf numFmtId="0" fontId="8" fillId="0" borderId="0" xfId="0" applyFont="1"/>
    <xf numFmtId="0" fontId="8" fillId="5" borderId="0" xfId="0" applyFont="1" applyFill="1"/>
    <xf numFmtId="0" fontId="0" fillId="5" borderId="0" xfId="0" applyFill="1"/>
    <xf numFmtId="2" fontId="0" fillId="0" borderId="0" xfId="0" applyNumberFormat="1"/>
    <xf numFmtId="0" fontId="9" fillId="0" borderId="0" xfId="0" applyFont="1"/>
    <xf numFmtId="0" fontId="8" fillId="6" borderId="0" xfId="0" applyFont="1" applyFill="1"/>
    <xf numFmtId="0" fontId="0" fillId="6" borderId="0" xfId="0" applyFill="1"/>
    <xf numFmtId="0" fontId="10" fillId="0" borderId="11" xfId="0" applyFont="1" applyBorder="1"/>
    <xf numFmtId="0" fontId="11" fillId="0" borderId="11" xfId="0" applyFont="1" applyBorder="1"/>
    <xf numFmtId="0" fontId="0" fillId="0" borderId="11" xfId="0" applyBorder="1"/>
    <xf numFmtId="2" fontId="0" fillId="0" borderId="11" xfId="0" applyNumberFormat="1" applyBorder="1"/>
    <xf numFmtId="0" fontId="8" fillId="5" borderId="12" xfId="0" applyFont="1" applyFill="1" applyBorder="1" applyAlignment="1">
      <alignment horizontal="center"/>
    </xf>
    <xf numFmtId="0" fontId="0" fillId="0" borderId="12" xfId="0" applyBorder="1"/>
  </cellXfs>
  <cellStyles count="6">
    <cellStyle name="Comma" xfId="1" builtinId="3"/>
    <cellStyle name="Heading 1" xfId="3" builtinId="16"/>
    <cellStyle name="Input" xfId="5" builtinId="20"/>
    <cellStyle name="Neutral" xfId="4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ksievert_ethz_ch/Documents/SAF/_DACCS%20vs%20Synfuels/Meta%20Analysis_SAF/Harmonization_SAF/Harmonization%20Sheets/Master%20Standardisation_SAF.xlsx" TargetMode="External"/><Relationship Id="rId1" Type="http://schemas.openxmlformats.org/officeDocument/2006/relationships/externalLinkPath" Target="Master%20Standardisation_SA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MZUE4YIPAMGRCJYCYPO4ESO2WS">
      <xxl21:absoluteUrl r:id="rId2"/>
    </xxl21:alternateUrls>
    <sheetNames>
      <sheetName val="Intro"/>
      <sheetName val="Steps"/>
      <sheetName val="Inputs"/>
      <sheetName val="Electricity"/>
      <sheetName val="Standard Input Calculations"/>
      <sheetName val="Sensitivities"/>
      <sheetName val="Notes for Study Parameters"/>
      <sheetName val="Studies current &amp; future cost"/>
      <sheetName val="Study Parameters"/>
      <sheetName val="Study Parameters 2050"/>
      <sheetName val="Standardization Results"/>
      <sheetName val="CO2 Effect"/>
      <sheetName val="Median CO2"/>
      <sheetName val="Low CO2"/>
      <sheetName val="High CO2"/>
      <sheetName val="Reference"/>
      <sheetName val="High Elec High CO2"/>
      <sheetName val="Low Elec Low CO2"/>
      <sheetName val="Results Reference"/>
      <sheetName val="Results Low Fossil Price"/>
      <sheetName val="Results High Fossil Price"/>
      <sheetName val="Full Abatement"/>
      <sheetName val="Descriptive Stats"/>
      <sheetName val="Per Passenger Cost Calculation"/>
    </sheetNames>
    <sheetDataSet>
      <sheetData sheetId="0"/>
      <sheetData sheetId="1"/>
      <sheetData sheetId="2">
        <row r="4">
          <cell r="C4">
            <v>2024</v>
          </cell>
        </row>
        <row r="5">
          <cell r="C5">
            <v>0.02</v>
          </cell>
        </row>
        <row r="6">
          <cell r="C6">
            <v>7.0000000000000007E-2</v>
          </cell>
        </row>
        <row r="7">
          <cell r="C7">
            <v>0.9</v>
          </cell>
        </row>
        <row r="9">
          <cell r="C9">
            <v>64</v>
          </cell>
        </row>
        <row r="10">
          <cell r="C10">
            <v>11</v>
          </cell>
        </row>
        <row r="12">
          <cell r="C12">
            <v>88.7</v>
          </cell>
        </row>
        <row r="13">
          <cell r="C13">
            <v>88.7</v>
          </cell>
        </row>
        <row r="14">
          <cell r="C14">
            <v>43.2</v>
          </cell>
        </row>
        <row r="15">
          <cell r="C15">
            <v>34.689600000000006</v>
          </cell>
        </row>
        <row r="16">
          <cell r="C16">
            <v>0.80300000000000005</v>
          </cell>
        </row>
        <row r="17">
          <cell r="C17">
            <v>0.8</v>
          </cell>
        </row>
        <row r="19">
          <cell r="C19">
            <v>0.8</v>
          </cell>
        </row>
        <row r="21">
          <cell r="C21">
            <v>0.32246153846153797</v>
          </cell>
        </row>
        <row r="22">
          <cell r="C22">
            <v>0.20923076923076925</v>
          </cell>
        </row>
        <row r="24">
          <cell r="C24">
            <v>1.0209014091790563</v>
          </cell>
        </row>
        <row r="25">
          <cell r="C25">
            <v>2.0095593639301876</v>
          </cell>
        </row>
        <row r="27">
          <cell r="C27">
            <v>0.4828683335488041</v>
          </cell>
        </row>
        <row r="28">
          <cell r="C28">
            <v>0.89646574789915967</v>
          </cell>
        </row>
        <row r="30">
          <cell r="C30">
            <v>1.8838712863606983</v>
          </cell>
        </row>
        <row r="31">
          <cell r="C31">
            <v>3.7893730833872015</v>
          </cell>
        </row>
        <row r="33">
          <cell r="C33">
            <v>1282</v>
          </cell>
        </row>
        <row r="34">
          <cell r="C34">
            <v>480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16" workbookViewId="0">
      <selection activeCell="E29" sqref="E29"/>
    </sheetView>
  </sheetViews>
  <sheetFormatPr defaultColWidth="11" defaultRowHeight="15.75"/>
  <cols>
    <col min="3" max="3" width="12.625" bestFit="1" customWidth="1"/>
  </cols>
  <sheetData>
    <row r="1" spans="1:4">
      <c r="A1" s="45" t="s">
        <v>0</v>
      </c>
      <c r="B1" s="45" t="s">
        <v>1</v>
      </c>
      <c r="C1" s="45" t="s">
        <v>2</v>
      </c>
      <c r="D1" s="45" t="s">
        <v>3</v>
      </c>
    </row>
    <row r="2" spans="1:4" s="47" customFormat="1">
      <c r="A2" s="46" t="s">
        <v>4</v>
      </c>
    </row>
    <row r="3" spans="1:4">
      <c r="A3" t="s">
        <v>5</v>
      </c>
      <c r="C3">
        <f>[1]Inputs!C4</f>
        <v>2024</v>
      </c>
    </row>
    <row r="4" spans="1:4">
      <c r="A4" t="s">
        <v>6</v>
      </c>
      <c r="C4" s="11">
        <f>[1]Inputs!C5</f>
        <v>0.02</v>
      </c>
    </row>
    <row r="5" spans="1:4">
      <c r="A5" t="s">
        <v>7</v>
      </c>
      <c r="C5" s="11">
        <f>[1]Inputs!C6</f>
        <v>7.0000000000000007E-2</v>
      </c>
    </row>
    <row r="6" spans="1:4">
      <c r="A6" t="s">
        <v>8</v>
      </c>
      <c r="C6">
        <f>[1]Inputs!C7</f>
        <v>0.9</v>
      </c>
    </row>
    <row r="7" spans="1:4" s="47" customFormat="1">
      <c r="A7" s="46" t="s">
        <v>9</v>
      </c>
    </row>
    <row r="8" spans="1:4">
      <c r="A8" s="49" t="s">
        <v>10</v>
      </c>
      <c r="B8">
        <v>2024</v>
      </c>
      <c r="C8" s="48">
        <f>[1]Inputs!C9</f>
        <v>64</v>
      </c>
      <c r="D8" t="s">
        <v>11</v>
      </c>
    </row>
    <row r="9" spans="1:4">
      <c r="A9" s="49" t="s">
        <v>10</v>
      </c>
      <c r="B9">
        <v>2050</v>
      </c>
      <c r="C9" s="48">
        <f>[1]Inputs!C10</f>
        <v>11</v>
      </c>
      <c r="D9" t="s">
        <v>11</v>
      </c>
    </row>
    <row r="10" spans="1:4" s="47" customFormat="1">
      <c r="A10" s="46" t="s">
        <v>12</v>
      </c>
    </row>
    <row r="11" spans="1:4">
      <c r="A11" t="s">
        <v>13</v>
      </c>
      <c r="B11">
        <v>2024</v>
      </c>
      <c r="C11" s="48">
        <f>[1]Inputs!C12</f>
        <v>88.7</v>
      </c>
      <c r="D11" t="s">
        <v>14</v>
      </c>
    </row>
    <row r="12" spans="1:4">
      <c r="A12" t="s">
        <v>13</v>
      </c>
      <c r="B12">
        <v>2050</v>
      </c>
      <c r="C12" s="48">
        <f>[1]Inputs!C13</f>
        <v>88.7</v>
      </c>
      <c r="D12" t="s">
        <v>14</v>
      </c>
    </row>
    <row r="13" spans="1:4">
      <c r="A13" t="s">
        <v>15</v>
      </c>
      <c r="C13" s="48">
        <f>[1]Inputs!C14</f>
        <v>43.2</v>
      </c>
      <c r="D13" t="s">
        <v>16</v>
      </c>
    </row>
    <row r="14" spans="1:4">
      <c r="A14" t="s">
        <v>15</v>
      </c>
      <c r="C14" s="48">
        <f>[1]Inputs!C15</f>
        <v>34.689600000000006</v>
      </c>
      <c r="D14" t="s">
        <v>17</v>
      </c>
    </row>
    <row r="15" spans="1:4">
      <c r="A15" t="s">
        <v>18</v>
      </c>
      <c r="C15" s="48">
        <f>[1]Inputs!C16</f>
        <v>0.80300000000000005</v>
      </c>
      <c r="D15" t="s">
        <v>19</v>
      </c>
    </row>
    <row r="16" spans="1:4">
      <c r="A16" t="s">
        <v>20</v>
      </c>
      <c r="B16">
        <v>2024</v>
      </c>
      <c r="C16" s="48">
        <f>[1]Inputs!C17</f>
        <v>0.8</v>
      </c>
      <c r="D16" t="s">
        <v>21</v>
      </c>
    </row>
    <row r="17" spans="1:4" s="47" customFormat="1">
      <c r="A17" s="46" t="s">
        <v>22</v>
      </c>
    </row>
    <row r="18" spans="1:4">
      <c r="A18" s="49" t="s">
        <v>20</v>
      </c>
      <c r="B18">
        <v>2050</v>
      </c>
      <c r="C18" s="48">
        <f>[1]Inputs!C19</f>
        <v>0.8</v>
      </c>
      <c r="D18" t="s">
        <v>21</v>
      </c>
    </row>
    <row r="19" spans="1:4" s="51" customFormat="1">
      <c r="A19" s="50" t="s">
        <v>23</v>
      </c>
    </row>
    <row r="20" spans="1:4">
      <c r="A20" t="s">
        <v>20</v>
      </c>
      <c r="B20">
        <v>2024</v>
      </c>
      <c r="C20" s="48">
        <f>[1]Inputs!C21</f>
        <v>0.32246153846153797</v>
      </c>
      <c r="D20" t="s">
        <v>21</v>
      </c>
    </row>
    <row r="21" spans="1:4">
      <c r="A21" t="s">
        <v>20</v>
      </c>
      <c r="B21">
        <v>2050</v>
      </c>
      <c r="C21" s="48">
        <f>[1]Inputs!C22</f>
        <v>0.20923076923076925</v>
      </c>
      <c r="D21" t="s">
        <v>21</v>
      </c>
    </row>
    <row r="22" spans="1:4" s="51" customFormat="1">
      <c r="A22" s="50" t="s">
        <v>24</v>
      </c>
    </row>
    <row r="23" spans="1:4">
      <c r="A23" t="s">
        <v>20</v>
      </c>
      <c r="B23">
        <v>2024</v>
      </c>
      <c r="C23" s="48">
        <f>[1]Inputs!C24</f>
        <v>1.0209014091790563</v>
      </c>
      <c r="D23" t="s">
        <v>21</v>
      </c>
    </row>
    <row r="24" spans="1:4">
      <c r="A24" t="s">
        <v>20</v>
      </c>
      <c r="B24">
        <v>2050</v>
      </c>
      <c r="C24" s="48">
        <f>[1]Inputs!C25</f>
        <v>2.0095593639301876</v>
      </c>
      <c r="D24" t="s">
        <v>21</v>
      </c>
    </row>
    <row r="25" spans="1:4" s="51" customFormat="1">
      <c r="A25" s="50" t="s">
        <v>25</v>
      </c>
    </row>
    <row r="26" spans="1:4">
      <c r="A26" t="s">
        <v>20</v>
      </c>
      <c r="B26">
        <v>2024</v>
      </c>
      <c r="C26" s="48">
        <f>[1]Inputs!C27</f>
        <v>0.4828683335488041</v>
      </c>
      <c r="D26" t="s">
        <v>21</v>
      </c>
    </row>
    <row r="27" spans="1:4">
      <c r="A27" t="s">
        <v>20</v>
      </c>
      <c r="B27">
        <v>2050</v>
      </c>
      <c r="C27" s="48">
        <f>[1]Inputs!C28</f>
        <v>0.89646574789915967</v>
      </c>
      <c r="D27" t="s">
        <v>21</v>
      </c>
    </row>
    <row r="28" spans="1:4" s="51" customFormat="1">
      <c r="A28" s="50" t="s">
        <v>26</v>
      </c>
    </row>
    <row r="29" spans="1:4">
      <c r="A29" t="s">
        <v>20</v>
      </c>
      <c r="B29">
        <v>2024</v>
      </c>
      <c r="C29" s="48">
        <f>[1]Inputs!C30</f>
        <v>1.8838712863606983</v>
      </c>
      <c r="D29" t="s">
        <v>21</v>
      </c>
    </row>
    <row r="30" spans="1:4">
      <c r="A30" t="s">
        <v>20</v>
      </c>
      <c r="B30">
        <v>2050</v>
      </c>
      <c r="C30" s="48">
        <f>[1]Inputs!C31</f>
        <v>3.7893730833872015</v>
      </c>
      <c r="D30" t="s">
        <v>21</v>
      </c>
    </row>
    <row r="31" spans="1:4" s="47" customFormat="1">
      <c r="A31" s="46" t="s">
        <v>27</v>
      </c>
    </row>
    <row r="32" spans="1:4">
      <c r="A32" t="s">
        <v>28</v>
      </c>
      <c r="B32">
        <v>2024</v>
      </c>
      <c r="C32" s="48">
        <f>[1]Inputs!C33</f>
        <v>1282</v>
      </c>
      <c r="D32" t="s">
        <v>29</v>
      </c>
    </row>
    <row r="33" spans="1:4">
      <c r="A33" t="s">
        <v>28</v>
      </c>
      <c r="B33">
        <v>2050</v>
      </c>
      <c r="C33" s="48">
        <f>[1]Inputs!C34</f>
        <v>480</v>
      </c>
      <c r="D3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J234"/>
  <sheetViews>
    <sheetView topLeftCell="A79" zoomScale="75" workbookViewId="0">
      <selection activeCell="D81" sqref="D81"/>
    </sheetView>
  </sheetViews>
  <sheetFormatPr defaultColWidth="11" defaultRowHeight="15.75"/>
  <cols>
    <col min="1" max="1" width="3" customWidth="1"/>
    <col min="2" max="2" width="62.125" bestFit="1" customWidth="1"/>
    <col min="3" max="3" width="14.375" bestFit="1" customWidth="1"/>
    <col min="4" max="4" width="14.125" bestFit="1" customWidth="1"/>
    <col min="7" max="8" width="11.125" bestFit="1" customWidth="1"/>
    <col min="9" max="9" width="21.125" bestFit="1" customWidth="1"/>
    <col min="11" max="11" width="16.625" bestFit="1" customWidth="1"/>
    <col min="12" max="15" width="15.625" bestFit="1" customWidth="1"/>
  </cols>
  <sheetData>
    <row r="2" spans="2:9">
      <c r="B2" s="1" t="s">
        <v>30</v>
      </c>
      <c r="C2" s="1"/>
      <c r="D2" s="1"/>
    </row>
    <row r="3" spans="2:9" s="2" customFormat="1" ht="33.950000000000003" customHeight="1">
      <c r="C3" s="2" t="s">
        <v>31</v>
      </c>
      <c r="D3" s="2" t="s">
        <v>32</v>
      </c>
      <c r="F3" s="2" t="s">
        <v>33</v>
      </c>
      <c r="G3" s="2" t="s">
        <v>34</v>
      </c>
      <c r="I3" s="2" t="s">
        <v>35</v>
      </c>
    </row>
    <row r="4" spans="2:9">
      <c r="B4" t="s">
        <v>36</v>
      </c>
      <c r="C4" s="3">
        <f>D4/D5-1</f>
        <v>-0.19999999999999996</v>
      </c>
      <c r="D4">
        <v>400</v>
      </c>
      <c r="E4">
        <v>-0.09</v>
      </c>
      <c r="F4">
        <f>F5+E4</f>
        <v>1.5899999999999999</v>
      </c>
      <c r="G4" s="3">
        <f>F4/F5</f>
        <v>0.9464285714285714</v>
      </c>
      <c r="I4">
        <v>2050</v>
      </c>
    </row>
    <row r="5" spans="2:9">
      <c r="D5">
        <v>500</v>
      </c>
      <c r="E5">
        <v>0</v>
      </c>
      <c r="F5">
        <v>1.68</v>
      </c>
      <c r="G5" t="s">
        <v>37</v>
      </c>
      <c r="I5" t="s">
        <v>38</v>
      </c>
    </row>
    <row r="6" spans="2:9">
      <c r="C6" s="3">
        <f>D6/D5-1</f>
        <v>0.8</v>
      </c>
      <c r="D6">
        <v>900</v>
      </c>
      <c r="E6">
        <v>0.35</v>
      </c>
      <c r="F6">
        <f>F5+E6</f>
        <v>2.0299999999999998</v>
      </c>
      <c r="G6" s="3">
        <f>F6/F5</f>
        <v>1.2083333333333333</v>
      </c>
      <c r="I6" t="s">
        <v>39</v>
      </c>
    </row>
    <row r="8" spans="2:9">
      <c r="B8" s="1" t="s">
        <v>40</v>
      </c>
      <c r="C8" s="1"/>
      <c r="D8" s="1"/>
    </row>
    <row r="9" spans="2:9">
      <c r="C9" t="s">
        <v>41</v>
      </c>
      <c r="D9" t="s">
        <v>42</v>
      </c>
      <c r="E9" t="s">
        <v>43</v>
      </c>
      <c r="F9" t="s">
        <v>44</v>
      </c>
      <c r="G9" t="s">
        <v>45</v>
      </c>
    </row>
    <row r="10" spans="2:9">
      <c r="B10" t="s">
        <v>46</v>
      </c>
      <c r="C10">
        <v>4.657</v>
      </c>
      <c r="D10">
        <v>0.81</v>
      </c>
      <c r="E10">
        <v>0.35</v>
      </c>
      <c r="F10" s="4">
        <f>($C10-D10)/(2.75)*1000</f>
        <v>1398.909090909091</v>
      </c>
      <c r="G10" s="4">
        <f>($C10-E10)/(2.75)*1000</f>
        <v>1566.1818181818182</v>
      </c>
      <c r="H10" s="5"/>
      <c r="I10" t="s">
        <v>47</v>
      </c>
    </row>
    <row r="11" spans="2:9">
      <c r="C11">
        <v>1.6759999999999999</v>
      </c>
      <c r="D11">
        <v>0.81</v>
      </c>
      <c r="E11">
        <v>0.35</v>
      </c>
      <c r="F11" s="4">
        <f t="shared" ref="F11:F19" si="0">(C11-D11)/(2.75)*1000</f>
        <v>314.90909090909088</v>
      </c>
      <c r="G11" s="4">
        <f t="shared" ref="G11:G19" si="1">($C11-E11)/(2.75)*1000</f>
        <v>482.18181818181819</v>
      </c>
      <c r="H11" s="5"/>
      <c r="I11" t="s">
        <v>48</v>
      </c>
    </row>
    <row r="12" spans="2:9">
      <c r="C12">
        <v>1.698</v>
      </c>
      <c r="D12">
        <v>0.81</v>
      </c>
      <c r="E12">
        <v>0.35</v>
      </c>
      <c r="F12" s="4">
        <f t="shared" si="0"/>
        <v>322.90909090909088</v>
      </c>
      <c r="G12" s="4">
        <f t="shared" si="1"/>
        <v>490.18181818181813</v>
      </c>
      <c r="H12" s="5"/>
      <c r="I12" t="s">
        <v>49</v>
      </c>
    </row>
    <row r="13" spans="2:9">
      <c r="C13">
        <v>0.95140000000000002</v>
      </c>
      <c r="D13">
        <v>0.81</v>
      </c>
      <c r="E13">
        <v>0.35</v>
      </c>
      <c r="F13" s="4">
        <f t="shared" si="0"/>
        <v>51.418181818181807</v>
      </c>
      <c r="G13" s="4">
        <f t="shared" si="1"/>
        <v>218.69090909090912</v>
      </c>
      <c r="H13" s="5"/>
      <c r="I13" t="s">
        <v>50</v>
      </c>
    </row>
    <row r="14" spans="2:9">
      <c r="C14">
        <v>0.95189999999999997</v>
      </c>
      <c r="D14">
        <v>0.81</v>
      </c>
      <c r="E14">
        <v>0.35</v>
      </c>
      <c r="F14" s="4">
        <f t="shared" si="0"/>
        <v>51.599999999999973</v>
      </c>
      <c r="G14" s="4">
        <f t="shared" si="1"/>
        <v>218.87272727272727</v>
      </c>
      <c r="H14" s="5"/>
      <c r="I14" t="s">
        <v>51</v>
      </c>
    </row>
    <row r="15" spans="2:9">
      <c r="B15" t="s">
        <v>52</v>
      </c>
      <c r="C15">
        <v>4.415</v>
      </c>
      <c r="D15">
        <v>0.81</v>
      </c>
      <c r="E15">
        <v>0.35</v>
      </c>
      <c r="F15" s="4">
        <f t="shared" si="0"/>
        <v>1310.9090909090908</v>
      </c>
      <c r="G15" s="4">
        <f t="shared" si="1"/>
        <v>1478.1818181818182</v>
      </c>
      <c r="H15" s="5"/>
      <c r="I15" t="s">
        <v>47</v>
      </c>
    </row>
    <row r="16" spans="2:9">
      <c r="C16">
        <v>1.7609999999999999</v>
      </c>
      <c r="D16">
        <v>0.81</v>
      </c>
      <c r="E16">
        <v>0.35</v>
      </c>
      <c r="F16" s="4">
        <f t="shared" si="0"/>
        <v>345.81818181818176</v>
      </c>
      <c r="G16" s="4">
        <f t="shared" si="1"/>
        <v>513.09090909090912</v>
      </c>
      <c r="H16" s="5"/>
      <c r="I16" t="s">
        <v>48</v>
      </c>
    </row>
    <row r="17" spans="2:15">
      <c r="C17">
        <v>1.77</v>
      </c>
      <c r="D17">
        <v>0.81</v>
      </c>
      <c r="E17">
        <v>0.35</v>
      </c>
      <c r="F17" s="4">
        <f t="shared" si="0"/>
        <v>349.09090909090907</v>
      </c>
      <c r="G17" s="4">
        <f t="shared" si="1"/>
        <v>516.36363636363637</v>
      </c>
      <c r="H17" s="5"/>
      <c r="I17" t="s">
        <v>49</v>
      </c>
    </row>
    <row r="18" spans="2:15">
      <c r="C18">
        <v>0.98770000000000002</v>
      </c>
      <c r="D18">
        <v>0.81</v>
      </c>
      <c r="E18">
        <v>0.35</v>
      </c>
      <c r="F18" s="4">
        <f t="shared" si="0"/>
        <v>64.61818181818181</v>
      </c>
      <c r="G18" s="4">
        <f t="shared" si="1"/>
        <v>231.89090909090913</v>
      </c>
      <c r="H18" s="5"/>
      <c r="I18" t="s">
        <v>50</v>
      </c>
    </row>
    <row r="19" spans="2:15">
      <c r="C19">
        <v>0.98209999999999997</v>
      </c>
      <c r="D19">
        <v>0.81</v>
      </c>
      <c r="E19">
        <v>0.35</v>
      </c>
      <c r="F19" s="4">
        <f t="shared" si="0"/>
        <v>62.581818181818157</v>
      </c>
      <c r="G19" s="4">
        <f t="shared" si="1"/>
        <v>229.85454545454544</v>
      </c>
      <c r="H19" s="5"/>
      <c r="I19" t="s">
        <v>51</v>
      </c>
    </row>
    <row r="21" spans="2:15">
      <c r="B21" s="1" t="s">
        <v>53</v>
      </c>
      <c r="C21" s="1"/>
      <c r="D21" s="1"/>
    </row>
    <row r="23" spans="2:15">
      <c r="C23" t="s">
        <v>54</v>
      </c>
      <c r="D23" t="s">
        <v>42</v>
      </c>
      <c r="E23" t="s">
        <v>43</v>
      </c>
      <c r="F23" t="s">
        <v>55</v>
      </c>
      <c r="G23" t="s">
        <v>56</v>
      </c>
      <c r="H23" t="s">
        <v>57</v>
      </c>
      <c r="N23" t="s">
        <v>58</v>
      </c>
    </row>
    <row r="24" spans="2:15">
      <c r="B24" s="6" t="s">
        <v>46</v>
      </c>
      <c r="C24" s="7">
        <f t="shared" ref="C24:C33" si="2">C10*$G$6</f>
        <v>5.6272083333333329</v>
      </c>
      <c r="D24" s="6">
        <v>0.81</v>
      </c>
      <c r="E24" s="6">
        <v>0.35</v>
      </c>
      <c r="F24" s="7">
        <f t="shared" ref="F24:F33" si="3">($C24-D24)/(2.75)*1000</f>
        <v>1751.7121212121212</v>
      </c>
      <c r="G24" s="7">
        <f t="shared" ref="G24:G33" si="4">($C24-E24)/(2.75)*1000</f>
        <v>1918.9848484848485</v>
      </c>
      <c r="H24" s="8">
        <f t="shared" ref="H24:H33" si="5">F24/F10</f>
        <v>1.2521986829564162</v>
      </c>
      <c r="I24" s="8">
        <f t="shared" ref="I24:I33" si="6">G24/G10</f>
        <v>1.2252631375280552</v>
      </c>
      <c r="K24" t="s">
        <v>47</v>
      </c>
      <c r="N24" s="9">
        <f t="shared" ref="N24:N33" si="7">(H24-1)/($C$6)+1</f>
        <v>1.3152483536955204</v>
      </c>
      <c r="O24" s="9">
        <f t="shared" ref="O24:O33" si="8">(I24-1)/($C$6)+1</f>
        <v>1.2815789219100688</v>
      </c>
    </row>
    <row r="25" spans="2:15">
      <c r="C25" s="10">
        <f t="shared" si="2"/>
        <v>2.0251666666666663</v>
      </c>
      <c r="D25">
        <v>0.81</v>
      </c>
      <c r="E25">
        <v>0.35</v>
      </c>
      <c r="F25" s="10">
        <f t="shared" si="3"/>
        <v>441.87878787878776</v>
      </c>
      <c r="G25" s="10">
        <f t="shared" si="4"/>
        <v>609.15151515151501</v>
      </c>
      <c r="H25" s="11">
        <f t="shared" si="5"/>
        <v>1.4031947652040029</v>
      </c>
      <c r="I25" s="11">
        <f t="shared" si="6"/>
        <v>1.2633232780291601</v>
      </c>
      <c r="K25" t="s">
        <v>48</v>
      </c>
      <c r="N25" s="9">
        <f t="shared" si="7"/>
        <v>1.5039934565050035</v>
      </c>
      <c r="O25" s="9">
        <f t="shared" si="8"/>
        <v>1.3291540975364502</v>
      </c>
    </row>
    <row r="26" spans="2:15">
      <c r="C26" s="10">
        <f t="shared" si="2"/>
        <v>2.0517499999999997</v>
      </c>
      <c r="D26">
        <v>0.81</v>
      </c>
      <c r="E26">
        <v>0.35</v>
      </c>
      <c r="F26" s="10">
        <f t="shared" si="3"/>
        <v>451.54545454545439</v>
      </c>
      <c r="G26" s="10">
        <f t="shared" si="4"/>
        <v>618.81818181818176</v>
      </c>
      <c r="H26" s="11">
        <f t="shared" si="5"/>
        <v>1.3983671171171168</v>
      </c>
      <c r="I26" s="11">
        <f t="shared" si="6"/>
        <v>1.2624258160237389</v>
      </c>
      <c r="K26" t="s">
        <v>49</v>
      </c>
      <c r="N26" s="9">
        <f t="shared" si="7"/>
        <v>1.4979588963963959</v>
      </c>
      <c r="O26" s="9">
        <f t="shared" si="8"/>
        <v>1.3280322700296736</v>
      </c>
    </row>
    <row r="27" spans="2:15">
      <c r="C27" s="10">
        <f t="shared" si="2"/>
        <v>1.1496083333333333</v>
      </c>
      <c r="D27">
        <v>0.81</v>
      </c>
      <c r="E27">
        <v>0.35</v>
      </c>
      <c r="F27" s="10">
        <f t="shared" si="3"/>
        <v>123.49393939393937</v>
      </c>
      <c r="G27" s="10">
        <f t="shared" si="4"/>
        <v>290.76666666666665</v>
      </c>
      <c r="H27" s="11">
        <f t="shared" si="5"/>
        <v>2.4017562470532767</v>
      </c>
      <c r="I27" s="11">
        <f t="shared" si="6"/>
        <v>1.3295782064072716</v>
      </c>
      <c r="K27" t="s">
        <v>50</v>
      </c>
      <c r="N27" s="9">
        <f t="shared" si="7"/>
        <v>2.7521953088165958</v>
      </c>
      <c r="O27" s="9">
        <f t="shared" si="8"/>
        <v>1.4119727580090895</v>
      </c>
    </row>
    <row r="28" spans="2:15">
      <c r="C28" s="10">
        <f t="shared" si="2"/>
        <v>1.1502124999999999</v>
      </c>
      <c r="D28">
        <v>0.81</v>
      </c>
      <c r="E28">
        <v>0.35</v>
      </c>
      <c r="F28" s="10">
        <f t="shared" si="3"/>
        <v>123.71363636363628</v>
      </c>
      <c r="G28" s="10">
        <f t="shared" si="4"/>
        <v>290.98636363636359</v>
      </c>
      <c r="H28" s="11">
        <f t="shared" si="5"/>
        <v>2.3975510923185337</v>
      </c>
      <c r="I28" s="11">
        <f t="shared" si="6"/>
        <v>1.3294774879548095</v>
      </c>
      <c r="K28" t="s">
        <v>51</v>
      </c>
      <c r="N28" s="9">
        <f t="shared" si="7"/>
        <v>2.746938865398167</v>
      </c>
      <c r="O28" s="9">
        <f t="shared" si="8"/>
        <v>1.4118468599435119</v>
      </c>
    </row>
    <row r="29" spans="2:15">
      <c r="B29" t="s">
        <v>52</v>
      </c>
      <c r="C29" s="10">
        <f t="shared" si="2"/>
        <v>5.3347916666666668</v>
      </c>
      <c r="D29">
        <v>0.81</v>
      </c>
      <c r="E29">
        <v>0.35</v>
      </c>
      <c r="F29" s="10">
        <f t="shared" si="3"/>
        <v>1645.378787878788</v>
      </c>
      <c r="G29" s="10">
        <f t="shared" si="4"/>
        <v>1812.6515151515152</v>
      </c>
      <c r="H29" s="11">
        <f t="shared" si="5"/>
        <v>1.2551433194637081</v>
      </c>
      <c r="I29" s="11">
        <f t="shared" si="6"/>
        <v>1.2262710127101271</v>
      </c>
      <c r="K29" t="s">
        <v>47</v>
      </c>
      <c r="N29" s="9">
        <f t="shared" si="7"/>
        <v>1.3189291493296351</v>
      </c>
      <c r="O29" s="9">
        <f t="shared" si="8"/>
        <v>1.2828387658876588</v>
      </c>
    </row>
    <row r="30" spans="2:15">
      <c r="C30" s="10">
        <f t="shared" si="2"/>
        <v>2.127875</v>
      </c>
      <c r="D30">
        <v>0.81</v>
      </c>
      <c r="E30">
        <v>0.35</v>
      </c>
      <c r="F30" s="10">
        <f t="shared" si="3"/>
        <v>479.22727272727269</v>
      </c>
      <c r="G30" s="10">
        <f t="shared" si="4"/>
        <v>646.5</v>
      </c>
      <c r="H30" s="11">
        <f t="shared" si="5"/>
        <v>1.3857781282860149</v>
      </c>
      <c r="I30" s="11">
        <f t="shared" si="6"/>
        <v>1.2600106307583274</v>
      </c>
      <c r="K30" t="s">
        <v>48</v>
      </c>
      <c r="N30" s="9">
        <f t="shared" si="7"/>
        <v>1.4822226603575186</v>
      </c>
      <c r="O30" s="9">
        <f t="shared" si="8"/>
        <v>1.3250132884479093</v>
      </c>
    </row>
    <row r="31" spans="2:15">
      <c r="C31" s="10">
        <f t="shared" si="2"/>
        <v>2.1387499999999999</v>
      </c>
      <c r="D31">
        <v>0.81</v>
      </c>
      <c r="E31">
        <v>0.35</v>
      </c>
      <c r="F31" s="10">
        <f t="shared" si="3"/>
        <v>483.18181818181813</v>
      </c>
      <c r="G31" s="10">
        <f t="shared" si="4"/>
        <v>650.45454545454538</v>
      </c>
      <c r="H31" s="11">
        <f t="shared" si="5"/>
        <v>1.3841145833333333</v>
      </c>
      <c r="I31" s="11">
        <f t="shared" si="6"/>
        <v>1.259683098591549</v>
      </c>
      <c r="K31" t="s">
        <v>49</v>
      </c>
      <c r="N31" s="9">
        <f t="shared" si="7"/>
        <v>1.4801432291666665</v>
      </c>
      <c r="O31" s="9">
        <f t="shared" si="8"/>
        <v>1.3246038732394363</v>
      </c>
    </row>
    <row r="32" spans="2:15">
      <c r="C32" s="10">
        <f t="shared" si="2"/>
        <v>1.1934708333333333</v>
      </c>
      <c r="D32">
        <v>0.81</v>
      </c>
      <c r="E32">
        <v>0.35</v>
      </c>
      <c r="F32" s="10">
        <f t="shared" si="3"/>
        <v>139.44393939393933</v>
      </c>
      <c r="G32" s="10">
        <f t="shared" si="4"/>
        <v>306.71666666666664</v>
      </c>
      <c r="H32" s="11">
        <f t="shared" si="5"/>
        <v>2.1579675483023815</v>
      </c>
      <c r="I32" s="11">
        <f t="shared" si="6"/>
        <v>1.3226765459202339</v>
      </c>
      <c r="K32" t="s">
        <v>50</v>
      </c>
      <c r="N32" s="9">
        <f t="shared" si="7"/>
        <v>2.4474594353779766</v>
      </c>
      <c r="O32" s="9">
        <f t="shared" si="8"/>
        <v>1.4033456824002923</v>
      </c>
    </row>
    <row r="33" spans="2:30">
      <c r="C33" s="10">
        <f t="shared" si="2"/>
        <v>1.1867041666666667</v>
      </c>
      <c r="D33">
        <v>0.81</v>
      </c>
      <c r="E33">
        <v>0.35</v>
      </c>
      <c r="F33" s="10">
        <f t="shared" si="3"/>
        <v>136.98333333333332</v>
      </c>
      <c r="G33" s="10">
        <f t="shared" si="4"/>
        <v>304.25606060606066</v>
      </c>
      <c r="H33" s="11">
        <f t="shared" si="5"/>
        <v>2.1888679062560534</v>
      </c>
      <c r="I33" s="11">
        <f t="shared" si="6"/>
        <v>1.3236895533407165</v>
      </c>
      <c r="K33" t="s">
        <v>51</v>
      </c>
      <c r="N33" s="9">
        <f t="shared" si="7"/>
        <v>2.4860848828200668</v>
      </c>
      <c r="O33" s="9">
        <f t="shared" si="8"/>
        <v>1.4046119416758955</v>
      </c>
    </row>
    <row r="35" spans="2:30">
      <c r="B35" s="1" t="s">
        <v>59</v>
      </c>
      <c r="C35" s="1"/>
      <c r="D35" s="1"/>
    </row>
    <row r="37" spans="2:30">
      <c r="B37" t="s">
        <v>60</v>
      </c>
      <c r="C37">
        <v>0</v>
      </c>
      <c r="D37">
        <v>1</v>
      </c>
      <c r="E37">
        <v>2</v>
      </c>
      <c r="F37">
        <v>3</v>
      </c>
      <c r="G37">
        <v>4</v>
      </c>
      <c r="H37">
        <v>5</v>
      </c>
      <c r="I37">
        <v>6</v>
      </c>
      <c r="J37">
        <v>7</v>
      </c>
      <c r="K37">
        <v>8</v>
      </c>
      <c r="L37">
        <v>9</v>
      </c>
      <c r="M37">
        <v>10</v>
      </c>
      <c r="N37">
        <v>11</v>
      </c>
      <c r="O37">
        <v>12</v>
      </c>
      <c r="P37">
        <v>13</v>
      </c>
      <c r="Q37">
        <v>14</v>
      </c>
      <c r="R37">
        <v>15</v>
      </c>
      <c r="S37">
        <v>16</v>
      </c>
      <c r="T37">
        <v>17</v>
      </c>
      <c r="U37">
        <v>18</v>
      </c>
      <c r="V37">
        <v>19</v>
      </c>
      <c r="W37">
        <v>20</v>
      </c>
      <c r="X37">
        <v>21</v>
      </c>
      <c r="Y37">
        <v>22</v>
      </c>
      <c r="Z37">
        <v>23</v>
      </c>
      <c r="AA37">
        <v>24</v>
      </c>
      <c r="AB37">
        <v>25</v>
      </c>
    </row>
    <row r="38" spans="2:30">
      <c r="B38" t="s">
        <v>61</v>
      </c>
      <c r="C38">
        <v>900</v>
      </c>
      <c r="D38" s="4">
        <f t="shared" ref="D38:AB38" si="9">$C$38*1%/(1.1)^D$37</f>
        <v>8.1818181818181817</v>
      </c>
      <c r="E38" s="4">
        <f t="shared" si="9"/>
        <v>7.438016528925619</v>
      </c>
      <c r="F38" s="4">
        <f t="shared" si="9"/>
        <v>6.7618332081141981</v>
      </c>
      <c r="G38" s="4">
        <f t="shared" si="9"/>
        <v>6.1471210982856341</v>
      </c>
      <c r="H38" s="4">
        <f t="shared" si="9"/>
        <v>5.5882919075323949</v>
      </c>
      <c r="I38" s="4">
        <f t="shared" si="9"/>
        <v>5.0802653704839944</v>
      </c>
      <c r="J38" s="4">
        <f t="shared" si="9"/>
        <v>4.6184230640763584</v>
      </c>
      <c r="K38" s="4">
        <f t="shared" si="9"/>
        <v>4.1985664218875982</v>
      </c>
      <c r="L38" s="4">
        <f t="shared" si="9"/>
        <v>3.8168785653523618</v>
      </c>
      <c r="M38" s="4">
        <f t="shared" si="9"/>
        <v>3.469889604865783</v>
      </c>
      <c r="N38" s="4">
        <f t="shared" si="9"/>
        <v>3.1544450953325298</v>
      </c>
      <c r="O38" s="4">
        <f t="shared" si="9"/>
        <v>2.867677359393209</v>
      </c>
      <c r="P38" s="4">
        <f t="shared" si="9"/>
        <v>2.6069794176301899</v>
      </c>
      <c r="Q38" s="4">
        <f t="shared" si="9"/>
        <v>2.3699812887547176</v>
      </c>
      <c r="R38" s="4">
        <f t="shared" si="9"/>
        <v>2.1545284443224704</v>
      </c>
      <c r="S38" s="4">
        <f t="shared" si="9"/>
        <v>1.9586622221113368</v>
      </c>
      <c r="T38" s="4">
        <f t="shared" si="9"/>
        <v>1.7806020201012152</v>
      </c>
      <c r="U38" s="4">
        <f t="shared" si="9"/>
        <v>1.6187291091829228</v>
      </c>
      <c r="V38" s="4">
        <f t="shared" si="9"/>
        <v>1.4715719174390205</v>
      </c>
      <c r="W38" s="4">
        <f t="shared" si="9"/>
        <v>1.3377926522172914</v>
      </c>
      <c r="X38" s="4">
        <f t="shared" si="9"/>
        <v>1.2161751383793558</v>
      </c>
      <c r="Y38" s="4">
        <f t="shared" si="9"/>
        <v>1.1056137621630504</v>
      </c>
      <c r="Z38" s="4">
        <f t="shared" si="9"/>
        <v>1.0051034201482276</v>
      </c>
      <c r="AA38" s="4">
        <f t="shared" si="9"/>
        <v>0.91373038195293432</v>
      </c>
      <c r="AB38" s="4">
        <f t="shared" si="9"/>
        <v>0.83066398359357652</v>
      </c>
      <c r="AC38" s="4">
        <f>SUM(C38:AB38)</f>
        <v>981.69336016406442</v>
      </c>
    </row>
    <row r="39" spans="2:30">
      <c r="B39" t="s">
        <v>62</v>
      </c>
      <c r="C39">
        <v>0</v>
      </c>
      <c r="D39" s="4">
        <f t="shared" ref="D39:AB39" si="10">8760*29.3%/(1.1)^D37</f>
        <v>2333.3454545454542</v>
      </c>
      <c r="E39" s="4">
        <f t="shared" si="10"/>
        <v>2121.2231404958675</v>
      </c>
      <c r="F39" s="4">
        <f t="shared" si="10"/>
        <v>1928.3846731780609</v>
      </c>
      <c r="G39" s="4">
        <f t="shared" si="10"/>
        <v>1753.0769756164191</v>
      </c>
      <c r="H39" s="4">
        <f t="shared" si="10"/>
        <v>1593.7063414694717</v>
      </c>
      <c r="I39" s="4">
        <f t="shared" si="10"/>
        <v>1448.8239467904286</v>
      </c>
      <c r="J39" s="4">
        <f t="shared" si="10"/>
        <v>1317.1126789003895</v>
      </c>
      <c r="K39" s="4">
        <f t="shared" si="10"/>
        <v>1197.375162636718</v>
      </c>
      <c r="L39" s="4">
        <f t="shared" si="10"/>
        <v>1088.5228751242889</v>
      </c>
      <c r="M39" s="4">
        <f t="shared" si="10"/>
        <v>989.56625011298979</v>
      </c>
      <c r="N39" s="4">
        <f t="shared" si="10"/>
        <v>899.60568192089966</v>
      </c>
      <c r="O39" s="4">
        <f t="shared" si="10"/>
        <v>817.82334720081792</v>
      </c>
      <c r="P39" s="4">
        <f t="shared" si="10"/>
        <v>743.47577018256175</v>
      </c>
      <c r="Q39" s="4">
        <f t="shared" si="10"/>
        <v>675.88706380232873</v>
      </c>
      <c r="R39" s="4">
        <f t="shared" si="10"/>
        <v>614.44278527484425</v>
      </c>
      <c r="S39" s="4">
        <f t="shared" si="10"/>
        <v>558.5843502498584</v>
      </c>
      <c r="T39" s="4">
        <f t="shared" si="10"/>
        <v>507.80395477259856</v>
      </c>
      <c r="U39" s="4">
        <f t="shared" si="10"/>
        <v>461.63995888418049</v>
      </c>
      <c r="V39" s="4">
        <f t="shared" si="10"/>
        <v>419.67268989470944</v>
      </c>
      <c r="W39" s="4">
        <f t="shared" si="10"/>
        <v>381.52062717700858</v>
      </c>
      <c r="X39" s="4">
        <f t="shared" si="10"/>
        <v>346.83693379728049</v>
      </c>
      <c r="Y39" s="4">
        <f t="shared" si="10"/>
        <v>315.30630345207311</v>
      </c>
      <c r="Z39" s="4">
        <f t="shared" si="10"/>
        <v>286.64209404733919</v>
      </c>
      <c r="AA39" s="4">
        <f t="shared" si="10"/>
        <v>260.5837218612175</v>
      </c>
      <c r="AB39" s="4">
        <f t="shared" si="10"/>
        <v>236.89429260110674</v>
      </c>
      <c r="AC39" s="4">
        <f>SUM(C39:AB39)</f>
        <v>23297.857073988915</v>
      </c>
    </row>
    <row r="40" spans="2:30">
      <c r="AC40" s="12">
        <f>AC38/AC39*1000</f>
        <v>42.136637590591292</v>
      </c>
      <c r="AD40" t="s">
        <v>11</v>
      </c>
    </row>
    <row r="41" spans="2:30">
      <c r="B41" t="s">
        <v>60</v>
      </c>
      <c r="C41">
        <v>0</v>
      </c>
      <c r="D41">
        <v>1</v>
      </c>
      <c r="E41">
        <v>2</v>
      </c>
      <c r="F41">
        <v>3</v>
      </c>
      <c r="G41">
        <v>4</v>
      </c>
      <c r="H41">
        <v>5</v>
      </c>
      <c r="I41">
        <v>6</v>
      </c>
      <c r="J41">
        <v>7</v>
      </c>
      <c r="K41">
        <v>8</v>
      </c>
      <c r="L41">
        <v>9</v>
      </c>
      <c r="M41">
        <v>10</v>
      </c>
      <c r="N41">
        <v>11</v>
      </c>
      <c r="O41">
        <v>12</v>
      </c>
      <c r="P41">
        <v>13</v>
      </c>
      <c r="Q41">
        <v>14</v>
      </c>
      <c r="R41">
        <v>15</v>
      </c>
      <c r="S41">
        <v>16</v>
      </c>
      <c r="T41">
        <v>17</v>
      </c>
      <c r="U41">
        <v>18</v>
      </c>
      <c r="V41">
        <v>19</v>
      </c>
      <c r="W41">
        <v>20</v>
      </c>
      <c r="X41">
        <v>21</v>
      </c>
      <c r="Y41">
        <v>22</v>
      </c>
      <c r="Z41">
        <v>23</v>
      </c>
      <c r="AA41">
        <v>24</v>
      </c>
      <c r="AB41">
        <v>25</v>
      </c>
    </row>
    <row r="42" spans="2:30">
      <c r="B42" t="s">
        <v>61</v>
      </c>
      <c r="C42">
        <f>900*G6</f>
        <v>1087.5</v>
      </c>
      <c r="D42" s="4">
        <f t="shared" ref="D42:AB42" si="11">$C$42*1%/(1.1)^D$41</f>
        <v>9.8863636363636349</v>
      </c>
      <c r="E42" s="4">
        <f t="shared" si="11"/>
        <v>8.9876033057851235</v>
      </c>
      <c r="F42" s="4">
        <f t="shared" si="11"/>
        <v>8.1705484598046549</v>
      </c>
      <c r="G42" s="4">
        <f t="shared" si="11"/>
        <v>7.427771327095142</v>
      </c>
      <c r="H42" s="4">
        <f t="shared" si="11"/>
        <v>6.7525193882683103</v>
      </c>
      <c r="I42" s="4">
        <f t="shared" si="11"/>
        <v>6.1386539893348271</v>
      </c>
      <c r="J42" s="4">
        <f t="shared" si="11"/>
        <v>5.5805945357589328</v>
      </c>
      <c r="K42" s="4">
        <f t="shared" si="11"/>
        <v>5.0732677597808484</v>
      </c>
      <c r="L42" s="4">
        <f t="shared" si="11"/>
        <v>4.6120615998007706</v>
      </c>
      <c r="M42" s="4">
        <f t="shared" si="11"/>
        <v>4.1927832725461549</v>
      </c>
      <c r="N42" s="4">
        <f t="shared" si="11"/>
        <v>3.8116211568601401</v>
      </c>
      <c r="O42" s="4">
        <f t="shared" si="11"/>
        <v>3.4651101426001274</v>
      </c>
      <c r="P42" s="4">
        <f t="shared" si="11"/>
        <v>3.1501001296364795</v>
      </c>
      <c r="Q42" s="4">
        <f t="shared" si="11"/>
        <v>2.8637273905786174</v>
      </c>
      <c r="R42" s="4">
        <f t="shared" si="11"/>
        <v>2.6033885368896521</v>
      </c>
      <c r="S42" s="4">
        <f t="shared" si="11"/>
        <v>2.3667168517178654</v>
      </c>
      <c r="T42" s="4">
        <f t="shared" si="11"/>
        <v>2.1515607742889684</v>
      </c>
      <c r="U42" s="4">
        <f t="shared" si="11"/>
        <v>1.9559643402626985</v>
      </c>
      <c r="V42" s="4">
        <f t="shared" si="11"/>
        <v>1.7781494002388163</v>
      </c>
      <c r="W42" s="4">
        <f t="shared" si="11"/>
        <v>1.6164994547625604</v>
      </c>
      <c r="X42" s="4">
        <f t="shared" si="11"/>
        <v>1.4695449588750549</v>
      </c>
      <c r="Y42" s="4">
        <f t="shared" si="11"/>
        <v>1.3359499626136859</v>
      </c>
      <c r="Z42" s="4">
        <f t="shared" si="11"/>
        <v>1.2144999660124416</v>
      </c>
      <c r="AA42" s="4">
        <f t="shared" si="11"/>
        <v>1.1040908781931289</v>
      </c>
      <c r="AB42" s="4">
        <f t="shared" si="11"/>
        <v>1.0037189801755715</v>
      </c>
      <c r="AC42" s="4">
        <f>SUM(C42:AB42)</f>
        <v>1186.2128101982451</v>
      </c>
    </row>
    <row r="43" spans="2:30">
      <c r="B43" t="s">
        <v>62</v>
      </c>
      <c r="C43">
        <v>0</v>
      </c>
      <c r="D43" s="4">
        <f t="shared" ref="D43:AB43" si="12">8760*29.3%/(1.1)^D41</f>
        <v>2333.3454545454542</v>
      </c>
      <c r="E43" s="4">
        <f t="shared" si="12"/>
        <v>2121.2231404958675</v>
      </c>
      <c r="F43" s="4">
        <f t="shared" si="12"/>
        <v>1928.3846731780609</v>
      </c>
      <c r="G43" s="4">
        <f t="shared" si="12"/>
        <v>1753.0769756164191</v>
      </c>
      <c r="H43" s="4">
        <f t="shared" si="12"/>
        <v>1593.7063414694717</v>
      </c>
      <c r="I43" s="4">
        <f t="shared" si="12"/>
        <v>1448.8239467904286</v>
      </c>
      <c r="J43" s="4">
        <f t="shared" si="12"/>
        <v>1317.1126789003895</v>
      </c>
      <c r="K43" s="4">
        <f t="shared" si="12"/>
        <v>1197.375162636718</v>
      </c>
      <c r="L43" s="4">
        <f t="shared" si="12"/>
        <v>1088.5228751242889</v>
      </c>
      <c r="M43" s="4">
        <f t="shared" si="12"/>
        <v>989.56625011298979</v>
      </c>
      <c r="N43" s="4">
        <f t="shared" si="12"/>
        <v>899.60568192089966</v>
      </c>
      <c r="O43" s="4">
        <f t="shared" si="12"/>
        <v>817.82334720081792</v>
      </c>
      <c r="P43" s="4">
        <f t="shared" si="12"/>
        <v>743.47577018256175</v>
      </c>
      <c r="Q43" s="4">
        <f t="shared" si="12"/>
        <v>675.88706380232873</v>
      </c>
      <c r="R43" s="4">
        <f t="shared" si="12"/>
        <v>614.44278527484425</v>
      </c>
      <c r="S43" s="4">
        <f t="shared" si="12"/>
        <v>558.5843502498584</v>
      </c>
      <c r="T43" s="4">
        <f t="shared" si="12"/>
        <v>507.80395477259856</v>
      </c>
      <c r="U43" s="4">
        <f t="shared" si="12"/>
        <v>461.63995888418049</v>
      </c>
      <c r="V43" s="4">
        <f t="shared" si="12"/>
        <v>419.67268989470944</v>
      </c>
      <c r="W43" s="4">
        <f t="shared" si="12"/>
        <v>381.52062717700858</v>
      </c>
      <c r="X43" s="4">
        <f t="shared" si="12"/>
        <v>346.83693379728049</v>
      </c>
      <c r="Y43" s="4">
        <f t="shared" si="12"/>
        <v>315.30630345207311</v>
      </c>
      <c r="Z43" s="4">
        <f t="shared" si="12"/>
        <v>286.64209404733919</v>
      </c>
      <c r="AA43" s="4">
        <f t="shared" si="12"/>
        <v>260.5837218612175</v>
      </c>
      <c r="AB43" s="4">
        <f t="shared" si="12"/>
        <v>236.89429260110674</v>
      </c>
      <c r="AC43" s="4">
        <f>SUM(C43:AB43)</f>
        <v>23297.857073988915</v>
      </c>
    </row>
    <row r="44" spans="2:30">
      <c r="AC44" s="12">
        <f>AC42/AC43*1000</f>
        <v>50.915103755297828</v>
      </c>
      <c r="AD44" t="s">
        <v>11</v>
      </c>
    </row>
    <row r="45" spans="2:30">
      <c r="B45" t="s">
        <v>63</v>
      </c>
      <c r="D45" s="13">
        <f>G6</f>
        <v>1.2083333333333333</v>
      </c>
    </row>
    <row r="46" spans="2:30">
      <c r="B46" t="s">
        <v>64</v>
      </c>
      <c r="D46" s="14">
        <f>AC44/AC40</f>
        <v>1.2083333333333337</v>
      </c>
    </row>
    <row r="48" spans="2:30">
      <c r="B48" s="1" t="s">
        <v>65</v>
      </c>
      <c r="C48" s="1"/>
      <c r="D48" s="1"/>
    </row>
    <row r="50" spans="2:9">
      <c r="B50" t="s">
        <v>66</v>
      </c>
    </row>
    <row r="52" spans="2:9" ht="21" customHeight="1" thickBot="1">
      <c r="B52" s="15" t="s">
        <v>67</v>
      </c>
      <c r="C52" s="15"/>
      <c r="D52" s="15"/>
      <c r="E52" s="15"/>
      <c r="F52" s="15"/>
    </row>
    <row r="53" spans="2:9" ht="17.100000000000001" customHeight="1" thickTop="1"/>
    <row r="54" spans="2:9">
      <c r="B54" t="s">
        <v>68</v>
      </c>
      <c r="C54" t="s">
        <v>69</v>
      </c>
      <c r="D54" t="s">
        <v>70</v>
      </c>
      <c r="E54" t="s">
        <v>71</v>
      </c>
      <c r="F54" t="s">
        <v>72</v>
      </c>
      <c r="H54" t="s">
        <v>10</v>
      </c>
    </row>
    <row r="55" spans="2:9">
      <c r="B55">
        <v>900</v>
      </c>
      <c r="C55">
        <v>0.01</v>
      </c>
      <c r="D55">
        <v>25</v>
      </c>
      <c r="E55">
        <v>0.1</v>
      </c>
      <c r="F55">
        <v>2566.6799999999998</v>
      </c>
      <c r="H55" s="16">
        <v>39</v>
      </c>
      <c r="I55" s="16" t="s">
        <v>11</v>
      </c>
    </row>
    <row r="56" spans="2:9">
      <c r="B56">
        <v>500</v>
      </c>
      <c r="C56">
        <v>0.01</v>
      </c>
      <c r="D56">
        <v>25</v>
      </c>
      <c r="E56">
        <v>0.08</v>
      </c>
      <c r="F56">
        <v>2566.6799999999998</v>
      </c>
      <c r="H56" s="16">
        <v>20.8</v>
      </c>
      <c r="I56" s="16" t="s">
        <v>11</v>
      </c>
    </row>
    <row r="57" spans="2:9">
      <c r="B57">
        <v>500</v>
      </c>
      <c r="C57">
        <v>0.01</v>
      </c>
      <c r="D57">
        <v>25</v>
      </c>
      <c r="E57">
        <v>0.08</v>
      </c>
      <c r="F57">
        <v>2566.6799999999998</v>
      </c>
      <c r="H57" s="16">
        <v>20.8</v>
      </c>
      <c r="I57" s="16" t="s">
        <v>11</v>
      </c>
    </row>
    <row r="58" spans="2:9">
      <c r="B58">
        <v>400</v>
      </c>
      <c r="C58">
        <v>0.01</v>
      </c>
      <c r="D58">
        <v>25</v>
      </c>
      <c r="E58">
        <v>0.05</v>
      </c>
      <c r="F58">
        <v>2566.6799999999998</v>
      </c>
      <c r="H58" s="16">
        <v>18.8</v>
      </c>
      <c r="I58" s="16" t="s">
        <v>11</v>
      </c>
    </row>
    <row r="59" spans="2:9">
      <c r="B59">
        <v>400</v>
      </c>
      <c r="C59">
        <v>0.01</v>
      </c>
      <c r="D59">
        <v>25</v>
      </c>
      <c r="E59">
        <v>0.05</v>
      </c>
      <c r="F59">
        <v>2566.6799999999998</v>
      </c>
      <c r="H59" s="16">
        <v>18.8</v>
      </c>
      <c r="I59" s="16" t="s">
        <v>11</v>
      </c>
    </row>
    <row r="60" spans="2:9">
      <c r="B60">
        <v>1500</v>
      </c>
      <c r="C60">
        <v>2.5000000000000001E-2</v>
      </c>
      <c r="D60">
        <v>25</v>
      </c>
      <c r="E60">
        <v>0.1</v>
      </c>
      <c r="F60">
        <v>5037</v>
      </c>
      <c r="H60" s="16">
        <v>40.200000000000003</v>
      </c>
      <c r="I60" s="16" t="s">
        <v>11</v>
      </c>
    </row>
    <row r="61" spans="2:9">
      <c r="B61">
        <v>1250</v>
      </c>
      <c r="C61">
        <v>2.5000000000000001E-2</v>
      </c>
      <c r="D61">
        <v>25</v>
      </c>
      <c r="E61">
        <v>0.08</v>
      </c>
      <c r="F61">
        <v>5037</v>
      </c>
      <c r="H61" s="16">
        <v>29.4</v>
      </c>
      <c r="I61" s="16" t="s">
        <v>11</v>
      </c>
    </row>
    <row r="62" spans="2:9">
      <c r="B62">
        <v>1250</v>
      </c>
      <c r="C62">
        <v>2.5000000000000001E-2</v>
      </c>
      <c r="D62">
        <v>25</v>
      </c>
      <c r="E62">
        <v>0.08</v>
      </c>
      <c r="F62">
        <v>5037</v>
      </c>
      <c r="H62" s="16">
        <v>29.4</v>
      </c>
      <c r="I62" s="16" t="s">
        <v>11</v>
      </c>
    </row>
    <row r="63" spans="2:9">
      <c r="B63">
        <v>1000</v>
      </c>
      <c r="C63">
        <v>2.5000000000000001E-2</v>
      </c>
      <c r="D63">
        <v>25</v>
      </c>
      <c r="E63">
        <v>0.05</v>
      </c>
      <c r="F63">
        <v>5037</v>
      </c>
      <c r="H63" s="16">
        <v>19</v>
      </c>
      <c r="I63" s="16" t="s">
        <v>11</v>
      </c>
    </row>
    <row r="64" spans="2:9">
      <c r="B64">
        <v>1000</v>
      </c>
      <c r="C64">
        <v>2.5000000000000001E-2</v>
      </c>
      <c r="D64">
        <v>25</v>
      </c>
      <c r="E64">
        <v>0.05</v>
      </c>
      <c r="F64">
        <v>5037</v>
      </c>
      <c r="H64" s="16">
        <v>19</v>
      </c>
      <c r="I64" s="16" t="s">
        <v>11</v>
      </c>
    </row>
    <row r="65" spans="2:18">
      <c r="B65">
        <v>900</v>
      </c>
      <c r="C65">
        <v>0.01</v>
      </c>
      <c r="D65">
        <v>25</v>
      </c>
      <c r="E65">
        <v>0.1</v>
      </c>
      <c r="F65">
        <v>2566.6799999999998</v>
      </c>
      <c r="H65" s="17">
        <v>39</v>
      </c>
      <c r="I65" s="17" t="s">
        <v>11</v>
      </c>
    </row>
    <row r="66" spans="2:18">
      <c r="B66">
        <v>500</v>
      </c>
      <c r="C66">
        <v>0.01</v>
      </c>
      <c r="D66">
        <v>25</v>
      </c>
      <c r="E66">
        <v>0.08</v>
      </c>
      <c r="F66">
        <v>2566.6799999999998</v>
      </c>
      <c r="H66" s="17">
        <v>20.8</v>
      </c>
      <c r="I66" s="17" t="s">
        <v>11</v>
      </c>
    </row>
    <row r="67" spans="2:18">
      <c r="B67">
        <v>500</v>
      </c>
      <c r="C67">
        <v>0.01</v>
      </c>
      <c r="D67">
        <v>25</v>
      </c>
      <c r="E67">
        <v>0.08</v>
      </c>
      <c r="F67">
        <v>2566.6799999999998</v>
      </c>
      <c r="H67" s="17">
        <v>20.8</v>
      </c>
      <c r="I67" s="17" t="s">
        <v>11</v>
      </c>
    </row>
    <row r="68" spans="2:18">
      <c r="B68">
        <v>400</v>
      </c>
      <c r="C68">
        <v>0.01</v>
      </c>
      <c r="D68">
        <v>25</v>
      </c>
      <c r="E68">
        <v>0.05</v>
      </c>
      <c r="F68">
        <v>2566.6799999999998</v>
      </c>
      <c r="H68" s="17">
        <v>18.8</v>
      </c>
      <c r="I68" s="17" t="s">
        <v>11</v>
      </c>
    </row>
    <row r="69" spans="2:18">
      <c r="B69">
        <v>400</v>
      </c>
      <c r="C69">
        <v>0.01</v>
      </c>
      <c r="D69">
        <v>25</v>
      </c>
      <c r="E69">
        <v>0.05</v>
      </c>
      <c r="F69">
        <v>2566.6799999999998</v>
      </c>
      <c r="H69" s="17">
        <v>18.8</v>
      </c>
      <c r="I69" s="17" t="s">
        <v>11</v>
      </c>
    </row>
    <row r="70" spans="2:18">
      <c r="B70">
        <v>1500</v>
      </c>
      <c r="C70">
        <v>2.5000000000000001E-2</v>
      </c>
      <c r="D70">
        <v>25</v>
      </c>
      <c r="E70">
        <v>0.1</v>
      </c>
      <c r="F70">
        <v>5037</v>
      </c>
      <c r="H70" s="17">
        <v>40.200000000000003</v>
      </c>
      <c r="I70" s="17" t="s">
        <v>11</v>
      </c>
    </row>
    <row r="71" spans="2:18">
      <c r="B71">
        <v>1250</v>
      </c>
      <c r="C71">
        <v>2.5000000000000001E-2</v>
      </c>
      <c r="D71">
        <v>25</v>
      </c>
      <c r="E71">
        <v>0.08</v>
      </c>
      <c r="F71">
        <v>5037</v>
      </c>
      <c r="H71" s="17">
        <v>29.4</v>
      </c>
      <c r="I71" s="17" t="s">
        <v>11</v>
      </c>
    </row>
    <row r="72" spans="2:18">
      <c r="B72">
        <v>1250</v>
      </c>
      <c r="C72">
        <v>2.5000000000000001E-2</v>
      </c>
      <c r="D72">
        <v>25</v>
      </c>
      <c r="E72">
        <v>0.08</v>
      </c>
      <c r="F72">
        <v>5037</v>
      </c>
      <c r="H72" s="17">
        <v>29.4</v>
      </c>
      <c r="I72" s="17" t="s">
        <v>11</v>
      </c>
    </row>
    <row r="73" spans="2:18">
      <c r="B73">
        <v>1000</v>
      </c>
      <c r="C73">
        <v>2.5000000000000001E-2</v>
      </c>
      <c r="D73">
        <v>25</v>
      </c>
      <c r="E73">
        <v>0.05</v>
      </c>
      <c r="F73">
        <v>5037</v>
      </c>
      <c r="H73" s="17">
        <v>19</v>
      </c>
      <c r="I73" s="17" t="s">
        <v>11</v>
      </c>
    </row>
    <row r="74" spans="2:18">
      <c r="B74">
        <v>1000</v>
      </c>
      <c r="C74">
        <v>2.5000000000000001E-2</v>
      </c>
      <c r="D74">
        <v>25</v>
      </c>
      <c r="E74">
        <v>0.05</v>
      </c>
      <c r="F74">
        <v>5037</v>
      </c>
      <c r="H74" s="17">
        <v>19</v>
      </c>
      <c r="I74" s="17" t="s">
        <v>11</v>
      </c>
    </row>
    <row r="76" spans="2:18" s="18" customFormat="1" ht="9" customHeight="1"/>
    <row r="78" spans="2:18">
      <c r="B78" s="6" t="s">
        <v>73</v>
      </c>
      <c r="D78" s="6" t="s">
        <v>74</v>
      </c>
      <c r="R78" s="6"/>
    </row>
    <row r="79" spans="2:18">
      <c r="B79" s="6" t="s">
        <v>46</v>
      </c>
      <c r="D79" t="s">
        <v>75</v>
      </c>
      <c r="E79" t="s">
        <v>49</v>
      </c>
      <c r="F79" t="s">
        <v>48</v>
      </c>
      <c r="G79" t="s">
        <v>76</v>
      </c>
      <c r="H79" t="s">
        <v>77</v>
      </c>
      <c r="I79" t="s">
        <v>78</v>
      </c>
      <c r="J79" s="6" t="s">
        <v>79</v>
      </c>
      <c r="K79" t="s">
        <v>75</v>
      </c>
      <c r="L79" t="s">
        <v>49</v>
      </c>
      <c r="M79" t="s">
        <v>48</v>
      </c>
      <c r="N79" t="s">
        <v>76</v>
      </c>
      <c r="O79" t="s">
        <v>77</v>
      </c>
    </row>
    <row r="80" spans="2:18">
      <c r="B80" t="s">
        <v>80</v>
      </c>
      <c r="D80">
        <v>1.145</v>
      </c>
      <c r="E80">
        <v>0.45660000000000001</v>
      </c>
      <c r="F80">
        <v>0.45600000000000002</v>
      </c>
      <c r="G80">
        <v>0.27129999999999999</v>
      </c>
      <c r="H80">
        <v>0.24740000000000001</v>
      </c>
      <c r="I80" t="s">
        <v>21</v>
      </c>
      <c r="J80" t="s">
        <v>32</v>
      </c>
      <c r="K80">
        <v>900</v>
      </c>
      <c r="L80">
        <v>500</v>
      </c>
      <c r="M80">
        <v>500</v>
      </c>
      <c r="N80">
        <v>400</v>
      </c>
      <c r="O80">
        <v>400</v>
      </c>
    </row>
    <row r="81" spans="2:36">
      <c r="B81" t="s">
        <v>81</v>
      </c>
      <c r="D81">
        <v>8.1269999999999995E-2</v>
      </c>
      <c r="E81">
        <v>0</v>
      </c>
      <c r="F81">
        <v>0</v>
      </c>
      <c r="G81">
        <f>2.584*10^-3</f>
        <v>2.5839999999999999E-3</v>
      </c>
      <c r="H81">
        <f>5.71*10^-3</f>
        <v>5.7099999999999998E-3</v>
      </c>
      <c r="I81" t="s">
        <v>21</v>
      </c>
      <c r="J81" t="s">
        <v>82</v>
      </c>
      <c r="K81" s="9">
        <v>0.01</v>
      </c>
      <c r="L81" s="9">
        <v>0.01</v>
      </c>
      <c r="M81" s="9">
        <v>0.01</v>
      </c>
      <c r="N81" s="9">
        <v>0.01</v>
      </c>
      <c r="O81" s="9">
        <v>0.01</v>
      </c>
    </row>
    <row r="82" spans="2:36">
      <c r="B82" t="s">
        <v>83</v>
      </c>
      <c r="D82">
        <v>0</v>
      </c>
      <c r="E82">
        <v>0</v>
      </c>
      <c r="F82">
        <v>0</v>
      </c>
      <c r="G82">
        <v>0</v>
      </c>
      <c r="H82">
        <v>0</v>
      </c>
      <c r="I82" t="s">
        <v>21</v>
      </c>
      <c r="J82" t="s">
        <v>7</v>
      </c>
      <c r="K82" s="9">
        <v>0.1</v>
      </c>
      <c r="L82" s="9">
        <v>0.08</v>
      </c>
      <c r="M82" s="9">
        <v>0.08</v>
      </c>
      <c r="N82" s="9">
        <v>0.05</v>
      </c>
      <c r="O82" s="9">
        <v>0.05</v>
      </c>
    </row>
    <row r="83" spans="2:36">
      <c r="B83" t="s">
        <v>84</v>
      </c>
      <c r="D83">
        <v>1.2789999999999999</v>
      </c>
      <c r="E83">
        <v>0.54190000000000005</v>
      </c>
      <c r="F83">
        <v>0.54990000000000006</v>
      </c>
      <c r="G83">
        <v>0.3276</v>
      </c>
      <c r="H83">
        <v>0.34749999999999998</v>
      </c>
      <c r="I83" t="s">
        <v>21</v>
      </c>
      <c r="J83" t="s">
        <v>85</v>
      </c>
      <c r="K83" s="9">
        <v>0.28999999999999998</v>
      </c>
      <c r="L83" s="9">
        <v>0.28999999999999998</v>
      </c>
      <c r="M83" s="9">
        <v>0.28999999999999998</v>
      </c>
      <c r="N83" s="9">
        <v>0.28999999999999998</v>
      </c>
      <c r="O83" s="9">
        <v>0.28999999999999998</v>
      </c>
    </row>
    <row r="84" spans="2:36">
      <c r="B84" t="s">
        <v>86</v>
      </c>
      <c r="D84">
        <v>0.1166</v>
      </c>
      <c r="E84">
        <v>2.9309999999999999E-2</v>
      </c>
      <c r="F84">
        <v>3.0700000000000002E-2</v>
      </c>
      <c r="G84">
        <f>8.794*10^-3</f>
        <v>8.7940000000000015E-3</v>
      </c>
      <c r="H84">
        <f>9.629*10^-3</f>
        <v>9.6290000000000004E-3</v>
      </c>
      <c r="I84" t="s">
        <v>21</v>
      </c>
    </row>
    <row r="85" spans="2:36">
      <c r="B85" t="s">
        <v>87</v>
      </c>
      <c r="D85">
        <v>0</v>
      </c>
      <c r="E85">
        <v>0</v>
      </c>
      <c r="F85">
        <v>0</v>
      </c>
      <c r="G85">
        <v>0</v>
      </c>
      <c r="H85">
        <v>0</v>
      </c>
      <c r="I85" t="s">
        <v>21</v>
      </c>
      <c r="J85" t="s">
        <v>10</v>
      </c>
      <c r="K85">
        <v>39</v>
      </c>
      <c r="L85">
        <v>18.8</v>
      </c>
      <c r="M85">
        <v>18.8</v>
      </c>
      <c r="N85">
        <v>11.8</v>
      </c>
      <c r="O85">
        <v>11.8</v>
      </c>
    </row>
    <row r="86" spans="2:36">
      <c r="B86" t="s">
        <v>88</v>
      </c>
      <c r="D86">
        <v>0</v>
      </c>
      <c r="E86">
        <f>4.722*10^-3</f>
        <v>4.7220000000000005E-3</v>
      </c>
      <c r="F86">
        <f>1.674*10^-3</f>
        <v>1.6739999999999999E-3</v>
      </c>
      <c r="G86">
        <f>4.789*10^-3</f>
        <v>4.7889999999999999E-3</v>
      </c>
      <c r="H86">
        <v>0</v>
      </c>
      <c r="I86" t="s">
        <v>21</v>
      </c>
    </row>
    <row r="87" spans="2:36">
      <c r="B87" t="s">
        <v>89</v>
      </c>
      <c r="D87">
        <v>0</v>
      </c>
      <c r="E87">
        <f>263.6*10^-6</f>
        <v>2.6360000000000001E-4</v>
      </c>
      <c r="F87">
        <v>0</v>
      </c>
      <c r="G87">
        <v>1.4200000000000001E-2</v>
      </c>
      <c r="H87">
        <f>1.291*10^-3</f>
        <v>1.291E-3</v>
      </c>
      <c r="I87" t="s">
        <v>21</v>
      </c>
      <c r="J87" t="s">
        <v>90</v>
      </c>
      <c r="K87">
        <v>7.0650000000000004</v>
      </c>
      <c r="L87">
        <v>6.3440000000000003</v>
      </c>
      <c r="P87" t="s">
        <v>91</v>
      </c>
    </row>
    <row r="88" spans="2:36">
      <c r="B88" t="s">
        <v>92</v>
      </c>
      <c r="D88">
        <v>0</v>
      </c>
      <c r="E88">
        <v>0</v>
      </c>
      <c r="F88">
        <v>0</v>
      </c>
      <c r="G88">
        <v>0</v>
      </c>
      <c r="H88">
        <v>0</v>
      </c>
      <c r="I88" t="s">
        <v>21</v>
      </c>
      <c r="L88">
        <f>((K87/L87)-1)/2+1</f>
        <v>1.0568253467843631</v>
      </c>
    </row>
    <row r="89" spans="2:36">
      <c r="B89" t="s">
        <v>93</v>
      </c>
      <c r="D89">
        <v>0.76539999999999997</v>
      </c>
      <c r="E89">
        <v>0.28289999999999998</v>
      </c>
      <c r="F89">
        <v>0.32829999999999998</v>
      </c>
      <c r="G89">
        <v>0.16039999999999999</v>
      </c>
      <c r="H89">
        <v>0.221</v>
      </c>
      <c r="I89" t="s">
        <v>21</v>
      </c>
      <c r="Y89" s="19"/>
      <c r="Z89" s="19"/>
      <c r="AA89" s="19"/>
      <c r="AB89" s="19"/>
      <c r="AC89" s="19"/>
      <c r="AF89" s="20"/>
      <c r="AG89" s="20"/>
      <c r="AH89" s="20"/>
      <c r="AI89" s="20"/>
      <c r="AJ89" s="20"/>
    </row>
    <row r="90" spans="2:36">
      <c r="B90" t="s">
        <v>94</v>
      </c>
      <c r="D90">
        <v>0</v>
      </c>
      <c r="E90">
        <f>3.26*10^-3</f>
        <v>3.2599999999999999E-3</v>
      </c>
      <c r="F90">
        <f>3.424*10^-3</f>
        <v>3.424E-3</v>
      </c>
      <c r="G90">
        <f>3.41*10^-3</f>
        <v>3.4100000000000003E-3</v>
      </c>
      <c r="H90">
        <f>1.906*10^-3</f>
        <v>1.9059999999999999E-3</v>
      </c>
      <c r="I90" t="s">
        <v>21</v>
      </c>
    </row>
    <row r="91" spans="2:36">
      <c r="B91" t="s">
        <v>95</v>
      </c>
      <c r="D91">
        <v>0.27010000000000001</v>
      </c>
      <c r="E91">
        <v>0.16020000000000001</v>
      </c>
      <c r="F91">
        <v>0.1633</v>
      </c>
      <c r="G91">
        <v>0.1011</v>
      </c>
      <c r="H91">
        <v>0.10199999999999999</v>
      </c>
      <c r="I91" t="s">
        <v>21</v>
      </c>
    </row>
    <row r="92" spans="2:36">
      <c r="B92" t="s">
        <v>96</v>
      </c>
      <c r="D92">
        <v>0</v>
      </c>
      <c r="E92">
        <v>0</v>
      </c>
      <c r="F92">
        <v>0</v>
      </c>
      <c r="G92">
        <v>0</v>
      </c>
      <c r="H92">
        <v>0</v>
      </c>
      <c r="I92" t="s">
        <v>21</v>
      </c>
    </row>
    <row r="93" spans="2:36">
      <c r="B93" t="s">
        <v>97</v>
      </c>
      <c r="D93">
        <v>0</v>
      </c>
      <c r="E93">
        <v>0</v>
      </c>
      <c r="F93">
        <v>0</v>
      </c>
      <c r="G93">
        <v>0</v>
      </c>
      <c r="H93">
        <v>0</v>
      </c>
      <c r="I93" t="s">
        <v>21</v>
      </c>
    </row>
    <row r="94" spans="2:36">
      <c r="B94" t="s">
        <v>98</v>
      </c>
      <c r="D94">
        <v>0.112</v>
      </c>
      <c r="E94">
        <v>2.452E-2</v>
      </c>
      <c r="F94">
        <v>2.5739999999999999E-2</v>
      </c>
      <c r="G94">
        <f>71.05*10^-6</f>
        <v>7.1049999999999992E-5</v>
      </c>
      <c r="H94">
        <f>80.82*10^-6</f>
        <v>8.0819999999999989E-5</v>
      </c>
      <c r="I94" t="s">
        <v>21</v>
      </c>
    </row>
    <row r="95" spans="2:36">
      <c r="B95" t="s">
        <v>99</v>
      </c>
      <c r="D95">
        <v>8.0619999999999997E-2</v>
      </c>
      <c r="E95">
        <f>6.261*10^-3</f>
        <v>6.2610000000000001E-3</v>
      </c>
      <c r="F95">
        <v>2.1559999999999999E-2</v>
      </c>
      <c r="G95">
        <f>304.1*10^-6</f>
        <v>3.0410000000000002E-4</v>
      </c>
      <c r="H95">
        <f>243.1*10^-6</f>
        <v>2.4309999999999997E-4</v>
      </c>
      <c r="I95" t="s">
        <v>21</v>
      </c>
    </row>
    <row r="96" spans="2:36">
      <c r="B96" t="s">
        <v>100</v>
      </c>
      <c r="D96">
        <f>2.442*10^-3</f>
        <v>2.4420000000000002E-3</v>
      </c>
      <c r="E96">
        <f>1.23*10^-3</f>
        <v>1.23E-3</v>
      </c>
      <c r="F96">
        <f>1.254*10^-3</f>
        <v>1.2540000000000001E-3</v>
      </c>
      <c r="G96">
        <f>194.1*10^-6</f>
        <v>1.9409999999999997E-4</v>
      </c>
      <c r="H96">
        <f>195.9*10^-6</f>
        <v>1.9589999999999999E-4</v>
      </c>
      <c r="I96" t="s">
        <v>21</v>
      </c>
    </row>
    <row r="97" spans="2:15">
      <c r="B97" t="s">
        <v>101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21</v>
      </c>
    </row>
    <row r="98" spans="2:15">
      <c r="B98" t="s">
        <v>102</v>
      </c>
      <c r="D98">
        <v>1.1390000000000001E-2</v>
      </c>
      <c r="E98">
        <f>4.331*10^-3</f>
        <v>4.3310000000000006E-3</v>
      </c>
      <c r="F98">
        <f>4.573*10^-3</f>
        <v>4.5730000000000007E-3</v>
      </c>
      <c r="G98">
        <f>642.6*10^-6</f>
        <v>6.4260000000000001E-4</v>
      </c>
      <c r="H98">
        <f>347.1*10^-6</f>
        <v>3.4709999999999998E-4</v>
      </c>
      <c r="I98" t="s">
        <v>21</v>
      </c>
    </row>
    <row r="99" spans="2:15">
      <c r="B99" t="s">
        <v>103</v>
      </c>
      <c r="D99">
        <v>3.7760000000000002E-2</v>
      </c>
      <c r="E99">
        <v>2.435E-2</v>
      </c>
      <c r="F99">
        <v>1.8759999999999999E-2</v>
      </c>
      <c r="G99">
        <v>1.14E-2</v>
      </c>
      <c r="H99">
        <f>4.668*10^-3</f>
        <v>4.6680000000000003E-3</v>
      </c>
      <c r="I99" t="s">
        <v>21</v>
      </c>
    </row>
    <row r="100" spans="2:15">
      <c r="B100" t="s">
        <v>104</v>
      </c>
      <c r="D100">
        <v>0</v>
      </c>
      <c r="E100">
        <v>0</v>
      </c>
      <c r="F100">
        <v>0</v>
      </c>
      <c r="G100">
        <v>0</v>
      </c>
      <c r="H100">
        <v>0</v>
      </c>
      <c r="I100" t="s">
        <v>21</v>
      </c>
    </row>
    <row r="101" spans="2:15">
      <c r="B101" t="s">
        <v>105</v>
      </c>
      <c r="D101">
        <f>1.107*10^-3</f>
        <v>1.1069999999999999E-3</v>
      </c>
      <c r="E101">
        <v>1.179E-2</v>
      </c>
      <c r="F101">
        <f>439.4*10^-6</f>
        <v>4.3939999999999995E-4</v>
      </c>
      <c r="G101">
        <v>1.286E-2</v>
      </c>
      <c r="H101">
        <v>0</v>
      </c>
      <c r="I101" t="s">
        <v>21</v>
      </c>
    </row>
    <row r="102" spans="2:15">
      <c r="B102" t="s">
        <v>106</v>
      </c>
      <c r="D102">
        <v>0.75439999999999996</v>
      </c>
      <c r="E102">
        <v>0.12429999999999999</v>
      </c>
      <c r="F102">
        <v>9.2520000000000005E-2</v>
      </c>
      <c r="G102">
        <v>3.1820000000000001E-2</v>
      </c>
      <c r="H102">
        <v>1.0030000000000001E-2</v>
      </c>
      <c r="I102" t="s">
        <v>21</v>
      </c>
    </row>
    <row r="103" spans="2:15">
      <c r="B103" s="6" t="s">
        <v>107</v>
      </c>
      <c r="C103" s="6"/>
      <c r="D103" s="6">
        <v>4.657</v>
      </c>
      <c r="E103" s="6">
        <v>1.6759999999999999</v>
      </c>
      <c r="F103" s="6">
        <v>1.698</v>
      </c>
      <c r="G103" s="6">
        <v>0.95140000000000002</v>
      </c>
      <c r="H103" s="6">
        <v>0.95189999999999997</v>
      </c>
      <c r="I103" t="s">
        <v>21</v>
      </c>
    </row>
    <row r="104" spans="2:15">
      <c r="J104" t="s">
        <v>108</v>
      </c>
    </row>
    <row r="105" spans="2:15">
      <c r="B105" t="s">
        <v>109</v>
      </c>
      <c r="D105">
        <v>600</v>
      </c>
      <c r="E105">
        <v>230</v>
      </c>
      <c r="F105">
        <v>200</v>
      </c>
      <c r="G105">
        <v>130</v>
      </c>
      <c r="H105">
        <v>100</v>
      </c>
      <c r="J105" t="s">
        <v>110</v>
      </c>
    </row>
    <row r="106" spans="2:15">
      <c r="B106" t="s">
        <v>111</v>
      </c>
      <c r="D106" s="21">
        <f>Inputs!$C$32</f>
        <v>1282</v>
      </c>
      <c r="E106" s="21">
        <v>473.00611961462351</v>
      </c>
      <c r="F106" s="21">
        <v>473.00611961462351</v>
      </c>
      <c r="G106" s="21">
        <f>Inputs!$C$33</f>
        <v>480</v>
      </c>
      <c r="H106" s="21">
        <f>Inputs!$C$33</f>
        <v>480</v>
      </c>
    </row>
    <row r="107" spans="2:15">
      <c r="K107" s="4"/>
      <c r="L107" s="4"/>
      <c r="M107" s="4"/>
      <c r="N107" s="4"/>
      <c r="O107" s="4"/>
    </row>
    <row r="108" spans="2:15">
      <c r="B108" t="s">
        <v>112</v>
      </c>
      <c r="D108">
        <v>39</v>
      </c>
      <c r="E108">
        <v>18.8</v>
      </c>
      <c r="F108">
        <v>18.8</v>
      </c>
      <c r="G108">
        <v>11.8</v>
      </c>
      <c r="H108">
        <v>11.8</v>
      </c>
      <c r="K108" s="4"/>
      <c r="L108" s="4"/>
      <c r="M108" s="4"/>
      <c r="N108" s="4"/>
      <c r="O108" s="4"/>
    </row>
    <row r="109" spans="2:15">
      <c r="B109" t="s">
        <v>113</v>
      </c>
      <c r="D109" s="21">
        <f>Inputs!$C$8</f>
        <v>64</v>
      </c>
      <c r="E109" s="21">
        <v>35</v>
      </c>
      <c r="F109" s="21">
        <v>35</v>
      </c>
      <c r="G109" s="21">
        <f>Inputs!$C$9</f>
        <v>11</v>
      </c>
      <c r="H109" s="21">
        <f>Inputs!$C$9</f>
        <v>11</v>
      </c>
    </row>
    <row r="110" spans="2:15">
      <c r="D110" s="22"/>
      <c r="E110" s="22"/>
      <c r="F110" s="22"/>
      <c r="G110" s="22"/>
      <c r="H110" s="22"/>
    </row>
    <row r="111" spans="2:15">
      <c r="B111" t="s">
        <v>7</v>
      </c>
      <c r="D111" s="9">
        <v>0.1</v>
      </c>
      <c r="E111" s="9">
        <v>0.08</v>
      </c>
      <c r="F111" s="9">
        <v>0.08</v>
      </c>
      <c r="G111" s="9">
        <v>0.05</v>
      </c>
      <c r="H111" s="9">
        <v>0.05</v>
      </c>
    </row>
    <row r="112" spans="2:15">
      <c r="B112" t="s">
        <v>114</v>
      </c>
      <c r="D112" s="23">
        <f>Inputs!$C$5</f>
        <v>7.0000000000000007E-2</v>
      </c>
      <c r="E112" s="23">
        <f>Inputs!$C$5</f>
        <v>7.0000000000000007E-2</v>
      </c>
      <c r="F112" s="23">
        <f>Inputs!$C$5</f>
        <v>7.0000000000000007E-2</v>
      </c>
      <c r="G112" s="23">
        <f>Inputs!$C$5</f>
        <v>7.0000000000000007E-2</v>
      </c>
      <c r="H112" s="23">
        <f>Inputs!$C$5</f>
        <v>7.0000000000000007E-2</v>
      </c>
    </row>
    <row r="114" spans="2:15">
      <c r="B114" t="s">
        <v>115</v>
      </c>
      <c r="D114" s="5">
        <f>D89/D105*D106</f>
        <v>1.6354046666666666</v>
      </c>
      <c r="E114" s="5">
        <f>E89/E105*E106</f>
        <v>0.58179752712598687</v>
      </c>
      <c r="F114" s="5">
        <f>F89/F105*F106</f>
        <v>0.77643954534740445</v>
      </c>
      <c r="G114" s="5">
        <f>G89/G105*G106</f>
        <v>0.59224615384615376</v>
      </c>
      <c r="H114" s="5">
        <f>H89/H105*H106</f>
        <v>1.0608</v>
      </c>
      <c r="I114" t="s">
        <v>21</v>
      </c>
    </row>
    <row r="115" spans="2:15">
      <c r="B115" t="s">
        <v>116</v>
      </c>
      <c r="D115" s="5">
        <f>D102/D105*D106</f>
        <v>1.6119013333333332</v>
      </c>
      <c r="E115" s="5">
        <f>E102/E105*E106</f>
        <v>0.25562895942651176</v>
      </c>
      <c r="F115" s="5">
        <f>F102/F105*F106</f>
        <v>0.21881263093372486</v>
      </c>
      <c r="G115" s="5">
        <f>G102/G105*G106</f>
        <v>0.11748923076923076</v>
      </c>
      <c r="H115" s="5">
        <f>H102/H105*H106</f>
        <v>4.8144000000000006E-2</v>
      </c>
      <c r="I115" t="s">
        <v>21</v>
      </c>
    </row>
    <row r="116" spans="2:15">
      <c r="B116" t="s">
        <v>117</v>
      </c>
      <c r="D116" s="5">
        <f>D80/D108*D109</f>
        <v>1.878974358974359</v>
      </c>
      <c r="E116" s="5">
        <f>E80/E108*E109</f>
        <v>0.85005319148936165</v>
      </c>
      <c r="F116" s="5">
        <f>F80/F108*F109</f>
        <v>0.84893617021276591</v>
      </c>
      <c r="G116" s="5">
        <f>G80/G108*G109</f>
        <v>0.25290677966101693</v>
      </c>
      <c r="H116" s="5">
        <f>H80/H108*H109</f>
        <v>0.23062711864406779</v>
      </c>
      <c r="I116" t="s">
        <v>21</v>
      </c>
    </row>
    <row r="118" spans="2:15">
      <c r="B118" t="s">
        <v>118</v>
      </c>
      <c r="D118" s="4">
        <f>(D112-D111)*100*($L$88-1)+1</f>
        <v>0.82952395964691061</v>
      </c>
      <c r="E118" s="4">
        <f>(E112-E111)*100*($L$88-1)+1</f>
        <v>0.94317465321563687</v>
      </c>
      <c r="F118" s="4">
        <f>(F112-F111)*100*($L$88-1)+1</f>
        <v>0.94317465321563687</v>
      </c>
      <c r="G118" s="4">
        <f>(G112-G111)*100*($L$88-1)+1</f>
        <v>1.1136506935687263</v>
      </c>
      <c r="H118" s="4">
        <f>(H112-H111)*100*($L$88-1)+1</f>
        <v>1.1136506935687263</v>
      </c>
    </row>
    <row r="119" spans="2:15" ht="17.100000000000001" customHeight="1" thickBot="1"/>
    <row r="120" spans="2:15">
      <c r="B120" s="24" t="s">
        <v>119</v>
      </c>
      <c r="C120" s="25" t="s">
        <v>120</v>
      </c>
      <c r="D120" s="26">
        <f>D103-D80+D116</f>
        <v>5.3909743589743595</v>
      </c>
      <c r="E120" s="26">
        <f>E103-E80+E116</f>
        <v>2.0694531914893615</v>
      </c>
      <c r="F120" s="26">
        <f>F103-F80+F116</f>
        <v>2.0909361702127658</v>
      </c>
      <c r="G120" s="26">
        <f>G103-G80+G116</f>
        <v>0.93300677966101697</v>
      </c>
      <c r="H120" s="27">
        <f>H103-H80+H116</f>
        <v>0.93512711864406772</v>
      </c>
    </row>
    <row r="121" spans="2:15">
      <c r="B121" s="28" t="s">
        <v>119</v>
      </c>
      <c r="C121" t="s">
        <v>121</v>
      </c>
      <c r="D121" s="5">
        <f>D103+(D114-D89)+(D115-D102)+(D116-D80)</f>
        <v>7.1184803589743595</v>
      </c>
      <c r="E121" s="5">
        <f>E103+(E114-E89)+(E115-E102)+(E116-E80)</f>
        <v>2.4996796780418604</v>
      </c>
      <c r="F121" s="5">
        <f>F103+(F114-F89)+(F115-F102)+(F116-F80)</f>
        <v>2.6653683464938949</v>
      </c>
      <c r="G121" s="5">
        <f>G103+(G114-G89)+(G115-G102)+(G116-G80)</f>
        <v>1.4505221642764017</v>
      </c>
      <c r="H121" s="29">
        <f>H103+(H114-H89)+(H115-H102)+(H116-H80)</f>
        <v>1.8130411186440678</v>
      </c>
    </row>
    <row r="122" spans="2:15" ht="17.100000000000001" customHeight="1" thickBot="1">
      <c r="B122" s="30" t="s">
        <v>119</v>
      </c>
      <c r="C122" s="31" t="s">
        <v>122</v>
      </c>
      <c r="D122" s="32">
        <f>D103*D118+(D114-D89)+(D115-D102)+(D116-D80)</f>
        <v>6.3245734390500221</v>
      </c>
      <c r="E122" s="32">
        <f>E103*E118+(E114-E89)+(E115-E102)+(E116-E80)</f>
        <v>2.4044403968312675</v>
      </c>
      <c r="F122" s="32">
        <f>F103*F118+(F114-F89)+(F115-F102)+(F116-F80)</f>
        <v>2.5688789076540464</v>
      </c>
      <c r="G122" s="32">
        <f>G103*G118+(G114-G89)+(G115-G102)+(G116-G80)</f>
        <v>1.5586494341376875</v>
      </c>
      <c r="H122" s="33">
        <f>H103*H118+(H114-H89)+(H115-H102)+(H116-H80)</f>
        <v>1.9212252138521382</v>
      </c>
    </row>
    <row r="125" spans="2:15">
      <c r="B125" s="6" t="s">
        <v>52</v>
      </c>
      <c r="C125" t="s">
        <v>123</v>
      </c>
      <c r="D125" t="s">
        <v>75</v>
      </c>
      <c r="E125" t="s">
        <v>49</v>
      </c>
      <c r="F125" t="s">
        <v>48</v>
      </c>
      <c r="G125" t="s">
        <v>76</v>
      </c>
      <c r="H125" t="s">
        <v>77</v>
      </c>
      <c r="J125" s="6" t="s">
        <v>124</v>
      </c>
      <c r="K125" t="s">
        <v>75</v>
      </c>
      <c r="L125" t="s">
        <v>49</v>
      </c>
      <c r="M125" t="s">
        <v>48</v>
      </c>
      <c r="N125" t="s">
        <v>76</v>
      </c>
      <c r="O125" t="s">
        <v>77</v>
      </c>
    </row>
    <row r="126" spans="2:15">
      <c r="B126" t="s">
        <v>80</v>
      </c>
      <c r="C126" t="s">
        <v>125</v>
      </c>
      <c r="D126">
        <v>1.2050000000000001</v>
      </c>
      <c r="E126">
        <v>0.64080000000000004</v>
      </c>
      <c r="F126">
        <v>0.64280000000000004</v>
      </c>
      <c r="G126">
        <v>0.36420000000000002</v>
      </c>
      <c r="H126">
        <v>0.3579</v>
      </c>
      <c r="J126" t="s">
        <v>32</v>
      </c>
      <c r="K126" t="s">
        <v>37</v>
      </c>
      <c r="L126" t="s">
        <v>37</v>
      </c>
      <c r="M126" t="s">
        <v>37</v>
      </c>
      <c r="N126" t="s">
        <v>37</v>
      </c>
      <c r="O126" t="s">
        <v>37</v>
      </c>
    </row>
    <row r="127" spans="2:15">
      <c r="B127" t="s">
        <v>81</v>
      </c>
      <c r="C127" t="s">
        <v>125</v>
      </c>
      <c r="D127">
        <v>0</v>
      </c>
      <c r="E127">
        <v>0</v>
      </c>
      <c r="F127">
        <v>0</v>
      </c>
      <c r="G127">
        <v>0</v>
      </c>
      <c r="H127">
        <v>0</v>
      </c>
      <c r="J127" t="s">
        <v>82</v>
      </c>
      <c r="K127" s="9" t="s">
        <v>37</v>
      </c>
      <c r="L127" s="9" t="s">
        <v>37</v>
      </c>
      <c r="M127" s="9" t="s">
        <v>37</v>
      </c>
      <c r="N127" s="9" t="s">
        <v>37</v>
      </c>
      <c r="O127" s="9" t="s">
        <v>37</v>
      </c>
    </row>
    <row r="128" spans="2:15">
      <c r="B128" t="s">
        <v>83</v>
      </c>
      <c r="C128" t="s">
        <v>125</v>
      </c>
      <c r="D128">
        <v>0</v>
      </c>
      <c r="E128">
        <v>0</v>
      </c>
      <c r="F128">
        <v>0</v>
      </c>
      <c r="G128">
        <v>0</v>
      </c>
      <c r="H128">
        <v>0</v>
      </c>
      <c r="J128" t="s">
        <v>7</v>
      </c>
      <c r="K128" s="9" t="s">
        <v>37</v>
      </c>
      <c r="L128" s="9" t="s">
        <v>37</v>
      </c>
      <c r="M128" s="9" t="s">
        <v>37</v>
      </c>
      <c r="N128" s="9" t="s">
        <v>37</v>
      </c>
      <c r="O128" s="9" t="s">
        <v>37</v>
      </c>
    </row>
    <row r="129" spans="2:16">
      <c r="B129" t="s">
        <v>84</v>
      </c>
      <c r="C129" t="s">
        <v>125</v>
      </c>
      <c r="D129">
        <v>0.78039999999999998</v>
      </c>
      <c r="E129">
        <v>0.34610000000000002</v>
      </c>
      <c r="F129">
        <v>0.35370000000000001</v>
      </c>
      <c r="G129">
        <v>0.22239999999999999</v>
      </c>
      <c r="H129">
        <v>0.2301</v>
      </c>
      <c r="J129" t="s">
        <v>85</v>
      </c>
      <c r="K129" s="9" t="s">
        <v>37</v>
      </c>
      <c r="L129" s="9" t="s">
        <v>37</v>
      </c>
      <c r="M129" s="9" t="s">
        <v>37</v>
      </c>
      <c r="N129" s="9" t="s">
        <v>37</v>
      </c>
      <c r="O129" s="9" t="s">
        <v>37</v>
      </c>
    </row>
    <row r="130" spans="2:16">
      <c r="B130" t="s">
        <v>86</v>
      </c>
      <c r="C130" t="s">
        <v>125</v>
      </c>
      <c r="D130">
        <v>0.2077</v>
      </c>
      <c r="E130">
        <v>6.1150000000000003E-2</v>
      </c>
      <c r="F130">
        <v>6.5159999999999996E-2</v>
      </c>
      <c r="G130">
        <v>1.3860000000000001E-2</v>
      </c>
      <c r="H130">
        <v>1.6219999999999998E-2</v>
      </c>
    </row>
    <row r="131" spans="2:16">
      <c r="B131" t="s">
        <v>87</v>
      </c>
      <c r="C131" t="s">
        <v>125</v>
      </c>
      <c r="D131">
        <v>0</v>
      </c>
      <c r="E131">
        <v>0</v>
      </c>
      <c r="F131">
        <v>0</v>
      </c>
      <c r="G131">
        <v>0</v>
      </c>
      <c r="H131">
        <v>0</v>
      </c>
      <c r="J131" t="s">
        <v>10</v>
      </c>
      <c r="K131">
        <v>40.200000000000003</v>
      </c>
      <c r="L131">
        <v>29.4</v>
      </c>
      <c r="M131">
        <v>29.4</v>
      </c>
      <c r="N131">
        <v>19</v>
      </c>
      <c r="O131">
        <v>19</v>
      </c>
    </row>
    <row r="132" spans="2:16">
      <c r="B132" t="s">
        <v>88</v>
      </c>
      <c r="C132" t="s">
        <v>125</v>
      </c>
      <c r="D132">
        <v>0</v>
      </c>
      <c r="E132" t="s">
        <v>126</v>
      </c>
      <c r="F132" t="s">
        <v>127</v>
      </c>
      <c r="G132" t="s">
        <v>128</v>
      </c>
      <c r="H132">
        <v>0</v>
      </c>
    </row>
    <row r="133" spans="2:16">
      <c r="B133" t="s">
        <v>89</v>
      </c>
      <c r="C133" t="s">
        <v>125</v>
      </c>
      <c r="D133">
        <v>0</v>
      </c>
      <c r="E133">
        <v>0</v>
      </c>
      <c r="F133">
        <v>0</v>
      </c>
      <c r="G133">
        <v>0</v>
      </c>
      <c r="H133" t="s">
        <v>129</v>
      </c>
      <c r="J133" t="s">
        <v>90</v>
      </c>
      <c r="K133">
        <v>7.0650000000000004</v>
      </c>
      <c r="L133">
        <v>6.3440000000000003</v>
      </c>
      <c r="P133" t="s">
        <v>91</v>
      </c>
    </row>
    <row r="134" spans="2:16">
      <c r="B134" t="s">
        <v>92</v>
      </c>
      <c r="C134" t="s">
        <v>125</v>
      </c>
      <c r="D134">
        <v>0</v>
      </c>
      <c r="E134">
        <v>0</v>
      </c>
      <c r="F134">
        <v>0</v>
      </c>
      <c r="G134">
        <v>0</v>
      </c>
      <c r="H134">
        <v>0</v>
      </c>
      <c r="L134">
        <f>((K133/L133)-1)/2+1</f>
        <v>1.0568253467843631</v>
      </c>
    </row>
    <row r="135" spans="2:16">
      <c r="B135" t="s">
        <v>93</v>
      </c>
      <c r="C135" t="s">
        <v>125</v>
      </c>
      <c r="D135">
        <v>0.76539999999999997</v>
      </c>
      <c r="E135">
        <v>0.3049</v>
      </c>
      <c r="F135">
        <v>0.35260000000000002</v>
      </c>
      <c r="G135">
        <v>0.16650000000000001</v>
      </c>
      <c r="H135">
        <v>0.2266</v>
      </c>
    </row>
    <row r="136" spans="2:16">
      <c r="B136" t="s">
        <v>94</v>
      </c>
      <c r="C136" t="s">
        <v>125</v>
      </c>
      <c r="D136">
        <v>0</v>
      </c>
      <c r="E136" t="s">
        <v>130</v>
      </c>
      <c r="F136" t="s">
        <v>131</v>
      </c>
      <c r="G136" t="s">
        <v>132</v>
      </c>
      <c r="H136">
        <v>1.1679999999999999E-2</v>
      </c>
    </row>
    <row r="137" spans="2:16">
      <c r="B137" t="s">
        <v>95</v>
      </c>
      <c r="C137" t="s">
        <v>125</v>
      </c>
      <c r="D137">
        <v>0.27010000000000001</v>
      </c>
      <c r="E137">
        <v>0.1759</v>
      </c>
      <c r="F137">
        <v>0.1784</v>
      </c>
      <c r="G137">
        <v>0.1192</v>
      </c>
      <c r="H137">
        <v>0.11990000000000001</v>
      </c>
    </row>
    <row r="138" spans="2:16">
      <c r="B138" t="s">
        <v>96</v>
      </c>
      <c r="C138" t="s">
        <v>125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2:16">
      <c r="B139" t="s">
        <v>97</v>
      </c>
      <c r="C139" t="s">
        <v>125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2:16">
      <c r="B140" t="s">
        <v>98</v>
      </c>
      <c r="C140" t="s">
        <v>125</v>
      </c>
      <c r="D140">
        <v>5.5280000000000003E-2</v>
      </c>
      <c r="E140">
        <v>1.146E-2</v>
      </c>
      <c r="F140">
        <v>1.1860000000000001E-2</v>
      </c>
      <c r="G140" t="s">
        <v>133</v>
      </c>
      <c r="H140" t="s">
        <v>134</v>
      </c>
    </row>
    <row r="141" spans="2:16">
      <c r="B141" t="s">
        <v>99</v>
      </c>
      <c r="C141" t="s">
        <v>125</v>
      </c>
      <c r="D141">
        <v>0.13689999999999999</v>
      </c>
      <c r="E141">
        <v>2.8850000000000001E-2</v>
      </c>
      <c r="F141">
        <v>3.5619999999999999E-2</v>
      </c>
      <c r="G141" t="s">
        <v>135</v>
      </c>
      <c r="H141" t="s">
        <v>136</v>
      </c>
    </row>
    <row r="142" spans="2:16">
      <c r="B142" t="s">
        <v>100</v>
      </c>
      <c r="C142" t="s">
        <v>125</v>
      </c>
      <c r="D142" t="s">
        <v>137</v>
      </c>
      <c r="E142" t="s">
        <v>138</v>
      </c>
      <c r="F142" t="s">
        <v>139</v>
      </c>
      <c r="G142" t="s">
        <v>140</v>
      </c>
      <c r="H142" t="s">
        <v>141</v>
      </c>
    </row>
    <row r="143" spans="2:16">
      <c r="B143" t="s">
        <v>101</v>
      </c>
      <c r="C143" t="s">
        <v>125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2:16">
      <c r="B144" t="s">
        <v>102</v>
      </c>
      <c r="C144" t="s">
        <v>125</v>
      </c>
      <c r="D144">
        <v>1.1390000000000001E-2</v>
      </c>
      <c r="E144" t="s">
        <v>142</v>
      </c>
      <c r="F144" t="s">
        <v>143</v>
      </c>
      <c r="G144" t="s">
        <v>144</v>
      </c>
      <c r="H144" t="s">
        <v>145</v>
      </c>
    </row>
    <row r="145" spans="2:8">
      <c r="B145" t="s">
        <v>103</v>
      </c>
      <c r="C145" t="s">
        <v>125</v>
      </c>
      <c r="D145">
        <v>3.7760000000000002E-2</v>
      </c>
      <c r="E145">
        <v>2.3869999999999999E-2</v>
      </c>
      <c r="F145">
        <v>1.8270000000000002E-2</v>
      </c>
      <c r="G145">
        <v>2.2239999999999999E-2</v>
      </c>
      <c r="H145" t="s">
        <v>146</v>
      </c>
    </row>
    <row r="146" spans="2:8">
      <c r="B146" t="s">
        <v>104</v>
      </c>
      <c r="C146" t="s">
        <v>125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2:8">
      <c r="B147" t="s">
        <v>105</v>
      </c>
      <c r="C147" t="s">
        <v>125</v>
      </c>
      <c r="D147" t="s">
        <v>147</v>
      </c>
      <c r="E147">
        <v>1.183E-2</v>
      </c>
      <c r="F147" t="s">
        <v>148</v>
      </c>
      <c r="G147">
        <v>1.176E-2</v>
      </c>
      <c r="H147">
        <v>0</v>
      </c>
    </row>
    <row r="148" spans="2:8">
      <c r="B148" t="s">
        <v>106</v>
      </c>
      <c r="C148" t="s">
        <v>125</v>
      </c>
      <c r="D148">
        <v>0.9415</v>
      </c>
      <c r="E148">
        <v>0.1363</v>
      </c>
      <c r="F148">
        <v>9.8199999999999996E-2</v>
      </c>
      <c r="G148">
        <v>6.207E-2</v>
      </c>
      <c r="H148">
        <v>1.189E-2</v>
      </c>
    </row>
    <row r="149" spans="2:8">
      <c r="B149" t="s">
        <v>107</v>
      </c>
      <c r="C149" t="s">
        <v>149</v>
      </c>
      <c r="D149">
        <v>4.415</v>
      </c>
      <c r="E149">
        <v>1.7609999999999999</v>
      </c>
      <c r="F149">
        <v>1.77</v>
      </c>
      <c r="G149">
        <v>0.98770000000000002</v>
      </c>
      <c r="H149">
        <v>0.98209999999999997</v>
      </c>
    </row>
    <row r="151" spans="2:8">
      <c r="B151" t="s">
        <v>109</v>
      </c>
      <c r="D151">
        <v>600</v>
      </c>
      <c r="E151">
        <v>230</v>
      </c>
      <c r="F151">
        <v>200</v>
      </c>
      <c r="G151">
        <v>130</v>
      </c>
      <c r="H151">
        <v>100</v>
      </c>
    </row>
    <row r="152" spans="2:8">
      <c r="B152" t="s">
        <v>111</v>
      </c>
      <c r="D152" s="21">
        <f>Inputs!$C$32</f>
        <v>1282</v>
      </c>
      <c r="E152" s="21">
        <v>473.00611961462351</v>
      </c>
      <c r="F152" s="21">
        <v>473.00611961462351</v>
      </c>
      <c r="G152" s="21">
        <f>Inputs!$C$33</f>
        <v>480</v>
      </c>
      <c r="H152" s="21">
        <f>Inputs!$C$33</f>
        <v>480</v>
      </c>
    </row>
    <row r="154" spans="2:8">
      <c r="B154" t="s">
        <v>112</v>
      </c>
      <c r="D154">
        <v>40.200000000000003</v>
      </c>
      <c r="E154">
        <v>29.4</v>
      </c>
      <c r="F154">
        <v>29.4</v>
      </c>
      <c r="G154">
        <v>19</v>
      </c>
      <c r="H154">
        <v>19</v>
      </c>
    </row>
    <row r="155" spans="2:8">
      <c r="B155" t="s">
        <v>113</v>
      </c>
      <c r="D155" s="21">
        <f>Inputs!$C$8</f>
        <v>64</v>
      </c>
      <c r="E155" s="21">
        <v>35</v>
      </c>
      <c r="F155" s="21">
        <v>35</v>
      </c>
      <c r="G155" s="21">
        <f>Inputs!$C$9</f>
        <v>11</v>
      </c>
      <c r="H155" s="21">
        <f>Inputs!$C$9</f>
        <v>11</v>
      </c>
    </row>
    <row r="156" spans="2:8">
      <c r="D156" s="22"/>
      <c r="E156" s="22"/>
      <c r="F156" s="22"/>
      <c r="G156" s="22"/>
      <c r="H156" s="22"/>
    </row>
    <row r="157" spans="2:8">
      <c r="B157" t="s">
        <v>7</v>
      </c>
      <c r="D157" s="9">
        <v>0.1</v>
      </c>
      <c r="E157" s="9">
        <v>0.08</v>
      </c>
      <c r="F157" s="9">
        <v>0.08</v>
      </c>
      <c r="G157" s="9">
        <v>0.05</v>
      </c>
      <c r="H157" s="9">
        <v>0.05</v>
      </c>
    </row>
    <row r="158" spans="2:8">
      <c r="B158" t="s">
        <v>114</v>
      </c>
      <c r="D158" s="23">
        <f>Inputs!$C$5</f>
        <v>7.0000000000000007E-2</v>
      </c>
      <c r="E158" s="23">
        <f>Inputs!$C$5</f>
        <v>7.0000000000000007E-2</v>
      </c>
      <c r="F158" s="23">
        <f>Inputs!$C$5</f>
        <v>7.0000000000000007E-2</v>
      </c>
      <c r="G158" s="23">
        <f>Inputs!$C$5</f>
        <v>7.0000000000000007E-2</v>
      </c>
      <c r="H158" s="23">
        <f>Inputs!$C$5</f>
        <v>7.0000000000000007E-2</v>
      </c>
    </row>
    <row r="160" spans="2:8">
      <c r="B160" t="s">
        <v>115</v>
      </c>
      <c r="D160" s="5">
        <f>D135/D151*D152</f>
        <v>1.6354046666666666</v>
      </c>
      <c r="E160" s="5">
        <f>E135/E151*E152</f>
        <v>0.62704159074129873</v>
      </c>
      <c r="F160" s="5">
        <f>F135/F151*F152</f>
        <v>0.83390978888058132</v>
      </c>
      <c r="G160" s="5">
        <f>G135/G151*G152</f>
        <v>0.61476923076923085</v>
      </c>
      <c r="H160" s="5">
        <f>H135/H151*H152</f>
        <v>1.08768</v>
      </c>
    </row>
    <row r="161" spans="2:9">
      <c r="B161" t="s">
        <v>116</v>
      </c>
      <c r="D161" s="5">
        <f>D148/D151*D152</f>
        <v>2.0116716666666665</v>
      </c>
      <c r="E161" s="5">
        <f>E148/E151*E152</f>
        <v>0.28030753958031818</v>
      </c>
      <c r="F161" s="5">
        <f>F148/F151*F152</f>
        <v>0.23224600473078014</v>
      </c>
      <c r="G161" s="5">
        <f>G148/G151*G152</f>
        <v>0.22918153846153846</v>
      </c>
      <c r="H161" s="5">
        <f>H148/H151*H152</f>
        <v>5.7071999999999998E-2</v>
      </c>
    </row>
    <row r="162" spans="2:9">
      <c r="B162" t="s">
        <v>117</v>
      </c>
      <c r="D162" s="5">
        <f>D126/D154*D155</f>
        <v>1.9184079601990049</v>
      </c>
      <c r="E162" s="5">
        <f>E126/E154*E155</f>
        <v>0.76285714285714301</v>
      </c>
      <c r="F162" s="5">
        <f>F126/F154*F155</f>
        <v>0.76523809523809538</v>
      </c>
      <c r="G162" s="5">
        <f>G126/G154*G155</f>
        <v>0.2108526315789474</v>
      </c>
      <c r="H162" s="5">
        <f>H126/H154*H155</f>
        <v>0.20720526315789475</v>
      </c>
    </row>
    <row r="164" spans="2:9">
      <c r="B164" t="s">
        <v>118</v>
      </c>
      <c r="D164" s="4">
        <f>(D158-D157)*100*($L$88-1)+1</f>
        <v>0.82952395964691061</v>
      </c>
      <c r="E164" s="4">
        <f>(E158-E157)*100*($L$88-1)+1</f>
        <v>0.94317465321563687</v>
      </c>
      <c r="F164" s="4">
        <f>(F158-F157)*100*($L$88-1)+1</f>
        <v>0.94317465321563687</v>
      </c>
      <c r="G164" s="4">
        <f>(G158-G157)*100*($L$88-1)+1</f>
        <v>1.1136506935687263</v>
      </c>
      <c r="H164" s="4">
        <f>(H158-H157)*100*($L$88-1)+1</f>
        <v>1.1136506935687263</v>
      </c>
    </row>
    <row r="165" spans="2:9" ht="17.100000000000001" customHeight="1" thickBot="1"/>
    <row r="166" spans="2:9">
      <c r="B166" s="24" t="s">
        <v>119</v>
      </c>
      <c r="C166" s="25" t="s">
        <v>120</v>
      </c>
      <c r="D166" s="26">
        <f>D149-D126+D162</f>
        <v>5.1284079601990049</v>
      </c>
      <c r="E166" s="26">
        <f>E149-E126+E162</f>
        <v>1.883057142857143</v>
      </c>
      <c r="F166" s="26">
        <f>F149-F126+F162</f>
        <v>1.8924380952380955</v>
      </c>
      <c r="G166" s="26">
        <f>G149-G126+G162</f>
        <v>0.83435263157894735</v>
      </c>
      <c r="H166" s="27">
        <f>H149-H126+H162</f>
        <v>0.83140526315789476</v>
      </c>
    </row>
    <row r="167" spans="2:9">
      <c r="B167" s="28" t="s">
        <v>119</v>
      </c>
      <c r="C167" t="s">
        <v>121</v>
      </c>
      <c r="D167" s="5">
        <f>D149+(D160-D135)+(D161-D148)+(D162-D126)</f>
        <v>7.0685842935323375</v>
      </c>
      <c r="E167" s="5">
        <f>E149+(E160-E135)+(E161-E148)+(E162-E126)</f>
        <v>2.3492062731787593</v>
      </c>
      <c r="F167" s="5">
        <f>F149+(F160-F135)+(F161-F148)+(F162-F126)</f>
        <v>2.5077938888494571</v>
      </c>
      <c r="G167" s="5">
        <f>G149+(G160-G135)+(G161-G148)+(G162-G126)</f>
        <v>1.4497334008097167</v>
      </c>
      <c r="H167" s="29">
        <f>H149+(H160-H135)+(H161-H148)+(H162-H126)</f>
        <v>1.7376672631578947</v>
      </c>
    </row>
    <row r="168" spans="2:9" ht="17.100000000000001" customHeight="1" thickBot="1">
      <c r="B168" s="30" t="s">
        <v>119</v>
      </c>
      <c r="C168" s="31" t="s">
        <v>122</v>
      </c>
      <c r="D168" s="32">
        <f>D149*D164+(D160-D135)+(D161-D148)+(D162-D126)</f>
        <v>6.3159325753734485</v>
      </c>
      <c r="E168" s="32">
        <f>E149*E164+(E160-E135)+(E161-E148)+(E162-E126)</f>
        <v>2.2491368374914962</v>
      </c>
      <c r="F168" s="32">
        <f>F149*F164+(F160-F135)+(F161-F148)+(F162-F126)</f>
        <v>2.4072130250411345</v>
      </c>
      <c r="G168" s="32">
        <f>G149*G164+(G160-G135)+(G161-G148)+(G162-G126)</f>
        <v>1.5619861908475476</v>
      </c>
      <c r="H168" s="33">
        <f>H149*H164+(H160-H135)+(H161-H148)+(H162-H126)</f>
        <v>1.8492836093117409</v>
      </c>
    </row>
    <row r="170" spans="2:9">
      <c r="E170" t="s">
        <v>150</v>
      </c>
    </row>
    <row r="171" spans="2:9">
      <c r="D171" s="6">
        <v>2020</v>
      </c>
      <c r="E171" s="6">
        <v>2030</v>
      </c>
      <c r="F171" s="6">
        <v>2030</v>
      </c>
      <c r="G171" s="6">
        <v>2050</v>
      </c>
      <c r="H171" s="6">
        <v>2050</v>
      </c>
    </row>
    <row r="172" spans="2:9">
      <c r="B172" t="s">
        <v>151</v>
      </c>
      <c r="C172">
        <v>2.75</v>
      </c>
      <c r="D172" s="21">
        <f>Inputs!C12*Inputs!C14/1000</f>
        <v>3.0769675200000006</v>
      </c>
      <c r="E172" t="s">
        <v>152</v>
      </c>
      <c r="F172" t="s">
        <v>152</v>
      </c>
      <c r="G172" t="s">
        <v>152</v>
      </c>
      <c r="H172" t="s">
        <v>152</v>
      </c>
      <c r="I172" t="s">
        <v>153</v>
      </c>
    </row>
    <row r="173" spans="2:9">
      <c r="B173" t="s">
        <v>154</v>
      </c>
      <c r="C173">
        <v>0.35</v>
      </c>
      <c r="D173" s="21">
        <f>Inputs!C16</f>
        <v>0.8</v>
      </c>
      <c r="E173" s="21">
        <v>0.37375129672688495</v>
      </c>
      <c r="F173" s="21">
        <v>0.37375129672688495</v>
      </c>
      <c r="G173" s="21">
        <f>Inputs!$C$18</f>
        <v>0.8</v>
      </c>
      <c r="H173" s="21">
        <f>Inputs!$C$18</f>
        <v>0.8</v>
      </c>
      <c r="I173" t="s">
        <v>155</v>
      </c>
    </row>
    <row r="174" spans="2:9">
      <c r="C174">
        <v>0.81</v>
      </c>
      <c r="I174" t="s">
        <v>155</v>
      </c>
    </row>
    <row r="177" spans="2:8" ht="17.100000000000001" customHeight="1" thickBot="1">
      <c r="D177">
        <v>2020</v>
      </c>
      <c r="E177">
        <v>2030</v>
      </c>
      <c r="F177">
        <v>2030</v>
      </c>
      <c r="G177">
        <v>2050</v>
      </c>
      <c r="H177">
        <v>2050</v>
      </c>
    </row>
    <row r="178" spans="2:8">
      <c r="B178" s="34" t="s">
        <v>156</v>
      </c>
      <c r="C178" s="35" t="s">
        <v>157</v>
      </c>
      <c r="D178" s="35">
        <f>(D103-$C$173)/$C$172*1000</f>
        <v>1566.1818181818182</v>
      </c>
      <c r="E178" s="35">
        <f>(E103-$C$173)/$C$172*1000</f>
        <v>482.18181818181819</v>
      </c>
      <c r="F178" s="35">
        <f>(F103-$C$173)/$C$172*1000</f>
        <v>490.18181818181813</v>
      </c>
      <c r="G178" s="35">
        <f>(G103-$C$173)/$C$172*1000</f>
        <v>218.69090909090912</v>
      </c>
      <c r="H178" s="36">
        <f>(H103-$C$173)/$C$172*1000</f>
        <v>218.87272727272727</v>
      </c>
    </row>
    <row r="179" spans="2:8">
      <c r="B179" s="37"/>
      <c r="C179" s="4" t="s">
        <v>158</v>
      </c>
      <c r="D179" s="4">
        <f>(D149-$C$173)/$C$172*1000</f>
        <v>1478.1818181818182</v>
      </c>
      <c r="E179" s="4">
        <f>(E149-$C$173)/$C$172*1000</f>
        <v>513.09090909090912</v>
      </c>
      <c r="F179" s="4">
        <f>(F149-$C$173)/$C$172*1000</f>
        <v>516.36363636363637</v>
      </c>
      <c r="G179" s="4">
        <f>(G149-$C$173)/$C$172*1000</f>
        <v>231.89090909090913</v>
      </c>
      <c r="H179" s="38">
        <f>(H149-$C$173)/$C$172*1000</f>
        <v>229.85454545454544</v>
      </c>
    </row>
    <row r="180" spans="2:8">
      <c r="B180" s="37" t="s">
        <v>159</v>
      </c>
      <c r="C180" s="4" t="s">
        <v>157</v>
      </c>
      <c r="D180" s="4">
        <f>(D120-$C$173)/$C$172*1000</f>
        <v>1833.0815850815854</v>
      </c>
      <c r="E180" s="4">
        <f>(E120-$C$173)/$C$172*1000</f>
        <v>625.2557059961315</v>
      </c>
      <c r="F180" s="4">
        <f>(F120-$C$173)/$C$172*1000</f>
        <v>633.06769825918752</v>
      </c>
      <c r="G180" s="4">
        <f>(G120-$C$173)/$C$172*1000</f>
        <v>212.0024653312789</v>
      </c>
      <c r="H180" s="38">
        <f>(H120-$C$173)/$C$172*1000</f>
        <v>212.77349768875189</v>
      </c>
    </row>
    <row r="181" spans="2:8">
      <c r="B181" s="37"/>
      <c r="C181" s="4" t="s">
        <v>158</v>
      </c>
      <c r="D181" s="4">
        <f>(D166-$C$173)/$C$172*1000</f>
        <v>1737.6028946178201</v>
      </c>
      <c r="E181" s="4">
        <f>(E166-$C$173)/$C$172*1000</f>
        <v>557.47532467532471</v>
      </c>
      <c r="F181" s="4">
        <f>(F166-$C$173)/$C$172*1000</f>
        <v>560.88658008658012</v>
      </c>
      <c r="G181" s="4">
        <f>(G166-$C$173)/$C$172*1000</f>
        <v>176.12822966507179</v>
      </c>
      <c r="H181" s="38">
        <f>(H166-$C$173)/$C$172*1000</f>
        <v>175.05645933014355</v>
      </c>
    </row>
    <row r="182" spans="2:8">
      <c r="B182" s="37" t="s">
        <v>160</v>
      </c>
      <c r="C182" s="4" t="s">
        <v>157</v>
      </c>
      <c r="D182" s="4">
        <f>(D121-$C$173)/$C$172*1000</f>
        <v>2461.2655850815854</v>
      </c>
      <c r="E182" s="4">
        <f>(E121-$C$173)/$C$172*1000</f>
        <v>781.70170110613105</v>
      </c>
      <c r="F182" s="4">
        <f>(F121-$C$173)/$C$172*1000</f>
        <v>841.95212599777994</v>
      </c>
      <c r="G182" s="4">
        <f>(G121-$C$173)/$C$172*1000</f>
        <v>400.18987791869148</v>
      </c>
      <c r="H182" s="38">
        <f>(H121-$C$173)/$C$172*1000</f>
        <v>532.01495223420648</v>
      </c>
    </row>
    <row r="183" spans="2:8">
      <c r="B183" s="37"/>
      <c r="C183" s="4" t="s">
        <v>158</v>
      </c>
      <c r="D183" s="4">
        <f>(D167-$C$173)/$C$172*1000</f>
        <v>2443.1215612844867</v>
      </c>
      <c r="E183" s="4">
        <f>(E167-$C$173)/$C$172*1000</f>
        <v>726.98409933773064</v>
      </c>
      <c r="F183" s="4">
        <f>(F167-$C$173)/$C$172*1000</f>
        <v>784.65232321798442</v>
      </c>
      <c r="G183" s="4">
        <f>(G167-$C$173)/$C$172*1000</f>
        <v>399.90305483989698</v>
      </c>
      <c r="H183" s="38">
        <f>(H167-$C$173)/$C$172*1000</f>
        <v>504.60627751196165</v>
      </c>
    </row>
    <row r="184" spans="2:8">
      <c r="B184" s="37" t="s">
        <v>161</v>
      </c>
      <c r="C184" s="4" t="s">
        <v>157</v>
      </c>
      <c r="D184" s="4">
        <f>(D122-$C$173)/$C$172*1000</f>
        <v>2172.5721596545536</v>
      </c>
      <c r="E184" s="4">
        <f>(E122-$C$173)/$C$172*1000</f>
        <v>747.06923521137003</v>
      </c>
      <c r="F184" s="4">
        <f>(F122-$C$173)/$C$172*1000</f>
        <v>806.86505732874411</v>
      </c>
      <c r="G184" s="4">
        <f>(G122-$C$173)/$C$172*1000</f>
        <v>439.50888514097727</v>
      </c>
      <c r="H184" s="38">
        <f>(H122-$C$173)/$C$172*1000</f>
        <v>571.35462321895932</v>
      </c>
    </row>
    <row r="185" spans="2:8">
      <c r="B185" s="37"/>
      <c r="C185" s="4" t="s">
        <v>158</v>
      </c>
      <c r="D185" s="4">
        <f>(D168-$C$173)/$C$172*1000</f>
        <v>2169.4300274085267</v>
      </c>
      <c r="E185" s="4">
        <f>(E168-$C$173)/$C$172*1000</f>
        <v>690.59521363327121</v>
      </c>
      <c r="F185" s="4">
        <f>(F168-$C$173)/$C$172*1000</f>
        <v>748.07746365132164</v>
      </c>
      <c r="G185" s="4">
        <f>(G168-$C$173)/$C$172*1000</f>
        <v>440.72225121729002</v>
      </c>
      <c r="H185" s="38">
        <f>(H168-$C$173)/$C$172*1000</f>
        <v>545.19403974972397</v>
      </c>
    </row>
    <row r="186" spans="2:8">
      <c r="B186" s="37" t="s">
        <v>162</v>
      </c>
      <c r="C186" s="4" t="s">
        <v>157</v>
      </c>
      <c r="D186" s="4">
        <f>(D122-D$173)/$C$172*1000</f>
        <v>2008.9357960181896</v>
      </c>
      <c r="E186" s="4">
        <f>(E122-E$173)/$C$172*1000</f>
        <v>738.43240003795745</v>
      </c>
      <c r="F186" s="4">
        <f>(F122-F$173)/$C$172*1000</f>
        <v>798.22822215533154</v>
      </c>
      <c r="G186" s="4">
        <f>(G122-G$173)/$C$172*1000</f>
        <v>275.87252150461359</v>
      </c>
      <c r="H186" s="38">
        <f>(H122-H$173)/$C$172*1000</f>
        <v>407.71825958259569</v>
      </c>
    </row>
    <row r="187" spans="2:8">
      <c r="B187" s="37"/>
      <c r="C187" s="4" t="s">
        <v>158</v>
      </c>
      <c r="D187" s="4">
        <f>(D168-D$173)/$C$172*1000</f>
        <v>2005.7936637721632</v>
      </c>
      <c r="E187" s="4">
        <f>(E168-E$173)/$C$172*1000</f>
        <v>681.95837845985864</v>
      </c>
      <c r="F187" s="4">
        <f>(F168-F$173)/$C$172*1000</f>
        <v>739.44062847790906</v>
      </c>
      <c r="G187" s="4">
        <f>(G168-G$173)/$C$172*1000</f>
        <v>277.0858875809264</v>
      </c>
      <c r="H187" s="38">
        <f>(H168-H$173)/$C$172*1000</f>
        <v>381.55767611336029</v>
      </c>
    </row>
    <row r="188" spans="2:8">
      <c r="B188" s="39" t="s">
        <v>163</v>
      </c>
      <c r="C188" s="7" t="s">
        <v>157</v>
      </c>
      <c r="D188" s="7">
        <f>(D122-D$173)/$D$172*1000</f>
        <v>1795.4604340607475</v>
      </c>
      <c r="E188" s="7">
        <f>(E122-E$173)/$D$172*1000</f>
        <v>659.96442500776936</v>
      </c>
      <c r="F188" s="7">
        <f>(F122-F$173)/$D$172*1000</f>
        <v>713.40616911262066</v>
      </c>
      <c r="G188" s="7">
        <f>(G122-G$173)/$D$172*1000</f>
        <v>246.55750481814877</v>
      </c>
      <c r="H188" s="40">
        <f>(H122-H$173)/$D$172*1000</f>
        <v>364.39293121044642</v>
      </c>
    </row>
    <row r="189" spans="2:8" ht="17.100000000000001" customHeight="1" thickBot="1">
      <c r="B189" s="41"/>
      <c r="C189" s="42" t="s">
        <v>158</v>
      </c>
      <c r="D189" s="42">
        <f>(D168-D$173)/$D$172*1000</f>
        <v>1792.6521939280813</v>
      </c>
      <c r="E189" s="42">
        <f>(E168-E$173)/$D$172*1000</f>
        <v>609.49149725331222</v>
      </c>
      <c r="F189" s="42">
        <f>(F168-F$173)/$D$172*1000</f>
        <v>660.86551616061558</v>
      </c>
      <c r="G189" s="42">
        <f>(G168-G$173)/$D$172*1000</f>
        <v>247.64193508534254</v>
      </c>
      <c r="H189" s="43">
        <f>(H168-H$173)/$D$172*1000</f>
        <v>341.01224744541361</v>
      </c>
    </row>
    <row r="190" spans="2:8" ht="17.100000000000001" customHeight="1" thickBot="1">
      <c r="B190" s="7"/>
      <c r="C190" s="7"/>
      <c r="D190" s="7"/>
      <c r="E190" s="7"/>
      <c r="F190" s="7"/>
      <c r="G190" s="7"/>
      <c r="H190" s="7"/>
    </row>
    <row r="191" spans="2:8">
      <c r="B191" s="34" t="s">
        <v>156</v>
      </c>
      <c r="C191" s="35" t="s">
        <v>164</v>
      </c>
      <c r="D191" s="35">
        <f>(D103-$C$174)/$C$172*1000</f>
        <v>1398.909090909091</v>
      </c>
      <c r="E191" s="35">
        <f>(E103-$C$174)/$C$172*1000</f>
        <v>314.90909090909088</v>
      </c>
      <c r="F191" s="35">
        <f>(F103-$C$174)/$C$172*1000</f>
        <v>322.90909090909088</v>
      </c>
      <c r="G191" s="35">
        <f>(G103-$C$174)/$C$172*1000</f>
        <v>51.418181818181807</v>
      </c>
      <c r="H191" s="36">
        <f>(H103-$C$174)/$C$172*1000</f>
        <v>51.599999999999973</v>
      </c>
    </row>
    <row r="192" spans="2:8">
      <c r="B192" s="37"/>
      <c r="C192" s="4" t="s">
        <v>165</v>
      </c>
      <c r="D192" s="4">
        <f>(D149-$C$174)/$C$172*1000</f>
        <v>1310.9090909090908</v>
      </c>
      <c r="E192" s="4">
        <f>(E149-$C$174)/$C$172*1000</f>
        <v>345.81818181818176</v>
      </c>
      <c r="F192" s="4">
        <f>(F149-$C$174)/$C$172*1000</f>
        <v>349.09090909090907</v>
      </c>
      <c r="G192" s="4">
        <f>(G149-$C$174)/$C$172*1000</f>
        <v>64.61818181818181</v>
      </c>
      <c r="H192" s="38">
        <f>(H149-$C$174)/$C$172*1000</f>
        <v>62.581818181818157</v>
      </c>
    </row>
    <row r="193" spans="1:9">
      <c r="B193" s="37" t="s">
        <v>159</v>
      </c>
      <c r="C193" s="4" t="s">
        <v>164</v>
      </c>
      <c r="D193" s="4">
        <f>(D120-$C$174)/$C$172*1000</f>
        <v>1665.808857808858</v>
      </c>
      <c r="E193" s="4">
        <f>(E120-$C$174)/$C$172*1000</f>
        <v>457.98297872340413</v>
      </c>
      <c r="F193" s="4">
        <f>(F120-$C$174)/$C$172*1000</f>
        <v>465.79497098646027</v>
      </c>
      <c r="G193" s="4">
        <f>(G120-$C$174)/$C$172*1000</f>
        <v>44.729738058551604</v>
      </c>
      <c r="H193" s="38">
        <f>(H120-$C$174)/$C$172*1000</f>
        <v>45.500770416024608</v>
      </c>
    </row>
    <row r="194" spans="1:9">
      <c r="B194" s="37"/>
      <c r="C194" s="4" t="s">
        <v>165</v>
      </c>
      <c r="D194" s="4">
        <f>(D166-$C$174)/$C$172*1000</f>
        <v>1570.3301673450928</v>
      </c>
      <c r="E194" s="4">
        <f>(E166-$C$174)/$C$172*1000</f>
        <v>390.20259740259746</v>
      </c>
      <c r="F194" s="4">
        <f>(F166-$C$174)/$C$172*1000</f>
        <v>393.61385281385287</v>
      </c>
      <c r="G194" s="4">
        <f>(G166-$C$174)/$C$172*1000</f>
        <v>8.8555023923444711</v>
      </c>
      <c r="H194" s="38">
        <f>(H166-$C$174)/$C$172*1000</f>
        <v>7.7837320574162563</v>
      </c>
    </row>
    <row r="195" spans="1:9">
      <c r="B195" s="37" t="s">
        <v>160</v>
      </c>
      <c r="C195" s="4" t="s">
        <v>164</v>
      </c>
      <c r="D195" s="4">
        <f>(D121-$C$174)/$C$172*1000</f>
        <v>2293.9928578088579</v>
      </c>
      <c r="E195" s="4">
        <f>(E121-$C$174)/$C$172*1000</f>
        <v>614.4289738334038</v>
      </c>
      <c r="F195" s="4">
        <f>(F121-$C$174)/$C$172*1000</f>
        <v>674.67939872505269</v>
      </c>
      <c r="G195" s="4">
        <f>(G121-$C$174)/$C$172*1000</f>
        <v>232.91715064596423</v>
      </c>
      <c r="H195" s="38">
        <f>(H121-$C$174)/$C$172*1000</f>
        <v>364.74222496147917</v>
      </c>
    </row>
    <row r="196" spans="1:9">
      <c r="B196" s="37"/>
      <c r="C196" s="4" t="s">
        <v>165</v>
      </c>
      <c r="D196" s="4">
        <f>(D167-$C$174)/$C$172*1000</f>
        <v>2275.8488340117592</v>
      </c>
      <c r="E196" s="4">
        <f>(E167-$C$174)/$C$172*1000</f>
        <v>559.71137206500327</v>
      </c>
      <c r="F196" s="4">
        <f>(F167-$C$174)/$C$172*1000</f>
        <v>617.37959594525717</v>
      </c>
      <c r="G196" s="4">
        <f>(G167-$C$174)/$C$172*1000</f>
        <v>232.6303275671697</v>
      </c>
      <c r="H196" s="38">
        <f>(H167-$C$174)/$C$172*1000</f>
        <v>337.3335502392344</v>
      </c>
    </row>
    <row r="197" spans="1:9">
      <c r="B197" s="37" t="s">
        <v>161</v>
      </c>
      <c r="C197" s="4" t="s">
        <v>164</v>
      </c>
      <c r="D197" s="4">
        <f>(D122-$C$174)/$C$172*1000</f>
        <v>2005.2994323818259</v>
      </c>
      <c r="E197" s="4">
        <f>(E122-$C$174)/$C$172*1000</f>
        <v>579.79650793864266</v>
      </c>
      <c r="F197" s="4">
        <f>(F122-$C$174)/$C$172*1000</f>
        <v>639.59233005601675</v>
      </c>
      <c r="G197" s="4">
        <f>(G122-$C$174)/$C$172*1000</f>
        <v>272.23615786825002</v>
      </c>
      <c r="H197" s="38">
        <f>(H122-$C$174)/$C$172*1000</f>
        <v>404.08189594623207</v>
      </c>
    </row>
    <row r="198" spans="1:9">
      <c r="B198" s="37"/>
      <c r="C198" s="4" t="s">
        <v>165</v>
      </c>
      <c r="D198" s="4">
        <f>(D168-$C$174)/$C$172*1000</f>
        <v>2002.1573001357992</v>
      </c>
      <c r="E198" s="4">
        <f>(E168-$C$174)/$C$172*1000</f>
        <v>523.32248636054396</v>
      </c>
      <c r="F198" s="4">
        <f>(F168-$C$174)/$C$172*1000</f>
        <v>580.80473637859427</v>
      </c>
      <c r="G198" s="4">
        <f>(G168-$C$174)/$C$172*1000</f>
        <v>273.44952394456271</v>
      </c>
      <c r="H198" s="38">
        <f>(H168-$C$174)/$C$172*1000</f>
        <v>377.92131247699666</v>
      </c>
    </row>
    <row r="199" spans="1:9">
      <c r="B199" s="37" t="s">
        <v>162</v>
      </c>
      <c r="C199" s="4" t="s">
        <v>164</v>
      </c>
      <c r="D199" s="4">
        <f>(D122-D$173)/$C$172*1000</f>
        <v>2008.9357960181896</v>
      </c>
      <c r="E199" s="4">
        <f>(E122-E$173)/$C$172*1000</f>
        <v>738.43240003795745</v>
      </c>
      <c r="F199" s="4">
        <f>(F122-F$173)/$C$172*1000</f>
        <v>798.22822215533154</v>
      </c>
      <c r="G199" s="4">
        <f>(G122-G$173)/$C$172*1000</f>
        <v>275.87252150461359</v>
      </c>
      <c r="H199" s="38">
        <f>(H122-H$173)/$C$172*1000</f>
        <v>407.71825958259569</v>
      </c>
    </row>
    <row r="200" spans="1:9">
      <c r="B200" s="37"/>
      <c r="C200" s="4" t="s">
        <v>165</v>
      </c>
      <c r="D200" s="4">
        <f>(D168-D$173)/$C$172*1000</f>
        <v>2005.7936637721632</v>
      </c>
      <c r="E200" s="4">
        <f>(E168-E$173)/$C$172*1000</f>
        <v>681.95837845985864</v>
      </c>
      <c r="F200" s="4">
        <f>(F168-F$173)/$C$172*1000</f>
        <v>739.44062847790906</v>
      </c>
      <c r="G200" s="4">
        <f>(G168-G$173)/$C$172*1000</f>
        <v>277.0858875809264</v>
      </c>
      <c r="H200" s="38">
        <f>(H168-H$173)/$C$172*1000</f>
        <v>381.55767611336029</v>
      </c>
    </row>
    <row r="201" spans="1:9">
      <c r="B201" s="39" t="s">
        <v>163</v>
      </c>
      <c r="C201" s="4" t="s">
        <v>164</v>
      </c>
      <c r="D201" s="7">
        <f>(D122-D$173)/$D$172*1000</f>
        <v>1795.4604340607475</v>
      </c>
      <c r="E201" s="7">
        <f>(E122-E$173)/$D$172*1000</f>
        <v>659.96442500776936</v>
      </c>
      <c r="F201" s="7">
        <f>(F122-F$173)/$D$172*1000</f>
        <v>713.40616911262066</v>
      </c>
      <c r="G201" s="7">
        <f>(G122-G$173)/$D$172*1000</f>
        <v>246.55750481814877</v>
      </c>
      <c r="H201" s="40">
        <f>(H122-H$173)/$D$172*1000</f>
        <v>364.39293121044642</v>
      </c>
    </row>
    <row r="202" spans="1:9" ht="17.100000000000001" customHeight="1" thickBot="1">
      <c r="B202" s="41"/>
      <c r="C202" s="44" t="s">
        <v>165</v>
      </c>
      <c r="D202" s="42">
        <f>(D168-D$173)/$D$172*1000</f>
        <v>1792.6521939280813</v>
      </c>
      <c r="E202" s="42">
        <f>(E168-E$173)/$D$172*1000</f>
        <v>609.49149725331222</v>
      </c>
      <c r="F202" s="42">
        <f>(F168-F$173)/$D$172*1000</f>
        <v>660.86551616061558</v>
      </c>
      <c r="G202" s="42">
        <f>(G168-G$173)/$D$172*1000</f>
        <v>247.64193508534254</v>
      </c>
      <c r="H202" s="43">
        <f>(H168-H$173)/$D$172*1000</f>
        <v>341.01224744541361</v>
      </c>
    </row>
    <row r="203" spans="1:9">
      <c r="B203" s="7"/>
      <c r="C203" s="7"/>
      <c r="D203" s="7"/>
      <c r="E203" s="7"/>
      <c r="F203" s="7"/>
      <c r="G203" s="7"/>
      <c r="H203" s="7"/>
    </row>
    <row r="204" spans="1:9">
      <c r="B204" s="7"/>
      <c r="C204" s="7"/>
      <c r="D204" s="7"/>
      <c r="E204" s="7"/>
      <c r="F204" s="7"/>
      <c r="G204" s="7"/>
      <c r="H204" s="7"/>
    </row>
    <row r="205" spans="1:9">
      <c r="B205" s="7"/>
      <c r="C205" s="10" t="s">
        <v>156</v>
      </c>
      <c r="D205" s="10" t="s">
        <v>159</v>
      </c>
      <c r="E205" s="10" t="s">
        <v>160</v>
      </c>
      <c r="F205" t="s">
        <v>161</v>
      </c>
      <c r="G205" t="s">
        <v>162</v>
      </c>
      <c r="H205" t="s">
        <v>163</v>
      </c>
      <c r="I205" t="s">
        <v>78</v>
      </c>
    </row>
    <row r="206" spans="1:9">
      <c r="B206" s="7"/>
      <c r="C206">
        <v>1</v>
      </c>
      <c r="D206">
        <v>3</v>
      </c>
      <c r="E206">
        <v>5</v>
      </c>
      <c r="F206">
        <v>7</v>
      </c>
      <c r="G206">
        <v>9</v>
      </c>
      <c r="H206">
        <v>11</v>
      </c>
    </row>
    <row r="207" spans="1:9">
      <c r="B207" s="4" t="s">
        <v>157</v>
      </c>
      <c r="C207" s="7"/>
      <c r="D207" s="7"/>
      <c r="E207" s="7"/>
      <c r="F207" s="7"/>
      <c r="G207" s="7"/>
      <c r="H207" s="7"/>
    </row>
    <row r="208" spans="1:9">
      <c r="A208">
        <v>1</v>
      </c>
      <c r="B208">
        <v>2020</v>
      </c>
      <c r="C208" s="7">
        <f t="array" ref="C208">INDEX($D$178:$H$189,C$206,$A208)</f>
        <v>1566.1818181818182</v>
      </c>
      <c r="D208" s="7">
        <f t="array" ref="D208">INDEX($D$178:$H$189,D$206,$A208)</f>
        <v>1833.0815850815854</v>
      </c>
      <c r="E208" s="7">
        <f t="array" ref="E208">INDEX($D$178:$H$189,E$206,$A208)</f>
        <v>2461.2655850815854</v>
      </c>
      <c r="F208" s="7">
        <f t="array" ref="F208">INDEX($D$178:$H$189,F$206,$A208)</f>
        <v>2172.5721596545536</v>
      </c>
      <c r="G208" s="7">
        <f t="array" ref="G208">INDEX($D$178:$H$189,G$206,$A208)</f>
        <v>2008.9357960181896</v>
      </c>
      <c r="H208" s="7">
        <f t="array" ref="H208">INDEX($D$178:$H$189,H$206,$A208)</f>
        <v>1795.4604340607475</v>
      </c>
      <c r="I208" t="s">
        <v>166</v>
      </c>
    </row>
    <row r="209" spans="1:9">
      <c r="A209">
        <v>2</v>
      </c>
      <c r="B209">
        <v>2030</v>
      </c>
      <c r="C209" s="7">
        <f t="array" ref="C209">INDEX($D$178:$H$189,C$206,$A209)</f>
        <v>482.18181818181819</v>
      </c>
      <c r="D209" s="7">
        <f t="array" ref="D209">INDEX($D$178:$H$189,D$206,$A209)</f>
        <v>625.2557059961315</v>
      </c>
      <c r="E209" s="7">
        <f t="array" ref="E209">INDEX($D$178:$H$189,E$206,$A209)</f>
        <v>781.70170110613105</v>
      </c>
      <c r="F209" s="7">
        <f t="array" ref="F209">INDEX($D$178:$H$189,F$206,$A209)</f>
        <v>747.06923521137003</v>
      </c>
      <c r="G209" s="7">
        <f t="array" ref="G209">INDEX($D$178:$H$189,G$206,$A209)</f>
        <v>738.43240003795745</v>
      </c>
      <c r="H209" s="7">
        <f t="array" ref="H209">INDEX($D$178:$H$189,H$206,$A209)</f>
        <v>659.96442500776936</v>
      </c>
      <c r="I209" t="s">
        <v>167</v>
      </c>
    </row>
    <row r="210" spans="1:9">
      <c r="A210">
        <v>3</v>
      </c>
      <c r="B210">
        <v>2030</v>
      </c>
      <c r="C210" s="7">
        <f t="array" ref="C210">INDEX($D$178:$H$189,C$206,$A210)</f>
        <v>490.18181818181813</v>
      </c>
      <c r="D210" s="7">
        <f t="array" ref="D210">INDEX($D$178:$H$189,D$206,$A210)</f>
        <v>633.06769825918752</v>
      </c>
      <c r="E210" s="7">
        <f t="array" ref="E210">INDEX($D$178:$H$189,E$206,$A210)</f>
        <v>841.95212599777994</v>
      </c>
      <c r="F210" s="7">
        <f t="array" ref="F210">INDEX($D$178:$H$189,F$206,$A210)</f>
        <v>806.86505732874411</v>
      </c>
      <c r="G210" s="7">
        <f t="array" ref="G210">INDEX($D$178:$H$189,G$206,$A210)</f>
        <v>798.22822215533154</v>
      </c>
      <c r="H210" s="7">
        <f t="array" ref="H210">INDEX($D$178:$H$189,H$206,$A210)</f>
        <v>713.40616911262066</v>
      </c>
      <c r="I210" t="s">
        <v>166</v>
      </c>
    </row>
    <row r="211" spans="1:9">
      <c r="A211">
        <v>4</v>
      </c>
      <c r="B211">
        <v>2050</v>
      </c>
      <c r="C211" s="7">
        <f t="array" ref="C211">INDEX($D$178:$H$189,C$206,$A211)</f>
        <v>218.69090909090912</v>
      </c>
      <c r="D211" s="7">
        <f t="array" ref="D211">INDEX($D$178:$H$189,D$206,$A211)</f>
        <v>212.0024653312789</v>
      </c>
      <c r="E211" s="7">
        <f t="array" ref="E211">INDEX($D$178:$H$189,E$206,$A211)</f>
        <v>400.18987791869148</v>
      </c>
      <c r="F211" s="7">
        <f t="array" ref="F211">INDEX($D$178:$H$189,F$206,$A211)</f>
        <v>439.50888514097727</v>
      </c>
      <c r="G211" s="7">
        <f t="array" ref="G211">INDEX($D$178:$H$189,G$206,$A211)</f>
        <v>275.87252150461359</v>
      </c>
      <c r="H211" s="7">
        <f t="array" ref="H211">INDEX($D$178:$H$189,H$206,$A211)</f>
        <v>246.55750481814877</v>
      </c>
      <c r="I211" t="s">
        <v>167</v>
      </c>
    </row>
    <row r="212" spans="1:9">
      <c r="A212">
        <v>5</v>
      </c>
      <c r="B212">
        <v>2050</v>
      </c>
      <c r="C212" s="7">
        <f t="array" ref="C212">INDEX($D$178:$H$189,C$206,$A212)</f>
        <v>218.87272727272727</v>
      </c>
      <c r="D212" s="7">
        <f t="array" ref="D212">INDEX($D$178:$H$189,D$206,$A212)</f>
        <v>212.77349768875189</v>
      </c>
      <c r="E212" s="7">
        <f t="array" ref="E212">INDEX($D$178:$H$189,E$206,$A212)</f>
        <v>532.01495223420648</v>
      </c>
      <c r="F212" s="7">
        <f t="array" ref="F212">INDEX($D$178:$H$189,F$206,$A212)</f>
        <v>571.35462321895932</v>
      </c>
      <c r="G212" s="7">
        <f t="array" ref="G212">INDEX($D$178:$H$189,G$206,$A212)</f>
        <v>407.71825958259569</v>
      </c>
      <c r="H212" s="7">
        <f t="array" ref="H212">INDEX($D$178:$H$189,H$206,$A212)</f>
        <v>364.39293121044642</v>
      </c>
      <c r="I212" t="s">
        <v>166</v>
      </c>
    </row>
    <row r="214" spans="1:9">
      <c r="B214" s="7"/>
      <c r="C214">
        <v>2</v>
      </c>
      <c r="D214">
        <v>4</v>
      </c>
      <c r="E214">
        <v>6</v>
      </c>
      <c r="F214">
        <v>8</v>
      </c>
      <c r="G214">
        <v>10</v>
      </c>
      <c r="H214">
        <v>12</v>
      </c>
    </row>
    <row r="215" spans="1:9">
      <c r="B215" s="4" t="s">
        <v>158</v>
      </c>
      <c r="C215" s="7"/>
      <c r="D215" s="7"/>
      <c r="E215" s="7"/>
      <c r="F215" s="7"/>
      <c r="G215" s="7"/>
      <c r="H215" s="7"/>
    </row>
    <row r="216" spans="1:9">
      <c r="A216">
        <v>1</v>
      </c>
      <c r="B216">
        <v>2020</v>
      </c>
      <c r="C216" s="7">
        <f t="array" ref="C216">INDEX($D$178:$H$189,C$214,$A216)</f>
        <v>1478.1818181818182</v>
      </c>
      <c r="D216" s="7">
        <f t="array" ref="D216">INDEX($D$178:$H$189,D$214,$A216)</f>
        <v>1737.6028946178201</v>
      </c>
      <c r="E216" s="7">
        <f t="array" ref="E216">INDEX($D$178:$H$189,E$214,$A216)</f>
        <v>2443.1215612844867</v>
      </c>
      <c r="F216" s="7">
        <f t="array" ref="F216">INDEX($D$178:$H$189,F$214,$A216)</f>
        <v>2169.4300274085267</v>
      </c>
      <c r="G216" s="7">
        <f t="array" ref="G216">INDEX($D$178:$H$189,G$214,$A216)</f>
        <v>2005.7936637721632</v>
      </c>
      <c r="H216" s="7">
        <f t="array" ref="H216">INDEX($D$178:$H$189,H$214,$A216)</f>
        <v>1792.6521939280813</v>
      </c>
      <c r="I216" t="s">
        <v>166</v>
      </c>
    </row>
    <row r="217" spans="1:9">
      <c r="A217">
        <v>2</v>
      </c>
      <c r="B217">
        <v>2030</v>
      </c>
      <c r="C217" s="7">
        <f t="array" ref="C217">INDEX($D$178:$H$189,C$214,$A217)</f>
        <v>513.09090909090912</v>
      </c>
      <c r="D217" s="7">
        <f t="array" ref="D217">INDEX($D$178:$H$189,D$214,$A217)</f>
        <v>557.47532467532471</v>
      </c>
      <c r="E217" s="7">
        <f t="array" ref="E217">INDEX($D$178:$H$189,E$214,$A217)</f>
        <v>726.98409933773064</v>
      </c>
      <c r="F217" s="7">
        <f t="array" ref="F217">INDEX($D$178:$H$189,F$214,$A217)</f>
        <v>690.59521363327121</v>
      </c>
      <c r="G217" s="7">
        <f t="array" ref="G217">INDEX($D$178:$H$189,G$214,$A217)</f>
        <v>681.95837845985864</v>
      </c>
      <c r="H217" s="7">
        <f t="array" ref="H217">INDEX($D$178:$H$189,H$214,$A217)</f>
        <v>609.49149725331222</v>
      </c>
      <c r="I217" t="s">
        <v>167</v>
      </c>
    </row>
    <row r="218" spans="1:9">
      <c r="A218">
        <v>3</v>
      </c>
      <c r="B218">
        <v>2030</v>
      </c>
      <c r="C218" s="7">
        <f t="array" ref="C218">INDEX($D$178:$H$189,C$214,$A218)</f>
        <v>516.36363636363637</v>
      </c>
      <c r="D218" s="7">
        <f t="array" ref="D218">INDEX($D$178:$H$189,D$214,$A218)</f>
        <v>560.88658008658012</v>
      </c>
      <c r="E218" s="7">
        <f t="array" ref="E218">INDEX($D$178:$H$189,E$214,$A218)</f>
        <v>784.65232321798442</v>
      </c>
      <c r="F218" s="7">
        <f t="array" ref="F218">INDEX($D$178:$H$189,F$214,$A218)</f>
        <v>748.07746365132164</v>
      </c>
      <c r="G218" s="7">
        <f t="array" ref="G218">INDEX($D$178:$H$189,G$214,$A218)</f>
        <v>739.44062847790906</v>
      </c>
      <c r="H218" s="7">
        <f t="array" ref="H218">INDEX($D$178:$H$189,H$214,$A218)</f>
        <v>660.86551616061558</v>
      </c>
      <c r="I218" t="s">
        <v>166</v>
      </c>
    </row>
    <row r="219" spans="1:9">
      <c r="A219">
        <v>4</v>
      </c>
      <c r="B219">
        <v>2050</v>
      </c>
      <c r="C219" s="7">
        <f t="array" ref="C219">INDEX($D$178:$H$189,C$214,$A219)</f>
        <v>231.89090909090913</v>
      </c>
      <c r="D219" s="7">
        <f t="array" ref="D219">INDEX($D$178:$H$189,D$214,$A219)</f>
        <v>176.12822966507179</v>
      </c>
      <c r="E219" s="7">
        <f t="array" ref="E219">INDEX($D$178:$H$189,E$214,$A219)</f>
        <v>399.90305483989698</v>
      </c>
      <c r="F219" s="7">
        <f t="array" ref="F219">INDEX($D$178:$H$189,F$214,$A219)</f>
        <v>440.72225121729002</v>
      </c>
      <c r="G219" s="7">
        <f t="array" ref="G219">INDEX($D$178:$H$189,G$214,$A219)</f>
        <v>277.0858875809264</v>
      </c>
      <c r="H219" s="7">
        <f t="array" ref="H219">INDEX($D$178:$H$189,H$214,$A219)</f>
        <v>247.64193508534254</v>
      </c>
      <c r="I219" t="s">
        <v>167</v>
      </c>
    </row>
    <row r="220" spans="1:9">
      <c r="A220">
        <v>5</v>
      </c>
      <c r="B220">
        <v>2050</v>
      </c>
      <c r="C220" s="7">
        <f t="array" ref="C220">INDEX($D$178:$H$189,C$214,$A220)</f>
        <v>229.85454545454544</v>
      </c>
      <c r="D220" s="7">
        <f t="array" ref="D220">INDEX($D$178:$H$189,D$214,$A220)</f>
        <v>175.05645933014355</v>
      </c>
      <c r="E220" s="7">
        <f t="array" ref="E220">INDEX($D$178:$H$189,E$214,$A220)</f>
        <v>504.60627751196165</v>
      </c>
      <c r="F220" s="7">
        <f t="array" ref="F220">INDEX($D$178:$H$189,F$214,$A220)</f>
        <v>545.19403974972397</v>
      </c>
      <c r="G220" s="7">
        <f t="array" ref="G220">INDEX($D$178:$H$189,G$214,$A220)</f>
        <v>381.55767611336029</v>
      </c>
      <c r="H220" s="7">
        <f t="array" ref="H220">INDEX($D$178:$H$189,H$214,$A220)</f>
        <v>341.01224744541361</v>
      </c>
      <c r="I220" t="s">
        <v>166</v>
      </c>
    </row>
    <row r="222" spans="1:9">
      <c r="B222" s="4" t="s">
        <v>164</v>
      </c>
      <c r="C222">
        <v>1</v>
      </c>
      <c r="D222">
        <v>3</v>
      </c>
      <c r="E222">
        <v>5</v>
      </c>
      <c r="F222">
        <v>7</v>
      </c>
      <c r="G222">
        <v>9</v>
      </c>
      <c r="H222">
        <v>11</v>
      </c>
    </row>
    <row r="223" spans="1:9">
      <c r="A223">
        <v>1</v>
      </c>
      <c r="B223">
        <v>2020</v>
      </c>
      <c r="C223" s="7">
        <f t="array" ref="C223">INDEX($D$191:$H$202,C$222,$A223)</f>
        <v>1398.909090909091</v>
      </c>
      <c r="D223" s="7">
        <f t="array" ref="D223">INDEX($D$191:$H$202,D$222,$A223)</f>
        <v>1665.808857808858</v>
      </c>
      <c r="E223" s="7">
        <f t="array" ref="E223">INDEX($D$191:$H$202,E$222,$A223)</f>
        <v>2293.9928578088579</v>
      </c>
      <c r="F223" s="7">
        <f t="array" ref="F223">INDEX($D$191:$H$202,F$222,$A223)</f>
        <v>2005.2994323818259</v>
      </c>
      <c r="G223" s="7">
        <f t="array" ref="G223">INDEX($D$191:$H$202,G$222,$A223)</f>
        <v>2008.9357960181896</v>
      </c>
      <c r="H223" s="7">
        <f t="array" ref="H223">INDEX($D$191:$H$202,H$222,$A223)</f>
        <v>1795.4604340607475</v>
      </c>
      <c r="I223" t="s">
        <v>166</v>
      </c>
    </row>
    <row r="224" spans="1:9">
      <c r="A224">
        <v>2</v>
      </c>
      <c r="B224">
        <v>2030</v>
      </c>
      <c r="C224" s="7">
        <f t="array" ref="C224">INDEX($D$191:$H$202,C$222,$A224)</f>
        <v>314.90909090909088</v>
      </c>
      <c r="D224" s="7">
        <f t="array" ref="D224">INDEX($D$191:$H$202,D$222,$A224)</f>
        <v>457.98297872340413</v>
      </c>
      <c r="E224" s="7">
        <f t="array" ref="E224">INDEX($D$191:$H$202,E$222,$A224)</f>
        <v>614.4289738334038</v>
      </c>
      <c r="F224" s="7">
        <f t="array" ref="F224">INDEX($D$191:$H$202,F$222,$A224)</f>
        <v>579.79650793864266</v>
      </c>
      <c r="G224" s="7">
        <f t="array" ref="G224">INDEX($D$191:$H$202,G$222,$A224)</f>
        <v>738.43240003795745</v>
      </c>
      <c r="H224" s="7">
        <f t="array" ref="H224">INDEX($D$191:$H$202,H$222,$A224)</f>
        <v>659.96442500776936</v>
      </c>
      <c r="I224" t="s">
        <v>167</v>
      </c>
    </row>
    <row r="225" spans="1:9">
      <c r="A225">
        <v>3</v>
      </c>
      <c r="B225">
        <v>2030</v>
      </c>
      <c r="C225" s="7">
        <f t="array" ref="C225">INDEX($D$191:$H$202,C$222,$A225)</f>
        <v>322.90909090909088</v>
      </c>
      <c r="D225" s="7">
        <f t="array" ref="D225">INDEX($D$191:$H$202,D$222,$A225)</f>
        <v>465.79497098646027</v>
      </c>
      <c r="E225" s="7">
        <f t="array" ref="E225">INDEX($D$191:$H$202,E$222,$A225)</f>
        <v>674.67939872505269</v>
      </c>
      <c r="F225" s="7">
        <f t="array" ref="F225">INDEX($D$191:$H$202,F$222,$A225)</f>
        <v>639.59233005601675</v>
      </c>
      <c r="G225" s="7">
        <f t="array" ref="G225">INDEX($D$191:$H$202,G$222,$A225)</f>
        <v>798.22822215533154</v>
      </c>
      <c r="H225" s="7">
        <f t="array" ref="H225">INDEX($D$191:$H$202,H$222,$A225)</f>
        <v>713.40616911262066</v>
      </c>
      <c r="I225" t="s">
        <v>166</v>
      </c>
    </row>
    <row r="226" spans="1:9">
      <c r="A226">
        <v>4</v>
      </c>
      <c r="B226">
        <v>2050</v>
      </c>
      <c r="C226" s="7">
        <f t="array" ref="C226">INDEX($D$191:$H$202,C$222,$A226)</f>
        <v>51.418181818181807</v>
      </c>
      <c r="D226" s="7">
        <f t="array" ref="D226">INDEX($D$191:$H$202,D$222,$A226)</f>
        <v>44.729738058551604</v>
      </c>
      <c r="E226" s="7">
        <f t="array" ref="E226">INDEX($D$191:$H$202,E$222,$A226)</f>
        <v>232.91715064596423</v>
      </c>
      <c r="F226" s="7">
        <f t="array" ref="F226">INDEX($D$191:$H$202,F$222,$A226)</f>
        <v>272.23615786825002</v>
      </c>
      <c r="G226" s="7">
        <f t="array" ref="G226">INDEX($D$191:$H$202,G$222,$A226)</f>
        <v>275.87252150461359</v>
      </c>
      <c r="H226" s="7">
        <f t="array" ref="H226">INDEX($D$191:$H$202,H$222,$A226)</f>
        <v>246.55750481814877</v>
      </c>
      <c r="I226" t="s">
        <v>167</v>
      </c>
    </row>
    <row r="227" spans="1:9">
      <c r="A227">
        <v>5</v>
      </c>
      <c r="B227">
        <v>2050</v>
      </c>
      <c r="C227" s="7">
        <f t="array" ref="C227">INDEX($D$191:$H$202,C$222,$A227)</f>
        <v>51.599999999999973</v>
      </c>
      <c r="D227" s="7">
        <f t="array" ref="D227">INDEX($D$191:$H$202,D$222,$A227)</f>
        <v>45.500770416024608</v>
      </c>
      <c r="E227" s="7">
        <f t="array" ref="E227">INDEX($D$191:$H$202,E$222,$A227)</f>
        <v>364.74222496147917</v>
      </c>
      <c r="F227" s="7">
        <f t="array" ref="F227">INDEX($D$191:$H$202,F$222,$A227)</f>
        <v>404.08189594623207</v>
      </c>
      <c r="G227" s="7">
        <f t="array" ref="G227">INDEX($D$191:$H$202,G$222,$A227)</f>
        <v>407.71825958259569</v>
      </c>
      <c r="H227" s="7">
        <f t="array" ref="H227">INDEX($D$191:$H$202,H$222,$A227)</f>
        <v>364.39293121044642</v>
      </c>
      <c r="I227" t="s">
        <v>166</v>
      </c>
    </row>
    <row r="229" spans="1:9">
      <c r="B229" s="4" t="s">
        <v>165</v>
      </c>
      <c r="C229">
        <v>2</v>
      </c>
      <c r="D229">
        <v>4</v>
      </c>
      <c r="E229">
        <v>6</v>
      </c>
      <c r="F229">
        <v>8</v>
      </c>
      <c r="G229">
        <v>10</v>
      </c>
      <c r="H229">
        <v>12</v>
      </c>
    </row>
    <row r="230" spans="1:9">
      <c r="A230">
        <v>1</v>
      </c>
      <c r="B230">
        <v>2020</v>
      </c>
      <c r="C230" s="7">
        <f t="array" ref="C230">INDEX($D$191:$H$202,C$229,$A230)</f>
        <v>1310.9090909090908</v>
      </c>
      <c r="D230" s="7">
        <f t="array" ref="D230">INDEX($D$191:$H$202,D$229,$A230)</f>
        <v>1570.3301673450928</v>
      </c>
      <c r="E230" s="7">
        <f t="array" ref="E230">INDEX($D$191:$H$202,E$229,$A230)</f>
        <v>2275.8488340117592</v>
      </c>
      <c r="F230" s="7">
        <f t="array" ref="F230">INDEX($D$191:$H$202,F$229,$A230)</f>
        <v>2002.1573001357992</v>
      </c>
      <c r="G230" s="7">
        <f t="array" ref="G230">INDEX($D$191:$H$202,G$229,$A230)</f>
        <v>2005.7936637721632</v>
      </c>
      <c r="H230" s="7">
        <f t="array" ref="H230">INDEX($D$191:$H$202,H$229,$A230)</f>
        <v>1792.6521939280813</v>
      </c>
      <c r="I230" t="s">
        <v>166</v>
      </c>
    </row>
    <row r="231" spans="1:9">
      <c r="A231">
        <v>2</v>
      </c>
      <c r="B231">
        <v>2030</v>
      </c>
      <c r="C231" s="7">
        <f t="array" ref="C231">INDEX($D$191:$H$202,C$229,$A231)</f>
        <v>345.81818181818176</v>
      </c>
      <c r="D231" s="7">
        <f t="array" ref="D231">INDEX($D$191:$H$202,D$229,$A231)</f>
        <v>390.20259740259746</v>
      </c>
      <c r="E231" s="7">
        <f t="array" ref="E231">INDEX($D$191:$H$202,E$229,$A231)</f>
        <v>559.71137206500327</v>
      </c>
      <c r="F231" s="7">
        <f t="array" ref="F231">INDEX($D$191:$H$202,F$229,$A231)</f>
        <v>523.32248636054396</v>
      </c>
      <c r="G231" s="7">
        <f t="array" ref="G231">INDEX($D$191:$H$202,G$229,$A231)</f>
        <v>681.95837845985864</v>
      </c>
      <c r="H231" s="7">
        <f t="array" ref="H231">INDEX($D$191:$H$202,H$229,$A231)</f>
        <v>609.49149725331222</v>
      </c>
      <c r="I231" t="s">
        <v>167</v>
      </c>
    </row>
    <row r="232" spans="1:9">
      <c r="A232">
        <v>3</v>
      </c>
      <c r="B232">
        <v>2030</v>
      </c>
      <c r="C232" s="7">
        <f t="array" ref="C232">INDEX($D$191:$H$202,C$229,$A232)</f>
        <v>349.09090909090907</v>
      </c>
      <c r="D232" s="7">
        <f t="array" ref="D232">INDEX($D$191:$H$202,D$229,$A232)</f>
        <v>393.61385281385287</v>
      </c>
      <c r="E232" s="7">
        <f t="array" ref="E232">INDEX($D$191:$H$202,E$229,$A232)</f>
        <v>617.37959594525717</v>
      </c>
      <c r="F232" s="7">
        <f t="array" ref="F232">INDEX($D$191:$H$202,F$229,$A232)</f>
        <v>580.80473637859427</v>
      </c>
      <c r="G232" s="7">
        <f t="array" ref="G232">INDEX($D$191:$H$202,G$229,$A232)</f>
        <v>739.44062847790906</v>
      </c>
      <c r="H232" s="7">
        <f t="array" ref="H232">INDEX($D$191:$H$202,H$229,$A232)</f>
        <v>660.86551616061558</v>
      </c>
      <c r="I232" t="s">
        <v>166</v>
      </c>
    </row>
    <row r="233" spans="1:9">
      <c r="A233">
        <v>4</v>
      </c>
      <c r="B233">
        <v>2050</v>
      </c>
      <c r="C233" s="7">
        <f t="array" ref="C233">INDEX($D$191:$H$202,C$229,$A233)</f>
        <v>64.61818181818181</v>
      </c>
      <c r="D233" s="7">
        <f t="array" ref="D233">INDEX($D$191:$H$202,D$229,$A233)</f>
        <v>8.8555023923444711</v>
      </c>
      <c r="E233" s="7">
        <f t="array" ref="E233">INDEX($D$191:$H$202,E$229,$A233)</f>
        <v>232.6303275671697</v>
      </c>
      <c r="F233" s="7">
        <f t="array" ref="F233">INDEX($D$191:$H$202,F$229,$A233)</f>
        <v>273.44952394456271</v>
      </c>
      <c r="G233" s="7">
        <f t="array" ref="G233">INDEX($D$191:$H$202,G$229,$A233)</f>
        <v>277.0858875809264</v>
      </c>
      <c r="H233" s="7">
        <f t="array" ref="H233">INDEX($D$191:$H$202,H$229,$A233)</f>
        <v>247.64193508534254</v>
      </c>
      <c r="I233" t="s">
        <v>167</v>
      </c>
    </row>
    <row r="234" spans="1:9">
      <c r="A234">
        <v>5</v>
      </c>
      <c r="B234">
        <v>2050</v>
      </c>
      <c r="C234" s="7">
        <f t="array" ref="C234">INDEX($D$191:$H$202,C$229,$A234)</f>
        <v>62.581818181818157</v>
      </c>
      <c r="D234" s="7">
        <f t="array" ref="D234">INDEX($D$191:$H$202,D$229,$A234)</f>
        <v>7.7837320574162563</v>
      </c>
      <c r="E234" s="7">
        <f t="array" ref="E234">INDEX($D$191:$H$202,E$229,$A234)</f>
        <v>337.3335502392344</v>
      </c>
      <c r="F234" s="7">
        <f t="array" ref="F234">INDEX($D$191:$H$202,F$229,$A234)</f>
        <v>377.92131247699666</v>
      </c>
      <c r="G234" s="7">
        <f t="array" ref="G234">INDEX($D$191:$H$202,G$229,$A234)</f>
        <v>381.55767611336029</v>
      </c>
      <c r="H234" s="7">
        <f t="array" ref="H234">INDEX($D$191:$H$202,H$229,$A234)</f>
        <v>341.01224744541361</v>
      </c>
      <c r="I234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workbookViewId="0">
      <selection activeCell="C13" sqref="C13"/>
    </sheetView>
  </sheetViews>
  <sheetFormatPr defaultColWidth="11" defaultRowHeight="15.75"/>
  <cols>
    <col min="6" max="6" width="13.625" bestFit="1" customWidth="1"/>
    <col min="13" max="13" width="13.625" bestFit="1" customWidth="1"/>
  </cols>
  <sheetData>
    <row r="1" spans="1:13">
      <c r="A1" s="56">
        <v>2024</v>
      </c>
      <c r="B1" s="57"/>
      <c r="C1" s="57"/>
      <c r="D1" s="57"/>
      <c r="E1" s="57"/>
      <c r="F1" s="57"/>
      <c r="H1" s="56">
        <v>2050</v>
      </c>
      <c r="I1" s="57"/>
      <c r="J1" s="57"/>
      <c r="K1" s="57"/>
      <c r="L1" s="57"/>
      <c r="M1" s="57"/>
    </row>
    <row r="2" spans="1:13">
      <c r="A2" s="52" t="s">
        <v>0</v>
      </c>
      <c r="B2" s="52" t="s">
        <v>3</v>
      </c>
      <c r="C2" s="52" t="s">
        <v>168</v>
      </c>
      <c r="D2" s="52" t="s">
        <v>169</v>
      </c>
      <c r="E2" s="52" t="s">
        <v>170</v>
      </c>
      <c r="F2" s="52" t="s">
        <v>118</v>
      </c>
      <c r="H2" s="52" t="s">
        <v>0</v>
      </c>
      <c r="I2" s="52" t="s">
        <v>3</v>
      </c>
      <c r="J2" s="52" t="s">
        <v>168</v>
      </c>
      <c r="K2" s="52" t="s">
        <v>169</v>
      </c>
      <c r="L2" s="52" t="s">
        <v>170</v>
      </c>
      <c r="M2" s="52" t="s">
        <v>118</v>
      </c>
    </row>
    <row r="3" spans="1:13">
      <c r="A3" s="53" t="s">
        <v>171</v>
      </c>
      <c r="B3" s="53" t="s">
        <v>21</v>
      </c>
      <c r="C3" s="54">
        <f>Standardization!D103</f>
        <v>4.657</v>
      </c>
      <c r="D3" s="54">
        <f>Standardization!D120</f>
        <v>5.3909743589743595</v>
      </c>
      <c r="E3" s="54">
        <f>Standardization!D121</f>
        <v>7.1184803589743595</v>
      </c>
      <c r="F3" s="54">
        <f>Standardization!D122</f>
        <v>6.3245734390500221</v>
      </c>
      <c r="H3" s="53" t="s">
        <v>171</v>
      </c>
      <c r="I3" s="53" t="s">
        <v>21</v>
      </c>
      <c r="J3" s="54">
        <f>Standardization!H103</f>
        <v>0.95189999999999997</v>
      </c>
      <c r="K3" s="54">
        <f>Standardization!H120</f>
        <v>0.93512711864406772</v>
      </c>
      <c r="L3" s="54">
        <f>Standardization!H121</f>
        <v>1.8130411186440678</v>
      </c>
      <c r="M3" s="54">
        <f>Standardization!H122</f>
        <v>1.9212252138521382</v>
      </c>
    </row>
    <row r="4" spans="1:13">
      <c r="A4" s="53" t="s">
        <v>172</v>
      </c>
      <c r="B4" s="53" t="s">
        <v>21</v>
      </c>
      <c r="C4" s="55">
        <f>Inputs!$C$16</f>
        <v>0.8</v>
      </c>
      <c r="D4" s="55">
        <f>Inputs!$C$16</f>
        <v>0.8</v>
      </c>
      <c r="E4" s="55">
        <f>Inputs!$C$16</f>
        <v>0.8</v>
      </c>
      <c r="F4" s="55">
        <f>Inputs!$C$16</f>
        <v>0.8</v>
      </c>
      <c r="H4" s="53" t="s">
        <v>172</v>
      </c>
      <c r="I4" s="53" t="s">
        <v>21</v>
      </c>
      <c r="J4" s="55">
        <f>Inputs!$C$18</f>
        <v>0.8</v>
      </c>
      <c r="K4" s="55">
        <f>Inputs!$C$18</f>
        <v>0.8</v>
      </c>
      <c r="L4" s="55">
        <f>Inputs!$C$18</f>
        <v>0.8</v>
      </c>
      <c r="M4" s="55">
        <f>Inputs!$C$18</f>
        <v>0.8</v>
      </c>
    </row>
    <row r="5" spans="1:13">
      <c r="A5" s="53" t="s">
        <v>173</v>
      </c>
      <c r="B5" s="53" t="s">
        <v>174</v>
      </c>
      <c r="C5" s="54">
        <v>0</v>
      </c>
      <c r="D5" s="54">
        <v>0</v>
      </c>
      <c r="E5" s="54">
        <v>0</v>
      </c>
      <c r="F5" s="54">
        <v>0</v>
      </c>
      <c r="H5" s="53" t="s">
        <v>173</v>
      </c>
      <c r="I5" s="53" t="s">
        <v>174</v>
      </c>
      <c r="J5" s="54">
        <v>0</v>
      </c>
      <c r="K5" s="54">
        <v>0</v>
      </c>
      <c r="L5" s="54">
        <v>0</v>
      </c>
      <c r="M5" s="54">
        <v>0</v>
      </c>
    </row>
    <row r="6" spans="1:13">
      <c r="A6" s="53" t="s">
        <v>175</v>
      </c>
      <c r="B6" s="53" t="s">
        <v>174</v>
      </c>
      <c r="C6" s="54">
        <f>Inputs!$C$11</f>
        <v>88.7</v>
      </c>
      <c r="D6" s="54">
        <f>Inputs!$C$11</f>
        <v>88.7</v>
      </c>
      <c r="E6" s="54">
        <f>Inputs!$C$11</f>
        <v>88.7</v>
      </c>
      <c r="F6" s="54">
        <f>Inputs!$C$11</f>
        <v>88.7</v>
      </c>
      <c r="H6" s="53" t="s">
        <v>175</v>
      </c>
      <c r="I6" s="53" t="s">
        <v>174</v>
      </c>
      <c r="J6" s="54">
        <f>Inputs!$C$11</f>
        <v>88.7</v>
      </c>
      <c r="K6" s="54">
        <f>Inputs!$C$11</f>
        <v>88.7</v>
      </c>
      <c r="L6" s="54">
        <f>Inputs!$C$11</f>
        <v>88.7</v>
      </c>
      <c r="M6" s="54">
        <f>Inputs!$C$11</f>
        <v>88.7</v>
      </c>
    </row>
    <row r="7" spans="1:13">
      <c r="A7" s="53" t="s">
        <v>176</v>
      </c>
      <c r="B7" s="53" t="s">
        <v>174</v>
      </c>
      <c r="C7" s="54">
        <f>C6-C5</f>
        <v>88.7</v>
      </c>
      <c r="D7" s="54">
        <f>D6-D5</f>
        <v>88.7</v>
      </c>
      <c r="E7" s="54">
        <f>E6-E5</f>
        <v>88.7</v>
      </c>
      <c r="F7" s="54">
        <f>F6-F5</f>
        <v>88.7</v>
      </c>
      <c r="H7" s="53" t="s">
        <v>176</v>
      </c>
      <c r="I7" s="53" t="s">
        <v>174</v>
      </c>
      <c r="J7" s="54">
        <f>J6-J5</f>
        <v>88.7</v>
      </c>
      <c r="K7" s="54">
        <f>K6-K5</f>
        <v>88.7</v>
      </c>
      <c r="L7" s="54">
        <f>L6-L5</f>
        <v>88.7</v>
      </c>
      <c r="M7" s="54">
        <f>M6-M5</f>
        <v>88.7</v>
      </c>
    </row>
    <row r="8" spans="1:13">
      <c r="A8" s="53" t="s">
        <v>176</v>
      </c>
      <c r="B8" s="53" t="s">
        <v>177</v>
      </c>
      <c r="C8" s="54">
        <f>C7*Inputs!$C$14</f>
        <v>3076.9675200000006</v>
      </c>
      <c r="D8" s="54">
        <f>D7*Inputs!$C$14</f>
        <v>3076.9675200000006</v>
      </c>
      <c r="E8" s="54">
        <f>E7*Inputs!$C$14</f>
        <v>3076.9675200000006</v>
      </c>
      <c r="F8" s="54">
        <f>F7*Inputs!$C$14</f>
        <v>3076.9675200000006</v>
      </c>
      <c r="H8" s="53" t="s">
        <v>176</v>
      </c>
      <c r="I8" s="53" t="s">
        <v>177</v>
      </c>
      <c r="J8" s="54">
        <f>J7*Inputs!$C$14</f>
        <v>3076.9675200000006</v>
      </c>
      <c r="K8" s="54">
        <f>K7*Inputs!$C$14</f>
        <v>3076.9675200000006</v>
      </c>
      <c r="L8" s="54">
        <f>L7*Inputs!$C$14</f>
        <v>3076.9675200000006</v>
      </c>
      <c r="M8" s="54">
        <f>M7*Inputs!$C$14</f>
        <v>3076.9675200000006</v>
      </c>
    </row>
    <row r="9" spans="1:13">
      <c r="A9" s="53" t="s">
        <v>178</v>
      </c>
      <c r="B9" s="53" t="s">
        <v>29</v>
      </c>
      <c r="C9" s="54">
        <f>(C3-C4) / C8 * 10^6</f>
        <v>1253.5068943464178</v>
      </c>
      <c r="D9" s="54">
        <f>(D3-D4) / D8 * 10^6</f>
        <v>1492.0451155670173</v>
      </c>
      <c r="E9" s="54">
        <f>(E3-E4) / E8 * 10^6</f>
        <v>2053.4764562527325</v>
      </c>
      <c r="F9" s="54">
        <f>(F3-F4) / F8 * 10^6</f>
        <v>1795.4604340607473</v>
      </c>
      <c r="H9" s="53" t="s">
        <v>178</v>
      </c>
      <c r="I9" s="53" t="s">
        <v>29</v>
      </c>
      <c r="J9" s="54">
        <f>(J3-J4) / J8 * 10^6</f>
        <v>49.366786946129317</v>
      </c>
      <c r="K9" s="54">
        <f>(K3-K4) / K8 * 10^6</f>
        <v>43.915679241251027</v>
      </c>
      <c r="L9" s="54">
        <f>(L3-L4) / L8 * 10^6</f>
        <v>329.23360810908645</v>
      </c>
      <c r="M9" s="54">
        <f>(M3-M4) / M8 * 10^6</f>
        <v>364.39293121044642</v>
      </c>
    </row>
    <row r="12" spans="1:13">
      <c r="A12" s="52" t="s">
        <v>0</v>
      </c>
      <c r="B12" s="52" t="s">
        <v>3</v>
      </c>
      <c r="C12" t="s">
        <v>179</v>
      </c>
    </row>
    <row r="13" spans="1:13">
      <c r="A13" s="53" t="s">
        <v>171</v>
      </c>
      <c r="B13" s="53" t="s">
        <v>21</v>
      </c>
    </row>
    <row r="14" spans="1:13">
      <c r="A14" s="53" t="s">
        <v>172</v>
      </c>
      <c r="B14" s="53" t="s">
        <v>21</v>
      </c>
    </row>
    <row r="15" spans="1:13">
      <c r="A15" s="53" t="s">
        <v>173</v>
      </c>
      <c r="B15" s="53" t="s">
        <v>174</v>
      </c>
    </row>
    <row r="16" spans="1:13">
      <c r="A16" s="53" t="s">
        <v>175</v>
      </c>
      <c r="B16" s="53" t="s">
        <v>174</v>
      </c>
    </row>
    <row r="17" spans="1:2">
      <c r="A17" s="53" t="s">
        <v>176</v>
      </c>
      <c r="B17" s="53" t="s">
        <v>174</v>
      </c>
    </row>
    <row r="18" spans="1:2">
      <c r="A18" s="53" t="s">
        <v>176</v>
      </c>
      <c r="B18" s="53" t="s">
        <v>177</v>
      </c>
    </row>
    <row r="19" spans="1:2">
      <c r="A19" s="53" t="s">
        <v>178</v>
      </c>
      <c r="B19" s="53" t="s">
        <v>29</v>
      </c>
    </row>
  </sheetData>
  <mergeCells count="2">
    <mergeCell ref="A1:F1"/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Standardization</vt:lpstr>
      <vt:lpstr>Outputs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Dubey</dc:creator>
  <cp:keywords/>
  <dc:description/>
  <cp:lastModifiedBy>Dubey  Yash</cp:lastModifiedBy>
  <cp:revision/>
  <dcterms:created xsi:type="dcterms:W3CDTF">2024-07-23T10:34:51Z</dcterms:created>
  <dcterms:modified xsi:type="dcterms:W3CDTF">2025-04-15T12:30:01Z</dcterms:modified>
  <cp:category/>
  <cp:contentStatus/>
</cp:coreProperties>
</file>
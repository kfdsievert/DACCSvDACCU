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/>
  <mc:AlternateContent xmlns:mc="http://schemas.openxmlformats.org/markup-compatibility/2006">
    <mc:Choice Requires="x15">
      <x15ac:absPath xmlns:x15ac="http://schemas.microsoft.com/office/spreadsheetml/2010/11/ac" url="https://ethz-my.sharepoint.com/personal/ydubey_ethz_ch/Documents/Documents/GitHub/DACCSvDACCU/Sensitivity/Harmonization_SAF/Harmonization Sheets/"/>
    </mc:Choice>
  </mc:AlternateContent>
  <xr:revisionPtr revIDLastSave="117" documentId="13_ncr:1_{DB346E89-3769-3B46-A762-B3E18F258ADE}" xr6:coauthVersionLast="47" xr6:coauthVersionMax="47" xr10:uidLastSave="{59CFFD62-9D01-45C3-AC8D-31F3F2E7E2CF}"/>
  <bookViews>
    <workbookView xWindow="1170" yWindow="1170" windowWidth="28800" windowHeight="15345" xr2:uid="{00000000-000D-0000-FFFF-FFFF00000000}"/>
  </bookViews>
  <sheets>
    <sheet name="Inputs" sheetId="1" r:id="rId1"/>
    <sheet name="Received Data Brazzola" sheetId="10" r:id="rId2"/>
    <sheet name="LCOE Corrected" sheetId="11" r:id="rId3"/>
    <sheet name="CO2 Cost Corrected" sheetId="12" r:id="rId4"/>
    <sheet name="WACC Corrected" sheetId="13" r:id="rId5"/>
    <sheet name="Outputs" sheetId="9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0" i="1"/>
  <c r="C29" i="1"/>
  <c r="C27" i="1"/>
  <c r="C26" i="1"/>
  <c r="C24" i="1"/>
  <c r="C23" i="1"/>
  <c r="C21" i="1"/>
  <c r="C20" i="1"/>
  <c r="C18" i="1"/>
  <c r="C16" i="1"/>
  <c r="C15" i="1"/>
  <c r="C14" i="1"/>
  <c r="C13" i="1"/>
  <c r="C12" i="1"/>
  <c r="C11" i="1"/>
  <c r="C9" i="1"/>
  <c r="C8" i="1"/>
  <c r="C13" i="11" s="1"/>
  <c r="C6" i="1"/>
  <c r="C5" i="1"/>
  <c r="C4" i="1"/>
  <c r="C14" i="11" l="1"/>
  <c r="C14" i="12" s="1"/>
  <c r="B14" i="13" s="1"/>
  <c r="C32" i="11"/>
  <c r="C32" i="12" s="1"/>
  <c r="B32" i="13" s="1"/>
  <c r="B3" i="9" s="1"/>
  <c r="C10" i="11"/>
  <c r="C10" i="12" s="1"/>
  <c r="B10" i="13" s="1"/>
  <c r="C2" i="11"/>
  <c r="C2" i="12" s="1"/>
  <c r="B2" i="13" s="1"/>
  <c r="C12" i="11"/>
  <c r="C12" i="12" s="1"/>
  <c r="B12" i="13" s="1"/>
  <c r="C3" i="11"/>
  <c r="C3" i="12" s="1"/>
  <c r="B3" i="13" s="1"/>
  <c r="C13" i="12"/>
  <c r="B13" i="13" s="1"/>
  <c r="C19" i="11"/>
  <c r="C19" i="12" s="1"/>
  <c r="B19" i="13" s="1"/>
  <c r="C26" i="11"/>
  <c r="C26" i="12" s="1"/>
  <c r="B26" i="13" s="1"/>
  <c r="C18" i="11"/>
  <c r="C18" i="12" s="1"/>
  <c r="B18" i="13" s="1"/>
  <c r="C17" i="11"/>
  <c r="C17" i="12" s="1"/>
  <c r="B17" i="13" s="1"/>
  <c r="C16" i="11"/>
  <c r="C16" i="12" s="1"/>
  <c r="B16" i="13" s="1"/>
  <c r="C15" i="11"/>
  <c r="C15" i="12" s="1"/>
  <c r="B15" i="13" s="1"/>
  <c r="C30" i="11"/>
  <c r="C30" i="12" s="1"/>
  <c r="B30" i="13" s="1"/>
  <c r="C31" i="11"/>
  <c r="C31" i="12" s="1"/>
  <c r="B31" i="13" s="1"/>
  <c r="C28" i="11"/>
  <c r="C28" i="12" s="1"/>
  <c r="B28" i="13" s="1"/>
  <c r="C27" i="11"/>
  <c r="C27" i="12" s="1"/>
  <c r="B27" i="13" s="1"/>
  <c r="C11" i="11"/>
  <c r="C11" i="12" s="1"/>
  <c r="B11" i="13" s="1"/>
  <c r="C25" i="11"/>
  <c r="C25" i="12" s="1"/>
  <c r="B25" i="13" s="1"/>
  <c r="C9" i="11"/>
  <c r="C9" i="12" s="1"/>
  <c r="B9" i="13" s="1"/>
  <c r="C24" i="11"/>
  <c r="C24" i="12" s="1"/>
  <c r="B24" i="13" s="1"/>
  <c r="C8" i="11"/>
  <c r="C8" i="12" s="1"/>
  <c r="B8" i="13" s="1"/>
  <c r="C23" i="11"/>
  <c r="C23" i="12" s="1"/>
  <c r="B23" i="13" s="1"/>
  <c r="C7" i="11"/>
  <c r="C7" i="12" s="1"/>
  <c r="B7" i="13" s="1"/>
  <c r="C22" i="11"/>
  <c r="C22" i="12" s="1"/>
  <c r="B22" i="13" s="1"/>
  <c r="C6" i="11"/>
  <c r="C6" i="12" s="1"/>
  <c r="B6" i="13" s="1"/>
  <c r="B2" i="9" s="1"/>
  <c r="C21" i="11"/>
  <c r="C21" i="12" s="1"/>
  <c r="B21" i="13" s="1"/>
  <c r="C5" i="11"/>
  <c r="C5" i="12" s="1"/>
  <c r="B5" i="13" s="1"/>
  <c r="C20" i="11"/>
  <c r="C20" i="12" s="1"/>
  <c r="B20" i="13" s="1"/>
  <c r="C4" i="11"/>
  <c r="C4" i="12" s="1"/>
  <c r="B4" i="13" s="1"/>
  <c r="C29" i="11"/>
  <c r="C29" i="12" s="1"/>
  <c r="B29" i="13" s="1"/>
</calcChain>
</file>

<file path=xl/sharedStrings.xml><?xml version="1.0" encoding="utf-8"?>
<sst xmlns="http://schemas.openxmlformats.org/spreadsheetml/2006/main" count="173" uniqueCount="36">
  <si>
    <t>Parameter</t>
  </si>
  <si>
    <t>Year</t>
  </si>
  <si>
    <t>Value</t>
  </si>
  <si>
    <t>Unit</t>
  </si>
  <si>
    <t>Standard Values</t>
  </si>
  <si>
    <t>Current Year</t>
  </si>
  <si>
    <t>Inflation</t>
  </si>
  <si>
    <t>WACC</t>
  </si>
  <si>
    <t>USD to EUR</t>
  </si>
  <si>
    <t xml:space="preserve">Electricity </t>
  </si>
  <si>
    <t>LCOE</t>
  </si>
  <si>
    <t>$/MWh</t>
  </si>
  <si>
    <t>Jet Fuel A-1 Characteristics</t>
  </si>
  <si>
    <t>Emissions Intensity</t>
  </si>
  <si>
    <t>gCO2/MJ</t>
  </si>
  <si>
    <t>Energy Density</t>
  </si>
  <si>
    <t>MJ/kg</t>
  </si>
  <si>
    <t>MJ/l</t>
  </si>
  <si>
    <t>Volumetric Density</t>
  </si>
  <si>
    <t>kg/l</t>
  </si>
  <si>
    <t>Jet Fuel A-1 Price</t>
  </si>
  <si>
    <t>$/l</t>
  </si>
  <si>
    <t>Scenario Specific Values</t>
  </si>
  <si>
    <t>IEA Reference</t>
  </si>
  <si>
    <t>EIA Reference</t>
  </si>
  <si>
    <t>EIA Low Oil Price Scenario</t>
  </si>
  <si>
    <t>EIA High Scenario</t>
  </si>
  <si>
    <t>Direct Air Capture</t>
  </si>
  <si>
    <t>LCOR</t>
  </si>
  <si>
    <t>$/tCO2</t>
  </si>
  <si>
    <t>DACCU Climate neutrality</t>
  </si>
  <si>
    <t>DACCS Climate neutrality</t>
  </si>
  <si>
    <t>DACCU CO2neutrality</t>
  </si>
  <si>
    <t>DACCS CO2neutrality</t>
  </si>
  <si>
    <t>€/tCO2 removed</t>
  </si>
  <si>
    <t>Abatement Cost ($2023/tCO2)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</si>
</sst>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 (Body)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2" fontId="0" fillId="0" borderId="0" xfId="0" applyNumberFormat="1"/>
    <xf numFmtId="0" fontId="3" fillId="0" borderId="0" xfId="0" applyFont="1"/>
    <xf numFmtId="0" fontId="2" fillId="3" borderId="0" xfId="0" applyFont="1" applyFill="1"/>
    <xf numFmtId="0" fontId="0" fillId="3" borderId="0" xfId="0" applyFill="1"/>
    <xf numFmtId="9" fontId="1" fillId="0" borderId="0" xfId="1"/>
    <xf numFmtId="0" fontId="5" fillId="0" borderId="0" xfId="0" applyFont="1"/>
    <xf numFmtId="164" fontId="0" fillId="0" borderId="0" xfId="0" applyNumberFormat="1"/>
    <xf numFmtId="0" fontId="4" fillId="0" borderId="0" xfId="0" applyFont="1"/>
    <xf numFmtId="0" fontId="7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hz-my.sharepoint.com/personal/ydubey_ethz_ch/Documents/Documents/GitHub/DACCSvDACCU/Sensitivity/Harmonization_SAF/Harmonization%20Sheets/Master%20Standardisation_SAF.xlsx" TargetMode="External"/><Relationship Id="rId1" Type="http://schemas.openxmlformats.org/officeDocument/2006/relationships/externalLinkPath" Target="Master%20Standardisation_S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1dk8KjZL0uvs3_bw3eO8etGqPVVx6FJnkDkPD0O-HnfSyWEjm0zT58vSaSr9wig" itemId="01ZW6MSOMZUE4YIPAMGRCJYCYPO4ESO2WS">
      <xxl21:absoluteUrl r:id="rId2"/>
    </xxl21:alternateUrls>
    <sheetNames>
      <sheetName val="Intro"/>
      <sheetName val="Steps"/>
      <sheetName val="Inputs"/>
      <sheetName val="Electricity"/>
      <sheetName val="Standard Input Calculations"/>
      <sheetName val="Sensitivities"/>
      <sheetName val="Notes for Study Parameters"/>
      <sheetName val="Studies current &amp; future cost"/>
      <sheetName val="Study Parameters"/>
      <sheetName val="Study Parameters 2050"/>
      <sheetName val="Standardization Results"/>
      <sheetName val="CO2 Effect"/>
      <sheetName val="Median CO2"/>
      <sheetName val="Low CO2"/>
      <sheetName val="High CO2"/>
      <sheetName val="Reference"/>
      <sheetName val="High Elec High CO2"/>
      <sheetName val="Low Elec Low CO2"/>
      <sheetName val="Results Reference"/>
      <sheetName val="Results Low Fossil Price"/>
      <sheetName val="Results High Fossil Price"/>
      <sheetName val="Full Abatement"/>
      <sheetName val="Descriptive Stats"/>
      <sheetName val="Per Passenger Cost Calculation"/>
    </sheetNames>
    <sheetDataSet>
      <sheetData sheetId="0"/>
      <sheetData sheetId="1"/>
      <sheetData sheetId="2">
        <row r="5">
          <cell r="C5">
            <v>0.02</v>
          </cell>
        </row>
        <row r="6">
          <cell r="C6">
            <v>7.0000000000000007E-2</v>
          </cell>
        </row>
        <row r="7">
          <cell r="C7">
            <v>0.9</v>
          </cell>
        </row>
        <row r="9">
          <cell r="C9">
            <v>64</v>
          </cell>
        </row>
        <row r="10">
          <cell r="C10">
            <v>11</v>
          </cell>
        </row>
        <row r="12">
          <cell r="C12">
            <v>88.7</v>
          </cell>
        </row>
        <row r="13">
          <cell r="C13">
            <v>88.7</v>
          </cell>
        </row>
        <row r="14">
          <cell r="C14">
            <v>43.2</v>
          </cell>
        </row>
        <row r="15">
          <cell r="C15">
            <v>34.689600000000006</v>
          </cell>
        </row>
        <row r="16">
          <cell r="C16">
            <v>0.80300000000000005</v>
          </cell>
        </row>
        <row r="17">
          <cell r="C17">
            <v>0.8</v>
          </cell>
        </row>
        <row r="19">
          <cell r="C19">
            <v>1.7</v>
          </cell>
        </row>
        <row r="21">
          <cell r="C21">
            <v>0.32246153846153797</v>
          </cell>
        </row>
        <row r="22">
          <cell r="C22">
            <v>0.20923076923076925</v>
          </cell>
        </row>
        <row r="24">
          <cell r="C24">
            <v>1.0209014091790563</v>
          </cell>
        </row>
        <row r="25">
          <cell r="C25">
            <v>2.0095593639301876</v>
          </cell>
        </row>
        <row r="27">
          <cell r="C27">
            <v>0.4828683335488041</v>
          </cell>
        </row>
        <row r="28">
          <cell r="C28">
            <v>0.89646574789915967</v>
          </cell>
        </row>
        <row r="30">
          <cell r="C30">
            <v>1.8838712863606983</v>
          </cell>
        </row>
        <row r="31">
          <cell r="C31">
            <v>3.7893730833872015</v>
          </cell>
        </row>
        <row r="33">
          <cell r="C33">
            <v>1371</v>
          </cell>
        </row>
        <row r="34">
          <cell r="C34">
            <v>523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5" workbookViewId="0">
      <selection activeCell="I10" sqref="I10"/>
    </sheetView>
  </sheetViews>
  <sheetFormatPr defaultColWidth="11.25" defaultRowHeight="15.75"/>
  <cols>
    <col min="1" max="1" width="24.25" bestFit="1" customWidth="1"/>
    <col min="2" max="2" width="11.5" bestFit="1" customWidth="1"/>
    <col min="3" max="3" width="12.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>
      <c r="A2" s="2" t="s">
        <v>4</v>
      </c>
    </row>
    <row r="3" spans="1:4">
      <c r="A3" t="s">
        <v>5</v>
      </c>
      <c r="C3">
        <v>2024</v>
      </c>
    </row>
    <row r="4" spans="1:4">
      <c r="A4" t="s">
        <v>6</v>
      </c>
      <c r="C4" s="8">
        <f>[1]Inputs!C5</f>
        <v>0.02</v>
      </c>
    </row>
    <row r="5" spans="1:4">
      <c r="A5" t="s">
        <v>7</v>
      </c>
      <c r="C5" s="8">
        <f>[1]Inputs!C6</f>
        <v>7.0000000000000007E-2</v>
      </c>
    </row>
    <row r="6" spans="1:4">
      <c r="A6" t="s">
        <v>8</v>
      </c>
      <c r="C6">
        <f>[1]Inputs!C7</f>
        <v>0.9</v>
      </c>
    </row>
    <row r="7" spans="1:4" s="3" customFormat="1">
      <c r="A7" s="2" t="s">
        <v>9</v>
      </c>
    </row>
    <row r="8" spans="1:4">
      <c r="A8" s="5" t="s">
        <v>10</v>
      </c>
      <c r="B8">
        <v>2024</v>
      </c>
      <c r="C8" s="4">
        <f>[1]Inputs!C9</f>
        <v>64</v>
      </c>
      <c r="D8" t="s">
        <v>11</v>
      </c>
    </row>
    <row r="9" spans="1:4">
      <c r="A9" s="5" t="s">
        <v>10</v>
      </c>
      <c r="B9">
        <v>2050</v>
      </c>
      <c r="C9" s="4">
        <f>[1]Inputs!C10</f>
        <v>11</v>
      </c>
      <c r="D9" t="s">
        <v>11</v>
      </c>
    </row>
    <row r="10" spans="1:4" s="3" customFormat="1">
      <c r="A10" s="2" t="s">
        <v>12</v>
      </c>
    </row>
    <row r="11" spans="1:4">
      <c r="A11" t="s">
        <v>13</v>
      </c>
      <c r="B11">
        <v>2024</v>
      </c>
      <c r="C11" s="4">
        <f>[1]Inputs!C12</f>
        <v>88.7</v>
      </c>
      <c r="D11" t="s">
        <v>14</v>
      </c>
    </row>
    <row r="12" spans="1:4">
      <c r="A12" t="s">
        <v>13</v>
      </c>
      <c r="B12">
        <v>2050</v>
      </c>
      <c r="C12" s="4">
        <f>[1]Inputs!C13</f>
        <v>88.7</v>
      </c>
      <c r="D12" t="s">
        <v>14</v>
      </c>
    </row>
    <row r="13" spans="1:4">
      <c r="A13" t="s">
        <v>15</v>
      </c>
      <c r="C13" s="4">
        <f>[1]Inputs!C14</f>
        <v>43.2</v>
      </c>
      <c r="D13" t="s">
        <v>16</v>
      </c>
    </row>
    <row r="14" spans="1:4">
      <c r="A14" t="s">
        <v>15</v>
      </c>
      <c r="C14" s="4">
        <f>[1]Inputs!C15</f>
        <v>34.689600000000006</v>
      </c>
      <c r="D14" t="s">
        <v>17</v>
      </c>
    </row>
    <row r="15" spans="1:4">
      <c r="A15" t="s">
        <v>18</v>
      </c>
      <c r="C15" s="4">
        <f>[1]Inputs!C16</f>
        <v>0.80300000000000005</v>
      </c>
      <c r="D15" t="s">
        <v>19</v>
      </c>
    </row>
    <row r="16" spans="1:4">
      <c r="A16" t="s">
        <v>20</v>
      </c>
      <c r="B16">
        <v>2024</v>
      </c>
      <c r="C16" s="4">
        <f>[1]Inputs!C17</f>
        <v>0.8</v>
      </c>
      <c r="D16" t="s">
        <v>21</v>
      </c>
    </row>
    <row r="17" spans="1:4" s="3" customFormat="1">
      <c r="A17" s="2" t="s">
        <v>22</v>
      </c>
    </row>
    <row r="18" spans="1:4">
      <c r="A18" s="5" t="s">
        <v>20</v>
      </c>
      <c r="B18">
        <v>2050</v>
      </c>
      <c r="C18" s="4">
        <f>[1]Inputs!C19</f>
        <v>1.7</v>
      </c>
      <c r="D18" t="s">
        <v>21</v>
      </c>
    </row>
    <row r="19" spans="1:4" s="7" customFormat="1">
      <c r="A19" s="6" t="s">
        <v>23</v>
      </c>
    </row>
    <row r="20" spans="1:4">
      <c r="A20" t="s">
        <v>20</v>
      </c>
      <c r="B20">
        <v>2024</v>
      </c>
      <c r="C20" s="4">
        <f>[1]Inputs!C21</f>
        <v>0.32246153846153797</v>
      </c>
      <c r="D20" t="s">
        <v>21</v>
      </c>
    </row>
    <row r="21" spans="1:4">
      <c r="A21" t="s">
        <v>20</v>
      </c>
      <c r="B21">
        <v>2050</v>
      </c>
      <c r="C21" s="4">
        <f>[1]Inputs!C22</f>
        <v>0.20923076923076925</v>
      </c>
      <c r="D21" t="s">
        <v>21</v>
      </c>
    </row>
    <row r="22" spans="1:4" s="7" customFormat="1">
      <c r="A22" s="6" t="s">
        <v>24</v>
      </c>
    </row>
    <row r="23" spans="1:4">
      <c r="A23" t="s">
        <v>20</v>
      </c>
      <c r="B23">
        <v>2024</v>
      </c>
      <c r="C23" s="4">
        <f>[1]Inputs!C24</f>
        <v>1.0209014091790563</v>
      </c>
      <c r="D23" t="s">
        <v>21</v>
      </c>
    </row>
    <row r="24" spans="1:4">
      <c r="A24" t="s">
        <v>20</v>
      </c>
      <c r="B24">
        <v>2050</v>
      </c>
      <c r="C24" s="4">
        <f>[1]Inputs!C25</f>
        <v>2.0095593639301876</v>
      </c>
      <c r="D24" t="s">
        <v>21</v>
      </c>
    </row>
    <row r="25" spans="1:4" s="7" customFormat="1">
      <c r="A25" s="6" t="s">
        <v>25</v>
      </c>
    </row>
    <row r="26" spans="1:4">
      <c r="A26" t="s">
        <v>20</v>
      </c>
      <c r="B26">
        <v>2024</v>
      </c>
      <c r="C26" s="4">
        <f>[1]Inputs!C27</f>
        <v>0.4828683335488041</v>
      </c>
      <c r="D26" t="s">
        <v>21</v>
      </c>
    </row>
    <row r="27" spans="1:4">
      <c r="A27" t="s">
        <v>20</v>
      </c>
      <c r="B27">
        <v>2050</v>
      </c>
      <c r="C27" s="4">
        <f>[1]Inputs!C28</f>
        <v>0.89646574789915967</v>
      </c>
      <c r="D27" t="s">
        <v>21</v>
      </c>
    </row>
    <row r="28" spans="1:4" s="7" customFormat="1">
      <c r="A28" s="6" t="s">
        <v>26</v>
      </c>
    </row>
    <row r="29" spans="1:4">
      <c r="A29" t="s">
        <v>20</v>
      </c>
      <c r="B29">
        <v>2024</v>
      </c>
      <c r="C29" s="4">
        <f>[1]Inputs!C30</f>
        <v>1.8838712863606983</v>
      </c>
      <c r="D29" t="s">
        <v>21</v>
      </c>
    </row>
    <row r="30" spans="1:4">
      <c r="A30" t="s">
        <v>20</v>
      </c>
      <c r="B30">
        <v>2050</v>
      </c>
      <c r="C30" s="4">
        <f>[1]Inputs!C31</f>
        <v>3.7893730833872015</v>
      </c>
      <c r="D30" t="s">
        <v>21</v>
      </c>
    </row>
    <row r="31" spans="1:4" s="3" customFormat="1">
      <c r="A31" s="2" t="s">
        <v>27</v>
      </c>
    </row>
    <row r="32" spans="1:4">
      <c r="A32" t="s">
        <v>28</v>
      </c>
      <c r="B32">
        <v>2024</v>
      </c>
      <c r="C32" s="4">
        <f>[1]Inputs!$C$33</f>
        <v>1371</v>
      </c>
      <c r="D32" t="s">
        <v>29</v>
      </c>
    </row>
    <row r="33" spans="1:4">
      <c r="A33" t="s">
        <v>28</v>
      </c>
      <c r="B33">
        <v>2050</v>
      </c>
      <c r="C33" s="4">
        <f>[1]Inputs!C34</f>
        <v>523</v>
      </c>
      <c r="D3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9FB5-33D3-9646-BDE2-79F6B974012A}">
  <dimension ref="A1:F42"/>
  <sheetViews>
    <sheetView topLeftCell="A36" workbookViewId="0">
      <selection activeCell="B3" sqref="B3"/>
    </sheetView>
  </sheetViews>
  <sheetFormatPr defaultColWidth="11.25" defaultRowHeight="15.75"/>
  <cols>
    <col min="2" max="2" width="21.75" bestFit="1" customWidth="1"/>
    <col min="3" max="3" width="20.25" bestFit="1" customWidth="1"/>
    <col min="4" max="4" width="18.25" bestFit="1" customWidth="1"/>
    <col min="5" max="5" width="17.125" bestFit="1" customWidth="1"/>
  </cols>
  <sheetData>
    <row r="1" spans="1:6">
      <c r="A1" s="12" t="s">
        <v>1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</v>
      </c>
    </row>
    <row r="2" spans="1:6">
      <c r="A2">
        <v>2020</v>
      </c>
      <c r="F2" t="s">
        <v>34</v>
      </c>
    </row>
    <row r="3" spans="1:6">
      <c r="A3">
        <v>2021</v>
      </c>
      <c r="B3">
        <v>238.12811489281009</v>
      </c>
      <c r="C3">
        <v>0</v>
      </c>
      <c r="D3">
        <v>683.5501896289735</v>
      </c>
      <c r="E3">
        <v>0</v>
      </c>
      <c r="F3" t="s">
        <v>34</v>
      </c>
    </row>
    <row r="4" spans="1:6">
      <c r="A4">
        <v>2022</v>
      </c>
      <c r="B4">
        <v>180.2871532269269</v>
      </c>
      <c r="C4">
        <v>0</v>
      </c>
      <c r="D4">
        <v>539.20589588227517</v>
      </c>
      <c r="E4">
        <v>0</v>
      </c>
      <c r="F4" t="s">
        <v>34</v>
      </c>
    </row>
    <row r="5" spans="1:6">
      <c r="A5">
        <v>2023</v>
      </c>
      <c r="B5">
        <v>157.90103883737839</v>
      </c>
      <c r="C5">
        <v>0</v>
      </c>
      <c r="D5">
        <v>473.29344176287901</v>
      </c>
      <c r="E5">
        <v>0</v>
      </c>
      <c r="F5" t="s">
        <v>34</v>
      </c>
    </row>
    <row r="6" spans="1:6">
      <c r="A6">
        <v>2024</v>
      </c>
      <c r="B6">
        <v>152.22466834966639</v>
      </c>
      <c r="C6">
        <v>0</v>
      </c>
      <c r="D6">
        <v>432.43603627642972</v>
      </c>
      <c r="E6">
        <v>0</v>
      </c>
      <c r="F6" t="s">
        <v>34</v>
      </c>
    </row>
    <row r="7" spans="1:6">
      <c r="A7">
        <v>2025</v>
      </c>
      <c r="B7">
        <v>141.7760600727641</v>
      </c>
      <c r="C7">
        <v>0</v>
      </c>
      <c r="D7">
        <v>402.89260921948971</v>
      </c>
      <c r="E7">
        <v>0</v>
      </c>
      <c r="F7" t="s">
        <v>34</v>
      </c>
    </row>
    <row r="8" spans="1:6">
      <c r="A8">
        <v>2026</v>
      </c>
      <c r="B8">
        <v>132.5742495081943</v>
      </c>
      <c r="C8">
        <v>0</v>
      </c>
      <c r="D8">
        <v>380.52166408096951</v>
      </c>
      <c r="E8">
        <v>0</v>
      </c>
      <c r="F8" t="s">
        <v>34</v>
      </c>
    </row>
    <row r="9" spans="1:6">
      <c r="A9">
        <v>2027</v>
      </c>
      <c r="B9">
        <v>126.2752909930401</v>
      </c>
      <c r="C9">
        <v>0</v>
      </c>
      <c r="D9">
        <v>362.72423732562697</v>
      </c>
      <c r="E9">
        <v>0</v>
      </c>
      <c r="F9" t="s">
        <v>34</v>
      </c>
    </row>
    <row r="10" spans="1:6">
      <c r="A10">
        <v>2028</v>
      </c>
      <c r="B10">
        <v>118.6047963308268</v>
      </c>
      <c r="C10">
        <v>0</v>
      </c>
      <c r="D10">
        <v>348.04704107284391</v>
      </c>
      <c r="E10">
        <v>0</v>
      </c>
      <c r="F10" t="s">
        <v>34</v>
      </c>
    </row>
    <row r="11" spans="1:6">
      <c r="A11">
        <v>2029</v>
      </c>
      <c r="B11">
        <v>108.30899938643989</v>
      </c>
      <c r="C11">
        <v>0</v>
      </c>
      <c r="D11">
        <v>335.60677049815342</v>
      </c>
      <c r="E11">
        <v>0</v>
      </c>
      <c r="F11" t="s">
        <v>34</v>
      </c>
    </row>
    <row r="12" spans="1:6">
      <c r="A12">
        <v>2030</v>
      </c>
      <c r="B12">
        <v>108.1962873342661</v>
      </c>
      <c r="C12">
        <v>0</v>
      </c>
      <c r="D12">
        <v>324.83483199700862</v>
      </c>
      <c r="E12">
        <v>0</v>
      </c>
      <c r="F12" t="s">
        <v>34</v>
      </c>
    </row>
    <row r="13" spans="1:6">
      <c r="A13">
        <v>2031</v>
      </c>
      <c r="B13">
        <v>105.35672036699241</v>
      </c>
      <c r="C13">
        <v>0</v>
      </c>
      <c r="D13">
        <v>315.45025343201797</v>
      </c>
      <c r="E13">
        <v>0</v>
      </c>
      <c r="F13" t="s">
        <v>34</v>
      </c>
    </row>
    <row r="14" spans="1:6">
      <c r="A14">
        <v>2032</v>
      </c>
      <c r="B14">
        <v>100.74982633500559</v>
      </c>
      <c r="C14">
        <v>0</v>
      </c>
      <c r="D14">
        <v>307.0821014058302</v>
      </c>
      <c r="E14">
        <v>0</v>
      </c>
      <c r="F14" t="s">
        <v>34</v>
      </c>
    </row>
    <row r="15" spans="1:6">
      <c r="A15">
        <v>2033</v>
      </c>
      <c r="B15">
        <v>97.168712624866899</v>
      </c>
      <c r="C15">
        <v>0</v>
      </c>
      <c r="D15">
        <v>299.54224513078231</v>
      </c>
      <c r="E15">
        <v>0</v>
      </c>
      <c r="F15" t="s">
        <v>34</v>
      </c>
    </row>
    <row r="16" spans="1:6">
      <c r="A16">
        <v>2034</v>
      </c>
      <c r="B16">
        <v>94.60368628225315</v>
      </c>
      <c r="C16">
        <v>0</v>
      </c>
      <c r="D16">
        <v>292.6923967104961</v>
      </c>
      <c r="E16">
        <v>0</v>
      </c>
      <c r="F16" t="s">
        <v>34</v>
      </c>
    </row>
    <row r="17" spans="1:6">
      <c r="A17">
        <v>2035</v>
      </c>
      <c r="B17">
        <v>93.135348624019642</v>
      </c>
      <c r="C17">
        <v>0</v>
      </c>
      <c r="D17">
        <v>286.42828617335408</v>
      </c>
      <c r="E17">
        <v>0</v>
      </c>
      <c r="F17" t="s">
        <v>34</v>
      </c>
    </row>
    <row r="18" spans="1:6">
      <c r="A18">
        <v>2036</v>
      </c>
      <c r="B18">
        <v>92.293180262380901</v>
      </c>
      <c r="C18">
        <v>0</v>
      </c>
      <c r="D18">
        <v>280.71339067439101</v>
      </c>
      <c r="E18">
        <v>0</v>
      </c>
      <c r="F18" t="s">
        <v>34</v>
      </c>
    </row>
    <row r="19" spans="1:6">
      <c r="A19">
        <v>2037</v>
      </c>
      <c r="B19">
        <v>91.480822259203492</v>
      </c>
      <c r="C19">
        <v>0</v>
      </c>
      <c r="D19">
        <v>275.43639701090348</v>
      </c>
      <c r="E19">
        <v>0</v>
      </c>
      <c r="F19" t="s">
        <v>34</v>
      </c>
    </row>
    <row r="20" spans="1:6">
      <c r="A20">
        <v>2038</v>
      </c>
      <c r="B20">
        <v>88.885002750547542</v>
      </c>
      <c r="C20">
        <v>0</v>
      </c>
      <c r="D20">
        <v>270.54651433699883</v>
      </c>
      <c r="E20">
        <v>0</v>
      </c>
      <c r="F20" t="s">
        <v>34</v>
      </c>
    </row>
    <row r="21" spans="1:6">
      <c r="A21">
        <v>2039</v>
      </c>
      <c r="B21">
        <v>87.869251487837857</v>
      </c>
      <c r="C21">
        <v>0</v>
      </c>
      <c r="D21">
        <v>266.002141181583</v>
      </c>
      <c r="E21">
        <v>0</v>
      </c>
      <c r="F21" t="s">
        <v>34</v>
      </c>
    </row>
    <row r="22" spans="1:6">
      <c r="A22">
        <v>2040</v>
      </c>
      <c r="B22">
        <v>84.933081336339541</v>
      </c>
      <c r="C22">
        <v>0</v>
      </c>
      <c r="D22">
        <v>261.76871282511843</v>
      </c>
      <c r="E22">
        <v>0</v>
      </c>
      <c r="F22" t="s">
        <v>34</v>
      </c>
    </row>
    <row r="23" spans="1:6">
      <c r="A23">
        <v>2041</v>
      </c>
      <c r="B23">
        <v>82.478630273283059</v>
      </c>
      <c r="C23">
        <v>0</v>
      </c>
      <c r="D23">
        <v>257.75751297355839</v>
      </c>
      <c r="E23">
        <v>0</v>
      </c>
      <c r="F23" t="s">
        <v>34</v>
      </c>
    </row>
    <row r="24" spans="1:6">
      <c r="A24">
        <v>2042</v>
      </c>
      <c r="B24">
        <v>81.805605342741814</v>
      </c>
      <c r="C24">
        <v>0</v>
      </c>
      <c r="D24">
        <v>253.84007195301061</v>
      </c>
      <c r="E24">
        <v>0</v>
      </c>
      <c r="F24" t="s">
        <v>34</v>
      </c>
    </row>
    <row r="25" spans="1:6">
      <c r="A25">
        <v>2043</v>
      </c>
      <c r="B25">
        <v>81.514196354142683</v>
      </c>
      <c r="C25">
        <v>0</v>
      </c>
      <c r="D25">
        <v>250.00453292452451</v>
      </c>
      <c r="E25">
        <v>0</v>
      </c>
      <c r="F25" t="s">
        <v>34</v>
      </c>
    </row>
    <row r="26" spans="1:6">
      <c r="A26">
        <v>2044</v>
      </c>
      <c r="B26">
        <v>81.643161332907667</v>
      </c>
      <c r="C26">
        <v>0</v>
      </c>
      <c r="D26">
        <v>246.26920688598341</v>
      </c>
      <c r="E26">
        <v>0</v>
      </c>
      <c r="F26" t="s">
        <v>34</v>
      </c>
    </row>
    <row r="27" spans="1:6">
      <c r="A27">
        <v>2045</v>
      </c>
      <c r="B27">
        <v>83.442037609293493</v>
      </c>
      <c r="C27">
        <v>0</v>
      </c>
      <c r="D27">
        <v>242.6339286671635</v>
      </c>
      <c r="E27">
        <v>0</v>
      </c>
      <c r="F27" t="s">
        <v>34</v>
      </c>
    </row>
    <row r="28" spans="1:6">
      <c r="A28">
        <v>2046</v>
      </c>
      <c r="B28">
        <v>85.974048156386544</v>
      </c>
      <c r="C28">
        <v>0</v>
      </c>
      <c r="D28">
        <v>239.11982376261469</v>
      </c>
      <c r="E28">
        <v>0</v>
      </c>
      <c r="F28" t="s">
        <v>34</v>
      </c>
    </row>
    <row r="29" spans="1:6">
      <c r="A29">
        <v>2047</v>
      </c>
      <c r="B29">
        <v>89.442800091528099</v>
      </c>
      <c r="C29">
        <v>0</v>
      </c>
      <c r="D29">
        <v>235.73708392965591</v>
      </c>
      <c r="E29">
        <v>0</v>
      </c>
      <c r="F29" t="s">
        <v>34</v>
      </c>
    </row>
    <row r="30" spans="1:6">
      <c r="A30">
        <v>2048</v>
      </c>
      <c r="B30">
        <v>94.13224343356687</v>
      </c>
      <c r="C30">
        <v>0</v>
      </c>
      <c r="D30">
        <v>232.4927353579408</v>
      </c>
      <c r="E30">
        <v>0</v>
      </c>
      <c r="F30" t="s">
        <v>34</v>
      </c>
    </row>
    <row r="31" spans="1:6">
      <c r="A31">
        <v>2049</v>
      </c>
      <c r="B31">
        <v>100.47404723829411</v>
      </c>
      <c r="C31">
        <v>0</v>
      </c>
      <c r="D31">
        <v>229.39120178487269</v>
      </c>
      <c r="E31">
        <v>0</v>
      </c>
      <c r="F31" t="s">
        <v>34</v>
      </c>
    </row>
    <row r="32" spans="1:6">
      <c r="A32">
        <v>2050</v>
      </c>
      <c r="B32">
        <v>109.25246002997299</v>
      </c>
      <c r="C32">
        <v>0</v>
      </c>
      <c r="D32">
        <v>226.43483728748049</v>
      </c>
      <c r="E32">
        <v>0</v>
      </c>
      <c r="F32" t="s">
        <v>34</v>
      </c>
    </row>
    <row r="33" spans="1:6">
      <c r="A33">
        <v>2051</v>
      </c>
      <c r="B33">
        <v>109.52818621495879</v>
      </c>
      <c r="C33">
        <v>0</v>
      </c>
      <c r="D33">
        <v>237.9138912013477</v>
      </c>
      <c r="E33">
        <v>0</v>
      </c>
      <c r="F33" t="s">
        <v>34</v>
      </c>
    </row>
    <row r="34" spans="1:6">
      <c r="A34">
        <v>2052</v>
      </c>
      <c r="B34">
        <v>108.1932297737811</v>
      </c>
      <c r="C34">
        <v>0</v>
      </c>
      <c r="D34">
        <v>247.06363208651899</v>
      </c>
      <c r="E34">
        <v>0</v>
      </c>
      <c r="F34" t="s">
        <v>34</v>
      </c>
    </row>
    <row r="35" spans="1:6">
      <c r="A35">
        <v>2053</v>
      </c>
      <c r="B35">
        <v>104.2065233087621</v>
      </c>
      <c r="C35">
        <v>0</v>
      </c>
      <c r="D35">
        <v>253.61530241935469</v>
      </c>
      <c r="E35">
        <v>0</v>
      </c>
      <c r="F35" t="s">
        <v>34</v>
      </c>
    </row>
    <row r="36" spans="1:6">
      <c r="A36">
        <v>2054</v>
      </c>
      <c r="B36">
        <v>100.399962501823</v>
      </c>
      <c r="C36">
        <v>0</v>
      </c>
      <c r="D36">
        <v>251.80635218883461</v>
      </c>
      <c r="E36">
        <v>0</v>
      </c>
      <c r="F36" t="s">
        <v>34</v>
      </c>
    </row>
    <row r="37" spans="1:6">
      <c r="A37">
        <v>2055</v>
      </c>
      <c r="B37">
        <v>97.687129635548416</v>
      </c>
      <c r="C37">
        <v>0</v>
      </c>
      <c r="D37">
        <v>247.5036537217938</v>
      </c>
      <c r="E37">
        <v>0</v>
      </c>
      <c r="F37" t="s">
        <v>34</v>
      </c>
    </row>
    <row r="38" spans="1:6">
      <c r="A38">
        <v>2056</v>
      </c>
      <c r="B38">
        <v>94.869598249012085</v>
      </c>
      <c r="C38">
        <v>0</v>
      </c>
      <c r="D38">
        <v>243.31912113449059</v>
      </c>
      <c r="E38">
        <v>0</v>
      </c>
      <c r="F38" t="s">
        <v>34</v>
      </c>
    </row>
    <row r="39" spans="1:6">
      <c r="A39">
        <v>2057</v>
      </c>
      <c r="B39">
        <v>91.944986396358843</v>
      </c>
      <c r="C39">
        <v>0</v>
      </c>
      <c r="D39">
        <v>239.25738583501749</v>
      </c>
      <c r="E39">
        <v>0</v>
      </c>
      <c r="F39" t="s">
        <v>34</v>
      </c>
    </row>
    <row r="40" spans="1:6">
      <c r="A40">
        <v>2058</v>
      </c>
      <c r="B40">
        <v>88.894534838964546</v>
      </c>
      <c r="C40">
        <v>0</v>
      </c>
      <c r="D40">
        <v>235.3319442056077</v>
      </c>
      <c r="E40">
        <v>0</v>
      </c>
      <c r="F40" t="s">
        <v>34</v>
      </c>
    </row>
    <row r="41" spans="1:6">
      <c r="A41">
        <v>2059</v>
      </c>
      <c r="B41">
        <v>85.78210651606166</v>
      </c>
      <c r="C41">
        <v>0</v>
      </c>
      <c r="D41">
        <v>231.5543350757824</v>
      </c>
      <c r="E41">
        <v>0</v>
      </c>
      <c r="F41" t="s">
        <v>34</v>
      </c>
    </row>
    <row r="42" spans="1:6">
      <c r="A42">
        <v>2060</v>
      </c>
      <c r="B42">
        <v>82.565073553148665</v>
      </c>
      <c r="C42">
        <v>0</v>
      </c>
      <c r="D42">
        <v>227.9341047785889</v>
      </c>
      <c r="E42">
        <v>0</v>
      </c>
      <c r="F4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21F2-C467-F14D-AA95-CEE629008EA6}">
  <dimension ref="A1:C32"/>
  <sheetViews>
    <sheetView workbookViewId="0">
      <selection activeCell="C2" sqref="C2:C32"/>
    </sheetView>
  </sheetViews>
  <sheetFormatPr defaultColWidth="11.25" defaultRowHeight="15.75"/>
  <sheetData>
    <row r="1" spans="1:3">
      <c r="A1" s="12" t="s">
        <v>1</v>
      </c>
      <c r="B1" s="12" t="s">
        <v>3</v>
      </c>
      <c r="C1" s="12" t="s">
        <v>32</v>
      </c>
    </row>
    <row r="2" spans="1:3">
      <c r="A2">
        <v>2020</v>
      </c>
      <c r="B2" t="s">
        <v>34</v>
      </c>
      <c r="C2">
        <f>'Received Data Brazzola'!D3*Inputs!$C$8/30</f>
        <v>1458.2404045418102</v>
      </c>
    </row>
    <row r="3" spans="1:3">
      <c r="A3">
        <v>2021</v>
      </c>
      <c r="B3" t="s">
        <v>34</v>
      </c>
      <c r="C3">
        <f>'Received Data Brazzola'!D4*Inputs!$C$8/30</f>
        <v>1150.3059112155204</v>
      </c>
    </row>
    <row r="4" spans="1:3">
      <c r="A4">
        <v>2022</v>
      </c>
      <c r="B4" t="s">
        <v>34</v>
      </c>
      <c r="C4">
        <f>'Received Data Brazzola'!D5*Inputs!$C$8/30</f>
        <v>1009.6926757608086</v>
      </c>
    </row>
    <row r="5" spans="1:3">
      <c r="A5">
        <v>2023</v>
      </c>
      <c r="B5" t="s">
        <v>34</v>
      </c>
      <c r="C5">
        <f>'Received Data Brazzola'!D6*Inputs!$C$8/30</f>
        <v>922.53021072305012</v>
      </c>
    </row>
    <row r="6" spans="1:3">
      <c r="A6">
        <v>2024</v>
      </c>
      <c r="B6" t="s">
        <v>34</v>
      </c>
      <c r="C6">
        <f>'Received Data Brazzola'!D7*Inputs!$C$8/30</f>
        <v>859.50423300157809</v>
      </c>
    </row>
    <row r="7" spans="1:3">
      <c r="A7">
        <v>2025</v>
      </c>
      <c r="B7" t="s">
        <v>34</v>
      </c>
      <c r="C7">
        <f>'Received Data Brazzola'!D8*Inputs!$C$8/30</f>
        <v>811.77955003940167</v>
      </c>
    </row>
    <row r="8" spans="1:3">
      <c r="A8">
        <v>2026</v>
      </c>
      <c r="B8" t="s">
        <v>34</v>
      </c>
      <c r="C8">
        <f>'Received Data Brazzola'!D9*Inputs!$C$8/30</f>
        <v>773.8117062946709</v>
      </c>
    </row>
    <row r="9" spans="1:3">
      <c r="A9">
        <v>2027</v>
      </c>
      <c r="B9" t="s">
        <v>34</v>
      </c>
      <c r="C9">
        <f>'Received Data Brazzola'!D10*Inputs!$C$8/30</f>
        <v>742.50035428873366</v>
      </c>
    </row>
    <row r="10" spans="1:3">
      <c r="A10">
        <v>2028</v>
      </c>
      <c r="B10" t="s">
        <v>34</v>
      </c>
      <c r="C10">
        <f>'Received Data Brazzola'!D11*Inputs!$C$8/30</f>
        <v>715.96111039606069</v>
      </c>
    </row>
    <row r="11" spans="1:3">
      <c r="A11">
        <v>2029</v>
      </c>
      <c r="B11" t="s">
        <v>34</v>
      </c>
      <c r="C11">
        <f>'Received Data Brazzola'!D12*Inputs!$C$8/30</f>
        <v>692.98097492695172</v>
      </c>
    </row>
    <row r="12" spans="1:3">
      <c r="A12">
        <v>2030</v>
      </c>
      <c r="B12" t="s">
        <v>34</v>
      </c>
      <c r="C12">
        <f>'Received Data Brazzola'!D13*Inputs!$C$8/30</f>
        <v>672.96054065497162</v>
      </c>
    </row>
    <row r="13" spans="1:3">
      <c r="A13">
        <v>2031</v>
      </c>
      <c r="B13" t="s">
        <v>34</v>
      </c>
      <c r="C13">
        <f>'Received Data Brazzola'!D14*Inputs!$C$8/30</f>
        <v>655.10848299910447</v>
      </c>
    </row>
    <row r="14" spans="1:3">
      <c r="A14">
        <v>2032</v>
      </c>
      <c r="B14" t="s">
        <v>34</v>
      </c>
      <c r="C14">
        <f>'Received Data Brazzola'!D15*Inputs!$C$8/30</f>
        <v>639.02345627900229</v>
      </c>
    </row>
    <row r="15" spans="1:3">
      <c r="A15">
        <v>2033</v>
      </c>
      <c r="B15" t="s">
        <v>34</v>
      </c>
      <c r="C15">
        <f>'Received Data Brazzola'!D16*Inputs!$C$8/30</f>
        <v>624.41044631572504</v>
      </c>
    </row>
    <row r="16" spans="1:3">
      <c r="A16">
        <v>2034</v>
      </c>
      <c r="B16" t="s">
        <v>34</v>
      </c>
      <c r="C16">
        <f>'Received Data Brazzola'!D17*Inputs!$C$8/30</f>
        <v>611.04701050315532</v>
      </c>
    </row>
    <row r="17" spans="1:3">
      <c r="A17">
        <v>2035</v>
      </c>
      <c r="B17" t="s">
        <v>34</v>
      </c>
      <c r="C17">
        <f>'Received Data Brazzola'!D18*Inputs!$C$8/30</f>
        <v>598.85523343870079</v>
      </c>
    </row>
    <row r="18" spans="1:3">
      <c r="A18">
        <v>2036</v>
      </c>
      <c r="B18" t="s">
        <v>34</v>
      </c>
      <c r="C18">
        <f>'Received Data Brazzola'!D19*Inputs!$C$8/30</f>
        <v>587.59764695659408</v>
      </c>
    </row>
    <row r="19" spans="1:3">
      <c r="A19">
        <v>2037</v>
      </c>
      <c r="B19" t="s">
        <v>34</v>
      </c>
      <c r="C19">
        <f>'Received Data Brazzola'!D20*Inputs!$C$8/30</f>
        <v>577.16589725226413</v>
      </c>
    </row>
    <row r="20" spans="1:3">
      <c r="A20">
        <v>2038</v>
      </c>
      <c r="B20" t="s">
        <v>34</v>
      </c>
      <c r="C20">
        <f>'Received Data Brazzola'!D21*Inputs!$C$8/30</f>
        <v>567.47123452071037</v>
      </c>
    </row>
    <row r="21" spans="1:3">
      <c r="A21">
        <v>2039</v>
      </c>
      <c r="B21" t="s">
        <v>34</v>
      </c>
      <c r="C21">
        <f>'Received Data Brazzola'!D22*Inputs!$C$8/30</f>
        <v>558.43992069358603</v>
      </c>
    </row>
    <row r="22" spans="1:3">
      <c r="A22">
        <v>2040</v>
      </c>
      <c r="B22" t="s">
        <v>34</v>
      </c>
      <c r="C22">
        <f>'Received Data Brazzola'!D23*Inputs!$C$8/30</f>
        <v>549.8826943435912</v>
      </c>
    </row>
    <row r="23" spans="1:3">
      <c r="A23">
        <v>2041</v>
      </c>
      <c r="B23" t="s">
        <v>34</v>
      </c>
      <c r="C23">
        <f>'Received Data Brazzola'!D24*Inputs!$C$8/30</f>
        <v>541.5254868330893</v>
      </c>
    </row>
    <row r="24" spans="1:3">
      <c r="A24">
        <v>2042</v>
      </c>
      <c r="B24" t="s">
        <v>34</v>
      </c>
      <c r="C24">
        <f>'Received Data Brazzola'!D25*Inputs!$C$8/30</f>
        <v>533.34300357231893</v>
      </c>
    </row>
    <row r="25" spans="1:3">
      <c r="A25">
        <v>2043</v>
      </c>
      <c r="B25" t="s">
        <v>34</v>
      </c>
      <c r="C25">
        <f>'Received Data Brazzola'!D26*Inputs!$C$8/30</f>
        <v>525.37430802343124</v>
      </c>
    </row>
    <row r="26" spans="1:3">
      <c r="A26">
        <v>2044</v>
      </c>
      <c r="B26" t="s">
        <v>34</v>
      </c>
      <c r="C26">
        <f>'Received Data Brazzola'!D27*Inputs!$C$8/30</f>
        <v>517.61904782328213</v>
      </c>
    </row>
    <row r="27" spans="1:3">
      <c r="A27">
        <v>2045</v>
      </c>
      <c r="B27" t="s">
        <v>34</v>
      </c>
      <c r="C27">
        <f>'Received Data Brazzola'!D28*Inputs!$C$8/30</f>
        <v>510.12229069357801</v>
      </c>
    </row>
    <row r="28" spans="1:3">
      <c r="A28">
        <v>2046</v>
      </c>
      <c r="B28" t="s">
        <v>34</v>
      </c>
      <c r="C28">
        <f>'Received Data Brazzola'!D29*Inputs!$C$8/30</f>
        <v>502.90577904993262</v>
      </c>
    </row>
    <row r="29" spans="1:3">
      <c r="A29">
        <v>2047</v>
      </c>
      <c r="B29" t="s">
        <v>34</v>
      </c>
      <c r="C29">
        <f>'Received Data Brazzola'!D30*Inputs!$C$8/30</f>
        <v>495.98450209694039</v>
      </c>
    </row>
    <row r="30" spans="1:3">
      <c r="A30">
        <v>2048</v>
      </c>
      <c r="B30" t="s">
        <v>34</v>
      </c>
      <c r="C30">
        <f>'Received Data Brazzola'!D31*Inputs!$C$8/30</f>
        <v>489.36789714106175</v>
      </c>
    </row>
    <row r="31" spans="1:3">
      <c r="A31">
        <v>2049</v>
      </c>
      <c r="B31" t="s">
        <v>34</v>
      </c>
      <c r="C31">
        <f>'Received Data Brazzola'!D32*Inputs!$C$8/30</f>
        <v>483.0609862132917</v>
      </c>
    </row>
    <row r="32" spans="1:3">
      <c r="A32">
        <v>2050</v>
      </c>
      <c r="B32" t="s">
        <v>34</v>
      </c>
      <c r="C32">
        <f>'Received Data Brazzola'!D33*Inputs!$C$8/30</f>
        <v>507.5496345628751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8921-1760-0648-8B63-EB4A16517EAC}">
  <dimension ref="A1:C32"/>
  <sheetViews>
    <sheetView workbookViewId="0">
      <selection activeCell="C32" sqref="C32"/>
    </sheetView>
  </sheetViews>
  <sheetFormatPr defaultColWidth="11.25" defaultRowHeight="15.75"/>
  <sheetData>
    <row r="1" spans="1:3">
      <c r="A1" s="12" t="s">
        <v>1</v>
      </c>
      <c r="B1" s="12" t="s">
        <v>3</v>
      </c>
      <c r="C1" s="12" t="s">
        <v>32</v>
      </c>
    </row>
    <row r="2" spans="1:3">
      <c r="A2">
        <v>2020</v>
      </c>
      <c r="B2" t="s">
        <v>34</v>
      </c>
      <c r="C2">
        <f>'LCOE Corrected'!C2*Inputs!$C$32/870</f>
        <v>2297.9857409503697</v>
      </c>
    </row>
    <row r="3" spans="1:3">
      <c r="A3">
        <v>2021</v>
      </c>
      <c r="B3" t="s">
        <v>34</v>
      </c>
      <c r="C3">
        <f>'LCOE Corrected'!C3*Inputs!$C$32/870</f>
        <v>1812.7234531913543</v>
      </c>
    </row>
    <row r="4" spans="1:3">
      <c r="A4">
        <v>2022</v>
      </c>
      <c r="B4" t="s">
        <v>34</v>
      </c>
      <c r="C4">
        <f>'LCOE Corrected'!C4*Inputs!$C$32/870</f>
        <v>1591.1363890437569</v>
      </c>
    </row>
    <row r="5" spans="1:3">
      <c r="A5">
        <v>2023</v>
      </c>
      <c r="B5" t="s">
        <v>34</v>
      </c>
      <c r="C5">
        <f>'LCOE Corrected'!C5*Inputs!$C$32/870</f>
        <v>1453.7803665532203</v>
      </c>
    </row>
    <row r="6" spans="1:3">
      <c r="A6">
        <v>2024</v>
      </c>
      <c r="B6" t="s">
        <v>34</v>
      </c>
      <c r="C6">
        <f>'LCOE Corrected'!C6*Inputs!$C$32/870</f>
        <v>1354.460118902487</v>
      </c>
    </row>
    <row r="7" spans="1:3">
      <c r="A7">
        <v>2025</v>
      </c>
      <c r="B7" t="s">
        <v>34</v>
      </c>
      <c r="C7">
        <f>'LCOE Corrected'!C7*Inputs!$C$32/870</f>
        <v>1279.2526012689882</v>
      </c>
    </row>
    <row r="8" spans="1:3">
      <c r="A8">
        <v>2026</v>
      </c>
      <c r="B8" t="s">
        <v>34</v>
      </c>
      <c r="C8">
        <f>'LCOE Corrected'!C8*Inputs!$C$32/870</f>
        <v>1219.4205164712573</v>
      </c>
    </row>
    <row r="9" spans="1:3">
      <c r="A9">
        <v>2027</v>
      </c>
      <c r="B9" t="s">
        <v>34</v>
      </c>
      <c r="C9">
        <f>'LCOE Corrected'!C9*Inputs!$C$32/870</f>
        <v>1170.0781445170735</v>
      </c>
    </row>
    <row r="10" spans="1:3">
      <c r="A10">
        <v>2028</v>
      </c>
      <c r="B10" t="s">
        <v>34</v>
      </c>
      <c r="C10">
        <f>'LCOE Corrected'!C10*Inputs!$C$32/870</f>
        <v>1128.2559567275853</v>
      </c>
    </row>
    <row r="11" spans="1:3">
      <c r="A11">
        <v>2029</v>
      </c>
      <c r="B11" t="s">
        <v>34</v>
      </c>
      <c r="C11">
        <f>'LCOE Corrected'!C11*Inputs!$C$32/870</f>
        <v>1092.0424329021273</v>
      </c>
    </row>
    <row r="12" spans="1:3">
      <c r="A12">
        <v>2030</v>
      </c>
      <c r="B12" t="s">
        <v>34</v>
      </c>
      <c r="C12">
        <f>'LCOE Corrected'!C12*Inputs!$C$32/870</f>
        <v>1060.4929899286967</v>
      </c>
    </row>
    <row r="13" spans="1:3">
      <c r="A13">
        <v>2031</v>
      </c>
      <c r="B13" t="s">
        <v>34</v>
      </c>
      <c r="C13">
        <f>'LCOE Corrected'!C13*Inputs!$C$32/870</f>
        <v>1032.3606094158301</v>
      </c>
    </row>
    <row r="14" spans="1:3">
      <c r="A14">
        <v>2032</v>
      </c>
      <c r="B14" t="s">
        <v>34</v>
      </c>
      <c r="C14">
        <f>'LCOE Corrected'!C14*Inputs!$C$32/870</f>
        <v>1007.0128259293242</v>
      </c>
    </row>
    <row r="15" spans="1:3">
      <c r="A15">
        <v>2033</v>
      </c>
      <c r="B15" t="s">
        <v>34</v>
      </c>
      <c r="C15">
        <f>'LCOE Corrected'!C15*Inputs!$C$32/870</f>
        <v>983.98473781478049</v>
      </c>
    </row>
    <row r="16" spans="1:3">
      <c r="A16">
        <v>2034</v>
      </c>
      <c r="B16" t="s">
        <v>34</v>
      </c>
      <c r="C16">
        <f>'LCOE Corrected'!C16*Inputs!$C$32/870</f>
        <v>962.92580620669651</v>
      </c>
    </row>
    <row r="17" spans="1:3">
      <c r="A17">
        <v>2035</v>
      </c>
      <c r="B17" t="s">
        <v>34</v>
      </c>
      <c r="C17">
        <f>'LCOE Corrected'!C17*Inputs!$C$32/870</f>
        <v>943.71324717753885</v>
      </c>
    </row>
    <row r="18" spans="1:3">
      <c r="A18">
        <v>2036</v>
      </c>
      <c r="B18" t="s">
        <v>34</v>
      </c>
      <c r="C18">
        <f>'LCOE Corrected'!C18*Inputs!$C$32/870</f>
        <v>925.97284365228791</v>
      </c>
    </row>
    <row r="19" spans="1:3">
      <c r="A19">
        <v>2037</v>
      </c>
      <c r="B19" t="s">
        <v>34</v>
      </c>
      <c r="C19">
        <f>'LCOE Corrected'!C19*Inputs!$C$32/870</f>
        <v>909.53384498029209</v>
      </c>
    </row>
    <row r="20" spans="1:3">
      <c r="A20">
        <v>2038</v>
      </c>
      <c r="B20" t="s">
        <v>34</v>
      </c>
      <c r="C20">
        <f>'LCOE Corrected'!C20*Inputs!$C$32/870</f>
        <v>894.25639371022294</v>
      </c>
    </row>
    <row r="21" spans="1:3">
      <c r="A21">
        <v>2039</v>
      </c>
      <c r="B21" t="s">
        <v>34</v>
      </c>
      <c r="C21">
        <f>'LCOE Corrected'!C21*Inputs!$C$32/870</f>
        <v>880.02428881713377</v>
      </c>
    </row>
    <row r="22" spans="1:3">
      <c r="A22">
        <v>2040</v>
      </c>
      <c r="B22" t="s">
        <v>34</v>
      </c>
      <c r="C22">
        <f>'LCOE Corrected'!C22*Inputs!$C$32/870</f>
        <v>866.53928039662469</v>
      </c>
    </row>
    <row r="23" spans="1:3">
      <c r="A23">
        <v>2041</v>
      </c>
      <c r="B23" t="s">
        <v>34</v>
      </c>
      <c r="C23">
        <f>'LCOE Corrected'!C23*Inputs!$C$32/870</f>
        <v>853.369474078351</v>
      </c>
    </row>
    <row r="24" spans="1:3">
      <c r="A24">
        <v>2042</v>
      </c>
      <c r="B24" t="s">
        <v>34</v>
      </c>
      <c r="C24">
        <f>'LCOE Corrected'!C24*Inputs!$C$32/870</f>
        <v>840.47500907775782</v>
      </c>
    </row>
    <row r="25" spans="1:3">
      <c r="A25">
        <v>2043</v>
      </c>
      <c r="B25" t="s">
        <v>34</v>
      </c>
      <c r="C25">
        <f>'LCOE Corrected'!C25*Inputs!$C$32/870</f>
        <v>827.91744402313134</v>
      </c>
    </row>
    <row r="26" spans="1:3">
      <c r="A26">
        <v>2044</v>
      </c>
      <c r="B26" t="s">
        <v>34</v>
      </c>
      <c r="C26">
        <f>'LCOE Corrected'!C26*Inputs!$C$32/870</f>
        <v>815.6962236387584</v>
      </c>
    </row>
    <row r="27" spans="1:3">
      <c r="A27">
        <v>2045</v>
      </c>
      <c r="B27" t="s">
        <v>34</v>
      </c>
      <c r="C27">
        <f>'LCOE Corrected'!C27*Inputs!$C$32/870</f>
        <v>803.88236843781078</v>
      </c>
    </row>
    <row r="28" spans="1:3">
      <c r="A28">
        <v>2046</v>
      </c>
      <c r="B28" t="s">
        <v>34</v>
      </c>
      <c r="C28">
        <f>'LCOE Corrected'!C28*Inputs!$C$32/870</f>
        <v>792.51014146834211</v>
      </c>
    </row>
    <row r="29" spans="1:3">
      <c r="A29">
        <v>2047</v>
      </c>
      <c r="B29" t="s">
        <v>34</v>
      </c>
      <c r="C29">
        <f>'LCOE Corrected'!C29*Inputs!$C$32/870</f>
        <v>781.60316364931646</v>
      </c>
    </row>
    <row r="30" spans="1:3">
      <c r="A30">
        <v>2048</v>
      </c>
      <c r="B30" t="s">
        <v>34</v>
      </c>
      <c r="C30">
        <f>'LCOE Corrected'!C30*Inputs!$C$32/870</f>
        <v>771.176306874018</v>
      </c>
    </row>
    <row r="31" spans="1:3">
      <c r="A31">
        <v>2049</v>
      </c>
      <c r="B31" t="s">
        <v>34</v>
      </c>
      <c r="C31">
        <f>'LCOE Corrected'!C31*Inputs!$C$32/870</f>
        <v>761.23748517060108</v>
      </c>
    </row>
    <row r="32" spans="1:3">
      <c r="A32">
        <v>2050</v>
      </c>
      <c r="B32" t="s">
        <v>34</v>
      </c>
      <c r="C32">
        <f>'LCOE Corrected'!C32*Inputs!$C$32/870</f>
        <v>799.82821722494452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FABC-EA0B-0A48-9B15-E997343C9E03}">
  <dimension ref="A1:B32"/>
  <sheetViews>
    <sheetView workbookViewId="0">
      <selection activeCell="B2" sqref="B2:B32"/>
    </sheetView>
  </sheetViews>
  <sheetFormatPr defaultColWidth="11.25" defaultRowHeight="15.75"/>
  <sheetData>
    <row r="1" spans="1:2">
      <c r="A1" s="12" t="s">
        <v>1</v>
      </c>
      <c r="B1" s="12" t="s">
        <v>3</v>
      </c>
    </row>
    <row r="2" spans="1:2">
      <c r="A2">
        <v>2020</v>
      </c>
      <c r="B2">
        <f>'CO2 Cost Corrected'!C2</f>
        <v>2297.9857409503697</v>
      </c>
    </row>
    <row r="3" spans="1:2">
      <c r="A3">
        <v>2021</v>
      </c>
      <c r="B3">
        <f>'CO2 Cost Corrected'!C3</f>
        <v>1812.7234531913543</v>
      </c>
    </row>
    <row r="4" spans="1:2">
      <c r="A4">
        <v>2022</v>
      </c>
      <c r="B4">
        <f>'CO2 Cost Corrected'!C4</f>
        <v>1591.1363890437569</v>
      </c>
    </row>
    <row r="5" spans="1:2">
      <c r="A5">
        <v>2023</v>
      </c>
      <c r="B5">
        <f>'CO2 Cost Corrected'!C5</f>
        <v>1453.7803665532203</v>
      </c>
    </row>
    <row r="6" spans="1:2">
      <c r="A6">
        <v>2024</v>
      </c>
      <c r="B6">
        <f>'CO2 Cost Corrected'!C6</f>
        <v>1354.460118902487</v>
      </c>
    </row>
    <row r="7" spans="1:2">
      <c r="A7">
        <v>2025</v>
      </c>
      <c r="B7">
        <f>'CO2 Cost Corrected'!C7</f>
        <v>1279.2526012689882</v>
      </c>
    </row>
    <row r="8" spans="1:2">
      <c r="A8">
        <v>2026</v>
      </c>
      <c r="B8">
        <f>'CO2 Cost Corrected'!C8</f>
        <v>1219.4205164712573</v>
      </c>
    </row>
    <row r="9" spans="1:2">
      <c r="A9">
        <v>2027</v>
      </c>
      <c r="B9">
        <f>'CO2 Cost Corrected'!C9</f>
        <v>1170.0781445170735</v>
      </c>
    </row>
    <row r="10" spans="1:2">
      <c r="A10">
        <v>2028</v>
      </c>
      <c r="B10">
        <f>'CO2 Cost Corrected'!C10</f>
        <v>1128.2559567275853</v>
      </c>
    </row>
    <row r="11" spans="1:2">
      <c r="A11">
        <v>2029</v>
      </c>
      <c r="B11">
        <f>'CO2 Cost Corrected'!C11</f>
        <v>1092.0424329021273</v>
      </c>
    </row>
    <row r="12" spans="1:2">
      <c r="A12">
        <v>2030</v>
      </c>
      <c r="B12">
        <f>'CO2 Cost Corrected'!C12</f>
        <v>1060.4929899286967</v>
      </c>
    </row>
    <row r="13" spans="1:2">
      <c r="A13">
        <v>2031</v>
      </c>
      <c r="B13">
        <f>'CO2 Cost Corrected'!C13</f>
        <v>1032.3606094158301</v>
      </c>
    </row>
    <row r="14" spans="1:2">
      <c r="A14">
        <v>2032</v>
      </c>
      <c r="B14">
        <f>'CO2 Cost Corrected'!C14</f>
        <v>1007.0128259293242</v>
      </c>
    </row>
    <row r="15" spans="1:2">
      <c r="A15">
        <v>2033</v>
      </c>
      <c r="B15">
        <f>'CO2 Cost Corrected'!C15</f>
        <v>983.98473781478049</v>
      </c>
    </row>
    <row r="16" spans="1:2">
      <c r="A16">
        <v>2034</v>
      </c>
      <c r="B16">
        <f>'CO2 Cost Corrected'!C16</f>
        <v>962.92580620669651</v>
      </c>
    </row>
    <row r="17" spans="1:2">
      <c r="A17">
        <v>2035</v>
      </c>
      <c r="B17">
        <f>'CO2 Cost Corrected'!C17</f>
        <v>943.71324717753885</v>
      </c>
    </row>
    <row r="18" spans="1:2">
      <c r="A18">
        <v>2036</v>
      </c>
      <c r="B18">
        <f>'CO2 Cost Corrected'!C18</f>
        <v>925.97284365228791</v>
      </c>
    </row>
    <row r="19" spans="1:2">
      <c r="A19">
        <v>2037</v>
      </c>
      <c r="B19">
        <f>'CO2 Cost Corrected'!C19</f>
        <v>909.53384498029209</v>
      </c>
    </row>
    <row r="20" spans="1:2">
      <c r="A20">
        <v>2038</v>
      </c>
      <c r="B20">
        <f>'CO2 Cost Corrected'!C20</f>
        <v>894.25639371022294</v>
      </c>
    </row>
    <row r="21" spans="1:2">
      <c r="A21">
        <v>2039</v>
      </c>
      <c r="B21">
        <f>'CO2 Cost Corrected'!C21</f>
        <v>880.02428881713377</v>
      </c>
    </row>
    <row r="22" spans="1:2">
      <c r="A22">
        <v>2040</v>
      </c>
      <c r="B22">
        <f>'CO2 Cost Corrected'!C22</f>
        <v>866.53928039662469</v>
      </c>
    </row>
    <row r="23" spans="1:2">
      <c r="A23">
        <v>2041</v>
      </c>
      <c r="B23">
        <f>'CO2 Cost Corrected'!C23</f>
        <v>853.369474078351</v>
      </c>
    </row>
    <row r="24" spans="1:2">
      <c r="A24">
        <v>2042</v>
      </c>
      <c r="B24">
        <f>'CO2 Cost Corrected'!C24</f>
        <v>840.47500907775782</v>
      </c>
    </row>
    <row r="25" spans="1:2">
      <c r="A25">
        <v>2043</v>
      </c>
      <c r="B25">
        <f>'CO2 Cost Corrected'!C25</f>
        <v>827.91744402313134</v>
      </c>
    </row>
    <row r="26" spans="1:2">
      <c r="A26">
        <v>2044</v>
      </c>
      <c r="B26">
        <f>'CO2 Cost Corrected'!C26</f>
        <v>815.6962236387584</v>
      </c>
    </row>
    <row r="27" spans="1:2">
      <c r="A27">
        <v>2045</v>
      </c>
      <c r="B27">
        <f>'CO2 Cost Corrected'!C27</f>
        <v>803.88236843781078</v>
      </c>
    </row>
    <row r="28" spans="1:2">
      <c r="A28">
        <v>2046</v>
      </c>
      <c r="B28">
        <f>'CO2 Cost Corrected'!C28</f>
        <v>792.51014146834211</v>
      </c>
    </row>
    <row r="29" spans="1:2">
      <c r="A29">
        <v>2047</v>
      </c>
      <c r="B29">
        <f>'CO2 Cost Corrected'!C29</f>
        <v>781.60316364931646</v>
      </c>
    </row>
    <row r="30" spans="1:2">
      <c r="A30">
        <v>2048</v>
      </c>
      <c r="B30">
        <f>'CO2 Cost Corrected'!C30</f>
        <v>771.176306874018</v>
      </c>
    </row>
    <row r="31" spans="1:2">
      <c r="A31">
        <v>2049</v>
      </c>
      <c r="B31">
        <f>'CO2 Cost Corrected'!C31</f>
        <v>761.23748517060108</v>
      </c>
    </row>
    <row r="32" spans="1:2">
      <c r="A32">
        <v>2050</v>
      </c>
      <c r="B32">
        <f>'CO2 Cost Corrected'!C32</f>
        <v>799.82821722494452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"/>
  <sheetViews>
    <sheetView workbookViewId="0">
      <selection activeCell="G11" sqref="G11"/>
    </sheetView>
  </sheetViews>
  <sheetFormatPr defaultColWidth="11.25" defaultRowHeight="15.75"/>
  <cols>
    <col min="6" max="6" width="13.75" bestFit="1" customWidth="1"/>
    <col min="13" max="13" width="13.75" bestFit="1" customWidth="1"/>
  </cols>
  <sheetData>
    <row r="1" spans="1:13">
      <c r="A1" s="1" t="s">
        <v>35</v>
      </c>
      <c r="H1" s="1"/>
    </row>
    <row r="2" spans="1:13">
      <c r="A2" s="11">
        <v>2024</v>
      </c>
      <c r="B2" s="11">
        <f>'WACC Corrected'!B6</f>
        <v>1354.460118902487</v>
      </c>
      <c r="C2" s="11"/>
      <c r="D2" s="11"/>
      <c r="E2" s="11"/>
      <c r="F2" s="11"/>
      <c r="H2" s="11"/>
      <c r="I2" s="11"/>
      <c r="J2" s="11"/>
      <c r="K2" s="11"/>
      <c r="L2" s="11"/>
      <c r="M2" s="11"/>
    </row>
    <row r="3" spans="1:13">
      <c r="A3" s="9">
        <v>2050</v>
      </c>
      <c r="B3" s="9">
        <f>'WACC Corrected'!B32</f>
        <v>799.82821722494452</v>
      </c>
      <c r="H3" s="9"/>
      <c r="I3" s="9"/>
    </row>
    <row r="4" spans="1:13">
      <c r="A4" s="9"/>
      <c r="B4" s="9"/>
      <c r="H4" s="9"/>
      <c r="I4" s="9"/>
    </row>
    <row r="5" spans="1:13">
      <c r="A5" s="9"/>
      <c r="B5" s="9"/>
      <c r="C5" s="4"/>
      <c r="D5" s="4"/>
      <c r="E5" s="4"/>
      <c r="F5" s="4"/>
      <c r="H5" s="9"/>
      <c r="I5" s="9"/>
      <c r="J5" s="4"/>
      <c r="K5" s="4"/>
      <c r="L5" s="4"/>
      <c r="M5" s="4"/>
    </row>
    <row r="6" spans="1:13">
      <c r="A6" s="9"/>
      <c r="B6" s="9"/>
      <c r="H6" s="9"/>
      <c r="I6" s="9"/>
    </row>
    <row r="7" spans="1:13">
      <c r="A7" s="9"/>
      <c r="B7" s="9"/>
      <c r="H7" s="9"/>
      <c r="I7" s="9"/>
    </row>
    <row r="8" spans="1:13">
      <c r="A8" s="9"/>
      <c r="B8" s="9"/>
      <c r="H8" s="9"/>
      <c r="I8" s="9"/>
    </row>
    <row r="9" spans="1:13">
      <c r="A9" s="9"/>
      <c r="B9" s="9"/>
      <c r="H9" s="9"/>
      <c r="I9" s="9"/>
    </row>
    <row r="10" spans="1:13">
      <c r="A10" s="9"/>
      <c r="B10" s="9"/>
      <c r="H10" s="9"/>
      <c r="I10" s="9"/>
    </row>
    <row r="12" spans="1:13">
      <c r="A12" s="13"/>
      <c r="B12" s="13"/>
      <c r="C12" s="13"/>
      <c r="H12" s="14"/>
      <c r="I12" s="14"/>
      <c r="J12" s="14"/>
    </row>
    <row r="13" spans="1:13">
      <c r="A13" s="9"/>
      <c r="B13" s="9"/>
      <c r="H13" s="9"/>
      <c r="I13" s="9"/>
    </row>
    <row r="14" spans="1:13">
      <c r="A14" s="9"/>
      <c r="B14" s="9"/>
      <c r="C14" s="4"/>
      <c r="H14" s="9"/>
      <c r="I14" s="9"/>
      <c r="J14" s="4"/>
    </row>
    <row r="15" spans="1:13">
      <c r="A15" s="9"/>
      <c r="B15" s="9"/>
      <c r="C15" s="10"/>
      <c r="H15" s="9"/>
      <c r="I15" s="9"/>
      <c r="J15" s="10"/>
    </row>
    <row r="16" spans="1:13">
      <c r="A16" s="9"/>
      <c r="B16" s="9"/>
      <c r="C16" s="10"/>
      <c r="H16" s="9"/>
      <c r="I16" s="9"/>
      <c r="J16" s="10"/>
    </row>
    <row r="17" spans="1:10">
      <c r="A17" s="9"/>
      <c r="B17" s="9"/>
      <c r="C17" s="4"/>
      <c r="H17" s="9"/>
      <c r="I17" s="9"/>
      <c r="J17" s="4"/>
    </row>
  </sheetData>
  <mergeCells count="1">
    <mergeCell ref="H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Received Data Brazzola</vt:lpstr>
      <vt:lpstr>LCOE Corrected</vt:lpstr>
      <vt:lpstr>CO2 Cost Corrected</vt:lpstr>
      <vt:lpstr>WACC Corrected</vt:lpstr>
      <vt:lpstr>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Dubey</dc:creator>
  <cp:keywords/>
  <dc:description/>
  <cp:lastModifiedBy>Dubey  Yash</cp:lastModifiedBy>
  <cp:revision/>
  <dcterms:created xsi:type="dcterms:W3CDTF">2024-06-25T18:01:39Z</dcterms:created>
  <dcterms:modified xsi:type="dcterms:W3CDTF">2025-05-05T16:02:50Z</dcterms:modified>
  <cp:category/>
  <cp:contentStatus/>
</cp:coreProperties>
</file>
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Sensitivity/Harmonization_SAF/Harmonization Sheets/"/>
    </mc:Choice>
  </mc:AlternateContent>
  <xr:revisionPtr revIDLastSave="104" documentId="13_ncr:1_{409032AC-1BE5-8741-8011-1AD30BF05070}" xr6:coauthVersionLast="47" xr6:coauthVersionMax="47" xr10:uidLastSave="{38530D46-E5A1-4666-9CB4-4BF82CAEBC5C}"/>
  <bookViews>
    <workbookView xWindow="1950" yWindow="1950" windowWidth="28800" windowHeight="15345" xr2:uid="{00000000-000D-0000-FFFF-FFFF00000000}"/>
  </bookViews>
  <sheets>
    <sheet name="Inputs" sheetId="1" r:id="rId1"/>
    <sheet name="Study Parameters" sheetId="2" r:id="rId2"/>
    <sheet name="Levelised Cost of Removal" sheetId="3" r:id="rId3"/>
    <sheet name="Cost Components" sheetId="4" r:id="rId4"/>
    <sheet name="MFSP Baseline" sheetId="5" r:id="rId5"/>
    <sheet name="MFSP Electricity" sheetId="6" r:id="rId6"/>
    <sheet name="MFSP CO2 Corrected" sheetId="7" r:id="rId7"/>
    <sheet name="MFSP WACC Corrected" sheetId="8" r:id="rId8"/>
    <sheet name="Cost Breakdown" sheetId="10" r:id="rId9"/>
    <sheet name="Outputs" sheetId="9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0" i="1"/>
  <c r="C29" i="1"/>
  <c r="C27" i="1"/>
  <c r="C26" i="1"/>
  <c r="C24" i="1"/>
  <c r="C23" i="1"/>
  <c r="C21" i="1"/>
  <c r="C20" i="1"/>
  <c r="C18" i="1"/>
  <c r="C16" i="1"/>
  <c r="C42" i="9" s="1"/>
  <c r="C15" i="1"/>
  <c r="C14" i="1"/>
  <c r="Q25" i="9" s="1"/>
  <c r="C13" i="1"/>
  <c r="C21" i="2" s="1"/>
  <c r="C12" i="1"/>
  <c r="C11" i="1"/>
  <c r="C44" i="9" s="1"/>
  <c r="C45" i="9" s="1"/>
  <c r="C9" i="1"/>
  <c r="C8" i="1"/>
  <c r="C6" i="1"/>
  <c r="C5" i="1"/>
  <c r="H55" i="4" s="1"/>
  <c r="H56" i="4" s="1"/>
  <c r="AB37" i="8" s="1"/>
  <c r="C4" i="1"/>
  <c r="C3" i="1"/>
  <c r="C43" i="9"/>
  <c r="C23" i="2"/>
  <c r="K60" i="7"/>
  <c r="L50" i="7"/>
  <c r="G26" i="7"/>
  <c r="O50" i="5"/>
  <c r="R50" i="6"/>
  <c r="H14" i="6"/>
  <c r="S14" i="6"/>
  <c r="AB14" i="6"/>
  <c r="AC14" i="6"/>
  <c r="AD14" i="6"/>
  <c r="T17" i="9"/>
  <c r="S17" i="9"/>
  <c r="R17" i="9"/>
  <c r="Q17" i="9"/>
  <c r="M17" i="9"/>
  <c r="L17" i="9"/>
  <c r="K17" i="9"/>
  <c r="J17" i="9"/>
  <c r="F17" i="9"/>
  <c r="E17" i="9"/>
  <c r="D17" i="9"/>
  <c r="C17" i="9"/>
  <c r="T6" i="9"/>
  <c r="S6" i="9"/>
  <c r="R6" i="9"/>
  <c r="Q6" i="9"/>
  <c r="M6" i="9"/>
  <c r="L6" i="9"/>
  <c r="K6" i="9"/>
  <c r="J6" i="9"/>
  <c r="F6" i="9"/>
  <c r="E6" i="9"/>
  <c r="D6" i="9"/>
  <c r="C6" i="9"/>
  <c r="B40" i="8"/>
  <c r="B38" i="8"/>
  <c r="B29" i="8"/>
  <c r="B27" i="8"/>
  <c r="B7" i="8"/>
  <c r="B5" i="8"/>
  <c r="B40" i="7"/>
  <c r="B38" i="7"/>
  <c r="B29" i="7"/>
  <c r="B27" i="7"/>
  <c r="B7" i="7"/>
  <c r="B5" i="7"/>
  <c r="B40" i="6"/>
  <c r="B38" i="6"/>
  <c r="B29" i="6"/>
  <c r="B27" i="6"/>
  <c r="B7" i="6"/>
  <c r="B5" i="6"/>
  <c r="B40" i="5"/>
  <c r="B38" i="5"/>
  <c r="Y37" i="5"/>
  <c r="B29" i="5"/>
  <c r="B27" i="5"/>
  <c r="G26" i="5"/>
  <c r="F14" i="5"/>
  <c r="B7" i="5"/>
  <c r="B5" i="5"/>
  <c r="N35" i="4"/>
  <c r="H35" i="4"/>
  <c r="B35" i="4"/>
  <c r="N34" i="4"/>
  <c r="H34" i="4"/>
  <c r="B34" i="4"/>
  <c r="N33" i="4"/>
  <c r="H33" i="4"/>
  <c r="B33" i="4"/>
  <c r="N32" i="4"/>
  <c r="H32" i="4"/>
  <c r="B32" i="4"/>
  <c r="N29" i="4"/>
  <c r="N60" i="7" s="1"/>
  <c r="H29" i="4"/>
  <c r="R37" i="5" s="1"/>
  <c r="B29" i="4"/>
  <c r="D14" i="7" s="1"/>
  <c r="N28" i="4"/>
  <c r="H28" i="4"/>
  <c r="B28" i="4"/>
  <c r="N15" i="4"/>
  <c r="H15" i="4"/>
  <c r="B15" i="4"/>
  <c r="N14" i="4"/>
  <c r="H14" i="4"/>
  <c r="B14" i="4"/>
  <c r="N13" i="4"/>
  <c r="H13" i="4"/>
  <c r="B13" i="4"/>
  <c r="N12" i="4"/>
  <c r="H12" i="4"/>
  <c r="B12" i="4"/>
  <c r="N8" i="4"/>
  <c r="N9" i="4" s="1"/>
  <c r="F50" i="7" s="1"/>
  <c r="H8" i="4"/>
  <c r="H9" i="4" s="1"/>
  <c r="L26" i="7" s="1"/>
  <c r="B8" i="4"/>
  <c r="B9" i="4" s="1"/>
  <c r="O4" i="5" s="1"/>
  <c r="AA42" i="3"/>
  <c r="Z42" i="3"/>
  <c r="S42" i="3"/>
  <c r="R42" i="3"/>
  <c r="P42" i="3"/>
  <c r="H42" i="3"/>
  <c r="G42" i="3"/>
  <c r="F42" i="3"/>
  <c r="E42" i="3"/>
  <c r="AA41" i="3"/>
  <c r="Z41" i="3"/>
  <c r="Y41" i="3"/>
  <c r="Y42" i="3" s="1"/>
  <c r="X41" i="3"/>
  <c r="X42" i="3" s="1"/>
  <c r="W41" i="3"/>
  <c r="W42" i="3" s="1"/>
  <c r="V41" i="3"/>
  <c r="V42" i="3" s="1"/>
  <c r="U41" i="3"/>
  <c r="U42" i="3" s="1"/>
  <c r="T41" i="3"/>
  <c r="T42" i="3" s="1"/>
  <c r="S41" i="3"/>
  <c r="R41" i="3"/>
  <c r="Q41" i="3"/>
  <c r="Q42" i="3" s="1"/>
  <c r="P41" i="3"/>
  <c r="O41" i="3"/>
  <c r="O42" i="3" s="1"/>
  <c r="N41" i="3"/>
  <c r="N42" i="3" s="1"/>
  <c r="M41" i="3"/>
  <c r="M42" i="3" s="1"/>
  <c r="L41" i="3"/>
  <c r="L42" i="3" s="1"/>
  <c r="K41" i="3"/>
  <c r="K42" i="3" s="1"/>
  <c r="J41" i="3"/>
  <c r="J42" i="3" s="1"/>
  <c r="I41" i="3"/>
  <c r="I42" i="3" s="1"/>
  <c r="H41" i="3"/>
  <c r="G41" i="3"/>
  <c r="F41" i="3"/>
  <c r="E41" i="3"/>
  <c r="D41" i="3"/>
  <c r="D42" i="3" s="1"/>
  <c r="C41" i="3"/>
  <c r="C42" i="3" s="1"/>
  <c r="B41" i="3"/>
  <c r="B42" i="3" s="1"/>
  <c r="B39" i="3"/>
  <c r="B40" i="3" s="1"/>
  <c r="Y33" i="3"/>
  <c r="X33" i="3"/>
  <c r="R33" i="3"/>
  <c r="Q33" i="3"/>
  <c r="O33" i="3"/>
  <c r="M33" i="3"/>
  <c r="K33" i="3"/>
  <c r="J33" i="3"/>
  <c r="H33" i="3"/>
  <c r="G33" i="3"/>
  <c r="F33" i="3"/>
  <c r="D33" i="3"/>
  <c r="B33" i="3"/>
  <c r="AA32" i="3"/>
  <c r="AA33" i="3" s="1"/>
  <c r="Z32" i="3"/>
  <c r="Z33" i="3" s="1"/>
  <c r="Y32" i="3"/>
  <c r="X32" i="3"/>
  <c r="W32" i="3"/>
  <c r="W33" i="3" s="1"/>
  <c r="V32" i="3"/>
  <c r="V33" i="3" s="1"/>
  <c r="U32" i="3"/>
  <c r="U33" i="3" s="1"/>
  <c r="T32" i="3"/>
  <c r="T33" i="3" s="1"/>
  <c r="S32" i="3"/>
  <c r="S33" i="3" s="1"/>
  <c r="R32" i="3"/>
  <c r="Q32" i="3"/>
  <c r="P32" i="3"/>
  <c r="P33" i="3" s="1"/>
  <c r="O32" i="3"/>
  <c r="N32" i="3"/>
  <c r="N33" i="3" s="1"/>
  <c r="M32" i="3"/>
  <c r="L32" i="3"/>
  <c r="L33" i="3" s="1"/>
  <c r="K32" i="3"/>
  <c r="J32" i="3"/>
  <c r="I32" i="3"/>
  <c r="I33" i="3" s="1"/>
  <c r="H32" i="3"/>
  <c r="G32" i="3"/>
  <c r="F32" i="3"/>
  <c r="E32" i="3"/>
  <c r="E33" i="3" s="1"/>
  <c r="D32" i="3"/>
  <c r="C32" i="3"/>
  <c r="C33" i="3" s="1"/>
  <c r="B32" i="3"/>
  <c r="B25" i="3"/>
  <c r="H14" i="3" s="1"/>
  <c r="H17" i="3" s="1"/>
  <c r="B24" i="3"/>
  <c r="B14" i="3" s="1"/>
  <c r="B23" i="3"/>
  <c r="H16" i="3"/>
  <c r="B16" i="3"/>
  <c r="H15" i="3"/>
  <c r="B15" i="3"/>
  <c r="H13" i="3"/>
  <c r="H11" i="3"/>
  <c r="B11" i="3"/>
  <c r="H10" i="3"/>
  <c r="B10" i="3"/>
  <c r="H7" i="3"/>
  <c r="B7" i="3"/>
  <c r="B30" i="3" s="1"/>
  <c r="B31" i="3" s="1"/>
  <c r="C25" i="2"/>
  <c r="C26" i="2" s="1"/>
  <c r="C17" i="2" s="1"/>
  <c r="C19" i="2"/>
  <c r="C15" i="2"/>
  <c r="N37" i="4" s="1"/>
  <c r="C46" i="9" l="1"/>
  <c r="Q26" i="9"/>
  <c r="C25" i="9"/>
  <c r="C26" i="9" s="1"/>
  <c r="J25" i="9"/>
  <c r="J26" i="9" s="1"/>
  <c r="U60" i="5"/>
  <c r="H26" i="7"/>
  <c r="Z26" i="5"/>
  <c r="AF4" i="6"/>
  <c r="X26" i="6"/>
  <c r="C37" i="6"/>
  <c r="J37" i="6"/>
  <c r="K50" i="6"/>
  <c r="N50" i="5"/>
  <c r="T60" i="5"/>
  <c r="Z60" i="6"/>
  <c r="K50" i="7"/>
  <c r="AD14" i="5"/>
  <c r="K4" i="6"/>
  <c r="F14" i="6"/>
  <c r="N26" i="6"/>
  <c r="V37" i="6"/>
  <c r="AC50" i="6"/>
  <c r="AA50" i="5"/>
  <c r="AE60" i="5"/>
  <c r="J60" i="5"/>
  <c r="P60" i="6"/>
  <c r="AE14" i="7"/>
  <c r="S26" i="7"/>
  <c r="Z37" i="7"/>
  <c r="C50" i="7"/>
  <c r="AC60" i="7"/>
  <c r="F60" i="6"/>
  <c r="C26" i="5"/>
  <c r="J4" i="6"/>
  <c r="AC26" i="6"/>
  <c r="M26" i="6"/>
  <c r="U37" i="6"/>
  <c r="V50" i="6"/>
  <c r="Z50" i="5"/>
  <c r="Y60" i="5"/>
  <c r="I60" i="5"/>
  <c r="O60" i="6"/>
  <c r="U14" i="7"/>
  <c r="R26" i="7"/>
  <c r="Y37" i="7"/>
  <c r="Y50" i="7"/>
  <c r="V60" i="7"/>
  <c r="X37" i="5"/>
  <c r="O26" i="5"/>
  <c r="C4" i="6"/>
  <c r="Y26" i="6"/>
  <c r="D26" i="6"/>
  <c r="K37" i="6"/>
  <c r="AA60" i="6"/>
  <c r="AE26" i="7"/>
  <c r="O37" i="7"/>
  <c r="AD37" i="5"/>
  <c r="E26" i="5"/>
  <c r="G37" i="5"/>
  <c r="I4" i="6"/>
  <c r="AB26" i="6"/>
  <c r="G26" i="6"/>
  <c r="N37" i="6"/>
  <c r="U50" i="6"/>
  <c r="Y50" i="5"/>
  <c r="X60" i="5"/>
  <c r="AD60" i="6"/>
  <c r="N60" i="6"/>
  <c r="T14" i="7"/>
  <c r="Q26" i="7"/>
  <c r="X37" i="7"/>
  <c r="W50" i="7"/>
  <c r="U60" i="7"/>
  <c r="F26" i="5"/>
  <c r="W37" i="5"/>
  <c r="AA26" i="6"/>
  <c r="F26" i="6"/>
  <c r="M37" i="6"/>
  <c r="T50" i="6"/>
  <c r="X50" i="5"/>
  <c r="W60" i="5"/>
  <c r="AC60" i="6"/>
  <c r="H60" i="6"/>
  <c r="J14" i="7"/>
  <c r="P26" i="7"/>
  <c r="Q37" i="7"/>
  <c r="V50" i="7"/>
  <c r="T60" i="7"/>
  <c r="Z26" i="6"/>
  <c r="E26" i="6"/>
  <c r="L37" i="6"/>
  <c r="S50" i="6"/>
  <c r="P50" i="5"/>
  <c r="V60" i="5"/>
  <c r="AB60" i="6"/>
  <c r="G60" i="6"/>
  <c r="I14" i="7"/>
  <c r="I26" i="7"/>
  <c r="P37" i="7"/>
  <c r="N50" i="7"/>
  <c r="S60" i="7"/>
  <c r="R60" i="7"/>
  <c r="AE4" i="6"/>
  <c r="R14" i="6"/>
  <c r="R26" i="6"/>
  <c r="AF37" i="6"/>
  <c r="C50" i="6"/>
  <c r="J50" i="6"/>
  <c r="M50" i="5"/>
  <c r="N60" i="5"/>
  <c r="Y60" i="6"/>
  <c r="D60" i="6"/>
  <c r="AC26" i="7"/>
  <c r="F26" i="7"/>
  <c r="M37" i="7"/>
  <c r="C60" i="7"/>
  <c r="J60" i="7"/>
  <c r="AA26" i="5"/>
  <c r="AE37" i="5"/>
  <c r="B17" i="4"/>
  <c r="D14" i="5"/>
  <c r="AC26" i="5"/>
  <c r="V4" i="6"/>
  <c r="Q14" i="6"/>
  <c r="Q26" i="6"/>
  <c r="Y37" i="6"/>
  <c r="AF50" i="6"/>
  <c r="I50" i="6"/>
  <c r="E50" i="5"/>
  <c r="M60" i="5"/>
  <c r="S60" i="6"/>
  <c r="X4" i="7"/>
  <c r="AB26" i="7"/>
  <c r="E26" i="7"/>
  <c r="F37" i="7"/>
  <c r="AF60" i="7"/>
  <c r="I60" i="7"/>
  <c r="D50" i="5"/>
  <c r="L60" i="5"/>
  <c r="R60" i="6"/>
  <c r="M4" i="7"/>
  <c r="AA26" i="7"/>
  <c r="AB37" i="7"/>
  <c r="E37" i="7"/>
  <c r="AE60" i="7"/>
  <c r="H60" i="7"/>
  <c r="E60" i="6"/>
  <c r="AD26" i="7"/>
  <c r="N37" i="7"/>
  <c r="N17" i="4"/>
  <c r="AD26" i="5"/>
  <c r="U4" i="6"/>
  <c r="P26" i="6"/>
  <c r="X37" i="6"/>
  <c r="AE50" i="6"/>
  <c r="H50" i="6"/>
  <c r="G14" i="5"/>
  <c r="AE26" i="5"/>
  <c r="T4" i="6"/>
  <c r="G14" i="6"/>
  <c r="O26" i="6"/>
  <c r="W37" i="6"/>
  <c r="AD50" i="6"/>
  <c r="G50" i="6"/>
  <c r="AF60" i="5"/>
  <c r="K60" i="5"/>
  <c r="Q60" i="6"/>
  <c r="AF14" i="7"/>
  <c r="T26" i="7"/>
  <c r="AA37" i="7"/>
  <c r="D37" i="7"/>
  <c r="AD60" i="7"/>
  <c r="G60" i="7"/>
  <c r="AB4" i="5"/>
  <c r="Z14" i="5"/>
  <c r="L37" i="5"/>
  <c r="B53" i="4"/>
  <c r="Y4" i="6"/>
  <c r="N4" i="6"/>
  <c r="C14" i="6"/>
  <c r="V14" i="6"/>
  <c r="K14" i="6"/>
  <c r="AD26" i="6"/>
  <c r="S26" i="6"/>
  <c r="H26" i="6"/>
  <c r="AA37" i="6"/>
  <c r="P37" i="6"/>
  <c r="E37" i="6"/>
  <c r="X50" i="6"/>
  <c r="M50" i="6"/>
  <c r="C50" i="5"/>
  <c r="AC50" i="5"/>
  <c r="R50" i="5"/>
  <c r="G50" i="5"/>
  <c r="Z60" i="5"/>
  <c r="O60" i="5"/>
  <c r="D60" i="5"/>
  <c r="AE60" i="6"/>
  <c r="T60" i="6"/>
  <c r="I60" i="6"/>
  <c r="AB4" i="7"/>
  <c r="Q4" i="7"/>
  <c r="F4" i="7"/>
  <c r="Y14" i="7"/>
  <c r="N14" i="7"/>
  <c r="C26" i="7"/>
  <c r="V26" i="7"/>
  <c r="K26" i="7"/>
  <c r="AD37" i="7"/>
  <c r="S37" i="7"/>
  <c r="H37" i="7"/>
  <c r="AA50" i="7"/>
  <c r="P50" i="7"/>
  <c r="E50" i="7"/>
  <c r="X60" i="7"/>
  <c r="M60" i="7"/>
  <c r="AC5" i="10"/>
  <c r="R5" i="10"/>
  <c r="G5" i="10"/>
  <c r="H17" i="4"/>
  <c r="AB14" i="5"/>
  <c r="X4" i="6"/>
  <c r="M4" i="6"/>
  <c r="AF14" i="6"/>
  <c r="U14" i="6"/>
  <c r="J14" i="6"/>
  <c r="Z37" i="6"/>
  <c r="O37" i="6"/>
  <c r="D37" i="6"/>
  <c r="W50" i="6"/>
  <c r="L50" i="6"/>
  <c r="AB50" i="5"/>
  <c r="Q50" i="5"/>
  <c r="F50" i="5"/>
  <c r="AA4" i="7"/>
  <c r="P4" i="7"/>
  <c r="E4" i="7"/>
  <c r="X14" i="7"/>
  <c r="M14" i="7"/>
  <c r="AF26" i="7"/>
  <c r="U26" i="7"/>
  <c r="J26" i="7"/>
  <c r="AC37" i="7"/>
  <c r="R37" i="7"/>
  <c r="G37" i="7"/>
  <c r="Z50" i="7"/>
  <c r="O50" i="7"/>
  <c r="D50" i="7"/>
  <c r="W60" i="7"/>
  <c r="L60" i="7"/>
  <c r="AB5" i="10"/>
  <c r="Q5" i="10"/>
  <c r="F5" i="10"/>
  <c r="AC14" i="5"/>
  <c r="W4" i="6"/>
  <c r="L4" i="6"/>
  <c r="AE14" i="6"/>
  <c r="T14" i="6"/>
  <c r="I14" i="6"/>
  <c r="Z4" i="7"/>
  <c r="O4" i="7"/>
  <c r="D4" i="7"/>
  <c r="W14" i="7"/>
  <c r="L14" i="7"/>
  <c r="AA5" i="10"/>
  <c r="P5" i="10"/>
  <c r="E5" i="10"/>
  <c r="B44" i="4"/>
  <c r="Y4" i="7"/>
  <c r="N4" i="7"/>
  <c r="C14" i="7"/>
  <c r="V14" i="7"/>
  <c r="K14" i="7"/>
  <c r="X50" i="7"/>
  <c r="M50" i="7"/>
  <c r="Z5" i="10"/>
  <c r="O5" i="10"/>
  <c r="D5" i="10"/>
  <c r="Y5" i="10"/>
  <c r="N5" i="10"/>
  <c r="C5" i="10"/>
  <c r="X5" i="10"/>
  <c r="M5" i="10"/>
  <c r="W4" i="7"/>
  <c r="L4" i="7"/>
  <c r="H14" i="5"/>
  <c r="AD4" i="6"/>
  <c r="S4" i="6"/>
  <c r="H4" i="6"/>
  <c r="P14" i="6"/>
  <c r="E14" i="6"/>
  <c r="W50" i="5"/>
  <c r="L50" i="5"/>
  <c r="C4" i="7"/>
  <c r="V4" i="7"/>
  <c r="K4" i="7"/>
  <c r="AD14" i="7"/>
  <c r="S14" i="7"/>
  <c r="H14" i="7"/>
  <c r="AF50" i="7"/>
  <c r="U50" i="7"/>
  <c r="J50" i="7"/>
  <c r="W5" i="10"/>
  <c r="L5" i="10"/>
  <c r="M14" i="5"/>
  <c r="E37" i="5"/>
  <c r="AC4" i="6"/>
  <c r="R4" i="6"/>
  <c r="G4" i="6"/>
  <c r="Z14" i="6"/>
  <c r="O14" i="6"/>
  <c r="D14" i="6"/>
  <c r="W26" i="6"/>
  <c r="L26" i="6"/>
  <c r="AE37" i="6"/>
  <c r="T37" i="6"/>
  <c r="I37" i="6"/>
  <c r="AB50" i="6"/>
  <c r="Q50" i="6"/>
  <c r="F50" i="6"/>
  <c r="V50" i="5"/>
  <c r="K50" i="5"/>
  <c r="AD60" i="5"/>
  <c r="S60" i="5"/>
  <c r="H60" i="5"/>
  <c r="X60" i="6"/>
  <c r="M60" i="6"/>
  <c r="AF4" i="7"/>
  <c r="U4" i="7"/>
  <c r="J4" i="7"/>
  <c r="AC14" i="7"/>
  <c r="R14" i="7"/>
  <c r="G14" i="7"/>
  <c r="Z26" i="7"/>
  <c r="O26" i="7"/>
  <c r="D26" i="7"/>
  <c r="W37" i="7"/>
  <c r="L37" i="7"/>
  <c r="AE50" i="7"/>
  <c r="T50" i="7"/>
  <c r="I50" i="7"/>
  <c r="AB60" i="7"/>
  <c r="Q60" i="7"/>
  <c r="F60" i="7"/>
  <c r="B5" i="10"/>
  <c r="V5" i="10"/>
  <c r="K5" i="10"/>
  <c r="N14" i="5"/>
  <c r="M26" i="5"/>
  <c r="F37" i="5"/>
  <c r="AB4" i="6"/>
  <c r="Q4" i="6"/>
  <c r="F4" i="6"/>
  <c r="Y14" i="6"/>
  <c r="N14" i="6"/>
  <c r="C26" i="6"/>
  <c r="V26" i="6"/>
  <c r="K26" i="6"/>
  <c r="AD37" i="6"/>
  <c r="S37" i="6"/>
  <c r="H37" i="6"/>
  <c r="AA50" i="6"/>
  <c r="P50" i="6"/>
  <c r="E50" i="6"/>
  <c r="AF50" i="5"/>
  <c r="U50" i="5"/>
  <c r="J50" i="5"/>
  <c r="C60" i="5"/>
  <c r="AC60" i="5"/>
  <c r="R60" i="5"/>
  <c r="G60" i="5"/>
  <c r="W60" i="6"/>
  <c r="L60" i="6"/>
  <c r="AE4" i="7"/>
  <c r="T4" i="7"/>
  <c r="I4" i="7"/>
  <c r="AB14" i="7"/>
  <c r="Q14" i="7"/>
  <c r="F14" i="7"/>
  <c r="Y26" i="7"/>
  <c r="N26" i="7"/>
  <c r="C37" i="7"/>
  <c r="V37" i="7"/>
  <c r="K37" i="7"/>
  <c r="AD50" i="7"/>
  <c r="S50" i="7"/>
  <c r="H50" i="7"/>
  <c r="AA60" i="7"/>
  <c r="P60" i="7"/>
  <c r="E60" i="7"/>
  <c r="AF5" i="10"/>
  <c r="U5" i="10"/>
  <c r="J5" i="10"/>
  <c r="AA4" i="6"/>
  <c r="P4" i="6"/>
  <c r="E4" i="6"/>
  <c r="X14" i="6"/>
  <c r="M14" i="6"/>
  <c r="AF26" i="6"/>
  <c r="U26" i="6"/>
  <c r="J26" i="6"/>
  <c r="AC37" i="6"/>
  <c r="R37" i="6"/>
  <c r="G37" i="6"/>
  <c r="Z50" i="6"/>
  <c r="O50" i="6"/>
  <c r="D50" i="6"/>
  <c r="AE50" i="5"/>
  <c r="T50" i="5"/>
  <c r="I50" i="5"/>
  <c r="AB60" i="5"/>
  <c r="Q60" i="5"/>
  <c r="F60" i="5"/>
  <c r="C60" i="6"/>
  <c r="V60" i="6"/>
  <c r="K60" i="6"/>
  <c r="AD4" i="7"/>
  <c r="S4" i="7"/>
  <c r="H4" i="7"/>
  <c r="AA14" i="7"/>
  <c r="P14" i="7"/>
  <c r="E14" i="7"/>
  <c r="X26" i="7"/>
  <c r="M26" i="7"/>
  <c r="AF37" i="7"/>
  <c r="U37" i="7"/>
  <c r="J37" i="7"/>
  <c r="AC50" i="7"/>
  <c r="R50" i="7"/>
  <c r="G50" i="7"/>
  <c r="Z60" i="7"/>
  <c r="O60" i="7"/>
  <c r="D60" i="7"/>
  <c r="AE5" i="10"/>
  <c r="T5" i="10"/>
  <c r="I5" i="10"/>
  <c r="AA14" i="6"/>
  <c r="Q14" i="5"/>
  <c r="X4" i="5"/>
  <c r="Y14" i="5"/>
  <c r="Y26" i="5"/>
  <c r="I37" i="5"/>
  <c r="Z4" i="6"/>
  <c r="O4" i="6"/>
  <c r="D4" i="6"/>
  <c r="W14" i="6"/>
  <c r="L14" i="6"/>
  <c r="AE26" i="6"/>
  <c r="T26" i="6"/>
  <c r="I26" i="6"/>
  <c r="AB37" i="6"/>
  <c r="Q37" i="6"/>
  <c r="F37" i="6"/>
  <c r="Y50" i="6"/>
  <c r="N50" i="6"/>
  <c r="AD50" i="5"/>
  <c r="S50" i="5"/>
  <c r="H50" i="5"/>
  <c r="AA60" i="5"/>
  <c r="P60" i="5"/>
  <c r="E60" i="5"/>
  <c r="AF60" i="6"/>
  <c r="U60" i="6"/>
  <c r="J60" i="6"/>
  <c r="AC4" i="7"/>
  <c r="R4" i="7"/>
  <c r="G4" i="7"/>
  <c r="Z14" i="7"/>
  <c r="O14" i="7"/>
  <c r="W26" i="7"/>
  <c r="AE37" i="7"/>
  <c r="T37" i="7"/>
  <c r="I37" i="7"/>
  <c r="AB50" i="7"/>
  <c r="Q50" i="7"/>
  <c r="Y60" i="7"/>
  <c r="AD5" i="10"/>
  <c r="S5" i="10"/>
  <c r="H5" i="10"/>
  <c r="H53" i="4"/>
  <c r="N53" i="4"/>
  <c r="J37" i="8"/>
  <c r="R37" i="8"/>
  <c r="I37" i="8"/>
  <c r="AE37" i="8"/>
  <c r="H37" i="8"/>
  <c r="Q37" i="8"/>
  <c r="AD37" i="8"/>
  <c r="G37" i="8"/>
  <c r="AC37" i="8"/>
  <c r="F37" i="8"/>
  <c r="M37" i="8"/>
  <c r="X37" i="8"/>
  <c r="AF37" i="8"/>
  <c r="N37" i="8"/>
  <c r="Y37" i="8"/>
  <c r="D37" i="8"/>
  <c r="O37" i="8"/>
  <c r="Z37" i="8"/>
  <c r="E37" i="8"/>
  <c r="P37" i="8"/>
  <c r="AA37" i="8"/>
  <c r="K37" i="8"/>
  <c r="V37" i="8"/>
  <c r="L37" i="8"/>
  <c r="W37" i="8"/>
  <c r="U37" i="8"/>
  <c r="T37" i="8"/>
  <c r="C37" i="8"/>
  <c r="S37" i="8"/>
  <c r="H51" i="4"/>
  <c r="B16" i="4"/>
  <c r="B18" i="4" s="1"/>
  <c r="B51" i="4"/>
  <c r="H16" i="4"/>
  <c r="H18" i="4" s="1"/>
  <c r="J25" i="5" s="1"/>
  <c r="N42" i="4"/>
  <c r="N51" i="4"/>
  <c r="H42" i="4"/>
  <c r="N16" i="4"/>
  <c r="N18" i="4" s="1"/>
  <c r="B42" i="4"/>
  <c r="N36" i="4"/>
  <c r="N38" i="4" s="1"/>
  <c r="H36" i="4"/>
  <c r="B36" i="4"/>
  <c r="Z39" i="3"/>
  <c r="Z40" i="3" s="1"/>
  <c r="O39" i="3"/>
  <c r="O40" i="3" s="1"/>
  <c r="D39" i="3"/>
  <c r="D40" i="3" s="1"/>
  <c r="X39" i="3"/>
  <c r="X40" i="3" s="1"/>
  <c r="L39" i="3"/>
  <c r="L40" i="3" s="1"/>
  <c r="W39" i="3"/>
  <c r="W40" i="3" s="1"/>
  <c r="K39" i="3"/>
  <c r="K40" i="3" s="1"/>
  <c r="U39" i="3"/>
  <c r="U40" i="3" s="1"/>
  <c r="I39" i="3"/>
  <c r="I40" i="3" s="1"/>
  <c r="J39" i="3"/>
  <c r="J40" i="3" s="1"/>
  <c r="AA39" i="3"/>
  <c r="AA40" i="3" s="1"/>
  <c r="H39" i="3"/>
  <c r="H40" i="3" s="1"/>
  <c r="T39" i="3"/>
  <c r="T40" i="3" s="1"/>
  <c r="E39" i="3"/>
  <c r="E40" i="3" s="1"/>
  <c r="R39" i="3"/>
  <c r="R40" i="3" s="1"/>
  <c r="P39" i="3"/>
  <c r="P40" i="3" s="1"/>
  <c r="Y39" i="3"/>
  <c r="Y40" i="3" s="1"/>
  <c r="G39" i="3"/>
  <c r="G40" i="3" s="1"/>
  <c r="V39" i="3"/>
  <c r="V40" i="3" s="1"/>
  <c r="S39" i="3"/>
  <c r="S40" i="3" s="1"/>
  <c r="C39" i="3"/>
  <c r="C40" i="3" s="1"/>
  <c r="F39" i="3"/>
  <c r="F40" i="3" s="1"/>
  <c r="Q39" i="3"/>
  <c r="Q40" i="3" s="1"/>
  <c r="N39" i="3"/>
  <c r="N40" i="3" s="1"/>
  <c r="M39" i="3"/>
  <c r="M40" i="3" s="1"/>
  <c r="X62" i="8"/>
  <c r="M62" i="8"/>
  <c r="X52" i="8"/>
  <c r="M52" i="8"/>
  <c r="Y39" i="8"/>
  <c r="Y40" i="8" s="1"/>
  <c r="N39" i="8"/>
  <c r="N40" i="8" s="1"/>
  <c r="C39" i="8"/>
  <c r="C40" i="8" s="1"/>
  <c r="AA28" i="8"/>
  <c r="P28" i="8"/>
  <c r="E28" i="8"/>
  <c r="AB16" i="8"/>
  <c r="Q16" i="8"/>
  <c r="F16" i="8"/>
  <c r="AC6" i="8"/>
  <c r="R6" i="8"/>
  <c r="G6" i="8"/>
  <c r="W62" i="8"/>
  <c r="L62" i="8"/>
  <c r="W52" i="8"/>
  <c r="L52" i="8"/>
  <c r="X39" i="8"/>
  <c r="X40" i="8" s="1"/>
  <c r="M39" i="8"/>
  <c r="M40" i="8" s="1"/>
  <c r="Z28" i="8"/>
  <c r="O28" i="8"/>
  <c r="D28" i="8"/>
  <c r="AA16" i="8"/>
  <c r="P16" i="8"/>
  <c r="E16" i="8"/>
  <c r="AB6" i="8"/>
  <c r="Q6" i="8"/>
  <c r="F6" i="8"/>
  <c r="AC62" i="7"/>
  <c r="AC63" i="7" s="1"/>
  <c r="V62" i="8"/>
  <c r="K62" i="8"/>
  <c r="V52" i="8"/>
  <c r="K52" i="8"/>
  <c r="W39" i="8"/>
  <c r="W40" i="8" s="1"/>
  <c r="L39" i="8"/>
  <c r="L40" i="8" s="1"/>
  <c r="Y28" i="8"/>
  <c r="N28" i="8"/>
  <c r="C28" i="8"/>
  <c r="Z16" i="8"/>
  <c r="O16" i="8"/>
  <c r="D16" i="8"/>
  <c r="AA6" i="8"/>
  <c r="P6" i="8"/>
  <c r="E6" i="8"/>
  <c r="AB62" i="7"/>
  <c r="AB63" i="7" s="1"/>
  <c r="AF62" i="8"/>
  <c r="U62" i="8"/>
  <c r="J62" i="8"/>
  <c r="AF52" i="8"/>
  <c r="U52" i="8"/>
  <c r="J52" i="8"/>
  <c r="V39" i="8"/>
  <c r="V40" i="8" s="1"/>
  <c r="K39" i="8"/>
  <c r="K40" i="8" s="1"/>
  <c r="X28" i="8"/>
  <c r="M28" i="8"/>
  <c r="Y16" i="8"/>
  <c r="N16" i="8"/>
  <c r="C16" i="8"/>
  <c r="Z6" i="8"/>
  <c r="O6" i="8"/>
  <c r="D6" i="8"/>
  <c r="Y62" i="8"/>
  <c r="N62" i="8"/>
  <c r="C62" i="8"/>
  <c r="Y52" i="8"/>
  <c r="N52" i="8"/>
  <c r="C52" i="8"/>
  <c r="Z39" i="8"/>
  <c r="Z40" i="8" s="1"/>
  <c r="O39" i="8"/>
  <c r="O40" i="8" s="1"/>
  <c r="D39" i="8"/>
  <c r="D40" i="8" s="1"/>
  <c r="AB28" i="8"/>
  <c r="Q28" i="8"/>
  <c r="F28" i="8"/>
  <c r="AC16" i="8"/>
  <c r="R16" i="8"/>
  <c r="G16" i="8"/>
  <c r="AD6" i="8"/>
  <c r="S6" i="8"/>
  <c r="H6" i="8"/>
  <c r="AC62" i="8"/>
  <c r="H62" i="8"/>
  <c r="AC52" i="8"/>
  <c r="H52" i="8"/>
  <c r="AE39" i="8"/>
  <c r="AE40" i="8" s="1"/>
  <c r="J39" i="8"/>
  <c r="J40" i="8" s="1"/>
  <c r="L28" i="8"/>
  <c r="S16" i="8"/>
  <c r="T6" i="8"/>
  <c r="AF62" i="7"/>
  <c r="AF63" i="7" s="1"/>
  <c r="S62" i="7"/>
  <c r="S63" i="7" s="1"/>
  <c r="H62" i="7"/>
  <c r="H63" i="7" s="1"/>
  <c r="AD52" i="7"/>
  <c r="AD53" i="7" s="1"/>
  <c r="S52" i="7"/>
  <c r="S53" i="7" s="1"/>
  <c r="H52" i="7"/>
  <c r="H53" i="7" s="1"/>
  <c r="AE39" i="7"/>
  <c r="AE40" i="7" s="1"/>
  <c r="T39" i="7"/>
  <c r="T40" i="7" s="1"/>
  <c r="I39" i="7"/>
  <c r="I40" i="7" s="1"/>
  <c r="V28" i="7"/>
  <c r="V29" i="7" s="1"/>
  <c r="K28" i="7"/>
  <c r="K29" i="7" s="1"/>
  <c r="AB62" i="8"/>
  <c r="G62" i="8"/>
  <c r="AB52" i="8"/>
  <c r="G52" i="8"/>
  <c r="AD39" i="8"/>
  <c r="AD40" i="8" s="1"/>
  <c r="I39" i="8"/>
  <c r="I40" i="8" s="1"/>
  <c r="AF28" i="8"/>
  <c r="K28" i="8"/>
  <c r="M16" i="8"/>
  <c r="N6" i="8"/>
  <c r="AE62" i="7"/>
  <c r="AE63" i="7" s="1"/>
  <c r="R62" i="7"/>
  <c r="R63" i="7" s="1"/>
  <c r="G62" i="7"/>
  <c r="G63" i="7" s="1"/>
  <c r="AC52" i="7"/>
  <c r="AC53" i="7" s="1"/>
  <c r="R52" i="7"/>
  <c r="R53" i="7" s="1"/>
  <c r="G52" i="7"/>
  <c r="G53" i="7" s="1"/>
  <c r="AD39" i="7"/>
  <c r="AD40" i="7" s="1"/>
  <c r="S39" i="7"/>
  <c r="S40" i="7" s="1"/>
  <c r="H39" i="7"/>
  <c r="H40" i="7" s="1"/>
  <c r="AA62" i="8"/>
  <c r="F62" i="8"/>
  <c r="AA52" i="8"/>
  <c r="F52" i="8"/>
  <c r="AC39" i="8"/>
  <c r="AC40" i="8" s="1"/>
  <c r="H39" i="8"/>
  <c r="H40" i="8" s="1"/>
  <c r="AE28" i="8"/>
  <c r="J28" i="8"/>
  <c r="L16" i="8"/>
  <c r="M6" i="8"/>
  <c r="AD62" i="7"/>
  <c r="AD63" i="7" s="1"/>
  <c r="Q62" i="7"/>
  <c r="Q63" i="7" s="1"/>
  <c r="F62" i="7"/>
  <c r="F63" i="7" s="1"/>
  <c r="AB52" i="7"/>
  <c r="AB53" i="7" s="1"/>
  <c r="Q52" i="7"/>
  <c r="Q53" i="7" s="1"/>
  <c r="F52" i="7"/>
  <c r="F53" i="7" s="1"/>
  <c r="AC39" i="7"/>
  <c r="AC40" i="7" s="1"/>
  <c r="R39" i="7"/>
  <c r="R40" i="7" s="1"/>
  <c r="G39" i="7"/>
  <c r="G40" i="7" s="1"/>
  <c r="T62" i="8"/>
  <c r="D62" i="8"/>
  <c r="T52" i="8"/>
  <c r="D52" i="8"/>
  <c r="AA39" i="8"/>
  <c r="AA40" i="8" s="1"/>
  <c r="F39" i="8"/>
  <c r="F40" i="8" s="1"/>
  <c r="AC28" i="8"/>
  <c r="H28" i="8"/>
  <c r="AE16" i="8"/>
  <c r="J16" i="8"/>
  <c r="AF6" i="8"/>
  <c r="K6" i="8"/>
  <c r="Z62" i="7"/>
  <c r="Z63" i="7" s="1"/>
  <c r="O62" i="7"/>
  <c r="O63" i="7" s="1"/>
  <c r="D62" i="7"/>
  <c r="D63" i="7" s="1"/>
  <c r="Z52" i="7"/>
  <c r="Z53" i="7" s="1"/>
  <c r="O52" i="7"/>
  <c r="O53" i="7" s="1"/>
  <c r="D52" i="7"/>
  <c r="D53" i="7" s="1"/>
  <c r="AD62" i="8"/>
  <c r="I62" i="8"/>
  <c r="AD52" i="8"/>
  <c r="I52" i="8"/>
  <c r="AF39" i="8"/>
  <c r="AF40" i="8" s="1"/>
  <c r="P39" i="8"/>
  <c r="P40" i="8" s="1"/>
  <c r="R28" i="8"/>
  <c r="T16" i="8"/>
  <c r="U6" i="8"/>
  <c r="T62" i="7"/>
  <c r="T63" i="7" s="1"/>
  <c r="I62" i="7"/>
  <c r="I63" i="7" s="1"/>
  <c r="AE52" i="7"/>
  <c r="AE53" i="7" s="1"/>
  <c r="T52" i="7"/>
  <c r="T53" i="7" s="1"/>
  <c r="Q62" i="8"/>
  <c r="Z52" i="8"/>
  <c r="U28" i="8"/>
  <c r="J6" i="8"/>
  <c r="L62" i="7"/>
  <c r="L63" i="7" s="1"/>
  <c r="L52" i="7"/>
  <c r="L53" i="7" s="1"/>
  <c r="Q39" i="7"/>
  <c r="Q40" i="7" s="1"/>
  <c r="C39" i="7"/>
  <c r="C40" i="7" s="1"/>
  <c r="AA28" i="7"/>
  <c r="AA29" i="7" s="1"/>
  <c r="O28" i="7"/>
  <c r="O29" i="7" s="1"/>
  <c r="C28" i="7"/>
  <c r="C29" i="7" s="1"/>
  <c r="V16" i="7"/>
  <c r="V17" i="7" s="1"/>
  <c r="K16" i="7"/>
  <c r="K17" i="7" s="1"/>
  <c r="W6" i="7"/>
  <c r="W7" i="7" s="1"/>
  <c r="L6" i="7"/>
  <c r="L7" i="7" s="1"/>
  <c r="X62" i="6"/>
  <c r="X63" i="6" s="1"/>
  <c r="M62" i="6"/>
  <c r="M63" i="6" s="1"/>
  <c r="X52" i="6"/>
  <c r="X53" i="6" s="1"/>
  <c r="M52" i="6"/>
  <c r="M53" i="6" s="1"/>
  <c r="Y39" i="6"/>
  <c r="Y40" i="6" s="1"/>
  <c r="N39" i="6"/>
  <c r="N40" i="6" s="1"/>
  <c r="C39" i="6"/>
  <c r="C40" i="6" s="1"/>
  <c r="AA28" i="6"/>
  <c r="AA29" i="6" s="1"/>
  <c r="P28" i="6"/>
  <c r="P29" i="6" s="1"/>
  <c r="E28" i="6"/>
  <c r="E29" i="6" s="1"/>
  <c r="P62" i="8"/>
  <c r="S52" i="8"/>
  <c r="T28" i="8"/>
  <c r="AF16" i="8"/>
  <c r="I6" i="8"/>
  <c r="K62" i="7"/>
  <c r="K63" i="7" s="1"/>
  <c r="AF52" i="7"/>
  <c r="AF53" i="7" s="1"/>
  <c r="K52" i="7"/>
  <c r="K53" i="7" s="1"/>
  <c r="P39" i="7"/>
  <c r="P40" i="7" s="1"/>
  <c r="Z28" i="7"/>
  <c r="Z29" i="7" s="1"/>
  <c r="N28" i="7"/>
  <c r="N29" i="7" s="1"/>
  <c r="AF16" i="7"/>
  <c r="AF17" i="7" s="1"/>
  <c r="U16" i="7"/>
  <c r="U17" i="7" s="1"/>
  <c r="J16" i="7"/>
  <c r="J17" i="7" s="1"/>
  <c r="V6" i="7"/>
  <c r="V7" i="7" s="1"/>
  <c r="K6" i="7"/>
  <c r="K7" i="7" s="1"/>
  <c r="W62" i="6"/>
  <c r="W63" i="6" s="1"/>
  <c r="L62" i="6"/>
  <c r="L63" i="6" s="1"/>
  <c r="W52" i="6"/>
  <c r="W53" i="6" s="1"/>
  <c r="L52" i="6"/>
  <c r="L53" i="6" s="1"/>
  <c r="X39" i="6"/>
  <c r="X40" i="6" s="1"/>
  <c r="M39" i="6"/>
  <c r="M40" i="6" s="1"/>
  <c r="Z28" i="6"/>
  <c r="Z29" i="6" s="1"/>
  <c r="O28" i="6"/>
  <c r="O29" i="6" s="1"/>
  <c r="D28" i="6"/>
  <c r="D29" i="6" s="1"/>
  <c r="O62" i="8"/>
  <c r="R52" i="8"/>
  <c r="S28" i="8"/>
  <c r="AD16" i="8"/>
  <c r="C6" i="8"/>
  <c r="AA62" i="7"/>
  <c r="AA63" i="7" s="1"/>
  <c r="J62" i="7"/>
  <c r="J63" i="7" s="1"/>
  <c r="AA52" i="7"/>
  <c r="AA53" i="7" s="1"/>
  <c r="J52" i="7"/>
  <c r="J53" i="7" s="1"/>
  <c r="AF39" i="7"/>
  <c r="AF40" i="7" s="1"/>
  <c r="O39" i="7"/>
  <c r="O40" i="7" s="1"/>
  <c r="Y28" i="7"/>
  <c r="Y29" i="7" s="1"/>
  <c r="M28" i="7"/>
  <c r="M29" i="7" s="1"/>
  <c r="AE16" i="7"/>
  <c r="AE17" i="7" s="1"/>
  <c r="T16" i="7"/>
  <c r="T17" i="7" s="1"/>
  <c r="I16" i="7"/>
  <c r="I17" i="7" s="1"/>
  <c r="AF6" i="7"/>
  <c r="AF7" i="7" s="1"/>
  <c r="U6" i="7"/>
  <c r="U7" i="7" s="1"/>
  <c r="J6" i="7"/>
  <c r="J7" i="7" s="1"/>
  <c r="V62" i="6"/>
  <c r="V63" i="6" s="1"/>
  <c r="K62" i="6"/>
  <c r="K63" i="6" s="1"/>
  <c r="V52" i="6"/>
  <c r="V53" i="6" s="1"/>
  <c r="K52" i="6"/>
  <c r="K53" i="6" s="1"/>
  <c r="W39" i="6"/>
  <c r="W40" i="6" s="1"/>
  <c r="L39" i="6"/>
  <c r="L40" i="6" s="1"/>
  <c r="Y28" i="6"/>
  <c r="Y29" i="6" s="1"/>
  <c r="N28" i="6"/>
  <c r="N29" i="6" s="1"/>
  <c r="C28" i="6"/>
  <c r="C29" i="6" s="1"/>
  <c r="Z16" i="6"/>
  <c r="Z17" i="6" s="1"/>
  <c r="P52" i="8"/>
  <c r="U39" i="8"/>
  <c r="U40" i="8" s="1"/>
  <c r="G28" i="8"/>
  <c r="W16" i="8"/>
  <c r="X62" i="7"/>
  <c r="X63" i="7" s="1"/>
  <c r="C62" i="7"/>
  <c r="C63" i="7" s="1"/>
  <c r="X52" i="7"/>
  <c r="X53" i="7" s="1"/>
  <c r="E52" i="7"/>
  <c r="E53" i="7" s="1"/>
  <c r="AA39" i="7"/>
  <c r="AA40" i="7" s="1"/>
  <c r="M39" i="7"/>
  <c r="M40" i="7" s="1"/>
  <c r="W28" i="7"/>
  <c r="W29" i="7" s="1"/>
  <c r="J28" i="7"/>
  <c r="J29" i="7" s="1"/>
  <c r="AC16" i="7"/>
  <c r="AC17" i="7" s="1"/>
  <c r="R16" i="7"/>
  <c r="R17" i="7" s="1"/>
  <c r="G16" i="7"/>
  <c r="G17" i="7" s="1"/>
  <c r="AD6" i="7"/>
  <c r="AD7" i="7" s="1"/>
  <c r="S6" i="7"/>
  <c r="S7" i="7" s="1"/>
  <c r="H6" i="7"/>
  <c r="H7" i="7" s="1"/>
  <c r="AE62" i="6"/>
  <c r="AE63" i="6" s="1"/>
  <c r="T62" i="6"/>
  <c r="T63" i="6" s="1"/>
  <c r="I62" i="6"/>
  <c r="I63" i="6" s="1"/>
  <c r="E52" i="8"/>
  <c r="S39" i="8"/>
  <c r="S40" i="8" s="1"/>
  <c r="U16" i="8"/>
  <c r="Y6" i="8"/>
  <c r="V62" i="7"/>
  <c r="V63" i="7" s="1"/>
  <c r="V52" i="7"/>
  <c r="V53" i="7" s="1"/>
  <c r="Y39" i="7"/>
  <c r="Y40" i="7" s="1"/>
  <c r="K39" i="7"/>
  <c r="K40" i="7" s="1"/>
  <c r="AF28" i="7"/>
  <c r="AF29" i="7" s="1"/>
  <c r="T28" i="7"/>
  <c r="T29" i="7" s="1"/>
  <c r="H28" i="7"/>
  <c r="H29" i="7" s="1"/>
  <c r="AA16" i="7"/>
  <c r="AA17" i="7" s="1"/>
  <c r="P16" i="7"/>
  <c r="P17" i="7" s="1"/>
  <c r="E16" i="7"/>
  <c r="E17" i="7" s="1"/>
  <c r="AB6" i="7"/>
  <c r="AB7" i="7" s="1"/>
  <c r="Q6" i="7"/>
  <c r="Q7" i="7" s="1"/>
  <c r="F6" i="7"/>
  <c r="F7" i="7" s="1"/>
  <c r="AC62" i="6"/>
  <c r="AC63" i="6" s="1"/>
  <c r="S62" i="8"/>
  <c r="M52" i="7"/>
  <c r="M53" i="7" s="1"/>
  <c r="N39" i="7"/>
  <c r="N40" i="7" s="1"/>
  <c r="L28" i="7"/>
  <c r="L29" i="7" s="1"/>
  <c r="AD16" i="7"/>
  <c r="AD17" i="7" s="1"/>
  <c r="L16" i="7"/>
  <c r="L17" i="7" s="1"/>
  <c r="N6" i="7"/>
  <c r="N7" i="7" s="1"/>
  <c r="P62" i="6"/>
  <c r="P63" i="6" s="1"/>
  <c r="U52" i="6"/>
  <c r="U53" i="6" s="1"/>
  <c r="G52" i="6"/>
  <c r="G53" i="6" s="1"/>
  <c r="V39" i="6"/>
  <c r="V40" i="6" s="1"/>
  <c r="H39" i="6"/>
  <c r="H40" i="6" s="1"/>
  <c r="X28" i="6"/>
  <c r="X29" i="6" s="1"/>
  <c r="J28" i="6"/>
  <c r="J29" i="6" s="1"/>
  <c r="AC16" i="6"/>
  <c r="AC17" i="6" s="1"/>
  <c r="Q16" i="6"/>
  <c r="Q17" i="6" s="1"/>
  <c r="F16" i="6"/>
  <c r="F17" i="6" s="1"/>
  <c r="AC6" i="6"/>
  <c r="AC7" i="6" s="1"/>
  <c r="R6" i="6"/>
  <c r="R7" i="6" s="1"/>
  <c r="G6" i="6"/>
  <c r="G7" i="6" s="1"/>
  <c r="AD62" i="5"/>
  <c r="AD63" i="5" s="1"/>
  <c r="S62" i="5"/>
  <c r="S63" i="5" s="1"/>
  <c r="H62" i="5"/>
  <c r="H63" i="5" s="1"/>
  <c r="R62" i="8"/>
  <c r="AE6" i="8"/>
  <c r="I52" i="7"/>
  <c r="I53" i="7" s="1"/>
  <c r="L39" i="7"/>
  <c r="L40" i="7" s="1"/>
  <c r="AE28" i="7"/>
  <c r="AE29" i="7" s="1"/>
  <c r="I28" i="7"/>
  <c r="I29" i="7" s="1"/>
  <c r="AB16" i="7"/>
  <c r="AB17" i="7" s="1"/>
  <c r="H16" i="7"/>
  <c r="H17" i="7" s="1"/>
  <c r="AE6" i="7"/>
  <c r="AE7" i="7" s="1"/>
  <c r="M6" i="7"/>
  <c r="M7" i="7" s="1"/>
  <c r="AF62" i="6"/>
  <c r="AF63" i="6" s="1"/>
  <c r="O62" i="6"/>
  <c r="O63" i="6" s="1"/>
  <c r="T52" i="6"/>
  <c r="T53" i="6" s="1"/>
  <c r="F52" i="6"/>
  <c r="F53" i="6" s="1"/>
  <c r="U39" i="6"/>
  <c r="U40" i="6" s="1"/>
  <c r="G39" i="6"/>
  <c r="G40" i="6" s="1"/>
  <c r="W28" i="6"/>
  <c r="W29" i="6" s="1"/>
  <c r="I28" i="6"/>
  <c r="I29" i="6" s="1"/>
  <c r="AB16" i="6"/>
  <c r="AB17" i="6" s="1"/>
  <c r="P16" i="6"/>
  <c r="P17" i="6" s="1"/>
  <c r="E16" i="6"/>
  <c r="E17" i="6" s="1"/>
  <c r="AB6" i="6"/>
  <c r="AB7" i="6" s="1"/>
  <c r="Q6" i="6"/>
  <c r="Q7" i="6" s="1"/>
  <c r="F6" i="6"/>
  <c r="F7" i="6" s="1"/>
  <c r="E62" i="8"/>
  <c r="X6" i="8"/>
  <c r="C52" i="7"/>
  <c r="C53" i="7" s="1"/>
  <c r="J39" i="7"/>
  <c r="J40" i="7" s="1"/>
  <c r="AD28" i="7"/>
  <c r="AD29" i="7" s="1"/>
  <c r="G28" i="7"/>
  <c r="G29" i="7" s="1"/>
  <c r="Z16" i="7"/>
  <c r="Z17" i="7" s="1"/>
  <c r="F16" i="7"/>
  <c r="F17" i="7" s="1"/>
  <c r="AC6" i="7"/>
  <c r="AC7" i="7" s="1"/>
  <c r="I6" i="7"/>
  <c r="I7" i="7" s="1"/>
  <c r="AD62" i="6"/>
  <c r="AD63" i="6" s="1"/>
  <c r="N62" i="6"/>
  <c r="N63" i="6" s="1"/>
  <c r="S52" i="6"/>
  <c r="S53" i="6" s="1"/>
  <c r="E52" i="6"/>
  <c r="E53" i="6" s="1"/>
  <c r="T39" i="6"/>
  <c r="T40" i="6" s="1"/>
  <c r="F39" i="6"/>
  <c r="F40" i="6" s="1"/>
  <c r="V28" i="6"/>
  <c r="V29" i="6" s="1"/>
  <c r="H28" i="6"/>
  <c r="H29" i="6" s="1"/>
  <c r="AA16" i="6"/>
  <c r="AA17" i="6" s="1"/>
  <c r="O16" i="6"/>
  <c r="O17" i="6" s="1"/>
  <c r="D16" i="6"/>
  <c r="D17" i="6" s="1"/>
  <c r="AA6" i="6"/>
  <c r="AA7" i="6" s="1"/>
  <c r="P6" i="6"/>
  <c r="P7" i="6" s="1"/>
  <c r="E6" i="6"/>
  <c r="E7" i="6" s="1"/>
  <c r="AD28" i="8"/>
  <c r="X16" i="8"/>
  <c r="W6" i="8"/>
  <c r="Y62" i="7"/>
  <c r="Y63" i="7" s="1"/>
  <c r="F39" i="7"/>
  <c r="F40" i="7" s="1"/>
  <c r="AC28" i="7"/>
  <c r="AC29" i="7" s="1"/>
  <c r="F28" i="7"/>
  <c r="F29" i="7" s="1"/>
  <c r="Y16" i="7"/>
  <c r="Y17" i="7" s="1"/>
  <c r="D16" i="7"/>
  <c r="D17" i="7" s="1"/>
  <c r="AA6" i="7"/>
  <c r="AA7" i="7" s="1"/>
  <c r="G6" i="7"/>
  <c r="G7" i="7" s="1"/>
  <c r="AB39" i="8"/>
  <c r="AB40" i="8" s="1"/>
  <c r="AE62" i="8"/>
  <c r="E39" i="8"/>
  <c r="E40" i="8" s="1"/>
  <c r="E62" i="7"/>
  <c r="E63" i="7" s="1"/>
  <c r="P52" i="7"/>
  <c r="P53" i="7" s="1"/>
  <c r="V39" i="7"/>
  <c r="V40" i="7" s="1"/>
  <c r="Q28" i="7"/>
  <c r="Q29" i="7" s="1"/>
  <c r="N16" i="7"/>
  <c r="N17" i="7" s="1"/>
  <c r="P6" i="7"/>
  <c r="P7" i="7" s="1"/>
  <c r="R62" i="6"/>
  <c r="R63" i="6" s="1"/>
  <c r="C62" i="6"/>
  <c r="C63" i="6" s="1"/>
  <c r="Z52" i="6"/>
  <c r="Z53" i="6" s="1"/>
  <c r="I52" i="6"/>
  <c r="I53" i="6" s="1"/>
  <c r="AA39" i="6"/>
  <c r="AA40" i="6" s="1"/>
  <c r="J39" i="6"/>
  <c r="J40" i="6" s="1"/>
  <c r="AC28" i="6"/>
  <c r="AC29" i="6" s="1"/>
  <c r="L28" i="6"/>
  <c r="L29" i="6" s="1"/>
  <c r="AE16" i="6"/>
  <c r="AE17" i="6" s="1"/>
  <c r="S16" i="6"/>
  <c r="S17" i="6" s="1"/>
  <c r="H16" i="6"/>
  <c r="H17" i="6" s="1"/>
  <c r="AE6" i="6"/>
  <c r="AE7" i="6" s="1"/>
  <c r="Z62" i="8"/>
  <c r="Q39" i="8"/>
  <c r="Q40" i="8" s="1"/>
  <c r="H16" i="8"/>
  <c r="N62" i="7"/>
  <c r="N63" i="7" s="1"/>
  <c r="U39" i="7"/>
  <c r="U40" i="7" s="1"/>
  <c r="D28" i="7"/>
  <c r="D29" i="7" s="1"/>
  <c r="Q16" i="7"/>
  <c r="Q17" i="7" s="1"/>
  <c r="Q62" i="6"/>
  <c r="Q63" i="6" s="1"/>
  <c r="AE52" i="6"/>
  <c r="AE53" i="6" s="1"/>
  <c r="J52" i="6"/>
  <c r="J53" i="6" s="1"/>
  <c r="O39" i="6"/>
  <c r="O40" i="6" s="1"/>
  <c r="R28" i="6"/>
  <c r="R29" i="6" s="1"/>
  <c r="W16" i="6"/>
  <c r="W17" i="6" s="1"/>
  <c r="G16" i="6"/>
  <c r="G17" i="6" s="1"/>
  <c r="X6" i="6"/>
  <c r="X7" i="6" s="1"/>
  <c r="J6" i="6"/>
  <c r="J7" i="6" s="1"/>
  <c r="AE52" i="8"/>
  <c r="G39" i="8"/>
  <c r="G40" i="8" s="1"/>
  <c r="M62" i="7"/>
  <c r="M63" i="7" s="1"/>
  <c r="Q52" i="8"/>
  <c r="D39" i="7"/>
  <c r="D40" i="7" s="1"/>
  <c r="M16" i="7"/>
  <c r="M17" i="7" s="1"/>
  <c r="Y6" i="7"/>
  <c r="Y7" i="7" s="1"/>
  <c r="H62" i="6"/>
  <c r="H63" i="6" s="1"/>
  <c r="AC52" i="6"/>
  <c r="AC53" i="6" s="1"/>
  <c r="D52" i="6"/>
  <c r="D53" i="6" s="1"/>
  <c r="AE39" i="6"/>
  <c r="AE40" i="6" s="1"/>
  <c r="I39" i="6"/>
  <c r="I40" i="6" s="1"/>
  <c r="M28" i="6"/>
  <c r="M29" i="6" s="1"/>
  <c r="U16" i="6"/>
  <c r="U17" i="6" s="1"/>
  <c r="V6" i="6"/>
  <c r="V7" i="6" s="1"/>
  <c r="H6" i="6"/>
  <c r="H7" i="6" s="1"/>
  <c r="Y62" i="5"/>
  <c r="Y63" i="5" s="1"/>
  <c r="M62" i="5"/>
  <c r="M63" i="5" s="1"/>
  <c r="Z52" i="5"/>
  <c r="Z53" i="5" s="1"/>
  <c r="O52" i="5"/>
  <c r="O53" i="5" s="1"/>
  <c r="D52" i="5"/>
  <c r="D53" i="5" s="1"/>
  <c r="AA39" i="5"/>
  <c r="AA40" i="5" s="1"/>
  <c r="P39" i="5"/>
  <c r="P40" i="5" s="1"/>
  <c r="E39" i="5"/>
  <c r="E40" i="5" s="1"/>
  <c r="Z28" i="5"/>
  <c r="Z29" i="5" s="1"/>
  <c r="O28" i="5"/>
  <c r="O29" i="5" s="1"/>
  <c r="D28" i="5"/>
  <c r="D29" i="5" s="1"/>
  <c r="X16" i="5"/>
  <c r="X17" i="5" s="1"/>
  <c r="O52" i="8"/>
  <c r="C16" i="7"/>
  <c r="C17" i="7" s="1"/>
  <c r="X6" i="7"/>
  <c r="X7" i="7" s="1"/>
  <c r="G62" i="6"/>
  <c r="G63" i="6" s="1"/>
  <c r="AB52" i="6"/>
  <c r="AB53" i="6" s="1"/>
  <c r="C52" i="6"/>
  <c r="C53" i="6" s="1"/>
  <c r="AD39" i="6"/>
  <c r="AD40" i="6" s="1"/>
  <c r="E39" i="6"/>
  <c r="E40" i="6" s="1"/>
  <c r="K28" i="6"/>
  <c r="K29" i="6" s="1"/>
  <c r="T16" i="6"/>
  <c r="T17" i="6" s="1"/>
  <c r="U6" i="6"/>
  <c r="U7" i="6" s="1"/>
  <c r="D6" i="6"/>
  <c r="D7" i="6" s="1"/>
  <c r="X62" i="5"/>
  <c r="X63" i="5" s="1"/>
  <c r="L62" i="5"/>
  <c r="L63" i="5" s="1"/>
  <c r="Y52" i="5"/>
  <c r="Y53" i="5" s="1"/>
  <c r="N52" i="5"/>
  <c r="N53" i="5" s="1"/>
  <c r="C52" i="5"/>
  <c r="C53" i="5" s="1"/>
  <c r="Z39" i="5"/>
  <c r="Z40" i="5" s="1"/>
  <c r="O39" i="5"/>
  <c r="O40" i="5" s="1"/>
  <c r="D39" i="5"/>
  <c r="D40" i="5" s="1"/>
  <c r="X28" i="7"/>
  <c r="X29" i="7" s="1"/>
  <c r="R6" i="7"/>
  <c r="R7" i="7" s="1"/>
  <c r="AB62" i="6"/>
  <c r="AB63" i="6" s="1"/>
  <c r="E62" i="6"/>
  <c r="E63" i="6" s="1"/>
  <c r="Y52" i="6"/>
  <c r="Y53" i="6" s="1"/>
  <c r="AB39" i="6"/>
  <c r="AB40" i="6" s="1"/>
  <c r="AE28" i="6"/>
  <c r="AE29" i="6" s="1"/>
  <c r="F28" i="6"/>
  <c r="F29" i="6" s="1"/>
  <c r="N16" i="6"/>
  <c r="N17" i="6" s="1"/>
  <c r="S6" i="6"/>
  <c r="S7" i="6" s="1"/>
  <c r="V62" i="5"/>
  <c r="V63" i="5" s="1"/>
  <c r="J62" i="5"/>
  <c r="J63" i="5" s="1"/>
  <c r="R39" i="8"/>
  <c r="R40" i="8" s="1"/>
  <c r="I28" i="8"/>
  <c r="I16" i="8"/>
  <c r="P62" i="7"/>
  <c r="P63" i="7" s="1"/>
  <c r="W39" i="7"/>
  <c r="W40" i="7" s="1"/>
  <c r="E28" i="7"/>
  <c r="E29" i="7" s="1"/>
  <c r="S16" i="7"/>
  <c r="S17" i="7" s="1"/>
  <c r="S62" i="6"/>
  <c r="S63" i="6" s="1"/>
  <c r="AF52" i="6"/>
  <c r="AF53" i="6" s="1"/>
  <c r="N52" i="6"/>
  <c r="N53" i="6" s="1"/>
  <c r="P39" i="6"/>
  <c r="P40" i="6" s="1"/>
  <c r="S28" i="6"/>
  <c r="S29" i="6" s="1"/>
  <c r="X16" i="6"/>
  <c r="X17" i="6" s="1"/>
  <c r="I16" i="6"/>
  <c r="I17" i="6" s="1"/>
  <c r="Y6" i="6"/>
  <c r="Y7" i="6" s="1"/>
  <c r="K6" i="6"/>
  <c r="K7" i="6" s="1"/>
  <c r="AB62" i="5"/>
  <c r="AB63" i="5" s="1"/>
  <c r="P62" i="5"/>
  <c r="P63" i="5" s="1"/>
  <c r="D62" i="5"/>
  <c r="D63" i="5" s="1"/>
  <c r="AC52" i="5"/>
  <c r="AC53" i="5" s="1"/>
  <c r="V6" i="8"/>
  <c r="AB28" i="7"/>
  <c r="AB29" i="7" s="1"/>
  <c r="X16" i="7"/>
  <c r="X17" i="7" s="1"/>
  <c r="T6" i="7"/>
  <c r="T7" i="7" s="1"/>
  <c r="U62" i="6"/>
  <c r="U63" i="6" s="1"/>
  <c r="AF28" i="6"/>
  <c r="AF29" i="6" s="1"/>
  <c r="AF16" i="6"/>
  <c r="AF17" i="6" s="1"/>
  <c r="Z6" i="6"/>
  <c r="Z7" i="6" s="1"/>
  <c r="AC62" i="5"/>
  <c r="AC63" i="5" s="1"/>
  <c r="I62" i="5"/>
  <c r="I63" i="5" s="1"/>
  <c r="T52" i="5"/>
  <c r="T53" i="5" s="1"/>
  <c r="G52" i="5"/>
  <c r="G53" i="5" s="1"/>
  <c r="U39" i="5"/>
  <c r="U40" i="5" s="1"/>
  <c r="H39" i="5"/>
  <c r="H40" i="5" s="1"/>
  <c r="W28" i="5"/>
  <c r="W29" i="5" s="1"/>
  <c r="K28" i="5"/>
  <c r="K29" i="5" s="1"/>
  <c r="AD16" i="5"/>
  <c r="AD17" i="5" s="1"/>
  <c r="R16" i="5"/>
  <c r="R17" i="5" s="1"/>
  <c r="G16" i="5"/>
  <c r="G17" i="5" s="1"/>
  <c r="AA6" i="5"/>
  <c r="AA7" i="5" s="1"/>
  <c r="P6" i="5"/>
  <c r="P7" i="5" s="1"/>
  <c r="E6" i="5"/>
  <c r="E7" i="5" s="1"/>
  <c r="L6" i="8"/>
  <c r="U28" i="7"/>
  <c r="U29" i="7" s="1"/>
  <c r="W16" i="7"/>
  <c r="W17" i="7" s="1"/>
  <c r="O6" i="7"/>
  <c r="O7" i="7" s="1"/>
  <c r="J62" i="6"/>
  <c r="J63" i="6" s="1"/>
  <c r="AF39" i="6"/>
  <c r="AF40" i="6" s="1"/>
  <c r="AD28" i="6"/>
  <c r="AD29" i="6" s="1"/>
  <c r="AD16" i="6"/>
  <c r="AD17" i="6" s="1"/>
  <c r="W6" i="6"/>
  <c r="W7" i="6" s="1"/>
  <c r="AA62" i="5"/>
  <c r="AA63" i="5" s="1"/>
  <c r="G62" i="5"/>
  <c r="G63" i="5" s="1"/>
  <c r="S52" i="5"/>
  <c r="S53" i="5" s="1"/>
  <c r="F52" i="5"/>
  <c r="F53" i="5" s="1"/>
  <c r="T39" i="5"/>
  <c r="T40" i="5" s="1"/>
  <c r="G39" i="5"/>
  <c r="G40" i="5" s="1"/>
  <c r="V28" i="5"/>
  <c r="V29" i="5" s="1"/>
  <c r="J28" i="5"/>
  <c r="J29" i="5" s="1"/>
  <c r="AC16" i="5"/>
  <c r="AC17" i="5" s="1"/>
  <c r="Q16" i="5"/>
  <c r="Q17" i="5" s="1"/>
  <c r="F16" i="5"/>
  <c r="F17" i="5" s="1"/>
  <c r="Z6" i="5"/>
  <c r="Z7" i="5" s="1"/>
  <c r="O6" i="5"/>
  <c r="O7" i="5" s="1"/>
  <c r="D6" i="5"/>
  <c r="D7" i="5" s="1"/>
  <c r="W28" i="8"/>
  <c r="Y52" i="7"/>
  <c r="Y53" i="7" s="1"/>
  <c r="S28" i="7"/>
  <c r="S29" i="7" s="1"/>
  <c r="O16" i="7"/>
  <c r="O17" i="7" s="1"/>
  <c r="E6" i="7"/>
  <c r="E7" i="7" s="1"/>
  <c r="F62" i="6"/>
  <c r="F63" i="6" s="1"/>
  <c r="AC39" i="6"/>
  <c r="AC40" i="6" s="1"/>
  <c r="AB28" i="6"/>
  <c r="AB29" i="6" s="1"/>
  <c r="Y16" i="6"/>
  <c r="Y17" i="6" s="1"/>
  <c r="T6" i="6"/>
  <c r="T7" i="6" s="1"/>
  <c r="Z62" i="5"/>
  <c r="Z63" i="5" s="1"/>
  <c r="F62" i="5"/>
  <c r="F63" i="5" s="1"/>
  <c r="AF52" i="5"/>
  <c r="AF53" i="5" s="1"/>
  <c r="R52" i="5"/>
  <c r="R53" i="5" s="1"/>
  <c r="E52" i="5"/>
  <c r="E53" i="5" s="1"/>
  <c r="AF39" i="5"/>
  <c r="AF40" i="5" s="1"/>
  <c r="S39" i="5"/>
  <c r="S40" i="5" s="1"/>
  <c r="F39" i="5"/>
  <c r="F40" i="5" s="1"/>
  <c r="U28" i="5"/>
  <c r="U29" i="5" s="1"/>
  <c r="I28" i="5"/>
  <c r="I29" i="5" s="1"/>
  <c r="AB16" i="5"/>
  <c r="AB17" i="5" s="1"/>
  <c r="P16" i="5"/>
  <c r="P17" i="5" s="1"/>
  <c r="E16" i="5"/>
  <c r="E17" i="5" s="1"/>
  <c r="Y6" i="5"/>
  <c r="Y7" i="5" s="1"/>
  <c r="N6" i="5"/>
  <c r="N7" i="5" s="1"/>
  <c r="C6" i="5"/>
  <c r="C7" i="5" s="1"/>
  <c r="V28" i="8"/>
  <c r="W52" i="7"/>
  <c r="W53" i="7" s="1"/>
  <c r="R28" i="7"/>
  <c r="R29" i="7" s="1"/>
  <c r="D6" i="7"/>
  <c r="D7" i="7" s="1"/>
  <c r="D62" i="6"/>
  <c r="D63" i="6" s="1"/>
  <c r="AD52" i="6"/>
  <c r="AD53" i="6" s="1"/>
  <c r="Z39" i="6"/>
  <c r="Z40" i="6" s="1"/>
  <c r="U28" i="6"/>
  <c r="U29" i="6" s="1"/>
  <c r="V16" i="6"/>
  <c r="V17" i="6" s="1"/>
  <c r="O6" i="6"/>
  <c r="O7" i="6" s="1"/>
  <c r="W62" i="5"/>
  <c r="W63" i="5" s="1"/>
  <c r="E62" i="5"/>
  <c r="E63" i="5" s="1"/>
  <c r="AE52" i="5"/>
  <c r="AE53" i="5" s="1"/>
  <c r="Q52" i="5"/>
  <c r="Q53" i="5" s="1"/>
  <c r="AE39" i="5"/>
  <c r="AE40" i="5" s="1"/>
  <c r="R39" i="5"/>
  <c r="R40" i="5" s="1"/>
  <c r="C39" i="5"/>
  <c r="C40" i="5" s="1"/>
  <c r="AF28" i="5"/>
  <c r="AF29" i="5" s="1"/>
  <c r="T28" i="5"/>
  <c r="T29" i="5" s="1"/>
  <c r="H28" i="5"/>
  <c r="H29" i="5" s="1"/>
  <c r="AA16" i="5"/>
  <c r="AA17" i="5" s="1"/>
  <c r="O16" i="5"/>
  <c r="O17" i="5" s="1"/>
  <c r="D16" i="5"/>
  <c r="D17" i="5" s="1"/>
  <c r="X6" i="5"/>
  <c r="X7" i="5" s="1"/>
  <c r="M6" i="5"/>
  <c r="M7" i="5" s="1"/>
  <c r="U52" i="7"/>
  <c r="U53" i="7" s="1"/>
  <c r="AB39" i="7"/>
  <c r="AB40" i="7" s="1"/>
  <c r="P28" i="7"/>
  <c r="P29" i="7" s="1"/>
  <c r="C6" i="7"/>
  <c r="C7" i="7" s="1"/>
  <c r="AA52" i="6"/>
  <c r="AA53" i="6" s="1"/>
  <c r="S39" i="6"/>
  <c r="S40" i="6" s="1"/>
  <c r="V16" i="8"/>
  <c r="E39" i="7"/>
  <c r="E40" i="7" s="1"/>
  <c r="P52" i="6"/>
  <c r="P53" i="6" s="1"/>
  <c r="K39" i="6"/>
  <c r="K40" i="6" s="1"/>
  <c r="K16" i="6"/>
  <c r="K17" i="6" s="1"/>
  <c r="I6" i="6"/>
  <c r="I7" i="6" s="1"/>
  <c r="Q62" i="5"/>
  <c r="Q63" i="5" s="1"/>
  <c r="X52" i="5"/>
  <c r="X53" i="5" s="1"/>
  <c r="K52" i="5"/>
  <c r="K53" i="5" s="1"/>
  <c r="Y39" i="5"/>
  <c r="Y40" i="5" s="1"/>
  <c r="L39" i="5"/>
  <c r="L40" i="5" s="1"/>
  <c r="AB28" i="5"/>
  <c r="AB29" i="5" s="1"/>
  <c r="P28" i="5"/>
  <c r="P29" i="5" s="1"/>
  <c r="C28" i="5"/>
  <c r="C29" i="5" s="1"/>
  <c r="V16" i="5"/>
  <c r="V17" i="5" s="1"/>
  <c r="K16" i="5"/>
  <c r="K17" i="5" s="1"/>
  <c r="K16" i="8"/>
  <c r="AA62" i="6"/>
  <c r="AA63" i="6" s="1"/>
  <c r="O52" i="6"/>
  <c r="O53" i="6" s="1"/>
  <c r="D39" i="6"/>
  <c r="D40" i="6" s="1"/>
  <c r="L16" i="6"/>
  <c r="L17" i="6" s="1"/>
  <c r="N6" i="6"/>
  <c r="N7" i="6" s="1"/>
  <c r="W62" i="7"/>
  <c r="W63" i="7" s="1"/>
  <c r="Z6" i="7"/>
  <c r="Z7" i="7" s="1"/>
  <c r="J16" i="6"/>
  <c r="J17" i="6" s="1"/>
  <c r="M6" i="6"/>
  <c r="M7" i="6" s="1"/>
  <c r="O62" i="5"/>
  <c r="O63" i="5" s="1"/>
  <c r="AD52" i="5"/>
  <c r="AD53" i="5" s="1"/>
  <c r="H52" i="5"/>
  <c r="H53" i="5" s="1"/>
  <c r="AD39" i="5"/>
  <c r="AD40" i="5" s="1"/>
  <c r="I39" i="5"/>
  <c r="I40" i="5" s="1"/>
  <c r="Y28" i="5"/>
  <c r="Y29" i="5" s="1"/>
  <c r="W16" i="5"/>
  <c r="W17" i="5" s="1"/>
  <c r="R6" i="5"/>
  <c r="R7" i="5" s="1"/>
  <c r="U62" i="7"/>
  <c r="U63" i="7" s="1"/>
  <c r="T28" i="6"/>
  <c r="T29" i="6" s="1"/>
  <c r="C16" i="6"/>
  <c r="C17" i="6" s="1"/>
  <c r="L6" i="6"/>
  <c r="L7" i="6" s="1"/>
  <c r="N62" i="5"/>
  <c r="N63" i="5" s="1"/>
  <c r="AB52" i="5"/>
  <c r="AB53" i="5" s="1"/>
  <c r="AC39" i="5"/>
  <c r="AC40" i="5" s="1"/>
  <c r="X28" i="5"/>
  <c r="X29" i="5" s="1"/>
  <c r="U16" i="5"/>
  <c r="U17" i="5" s="1"/>
  <c r="AF6" i="5"/>
  <c r="AF7" i="5" s="1"/>
  <c r="Q6" i="5"/>
  <c r="Q7" i="5" s="1"/>
  <c r="T39" i="8"/>
  <c r="T40" i="8" s="1"/>
  <c r="Q28" i="6"/>
  <c r="Q29" i="6" s="1"/>
  <c r="C6" i="6"/>
  <c r="C7" i="6" s="1"/>
  <c r="K62" i="5"/>
  <c r="K63" i="5" s="1"/>
  <c r="AA52" i="5"/>
  <c r="AA53" i="5" s="1"/>
  <c r="AB39" i="5"/>
  <c r="AB40" i="5" s="1"/>
  <c r="S28" i="5"/>
  <c r="S29" i="5" s="1"/>
  <c r="T16" i="5"/>
  <c r="T17" i="5" s="1"/>
  <c r="AE6" i="5"/>
  <c r="AE7" i="5" s="1"/>
  <c r="L6" i="5"/>
  <c r="L7" i="5" s="1"/>
  <c r="N52" i="7"/>
  <c r="N53" i="7" s="1"/>
  <c r="V52" i="5"/>
  <c r="V53" i="5" s="1"/>
  <c r="W39" i="5"/>
  <c r="W40" i="5" s="1"/>
  <c r="Q28" i="5"/>
  <c r="Q29" i="5" s="1"/>
  <c r="N16" i="5"/>
  <c r="N17" i="5" s="1"/>
  <c r="AC6" i="5"/>
  <c r="AC7" i="5" s="1"/>
  <c r="J6" i="5"/>
  <c r="J7" i="5" s="1"/>
  <c r="U52" i="5"/>
  <c r="U53" i="5" s="1"/>
  <c r="V39" i="5"/>
  <c r="V40" i="5" s="1"/>
  <c r="Z62" i="6"/>
  <c r="Z63" i="6" s="1"/>
  <c r="X39" i="7"/>
  <c r="X40" i="7" s="1"/>
  <c r="Q39" i="6"/>
  <c r="Q40" i="6" s="1"/>
  <c r="M16" i="6"/>
  <c r="M17" i="6" s="1"/>
  <c r="AD6" i="6"/>
  <c r="AD7" i="6" s="1"/>
  <c r="T62" i="5"/>
  <c r="T63" i="5" s="1"/>
  <c r="J52" i="5"/>
  <c r="J53" i="5" s="1"/>
  <c r="K39" i="5"/>
  <c r="K40" i="5" s="1"/>
  <c r="AC28" i="5"/>
  <c r="AC29" i="5" s="1"/>
  <c r="F28" i="5"/>
  <c r="F29" i="5" s="1"/>
  <c r="Z16" i="5"/>
  <c r="Z17" i="5" s="1"/>
  <c r="H16" i="5"/>
  <c r="H17" i="5" s="1"/>
  <c r="T6" i="5"/>
  <c r="T7" i="5" s="1"/>
  <c r="Q4" i="5"/>
  <c r="U6" i="5"/>
  <c r="U7" i="5" s="1"/>
  <c r="C16" i="5"/>
  <c r="C17" i="5" s="1"/>
  <c r="M39" i="5"/>
  <c r="M40" i="5" s="1"/>
  <c r="C62" i="5"/>
  <c r="C63" i="5" s="1"/>
  <c r="F18" i="9"/>
  <c r="F19" i="9" s="1"/>
  <c r="F20" i="9" s="1"/>
  <c r="T7" i="9"/>
  <c r="T8" i="9" s="1"/>
  <c r="T9" i="9" s="1"/>
  <c r="C7" i="9"/>
  <c r="C8" i="9" s="1"/>
  <c r="C9" i="9" s="1"/>
  <c r="E18" i="9"/>
  <c r="E19" i="9" s="1"/>
  <c r="E20" i="9" s="1"/>
  <c r="S7" i="9"/>
  <c r="S8" i="9" s="1"/>
  <c r="S9" i="9" s="1"/>
  <c r="D18" i="9"/>
  <c r="D19" i="9" s="1"/>
  <c r="D20" i="9" s="1"/>
  <c r="R7" i="9"/>
  <c r="R8" i="9" s="1"/>
  <c r="R9" i="9" s="1"/>
  <c r="T18" i="9"/>
  <c r="T19" i="9" s="1"/>
  <c r="T20" i="9" s="1"/>
  <c r="C18" i="9"/>
  <c r="C19" i="9" s="1"/>
  <c r="C20" i="9" s="1"/>
  <c r="Q7" i="9"/>
  <c r="Q8" i="9" s="1"/>
  <c r="Q9" i="9" s="1"/>
  <c r="J18" i="9"/>
  <c r="J19" i="9" s="1"/>
  <c r="J20" i="9" s="1"/>
  <c r="D7" i="9"/>
  <c r="D8" i="9" s="1"/>
  <c r="D9" i="9" s="1"/>
  <c r="K18" i="9"/>
  <c r="K19" i="9" s="1"/>
  <c r="K20" i="9" s="1"/>
  <c r="L7" i="9"/>
  <c r="L8" i="9" s="1"/>
  <c r="L9" i="9" s="1"/>
  <c r="K7" i="9"/>
  <c r="K8" i="9" s="1"/>
  <c r="K9" i="9" s="1"/>
  <c r="J7" i="9"/>
  <c r="J8" i="9" s="1"/>
  <c r="J9" i="9" s="1"/>
  <c r="F7" i="9"/>
  <c r="F8" i="9" s="1"/>
  <c r="F9" i="9" s="1"/>
  <c r="E7" i="9"/>
  <c r="E8" i="9" s="1"/>
  <c r="E9" i="9" s="1"/>
  <c r="L18" i="9"/>
  <c r="L19" i="9" s="1"/>
  <c r="L20" i="9" s="1"/>
  <c r="M7" i="9"/>
  <c r="M8" i="9" s="1"/>
  <c r="M9" i="9" s="1"/>
  <c r="S18" i="9"/>
  <c r="S19" i="9" s="1"/>
  <c r="S20" i="9" s="1"/>
  <c r="R18" i="9"/>
  <c r="R19" i="9" s="1"/>
  <c r="R20" i="9" s="1"/>
  <c r="Q18" i="9"/>
  <c r="Q19" i="9" s="1"/>
  <c r="Q20" i="9" s="1"/>
  <c r="M18" i="9"/>
  <c r="M19" i="9" s="1"/>
  <c r="M20" i="9" s="1"/>
  <c r="B55" i="4"/>
  <c r="B56" i="4" s="1"/>
  <c r="N46" i="4"/>
  <c r="N47" i="4" s="1"/>
  <c r="R4" i="5"/>
  <c r="V6" i="5"/>
  <c r="V7" i="5" s="1"/>
  <c r="I16" i="5"/>
  <c r="I17" i="5" s="1"/>
  <c r="E28" i="5"/>
  <c r="E29" i="5" s="1"/>
  <c r="N39" i="5"/>
  <c r="N40" i="5" s="1"/>
  <c r="R62" i="5"/>
  <c r="R63" i="5" s="1"/>
  <c r="R16" i="6"/>
  <c r="R17" i="6" s="1"/>
  <c r="W6" i="5"/>
  <c r="W7" i="5" s="1"/>
  <c r="J16" i="5"/>
  <c r="J17" i="5" s="1"/>
  <c r="G28" i="5"/>
  <c r="G29" i="5" s="1"/>
  <c r="Q39" i="5"/>
  <c r="Q40" i="5" s="1"/>
  <c r="U62" i="5"/>
  <c r="U63" i="5" s="1"/>
  <c r="L16" i="5"/>
  <c r="L17" i="5" s="1"/>
  <c r="AE62" i="5"/>
  <c r="AE63" i="5" s="1"/>
  <c r="L28" i="5"/>
  <c r="L29" i="5" s="1"/>
  <c r="X39" i="5"/>
  <c r="X40" i="5" s="1"/>
  <c r="R39" i="6"/>
  <c r="R40" i="6" s="1"/>
  <c r="E4" i="5"/>
  <c r="H6" i="5"/>
  <c r="H7" i="5" s="1"/>
  <c r="AE16" i="5"/>
  <c r="AE17" i="5" s="1"/>
  <c r="AA28" i="5"/>
  <c r="AA29" i="5" s="1"/>
  <c r="W52" i="5"/>
  <c r="W53" i="5" s="1"/>
  <c r="H52" i="6"/>
  <c r="H53" i="6" s="1"/>
  <c r="AB6" i="5"/>
  <c r="AB7" i="5" s="1"/>
  <c r="AD6" i="5"/>
  <c r="AD7" i="5" s="1"/>
  <c r="M16" i="5"/>
  <c r="M17" i="5" s="1"/>
  <c r="M28" i="5"/>
  <c r="M29" i="5" s="1"/>
  <c r="AF6" i="6"/>
  <c r="AF7" i="6" s="1"/>
  <c r="F6" i="5"/>
  <c r="F7" i="5" s="1"/>
  <c r="S16" i="5"/>
  <c r="S17" i="5" s="1"/>
  <c r="N28" i="5"/>
  <c r="N29" i="5" s="1"/>
  <c r="M52" i="5"/>
  <c r="M53" i="5" s="1"/>
  <c r="B13" i="3"/>
  <c r="B17" i="3" s="1"/>
  <c r="M4" i="5"/>
  <c r="I6" i="5"/>
  <c r="I7" i="5" s="1"/>
  <c r="AF16" i="5"/>
  <c r="AF17" i="5" s="1"/>
  <c r="AD28" i="5"/>
  <c r="AD29" i="5" s="1"/>
  <c r="Q52" i="6"/>
  <c r="Q53" i="6" s="1"/>
  <c r="I52" i="5"/>
  <c r="I53" i="5" s="1"/>
  <c r="L52" i="5"/>
  <c r="L53" i="5" s="1"/>
  <c r="AF62" i="5"/>
  <c r="AF63" i="5" s="1"/>
  <c r="C4" i="5"/>
  <c r="G6" i="5"/>
  <c r="G7" i="5" s="1"/>
  <c r="Y16" i="5"/>
  <c r="Y17" i="5" s="1"/>
  <c r="R28" i="5"/>
  <c r="R29" i="5" s="1"/>
  <c r="P52" i="5"/>
  <c r="P53" i="5" s="1"/>
  <c r="B46" i="4"/>
  <c r="K6" i="5"/>
  <c r="K7" i="5" s="1"/>
  <c r="AE28" i="5"/>
  <c r="AE29" i="5" s="1"/>
  <c r="G28" i="6"/>
  <c r="G29" i="6" s="1"/>
  <c r="R52" i="6"/>
  <c r="R53" i="6" s="1"/>
  <c r="V4" i="5"/>
  <c r="K4" i="5"/>
  <c r="AF4" i="5"/>
  <c r="U4" i="5"/>
  <c r="J4" i="5"/>
  <c r="AE4" i="5"/>
  <c r="T4" i="5"/>
  <c r="I4" i="5"/>
  <c r="AD4" i="5"/>
  <c r="S4" i="5"/>
  <c r="H4" i="5"/>
  <c r="AA4" i="5"/>
  <c r="L4" i="5"/>
  <c r="Z4" i="5"/>
  <c r="G4" i="5"/>
  <c r="Y4" i="5"/>
  <c r="F4" i="5"/>
  <c r="W4" i="5"/>
  <c r="D4" i="5"/>
  <c r="AC4" i="5"/>
  <c r="N4" i="5"/>
  <c r="N55" i="4"/>
  <c r="N56" i="4" s="1"/>
  <c r="E5" i="9"/>
  <c r="D5" i="9"/>
  <c r="T5" i="9"/>
  <c r="C5" i="9"/>
  <c r="S5" i="9"/>
  <c r="F5" i="9"/>
  <c r="J5" i="9"/>
  <c r="K5" i="9"/>
  <c r="Q5" i="9"/>
  <c r="M5" i="9"/>
  <c r="L5" i="9"/>
  <c r="R5" i="9"/>
  <c r="K16" i="9"/>
  <c r="J16" i="9"/>
  <c r="F16" i="9"/>
  <c r="E16" i="9"/>
  <c r="L16" i="9"/>
  <c r="T16" i="9"/>
  <c r="S16" i="9"/>
  <c r="R16" i="9"/>
  <c r="Q16" i="9"/>
  <c r="M16" i="9"/>
  <c r="D16" i="9"/>
  <c r="C16" i="9"/>
  <c r="H46" i="4"/>
  <c r="H47" i="4" s="1"/>
  <c r="P4" i="5"/>
  <c r="S6" i="5"/>
  <c r="S7" i="5" s="1"/>
  <c r="J39" i="5"/>
  <c r="J40" i="5" s="1"/>
  <c r="Y62" i="6"/>
  <c r="Y63" i="6" s="1"/>
  <c r="Z39" i="7"/>
  <c r="Z40" i="7" s="1"/>
  <c r="N44" i="4"/>
  <c r="H44" i="4"/>
  <c r="AF26" i="5"/>
  <c r="U26" i="5"/>
  <c r="J26" i="5"/>
  <c r="X26" i="5"/>
  <c r="L26" i="5"/>
  <c r="W26" i="5"/>
  <c r="K26" i="5"/>
  <c r="V26" i="5"/>
  <c r="I26" i="5"/>
  <c r="T26" i="5"/>
  <c r="H26" i="5"/>
  <c r="AB26" i="5"/>
  <c r="P26" i="5"/>
  <c r="D26" i="5"/>
  <c r="O14" i="5"/>
  <c r="N26" i="5"/>
  <c r="J37" i="5"/>
  <c r="R14" i="5"/>
  <c r="Q26" i="5"/>
  <c r="Q37" i="5"/>
  <c r="W14" i="5"/>
  <c r="L14" i="5"/>
  <c r="V14" i="5"/>
  <c r="K14" i="5"/>
  <c r="AF14" i="5"/>
  <c r="U14" i="5"/>
  <c r="J14" i="5"/>
  <c r="AE14" i="5"/>
  <c r="T14" i="5"/>
  <c r="I14" i="5"/>
  <c r="AA14" i="5"/>
  <c r="P14" i="5"/>
  <c r="E14" i="5"/>
  <c r="S14" i="5"/>
  <c r="R26" i="5"/>
  <c r="V37" i="5"/>
  <c r="K37" i="5"/>
  <c r="AF37" i="5"/>
  <c r="U37" i="5"/>
  <c r="AC37" i="5"/>
  <c r="P37" i="5"/>
  <c r="D37" i="5"/>
  <c r="AB37" i="5"/>
  <c r="O37" i="5"/>
  <c r="C37" i="5"/>
  <c r="AA37" i="5"/>
  <c r="N37" i="5"/>
  <c r="Z37" i="5"/>
  <c r="M37" i="5"/>
  <c r="T37" i="5"/>
  <c r="H37" i="5"/>
  <c r="C14" i="5"/>
  <c r="X14" i="5"/>
  <c r="S26" i="5"/>
  <c r="S37" i="5"/>
  <c r="B37" i="4"/>
  <c r="H37" i="4"/>
  <c r="B38" i="4" l="1"/>
  <c r="O18" i="10" s="1"/>
  <c r="B47" i="4"/>
  <c r="W4" i="8" s="1"/>
  <c r="N3" i="10"/>
  <c r="Y3" i="10"/>
  <c r="C3" i="10"/>
  <c r="D3" i="10"/>
  <c r="O3" i="10"/>
  <c r="Z3" i="10"/>
  <c r="G3" i="10"/>
  <c r="AC3" i="10"/>
  <c r="U3" i="10"/>
  <c r="E3" i="10"/>
  <c r="P3" i="10"/>
  <c r="AA3" i="10"/>
  <c r="F3" i="10"/>
  <c r="Q3" i="10"/>
  <c r="AB3" i="10"/>
  <c r="R3" i="10"/>
  <c r="H3" i="10"/>
  <c r="J3" i="10"/>
  <c r="K3" i="10"/>
  <c r="V3" i="10"/>
  <c r="L3" i="10"/>
  <c r="W3" i="10"/>
  <c r="X3" i="10"/>
  <c r="AD3" i="10"/>
  <c r="M3" i="10"/>
  <c r="S3" i="10"/>
  <c r="I3" i="10"/>
  <c r="T3" i="10"/>
  <c r="AE3" i="10"/>
  <c r="AF3" i="10"/>
  <c r="H4" i="10"/>
  <c r="S4" i="10"/>
  <c r="AD4" i="10"/>
  <c r="AA4" i="10"/>
  <c r="I4" i="10"/>
  <c r="T4" i="10"/>
  <c r="AE4" i="10"/>
  <c r="W4" i="10"/>
  <c r="O4" i="10"/>
  <c r="J4" i="10"/>
  <c r="U4" i="10"/>
  <c r="AF4" i="10"/>
  <c r="M4" i="10"/>
  <c r="K4" i="10"/>
  <c r="V4" i="10"/>
  <c r="C4" i="10"/>
  <c r="L4" i="10"/>
  <c r="Z4" i="10"/>
  <c r="E4" i="10"/>
  <c r="P4" i="10"/>
  <c r="F4" i="10"/>
  <c r="Q4" i="10"/>
  <c r="AB4" i="10"/>
  <c r="X4" i="10"/>
  <c r="G4" i="10"/>
  <c r="R4" i="10"/>
  <c r="AC4" i="10"/>
  <c r="N4" i="10"/>
  <c r="Y4" i="10"/>
  <c r="D4" i="10"/>
  <c r="M17" i="10"/>
  <c r="X17" i="10"/>
  <c r="J17" i="10"/>
  <c r="C17" i="10"/>
  <c r="N17" i="10"/>
  <c r="Y17" i="10"/>
  <c r="Q17" i="10"/>
  <c r="D17" i="10"/>
  <c r="O17" i="10"/>
  <c r="Z17" i="10"/>
  <c r="AB17" i="10"/>
  <c r="G17" i="10"/>
  <c r="R17" i="10"/>
  <c r="AC17" i="10"/>
  <c r="E17" i="10"/>
  <c r="P17" i="10"/>
  <c r="AA17" i="10"/>
  <c r="F17" i="10"/>
  <c r="T17" i="10"/>
  <c r="AE17" i="10"/>
  <c r="AF17" i="10"/>
  <c r="K17" i="10"/>
  <c r="V17" i="10"/>
  <c r="B17" i="10"/>
  <c r="L17" i="10"/>
  <c r="W17" i="10"/>
  <c r="H17" i="10"/>
  <c r="S17" i="10"/>
  <c r="AD17" i="10"/>
  <c r="I17" i="10"/>
  <c r="U17" i="10"/>
  <c r="K15" i="10"/>
  <c r="V15" i="10"/>
  <c r="C15" i="10"/>
  <c r="R15" i="10"/>
  <c r="L15" i="10"/>
  <c r="W15" i="10"/>
  <c r="O15" i="10"/>
  <c r="S15" i="10"/>
  <c r="M15" i="10"/>
  <c r="X15" i="10"/>
  <c r="E15" i="10"/>
  <c r="AA15" i="10"/>
  <c r="N15" i="10"/>
  <c r="Y15" i="10"/>
  <c r="D15" i="10"/>
  <c r="Z15" i="10"/>
  <c r="AC15" i="10"/>
  <c r="AD15" i="10"/>
  <c r="I15" i="10"/>
  <c r="T15" i="10"/>
  <c r="AE15" i="10"/>
  <c r="J15" i="10"/>
  <c r="U15" i="10"/>
  <c r="AF15" i="10"/>
  <c r="P15" i="10"/>
  <c r="F15" i="10"/>
  <c r="Q15" i="10"/>
  <c r="AB15" i="10"/>
  <c r="G15" i="10"/>
  <c r="H15" i="10"/>
  <c r="E16" i="10"/>
  <c r="P16" i="10"/>
  <c r="AA16" i="10"/>
  <c r="F16" i="10"/>
  <c r="Q16" i="10"/>
  <c r="AB16" i="10"/>
  <c r="I16" i="10"/>
  <c r="AE16" i="10"/>
  <c r="M16" i="10"/>
  <c r="G16" i="10"/>
  <c r="R16" i="10"/>
  <c r="AC16" i="10"/>
  <c r="J16" i="10"/>
  <c r="U16" i="10"/>
  <c r="H16" i="10"/>
  <c r="S16" i="10"/>
  <c r="AD16" i="10"/>
  <c r="T16" i="10"/>
  <c r="L16" i="10"/>
  <c r="W16" i="10"/>
  <c r="X16" i="10"/>
  <c r="N16" i="10"/>
  <c r="Y16" i="10"/>
  <c r="D16" i="10"/>
  <c r="O16" i="10"/>
  <c r="Z16" i="10"/>
  <c r="AF16" i="10"/>
  <c r="K16" i="10"/>
  <c r="V16" i="10"/>
  <c r="C16" i="10"/>
  <c r="G25" i="5"/>
  <c r="G27" i="5" s="1"/>
  <c r="R25" i="5"/>
  <c r="R27" i="5" s="1"/>
  <c r="Z25" i="5"/>
  <c r="Z27" i="5" s="1"/>
  <c r="V25" i="5"/>
  <c r="V27" i="5" s="1"/>
  <c r="D25" i="5"/>
  <c r="D27" i="5" s="1"/>
  <c r="P25" i="5"/>
  <c r="P27" i="5" s="1"/>
  <c r="AC25" i="5"/>
  <c r="AC27" i="5" s="1"/>
  <c r="X25" i="5"/>
  <c r="X27" i="5" s="1"/>
  <c r="AB25" i="5"/>
  <c r="AB27" i="5" s="1"/>
  <c r="O25" i="5"/>
  <c r="O27" i="5" s="1"/>
  <c r="N25" i="5"/>
  <c r="N27" i="5" s="1"/>
  <c r="E25" i="5"/>
  <c r="E27" i="5" s="1"/>
  <c r="Q25" i="5"/>
  <c r="Q27" i="5" s="1"/>
  <c r="Y25" i="5"/>
  <c r="Y27" i="5" s="1"/>
  <c r="U25" i="5"/>
  <c r="U27" i="5" s="1"/>
  <c r="AD25" i="5"/>
  <c r="AD27" i="5" s="1"/>
  <c r="AE25" i="5"/>
  <c r="AE27" i="5" s="1"/>
  <c r="F25" i="5"/>
  <c r="F27" i="5" s="1"/>
  <c r="AA25" i="5"/>
  <c r="AA27" i="5" s="1"/>
  <c r="H25" i="5"/>
  <c r="H27" i="5" s="1"/>
  <c r="B44" i="3"/>
  <c r="I59" i="5"/>
  <c r="I61" i="5" s="1"/>
  <c r="T59" i="5"/>
  <c r="T61" i="5" s="1"/>
  <c r="AE59" i="5"/>
  <c r="AE61" i="5" s="1"/>
  <c r="N59" i="5"/>
  <c r="N61" i="5" s="1"/>
  <c r="Y59" i="5"/>
  <c r="Y61" i="5" s="1"/>
  <c r="J59" i="5"/>
  <c r="J61" i="5" s="1"/>
  <c r="U59" i="5"/>
  <c r="U61" i="5" s="1"/>
  <c r="AF59" i="5"/>
  <c r="AF61" i="5" s="1"/>
  <c r="K59" i="5"/>
  <c r="K61" i="5" s="1"/>
  <c r="V59" i="5"/>
  <c r="V61" i="5" s="1"/>
  <c r="L59" i="5"/>
  <c r="L61" i="5" s="1"/>
  <c r="W59" i="5"/>
  <c r="W61" i="5" s="1"/>
  <c r="C59" i="5"/>
  <c r="C61" i="5" s="1"/>
  <c r="M59" i="5"/>
  <c r="M61" i="5" s="1"/>
  <c r="X59" i="5"/>
  <c r="X61" i="5" s="1"/>
  <c r="D59" i="5"/>
  <c r="D61" i="5" s="1"/>
  <c r="O59" i="5"/>
  <c r="O61" i="5" s="1"/>
  <c r="Z59" i="5"/>
  <c r="Z61" i="5" s="1"/>
  <c r="E59" i="5"/>
  <c r="E61" i="5" s="1"/>
  <c r="P59" i="5"/>
  <c r="P61" i="5" s="1"/>
  <c r="AA59" i="5"/>
  <c r="AA61" i="5" s="1"/>
  <c r="F59" i="5"/>
  <c r="F61" i="5" s="1"/>
  <c r="Q59" i="5"/>
  <c r="Q61" i="5" s="1"/>
  <c r="AB59" i="5"/>
  <c r="AB61" i="5" s="1"/>
  <c r="G59" i="5"/>
  <c r="G61" i="5" s="1"/>
  <c r="R59" i="5"/>
  <c r="R61" i="5" s="1"/>
  <c r="AC59" i="5"/>
  <c r="AC61" i="5" s="1"/>
  <c r="H59" i="5"/>
  <c r="H61" i="5" s="1"/>
  <c r="S59" i="5"/>
  <c r="S61" i="5" s="1"/>
  <c r="AD59" i="5"/>
  <c r="AD61" i="5" s="1"/>
  <c r="AC49" i="5"/>
  <c r="AC51" i="5" s="1"/>
  <c r="K49" i="5"/>
  <c r="K51" i="5" s="1"/>
  <c r="C49" i="5"/>
  <c r="C51" i="5" s="1"/>
  <c r="W49" i="5"/>
  <c r="W51" i="5" s="1"/>
  <c r="E49" i="5"/>
  <c r="E51" i="5" s="1"/>
  <c r="P49" i="5"/>
  <c r="P51" i="5" s="1"/>
  <c r="AD49" i="5"/>
  <c r="AD51" i="5" s="1"/>
  <c r="L49" i="5"/>
  <c r="L51" i="5" s="1"/>
  <c r="AE49" i="5"/>
  <c r="AE51" i="5" s="1"/>
  <c r="M49" i="5"/>
  <c r="M51" i="5" s="1"/>
  <c r="U49" i="5"/>
  <c r="U51" i="5" s="1"/>
  <c r="AF49" i="5"/>
  <c r="AF51" i="5" s="1"/>
  <c r="N49" i="5"/>
  <c r="N51" i="5" s="1"/>
  <c r="V49" i="5"/>
  <c r="V51" i="5" s="1"/>
  <c r="D49" i="5"/>
  <c r="D51" i="5" s="1"/>
  <c r="O49" i="5"/>
  <c r="O51" i="5" s="1"/>
  <c r="X49" i="5"/>
  <c r="X51" i="5" s="1"/>
  <c r="F49" i="5"/>
  <c r="F51" i="5" s="1"/>
  <c r="Q49" i="5"/>
  <c r="Q51" i="5" s="1"/>
  <c r="Y49" i="5"/>
  <c r="Y51" i="5" s="1"/>
  <c r="G49" i="5"/>
  <c r="G51" i="5" s="1"/>
  <c r="R49" i="5"/>
  <c r="R51" i="5" s="1"/>
  <c r="Z49" i="5"/>
  <c r="Z51" i="5" s="1"/>
  <c r="H49" i="5"/>
  <c r="H51" i="5" s="1"/>
  <c r="S49" i="5"/>
  <c r="S51" i="5" s="1"/>
  <c r="AA49" i="5"/>
  <c r="AA51" i="5" s="1"/>
  <c r="I49" i="5"/>
  <c r="I51" i="5" s="1"/>
  <c r="T49" i="5"/>
  <c r="T51" i="5" s="1"/>
  <c r="AB49" i="5"/>
  <c r="AB51" i="5" s="1"/>
  <c r="J49" i="5"/>
  <c r="J51" i="5" s="1"/>
  <c r="E6" i="10"/>
  <c r="P6" i="10"/>
  <c r="AA6" i="10"/>
  <c r="F6" i="10"/>
  <c r="Q6" i="10"/>
  <c r="AB6" i="10"/>
  <c r="G6" i="10"/>
  <c r="R6" i="10"/>
  <c r="AC6" i="10"/>
  <c r="H6" i="10"/>
  <c r="S6" i="10"/>
  <c r="AD6" i="10"/>
  <c r="I6" i="10"/>
  <c r="T6" i="10"/>
  <c r="AE6" i="10"/>
  <c r="J6" i="10"/>
  <c r="U6" i="10"/>
  <c r="AF6" i="10"/>
  <c r="K6" i="10"/>
  <c r="V6" i="10"/>
  <c r="L6" i="10"/>
  <c r="W6" i="10"/>
  <c r="M6" i="10"/>
  <c r="X6" i="10"/>
  <c r="C6" i="10"/>
  <c r="N6" i="10"/>
  <c r="Y6" i="10"/>
  <c r="D6" i="10"/>
  <c r="O6" i="10"/>
  <c r="Z6" i="10"/>
  <c r="I26" i="8"/>
  <c r="T26" i="8"/>
  <c r="AE26" i="8"/>
  <c r="J26" i="8"/>
  <c r="U26" i="8"/>
  <c r="AF26" i="8"/>
  <c r="K26" i="8"/>
  <c r="V26" i="8"/>
  <c r="L26" i="8"/>
  <c r="W26" i="8"/>
  <c r="G26" i="8"/>
  <c r="R26" i="8"/>
  <c r="AC26" i="8"/>
  <c r="C26" i="8"/>
  <c r="H26" i="8"/>
  <c r="S26" i="8"/>
  <c r="AD26" i="8"/>
  <c r="F26" i="8"/>
  <c r="M26" i="8"/>
  <c r="N26" i="8"/>
  <c r="O26" i="8"/>
  <c r="D26" i="8"/>
  <c r="AA26" i="8"/>
  <c r="X26" i="8"/>
  <c r="Y26" i="8"/>
  <c r="E26" i="8"/>
  <c r="AB26" i="8"/>
  <c r="P26" i="8"/>
  <c r="Q26" i="8"/>
  <c r="Z26" i="8"/>
  <c r="I50" i="8"/>
  <c r="T50" i="8"/>
  <c r="AE50" i="8"/>
  <c r="J50" i="8"/>
  <c r="U50" i="8"/>
  <c r="AF50" i="8"/>
  <c r="K50" i="8"/>
  <c r="V50" i="8"/>
  <c r="L50" i="8"/>
  <c r="W50" i="8"/>
  <c r="G50" i="8"/>
  <c r="R50" i="8"/>
  <c r="AC50" i="8"/>
  <c r="C50" i="8"/>
  <c r="H50" i="8"/>
  <c r="S50" i="8"/>
  <c r="AD50" i="8"/>
  <c r="F50" i="8"/>
  <c r="Q50" i="8"/>
  <c r="M50" i="8"/>
  <c r="N50" i="8"/>
  <c r="O50" i="8"/>
  <c r="P50" i="8"/>
  <c r="D50" i="8"/>
  <c r="AA50" i="8"/>
  <c r="X50" i="8"/>
  <c r="Y50" i="8"/>
  <c r="E50" i="8"/>
  <c r="AB50" i="8"/>
  <c r="Z50" i="8"/>
  <c r="D14" i="8"/>
  <c r="O14" i="8"/>
  <c r="Z14" i="8"/>
  <c r="E14" i="8"/>
  <c r="P14" i="8"/>
  <c r="AA14" i="8"/>
  <c r="F14" i="8"/>
  <c r="Q14" i="8"/>
  <c r="AB14" i="8"/>
  <c r="G14" i="8"/>
  <c r="R14" i="8"/>
  <c r="AC14" i="8"/>
  <c r="C14" i="8"/>
  <c r="M14" i="8"/>
  <c r="X14" i="8"/>
  <c r="N14" i="8"/>
  <c r="Y14" i="8"/>
  <c r="U14" i="8"/>
  <c r="J14" i="8"/>
  <c r="V14" i="8"/>
  <c r="W14" i="8"/>
  <c r="AD14" i="8"/>
  <c r="H14" i="8"/>
  <c r="AE14" i="8"/>
  <c r="I14" i="8"/>
  <c r="AF14" i="8"/>
  <c r="S14" i="8"/>
  <c r="K14" i="8"/>
  <c r="T14" i="8"/>
  <c r="L14" i="8"/>
  <c r="K60" i="8"/>
  <c r="V60" i="8"/>
  <c r="C60" i="8"/>
  <c r="L60" i="8"/>
  <c r="W60" i="8"/>
  <c r="M60" i="8"/>
  <c r="X60" i="8"/>
  <c r="N60" i="8"/>
  <c r="Y60" i="8"/>
  <c r="I60" i="8"/>
  <c r="T60" i="8"/>
  <c r="AE60" i="8"/>
  <c r="J60" i="8"/>
  <c r="U60" i="8"/>
  <c r="AF60" i="8"/>
  <c r="R60" i="8"/>
  <c r="H60" i="8"/>
  <c r="S60" i="8"/>
  <c r="Z60" i="8"/>
  <c r="D60" i="8"/>
  <c r="AA60" i="8"/>
  <c r="E60" i="8"/>
  <c r="AB60" i="8"/>
  <c r="F60" i="8"/>
  <c r="G60" i="8"/>
  <c r="O60" i="8"/>
  <c r="P60" i="8"/>
  <c r="AD60" i="8"/>
  <c r="Q60" i="8"/>
  <c r="AC60" i="8"/>
  <c r="J27" i="5"/>
  <c r="K17" i="8"/>
  <c r="H17" i="8"/>
  <c r="X17" i="8"/>
  <c r="U17" i="8"/>
  <c r="V17" i="8"/>
  <c r="U30" i="3"/>
  <c r="U31" i="3" s="1"/>
  <c r="J30" i="3"/>
  <c r="J31" i="3" s="1"/>
  <c r="X30" i="3"/>
  <c r="X31" i="3" s="1"/>
  <c r="L30" i="3"/>
  <c r="L31" i="3" s="1"/>
  <c r="W30" i="3"/>
  <c r="W31" i="3" s="1"/>
  <c r="K30" i="3"/>
  <c r="K31" i="3" s="1"/>
  <c r="T30" i="3"/>
  <c r="T31" i="3" s="1"/>
  <c r="H30" i="3"/>
  <c r="H31" i="3" s="1"/>
  <c r="Q30" i="3"/>
  <c r="Q31" i="3" s="1"/>
  <c r="N30" i="3"/>
  <c r="N31" i="3" s="1"/>
  <c r="I30" i="3"/>
  <c r="I31" i="3" s="1"/>
  <c r="Z30" i="3"/>
  <c r="Z31" i="3" s="1"/>
  <c r="P30" i="3"/>
  <c r="P31" i="3" s="1"/>
  <c r="V30" i="3"/>
  <c r="V31" i="3" s="1"/>
  <c r="E30" i="3"/>
  <c r="E31" i="3" s="1"/>
  <c r="O30" i="3"/>
  <c r="O31" i="3" s="1"/>
  <c r="M30" i="3"/>
  <c r="M31" i="3" s="1"/>
  <c r="AA30" i="3"/>
  <c r="AA31" i="3" s="1"/>
  <c r="Y30" i="3"/>
  <c r="Y31" i="3" s="1"/>
  <c r="F30" i="3"/>
  <c r="F31" i="3" s="1"/>
  <c r="S30" i="3"/>
  <c r="S31" i="3" s="1"/>
  <c r="D30" i="3"/>
  <c r="D31" i="3" s="1"/>
  <c r="G30" i="3"/>
  <c r="G31" i="3" s="1"/>
  <c r="R30" i="3"/>
  <c r="R31" i="3" s="1"/>
  <c r="C30" i="3"/>
  <c r="C31" i="3" s="1"/>
  <c r="I29" i="8"/>
  <c r="O53" i="8"/>
  <c r="Z63" i="8"/>
  <c r="X7" i="8"/>
  <c r="E53" i="8"/>
  <c r="Z53" i="8"/>
  <c r="I53" i="8"/>
  <c r="AF7" i="8"/>
  <c r="J29" i="8"/>
  <c r="AC53" i="8"/>
  <c r="AB29" i="8"/>
  <c r="O7" i="8"/>
  <c r="AF53" i="8"/>
  <c r="C29" i="8"/>
  <c r="Q7" i="8"/>
  <c r="W53" i="8"/>
  <c r="AA29" i="8"/>
  <c r="AD3" i="5"/>
  <c r="AD5" i="5" s="1"/>
  <c r="S3" i="5"/>
  <c r="S5" i="5" s="1"/>
  <c r="H3" i="5"/>
  <c r="H5" i="5" s="1"/>
  <c r="AC3" i="5"/>
  <c r="AC5" i="5" s="1"/>
  <c r="R3" i="5"/>
  <c r="R5" i="5" s="1"/>
  <c r="G3" i="5"/>
  <c r="G5" i="5" s="1"/>
  <c r="AB3" i="5"/>
  <c r="AB5" i="5" s="1"/>
  <c r="Q3" i="5"/>
  <c r="Q5" i="5" s="1"/>
  <c r="F3" i="5"/>
  <c r="F5" i="5" s="1"/>
  <c r="AA3" i="5"/>
  <c r="AA5" i="5" s="1"/>
  <c r="P3" i="5"/>
  <c r="P5" i="5" s="1"/>
  <c r="E3" i="5"/>
  <c r="E5" i="5" s="1"/>
  <c r="W3" i="5"/>
  <c r="W5" i="5" s="1"/>
  <c r="D3" i="5"/>
  <c r="D5" i="5" s="1"/>
  <c r="B43" i="4"/>
  <c r="V3" i="5"/>
  <c r="V5" i="5" s="1"/>
  <c r="C3" i="5"/>
  <c r="C5" i="5" s="1"/>
  <c r="U3" i="5"/>
  <c r="U5" i="5" s="1"/>
  <c r="O3" i="5"/>
  <c r="O5" i="5" s="1"/>
  <c r="Y3" i="5"/>
  <c r="Y5" i="5" s="1"/>
  <c r="J3" i="5"/>
  <c r="J5" i="5" s="1"/>
  <c r="M3" i="5"/>
  <c r="M5" i="5" s="1"/>
  <c r="L3" i="5"/>
  <c r="L5" i="5" s="1"/>
  <c r="K3" i="5"/>
  <c r="K5" i="5" s="1"/>
  <c r="AF3" i="5"/>
  <c r="AF5" i="5" s="1"/>
  <c r="AE3" i="5"/>
  <c r="AE5" i="5" s="1"/>
  <c r="I3" i="5"/>
  <c r="I5" i="5" s="1"/>
  <c r="Z3" i="5"/>
  <c r="Z5" i="5" s="1"/>
  <c r="X3" i="5"/>
  <c r="X5" i="5" s="1"/>
  <c r="T3" i="5"/>
  <c r="T5" i="5" s="1"/>
  <c r="N3" i="5"/>
  <c r="N5" i="5" s="1"/>
  <c r="E63" i="8"/>
  <c r="Q63" i="8"/>
  <c r="AD53" i="8"/>
  <c r="J17" i="8"/>
  <c r="AE29" i="8"/>
  <c r="G53" i="8"/>
  <c r="H63" i="8"/>
  <c r="Z7" i="8"/>
  <c r="J63" i="8"/>
  <c r="N29" i="8"/>
  <c r="AB7" i="8"/>
  <c r="L63" i="8"/>
  <c r="N52" i="4"/>
  <c r="W29" i="8"/>
  <c r="AE7" i="8"/>
  <c r="C7" i="8"/>
  <c r="I63" i="8"/>
  <c r="AE17" i="8"/>
  <c r="AB53" i="8"/>
  <c r="AC63" i="8"/>
  <c r="C17" i="8"/>
  <c r="U63" i="8"/>
  <c r="Y29" i="8"/>
  <c r="E17" i="8"/>
  <c r="W63" i="8"/>
  <c r="H38" i="4"/>
  <c r="L7" i="8"/>
  <c r="V7" i="8"/>
  <c r="Q53" i="8"/>
  <c r="R63" i="8"/>
  <c r="AD17" i="8"/>
  <c r="AD63" i="8"/>
  <c r="H29" i="8"/>
  <c r="G63" i="8"/>
  <c r="H7" i="8"/>
  <c r="N17" i="8"/>
  <c r="AF63" i="8"/>
  <c r="P17" i="8"/>
  <c r="G7" i="8"/>
  <c r="S63" i="8"/>
  <c r="S29" i="8"/>
  <c r="AC29" i="8"/>
  <c r="F53" i="8"/>
  <c r="AB63" i="8"/>
  <c r="S7" i="8"/>
  <c r="C53" i="8"/>
  <c r="Y17" i="8"/>
  <c r="AA17" i="8"/>
  <c r="R7" i="8"/>
  <c r="M53" i="8"/>
  <c r="R53" i="8"/>
  <c r="I7" i="8"/>
  <c r="AA53" i="8"/>
  <c r="T7" i="8"/>
  <c r="AD7" i="8"/>
  <c r="N53" i="8"/>
  <c r="M29" i="8"/>
  <c r="E7" i="8"/>
  <c r="K53" i="8"/>
  <c r="D29" i="8"/>
  <c r="AC7" i="8"/>
  <c r="X53" i="8"/>
  <c r="AE53" i="8"/>
  <c r="O63" i="8"/>
  <c r="AF17" i="8"/>
  <c r="U7" i="8"/>
  <c r="F63" i="8"/>
  <c r="N7" i="8"/>
  <c r="S17" i="8"/>
  <c r="G17" i="8"/>
  <c r="Y53" i="8"/>
  <c r="X29" i="8"/>
  <c r="P7" i="8"/>
  <c r="V53" i="8"/>
  <c r="O29" i="8"/>
  <c r="F17" i="8"/>
  <c r="M63" i="8"/>
  <c r="W17" i="8"/>
  <c r="T29" i="8"/>
  <c r="T17" i="8"/>
  <c r="D53" i="8"/>
  <c r="AA63" i="8"/>
  <c r="M17" i="8"/>
  <c r="L29" i="8"/>
  <c r="R17" i="8"/>
  <c r="C63" i="8"/>
  <c r="AA7" i="8"/>
  <c r="K63" i="8"/>
  <c r="Z29" i="8"/>
  <c r="Q17" i="8"/>
  <c r="X63" i="8"/>
  <c r="W7" i="8"/>
  <c r="Y7" i="8"/>
  <c r="G29" i="8"/>
  <c r="S53" i="8"/>
  <c r="R29" i="8"/>
  <c r="T53" i="8"/>
  <c r="K29" i="8"/>
  <c r="AC17" i="8"/>
  <c r="N63" i="8"/>
  <c r="D17" i="8"/>
  <c r="V63" i="8"/>
  <c r="AB17" i="8"/>
  <c r="V29" i="8"/>
  <c r="AE63" i="8"/>
  <c r="P63" i="8"/>
  <c r="J7" i="8"/>
  <c r="D63" i="8"/>
  <c r="M7" i="8"/>
  <c r="AF29" i="8"/>
  <c r="F29" i="8"/>
  <c r="Y63" i="8"/>
  <c r="J53" i="8"/>
  <c r="O17" i="8"/>
  <c r="E29" i="8"/>
  <c r="C25" i="5"/>
  <c r="C27" i="5" s="1"/>
  <c r="K25" i="5"/>
  <c r="K27" i="5" s="1"/>
  <c r="S25" i="5"/>
  <c r="S27" i="5" s="1"/>
  <c r="M25" i="5"/>
  <c r="M27" i="5" s="1"/>
  <c r="L25" i="5"/>
  <c r="L27" i="5" s="1"/>
  <c r="H43" i="4"/>
  <c r="I25" i="5"/>
  <c r="I27" i="5" s="1"/>
  <c r="AF25" i="5"/>
  <c r="AF27" i="5" s="1"/>
  <c r="W25" i="5"/>
  <c r="W27" i="5" s="1"/>
  <c r="T25" i="5"/>
  <c r="T27" i="5" s="1"/>
  <c r="N43" i="4"/>
  <c r="I17" i="8"/>
  <c r="AD29" i="8"/>
  <c r="P53" i="8"/>
  <c r="U29" i="8"/>
  <c r="K7" i="8"/>
  <c r="T63" i="8"/>
  <c r="L17" i="8"/>
  <c r="H53" i="8"/>
  <c r="Q29" i="8"/>
  <c r="D7" i="8"/>
  <c r="U53" i="8"/>
  <c r="Z17" i="8"/>
  <c r="F7" i="8"/>
  <c r="L53" i="8"/>
  <c r="P29" i="8"/>
  <c r="N18" i="10" l="1"/>
  <c r="E18" i="10"/>
  <c r="Z18" i="10"/>
  <c r="AF18" i="10"/>
  <c r="Z13" i="5"/>
  <c r="Z15" i="5" s="1"/>
  <c r="N13" i="5"/>
  <c r="N15" i="5" s="1"/>
  <c r="P13" i="5"/>
  <c r="P15" i="5" s="1"/>
  <c r="U13" i="5"/>
  <c r="U15" i="5" s="1"/>
  <c r="V13" i="5"/>
  <c r="V15" i="5" s="1"/>
  <c r="X13" i="5"/>
  <c r="X15" i="5" s="1"/>
  <c r="Q13" i="5"/>
  <c r="Q15" i="5" s="1"/>
  <c r="I4" i="8"/>
  <c r="G13" i="5"/>
  <c r="G15" i="5" s="1"/>
  <c r="F13" i="5"/>
  <c r="F15" i="5" s="1"/>
  <c r="AB13" i="5"/>
  <c r="AB15" i="5" s="1"/>
  <c r="AC13" i="5"/>
  <c r="AC15" i="5" s="1"/>
  <c r="S4" i="8"/>
  <c r="S13" i="5"/>
  <c r="S15" i="5" s="1"/>
  <c r="C13" i="5"/>
  <c r="C15" i="5" s="1"/>
  <c r="H13" i="5"/>
  <c r="H15" i="5" s="1"/>
  <c r="U18" i="10"/>
  <c r="D18" i="10"/>
  <c r="D13" i="5"/>
  <c r="D15" i="5" s="1"/>
  <c r="T13" i="5"/>
  <c r="T15" i="5" s="1"/>
  <c r="AE18" i="10"/>
  <c r="V18" i="10"/>
  <c r="AD13" i="5"/>
  <c r="AD15" i="5" s="1"/>
  <c r="AA18" i="10"/>
  <c r="Y13" i="5"/>
  <c r="Y15" i="5" s="1"/>
  <c r="AE13" i="5"/>
  <c r="AE15" i="5" s="1"/>
  <c r="T18" i="10"/>
  <c r="K18" i="10"/>
  <c r="O13" i="5"/>
  <c r="O15" i="5" s="1"/>
  <c r="J13" i="5"/>
  <c r="J15" i="5" s="1"/>
  <c r="I18" i="10"/>
  <c r="J18" i="10"/>
  <c r="W18" i="10"/>
  <c r="B52" i="4"/>
  <c r="U13" i="6" s="1"/>
  <c r="U15" i="6" s="1"/>
  <c r="R18" i="10"/>
  <c r="L18" i="10"/>
  <c r="K13" i="5"/>
  <c r="K15" i="5" s="1"/>
  <c r="H18" i="10"/>
  <c r="M13" i="5"/>
  <c r="M15" i="5" s="1"/>
  <c r="Y18" i="10"/>
  <c r="AB18" i="10"/>
  <c r="X18" i="10"/>
  <c r="Q18" i="10"/>
  <c r="M18" i="10"/>
  <c r="F18" i="10"/>
  <c r="S18" i="10"/>
  <c r="E13" i="5"/>
  <c r="E15" i="5" s="1"/>
  <c r="R13" i="5"/>
  <c r="R15" i="5" s="1"/>
  <c r="P18" i="10"/>
  <c r="AC18" i="10"/>
  <c r="U4" i="8"/>
  <c r="E4" i="8"/>
  <c r="R4" i="8"/>
  <c r="AD4" i="8"/>
  <c r="J4" i="8"/>
  <c r="K4" i="8"/>
  <c r="Z4" i="8"/>
  <c r="Y4" i="8"/>
  <c r="AF4" i="8"/>
  <c r="AA13" i="5"/>
  <c r="AA15" i="5" s="1"/>
  <c r="I13" i="5"/>
  <c r="I15" i="5" s="1"/>
  <c r="AB4" i="8"/>
  <c r="AD18" i="10"/>
  <c r="C18" i="10"/>
  <c r="AF13" i="5"/>
  <c r="AF15" i="5" s="1"/>
  <c r="AE4" i="8"/>
  <c r="G18" i="10"/>
  <c r="W13" i="5"/>
  <c r="W15" i="5" s="1"/>
  <c r="L13" i="5"/>
  <c r="L15" i="5" s="1"/>
  <c r="T4" i="8"/>
  <c r="F4" i="8"/>
  <c r="N4" i="8"/>
  <c r="L4" i="8"/>
  <c r="AA4" i="8"/>
  <c r="G4" i="8"/>
  <c r="V4" i="8"/>
  <c r="Q4" i="8"/>
  <c r="H4" i="8"/>
  <c r="C4" i="8"/>
  <c r="X4" i="8"/>
  <c r="D4" i="8"/>
  <c r="P4" i="8"/>
  <c r="M4" i="8"/>
  <c r="AC4" i="8"/>
  <c r="O4" i="8"/>
  <c r="B11" i="10"/>
  <c r="B9" i="10"/>
  <c r="B12" i="10"/>
  <c r="B10" i="10"/>
  <c r="E59" i="6"/>
  <c r="E61" i="6" s="1"/>
  <c r="P59" i="6"/>
  <c r="P61" i="6" s="1"/>
  <c r="AA59" i="6"/>
  <c r="AA61" i="6" s="1"/>
  <c r="S59" i="6"/>
  <c r="S61" i="6" s="1"/>
  <c r="F59" i="6"/>
  <c r="F61" i="6" s="1"/>
  <c r="Q59" i="6"/>
  <c r="Q61" i="6" s="1"/>
  <c r="AB59" i="6"/>
  <c r="AB61" i="6" s="1"/>
  <c r="AD59" i="6"/>
  <c r="AD61" i="6" s="1"/>
  <c r="G59" i="6"/>
  <c r="G61" i="6" s="1"/>
  <c r="R59" i="6"/>
  <c r="R61" i="6" s="1"/>
  <c r="AC59" i="6"/>
  <c r="AC61" i="6" s="1"/>
  <c r="H59" i="6"/>
  <c r="H61" i="6" s="1"/>
  <c r="N59" i="6"/>
  <c r="N61" i="6" s="1"/>
  <c r="Y59" i="6"/>
  <c r="Y61" i="6" s="1"/>
  <c r="Z59" i="6"/>
  <c r="Z61" i="6" s="1"/>
  <c r="D59" i="6"/>
  <c r="D61" i="6" s="1"/>
  <c r="O59" i="6"/>
  <c r="O61" i="6" s="1"/>
  <c r="W59" i="6"/>
  <c r="W61" i="6" s="1"/>
  <c r="K59" i="6"/>
  <c r="K61" i="6" s="1"/>
  <c r="X59" i="6"/>
  <c r="X61" i="6" s="1"/>
  <c r="AE59" i="6"/>
  <c r="AE61" i="6" s="1"/>
  <c r="I59" i="6"/>
  <c r="I61" i="6" s="1"/>
  <c r="AF59" i="6"/>
  <c r="AF61" i="6" s="1"/>
  <c r="J59" i="6"/>
  <c r="J61" i="6" s="1"/>
  <c r="U59" i="6"/>
  <c r="U61" i="6" s="1"/>
  <c r="C59" i="6"/>
  <c r="C61" i="6" s="1"/>
  <c r="L59" i="6"/>
  <c r="L61" i="6" s="1"/>
  <c r="V59" i="6"/>
  <c r="V61" i="6" s="1"/>
  <c r="M59" i="6"/>
  <c r="M61" i="6" s="1"/>
  <c r="T59" i="6"/>
  <c r="T61" i="6" s="1"/>
  <c r="N49" i="6"/>
  <c r="N51" i="6" s="1"/>
  <c r="Y49" i="6"/>
  <c r="Y51" i="6" s="1"/>
  <c r="D49" i="6"/>
  <c r="D51" i="6" s="1"/>
  <c r="O49" i="6"/>
  <c r="O51" i="6" s="1"/>
  <c r="Z49" i="6"/>
  <c r="Z51" i="6" s="1"/>
  <c r="F49" i="6"/>
  <c r="F51" i="6" s="1"/>
  <c r="Q49" i="6"/>
  <c r="Q51" i="6" s="1"/>
  <c r="E49" i="6"/>
  <c r="E51" i="6" s="1"/>
  <c r="P49" i="6"/>
  <c r="P51" i="6" s="1"/>
  <c r="AA49" i="6"/>
  <c r="AA51" i="6" s="1"/>
  <c r="AB49" i="6"/>
  <c r="AB51" i="6" s="1"/>
  <c r="L49" i="6"/>
  <c r="L51" i="6" s="1"/>
  <c r="W49" i="6"/>
  <c r="W51" i="6" s="1"/>
  <c r="C49" i="6"/>
  <c r="C51" i="6" s="1"/>
  <c r="M49" i="6"/>
  <c r="M51" i="6" s="1"/>
  <c r="X49" i="6"/>
  <c r="X51" i="6" s="1"/>
  <c r="T49" i="6"/>
  <c r="T51" i="6" s="1"/>
  <c r="V49" i="6"/>
  <c r="V51" i="6" s="1"/>
  <c r="U49" i="6"/>
  <c r="U51" i="6" s="1"/>
  <c r="AD49" i="6"/>
  <c r="AD51" i="6" s="1"/>
  <c r="J49" i="6"/>
  <c r="J51" i="6" s="1"/>
  <c r="AE49" i="6"/>
  <c r="AE51" i="6" s="1"/>
  <c r="AC49" i="6"/>
  <c r="AC51" i="6" s="1"/>
  <c r="R49" i="6"/>
  <c r="R51" i="6" s="1"/>
  <c r="G49" i="6"/>
  <c r="G51" i="6" s="1"/>
  <c r="I49" i="6"/>
  <c r="I51" i="6" s="1"/>
  <c r="AF49" i="6"/>
  <c r="AF51" i="6" s="1"/>
  <c r="K49" i="6"/>
  <c r="K51" i="6" s="1"/>
  <c r="S49" i="6"/>
  <c r="S51" i="6" s="1"/>
  <c r="H49" i="6"/>
  <c r="H51" i="6" s="1"/>
  <c r="M25" i="6"/>
  <c r="M27" i="6" s="1"/>
  <c r="X25" i="6"/>
  <c r="X27" i="6" s="1"/>
  <c r="E25" i="6"/>
  <c r="E27" i="6" s="1"/>
  <c r="N25" i="6"/>
  <c r="N27" i="6" s="1"/>
  <c r="Y25" i="6"/>
  <c r="Y27" i="6" s="1"/>
  <c r="D25" i="6"/>
  <c r="D27" i="6" s="1"/>
  <c r="O25" i="6"/>
  <c r="O27" i="6" s="1"/>
  <c r="Z25" i="6"/>
  <c r="Z27" i="6" s="1"/>
  <c r="P25" i="6"/>
  <c r="P27" i="6" s="1"/>
  <c r="AA25" i="6"/>
  <c r="AA27" i="6" s="1"/>
  <c r="K25" i="6"/>
  <c r="K27" i="6" s="1"/>
  <c r="V25" i="6"/>
  <c r="V27" i="6" s="1"/>
  <c r="W25" i="6"/>
  <c r="W27" i="6" s="1"/>
  <c r="L25" i="6"/>
  <c r="L27" i="6" s="1"/>
  <c r="C25" i="6"/>
  <c r="C27" i="6" s="1"/>
  <c r="R25" i="6"/>
  <c r="R27" i="6" s="1"/>
  <c r="S25" i="6"/>
  <c r="S27" i="6" s="1"/>
  <c r="AB25" i="6"/>
  <c r="AB27" i="6" s="1"/>
  <c r="AD25" i="6"/>
  <c r="AD27" i="6" s="1"/>
  <c r="H25" i="6"/>
  <c r="H27" i="6" s="1"/>
  <c r="AC25" i="6"/>
  <c r="AC27" i="6" s="1"/>
  <c r="U25" i="6"/>
  <c r="U27" i="6" s="1"/>
  <c r="J25" i="6"/>
  <c r="J27" i="6" s="1"/>
  <c r="G25" i="6"/>
  <c r="G27" i="6" s="1"/>
  <c r="I25" i="6"/>
  <c r="I27" i="6" s="1"/>
  <c r="AF25" i="6"/>
  <c r="AF27" i="6" s="1"/>
  <c r="Q25" i="6"/>
  <c r="Q27" i="6" s="1"/>
  <c r="T25" i="6"/>
  <c r="T27" i="6" s="1"/>
  <c r="F25" i="6"/>
  <c r="F27" i="6" s="1"/>
  <c r="AE25" i="6"/>
  <c r="AE27" i="6" s="1"/>
  <c r="L3" i="6"/>
  <c r="L5" i="6" s="1"/>
  <c r="W3" i="6"/>
  <c r="W5" i="6" s="1"/>
  <c r="M3" i="6"/>
  <c r="M5" i="6" s="1"/>
  <c r="X3" i="6"/>
  <c r="X5" i="6" s="1"/>
  <c r="D3" i="6"/>
  <c r="D5" i="6" s="1"/>
  <c r="N3" i="6"/>
  <c r="N5" i="6" s="1"/>
  <c r="Y3" i="6"/>
  <c r="Y5" i="6" s="1"/>
  <c r="O3" i="6"/>
  <c r="O5" i="6" s="1"/>
  <c r="Z3" i="6"/>
  <c r="Z5" i="6" s="1"/>
  <c r="J3" i="6"/>
  <c r="J5" i="6" s="1"/>
  <c r="U3" i="6"/>
  <c r="U5" i="6" s="1"/>
  <c r="AF3" i="6"/>
  <c r="AF5" i="6" s="1"/>
  <c r="C3" i="6"/>
  <c r="C5" i="6" s="1"/>
  <c r="K3" i="6"/>
  <c r="K5" i="6" s="1"/>
  <c r="V3" i="6"/>
  <c r="V5" i="6" s="1"/>
  <c r="I3" i="6"/>
  <c r="I5" i="6" s="1"/>
  <c r="P3" i="6"/>
  <c r="P5" i="6" s="1"/>
  <c r="AB3" i="6"/>
  <c r="AB5" i="6" s="1"/>
  <c r="R3" i="6"/>
  <c r="R5" i="6" s="1"/>
  <c r="S3" i="6"/>
  <c r="S5" i="6" s="1"/>
  <c r="G3" i="6"/>
  <c r="G5" i="6" s="1"/>
  <c r="AD3" i="6"/>
  <c r="AD5" i="6" s="1"/>
  <c r="Q3" i="6"/>
  <c r="Q5" i="6" s="1"/>
  <c r="T3" i="6"/>
  <c r="T5" i="6" s="1"/>
  <c r="AA3" i="6"/>
  <c r="AA5" i="6" s="1"/>
  <c r="H3" i="6"/>
  <c r="H5" i="6" s="1"/>
  <c r="AE3" i="6"/>
  <c r="AE5" i="6" s="1"/>
  <c r="E3" i="6"/>
  <c r="E5" i="6" s="1"/>
  <c r="AC3" i="6"/>
  <c r="AC5" i="6" s="1"/>
  <c r="F3" i="6"/>
  <c r="F5" i="6" s="1"/>
  <c r="B45" i="4"/>
  <c r="H45" i="4"/>
  <c r="N45" i="4"/>
  <c r="H52" i="4"/>
  <c r="C36" i="5"/>
  <c r="C38" i="5" s="1"/>
  <c r="AC36" i="5"/>
  <c r="AC38" i="5" s="1"/>
  <c r="K36" i="5"/>
  <c r="K38" i="5" s="1"/>
  <c r="M36" i="5"/>
  <c r="M38" i="5" s="1"/>
  <c r="L36" i="5"/>
  <c r="L38" i="5" s="1"/>
  <c r="E36" i="5"/>
  <c r="E38" i="5" s="1"/>
  <c r="AB36" i="5"/>
  <c r="AB38" i="5" s="1"/>
  <c r="W36" i="5"/>
  <c r="W38" i="5" s="1"/>
  <c r="P36" i="5"/>
  <c r="P38" i="5" s="1"/>
  <c r="O36" i="5"/>
  <c r="O38" i="5" s="1"/>
  <c r="S36" i="5"/>
  <c r="S38" i="5" s="1"/>
  <c r="F36" i="5"/>
  <c r="F38" i="5" s="1"/>
  <c r="H36" i="5"/>
  <c r="H38" i="5" s="1"/>
  <c r="D36" i="5"/>
  <c r="D38" i="5" s="1"/>
  <c r="AA36" i="5"/>
  <c r="AA38" i="5" s="1"/>
  <c r="V36" i="5"/>
  <c r="V38" i="5" s="1"/>
  <c r="AF36" i="5"/>
  <c r="AF38" i="5" s="1"/>
  <c r="Q36" i="5"/>
  <c r="Q38" i="5" s="1"/>
  <c r="J36" i="5"/>
  <c r="J38" i="5" s="1"/>
  <c r="T36" i="5"/>
  <c r="T38" i="5" s="1"/>
  <c r="Y36" i="5"/>
  <c r="Y38" i="5" s="1"/>
  <c r="G36" i="5"/>
  <c r="G38" i="5" s="1"/>
  <c r="Z36" i="5"/>
  <c r="Z38" i="5" s="1"/>
  <c r="N36" i="5"/>
  <c r="N38" i="5" s="1"/>
  <c r="AD36" i="5"/>
  <c r="AD38" i="5" s="1"/>
  <c r="I36" i="5"/>
  <c r="I38" i="5" s="1"/>
  <c r="R36" i="5"/>
  <c r="R38" i="5" s="1"/>
  <c r="X36" i="5"/>
  <c r="X38" i="5" s="1"/>
  <c r="U36" i="5"/>
  <c r="U38" i="5" s="1"/>
  <c r="AE36" i="5"/>
  <c r="AE38" i="5" s="1"/>
  <c r="B31" i="5"/>
  <c r="J3" i="9" s="1"/>
  <c r="J4" i="9" s="1"/>
  <c r="J10" i="9" s="1"/>
  <c r="B35" i="3"/>
  <c r="B55" i="5"/>
  <c r="Q3" i="9" s="1"/>
  <c r="Q4" i="9" s="1"/>
  <c r="Q10" i="9" s="1"/>
  <c r="N54" i="4"/>
  <c r="B65" i="5"/>
  <c r="Q14" i="9" s="1"/>
  <c r="Q15" i="9" s="1"/>
  <c r="B9" i="5"/>
  <c r="C3" i="9" s="1"/>
  <c r="C4" i="9" s="1"/>
  <c r="C10" i="9" s="1"/>
  <c r="AA13" i="6" l="1"/>
  <c r="AA15" i="6" s="1"/>
  <c r="V13" i="6"/>
  <c r="V15" i="6" s="1"/>
  <c r="I13" i="6"/>
  <c r="I15" i="6" s="1"/>
  <c r="L13" i="6"/>
  <c r="L15" i="6" s="1"/>
  <c r="K13" i="6"/>
  <c r="K15" i="6" s="1"/>
  <c r="X13" i="6"/>
  <c r="X15" i="6" s="1"/>
  <c r="J13" i="6"/>
  <c r="J15" i="6" s="1"/>
  <c r="Z13" i="6"/>
  <c r="Z15" i="6" s="1"/>
  <c r="AE13" i="6"/>
  <c r="AE15" i="6" s="1"/>
  <c r="E13" i="6"/>
  <c r="E15" i="6" s="1"/>
  <c r="T13" i="6"/>
  <c r="T15" i="6" s="1"/>
  <c r="C13" i="6"/>
  <c r="C15" i="6" s="1"/>
  <c r="O13" i="6"/>
  <c r="O15" i="6" s="1"/>
  <c r="R13" i="6"/>
  <c r="R15" i="6" s="1"/>
  <c r="H13" i="6"/>
  <c r="H15" i="6" s="1"/>
  <c r="AD13" i="6"/>
  <c r="AD15" i="6" s="1"/>
  <c r="AC13" i="6"/>
  <c r="AC15" i="6" s="1"/>
  <c r="G13" i="6"/>
  <c r="G15" i="6" s="1"/>
  <c r="W13" i="6"/>
  <c r="W15" i="6" s="1"/>
  <c r="P13" i="6"/>
  <c r="P15" i="6" s="1"/>
  <c r="S13" i="6"/>
  <c r="S15" i="6" s="1"/>
  <c r="Y13" i="6"/>
  <c r="Y15" i="6" s="1"/>
  <c r="Q13" i="6"/>
  <c r="Q15" i="6" s="1"/>
  <c r="AB13" i="6"/>
  <c r="AB15" i="6" s="1"/>
  <c r="N13" i="6"/>
  <c r="N15" i="6" s="1"/>
  <c r="F13" i="6"/>
  <c r="F15" i="6" s="1"/>
  <c r="B54" i="4"/>
  <c r="T13" i="8" s="1"/>
  <c r="T15" i="8" s="1"/>
  <c r="D13" i="6"/>
  <c r="D15" i="6" s="1"/>
  <c r="AF13" i="6"/>
  <c r="AF15" i="6" s="1"/>
  <c r="M13" i="6"/>
  <c r="M15" i="6" s="1"/>
  <c r="B23" i="10"/>
  <c r="B19" i="5"/>
  <c r="C14" i="9" s="1"/>
  <c r="C15" i="9" s="1"/>
  <c r="C21" i="9" s="1"/>
  <c r="B24" i="10"/>
  <c r="B22" i="10"/>
  <c r="B21" i="10"/>
  <c r="Q21" i="9"/>
  <c r="Q32" i="9"/>
  <c r="Q33" i="9" s="1"/>
  <c r="M49" i="8"/>
  <c r="M51" i="8" s="1"/>
  <c r="X49" i="8"/>
  <c r="X51" i="8" s="1"/>
  <c r="G49" i="7"/>
  <c r="G51" i="7" s="1"/>
  <c r="R49" i="7"/>
  <c r="R51" i="7" s="1"/>
  <c r="AC49" i="7"/>
  <c r="AC51" i="7" s="1"/>
  <c r="N49" i="8"/>
  <c r="N51" i="8" s="1"/>
  <c r="Y49" i="8"/>
  <c r="Y51" i="8" s="1"/>
  <c r="H49" i="7"/>
  <c r="H51" i="7" s="1"/>
  <c r="S49" i="7"/>
  <c r="S51" i="7" s="1"/>
  <c r="AD49" i="7"/>
  <c r="AD51" i="7" s="1"/>
  <c r="D49" i="8"/>
  <c r="D51" i="8" s="1"/>
  <c r="O49" i="8"/>
  <c r="O51" i="8" s="1"/>
  <c r="Z49" i="8"/>
  <c r="Z51" i="8" s="1"/>
  <c r="I49" i="7"/>
  <c r="I51" i="7" s="1"/>
  <c r="T49" i="7"/>
  <c r="T51" i="7" s="1"/>
  <c r="AE49" i="7"/>
  <c r="AE51" i="7" s="1"/>
  <c r="E49" i="8"/>
  <c r="E51" i="8" s="1"/>
  <c r="P49" i="8"/>
  <c r="P51" i="8" s="1"/>
  <c r="AA49" i="8"/>
  <c r="AA51" i="8" s="1"/>
  <c r="J49" i="7"/>
  <c r="J51" i="7" s="1"/>
  <c r="U49" i="7"/>
  <c r="U51" i="7" s="1"/>
  <c r="AF49" i="7"/>
  <c r="AF51" i="7" s="1"/>
  <c r="K49" i="8"/>
  <c r="K51" i="8" s="1"/>
  <c r="V49" i="8"/>
  <c r="V51" i="8" s="1"/>
  <c r="E49" i="7"/>
  <c r="E51" i="7" s="1"/>
  <c r="P49" i="7"/>
  <c r="P51" i="7" s="1"/>
  <c r="AA49" i="7"/>
  <c r="AA51" i="7" s="1"/>
  <c r="L49" i="8"/>
  <c r="L51" i="8" s="1"/>
  <c r="W49" i="8"/>
  <c r="W51" i="8" s="1"/>
  <c r="C49" i="8"/>
  <c r="C51" i="8" s="1"/>
  <c r="F49" i="7"/>
  <c r="F51" i="7" s="1"/>
  <c r="Q49" i="7"/>
  <c r="Q51" i="7" s="1"/>
  <c r="AB49" i="7"/>
  <c r="AB51" i="7" s="1"/>
  <c r="F49" i="8"/>
  <c r="F51" i="8" s="1"/>
  <c r="AC49" i="8"/>
  <c r="AC51" i="8" s="1"/>
  <c r="D49" i="7"/>
  <c r="D51" i="7" s="1"/>
  <c r="O49" i="7"/>
  <c r="O51" i="7" s="1"/>
  <c r="G49" i="8"/>
  <c r="G51" i="8" s="1"/>
  <c r="AD49" i="8"/>
  <c r="AD51" i="8" s="1"/>
  <c r="K49" i="7"/>
  <c r="K51" i="7" s="1"/>
  <c r="C49" i="7"/>
  <c r="C51" i="7" s="1"/>
  <c r="L49" i="7"/>
  <c r="L51" i="7" s="1"/>
  <c r="W49" i="7"/>
  <c r="W51" i="7" s="1"/>
  <c r="H49" i="8"/>
  <c r="H51" i="8" s="1"/>
  <c r="AE49" i="8"/>
  <c r="AE51" i="8" s="1"/>
  <c r="I49" i="8"/>
  <c r="I51" i="8" s="1"/>
  <c r="AF49" i="8"/>
  <c r="AF51" i="8" s="1"/>
  <c r="M49" i="7"/>
  <c r="M51" i="7" s="1"/>
  <c r="J49" i="8"/>
  <c r="J51" i="8" s="1"/>
  <c r="N49" i="7"/>
  <c r="N51" i="7" s="1"/>
  <c r="Q49" i="8"/>
  <c r="Q51" i="8" s="1"/>
  <c r="U49" i="8"/>
  <c r="U51" i="8" s="1"/>
  <c r="Y49" i="7"/>
  <c r="Y51" i="7" s="1"/>
  <c r="R49" i="8"/>
  <c r="R51" i="8" s="1"/>
  <c r="V49" i="7"/>
  <c r="V51" i="7" s="1"/>
  <c r="S49" i="8"/>
  <c r="S51" i="8" s="1"/>
  <c r="AB49" i="8"/>
  <c r="AB51" i="8" s="1"/>
  <c r="Z49" i="7"/>
  <c r="Z51" i="7" s="1"/>
  <c r="T49" i="8"/>
  <c r="T51" i="8" s="1"/>
  <c r="X49" i="7"/>
  <c r="X51" i="7" s="1"/>
  <c r="M25" i="8"/>
  <c r="M27" i="8" s="1"/>
  <c r="X25" i="8"/>
  <c r="X27" i="8" s="1"/>
  <c r="N25" i="7"/>
  <c r="N27" i="7" s="1"/>
  <c r="Y25" i="7"/>
  <c r="Y27" i="7" s="1"/>
  <c r="N25" i="8"/>
  <c r="N27" i="8" s="1"/>
  <c r="Y25" i="8"/>
  <c r="Y27" i="8" s="1"/>
  <c r="D25" i="7"/>
  <c r="D27" i="7" s="1"/>
  <c r="O25" i="7"/>
  <c r="O27" i="7" s="1"/>
  <c r="Z25" i="7"/>
  <c r="Z27" i="7" s="1"/>
  <c r="D25" i="8"/>
  <c r="D27" i="8" s="1"/>
  <c r="O25" i="8"/>
  <c r="O27" i="8" s="1"/>
  <c r="Z25" i="8"/>
  <c r="Z27" i="8" s="1"/>
  <c r="E25" i="7"/>
  <c r="E27" i="7" s="1"/>
  <c r="P25" i="7"/>
  <c r="P27" i="7" s="1"/>
  <c r="AA25" i="7"/>
  <c r="AA27" i="7" s="1"/>
  <c r="E25" i="8"/>
  <c r="E27" i="8" s="1"/>
  <c r="P25" i="8"/>
  <c r="P27" i="8" s="1"/>
  <c r="AA25" i="8"/>
  <c r="AA27" i="8" s="1"/>
  <c r="F25" i="7"/>
  <c r="F27" i="7" s="1"/>
  <c r="Q25" i="7"/>
  <c r="Q27" i="7" s="1"/>
  <c r="AB25" i="7"/>
  <c r="AB27" i="7" s="1"/>
  <c r="K25" i="8"/>
  <c r="K27" i="8" s="1"/>
  <c r="V25" i="8"/>
  <c r="V27" i="8" s="1"/>
  <c r="L25" i="7"/>
  <c r="L27" i="7" s="1"/>
  <c r="W25" i="7"/>
  <c r="W27" i="7" s="1"/>
  <c r="L25" i="8"/>
  <c r="L27" i="8" s="1"/>
  <c r="W25" i="8"/>
  <c r="W27" i="8" s="1"/>
  <c r="C25" i="8"/>
  <c r="C27" i="8" s="1"/>
  <c r="M25" i="7"/>
  <c r="M27" i="7" s="1"/>
  <c r="X25" i="7"/>
  <c r="X27" i="7" s="1"/>
  <c r="F25" i="8"/>
  <c r="F27" i="8" s="1"/>
  <c r="AC25" i="8"/>
  <c r="AC27" i="8" s="1"/>
  <c r="T25" i="7"/>
  <c r="T27" i="7" s="1"/>
  <c r="H25" i="7"/>
  <c r="H27" i="7" s="1"/>
  <c r="AF25" i="7"/>
  <c r="AF27" i="7" s="1"/>
  <c r="G25" i="8"/>
  <c r="G27" i="8" s="1"/>
  <c r="AD25" i="8"/>
  <c r="AD27" i="8" s="1"/>
  <c r="U25" i="7"/>
  <c r="U27" i="7" s="1"/>
  <c r="V25" i="7"/>
  <c r="V27" i="7" s="1"/>
  <c r="AE25" i="7"/>
  <c r="AE27" i="7" s="1"/>
  <c r="S25" i="8"/>
  <c r="S27" i="8" s="1"/>
  <c r="H25" i="8"/>
  <c r="H27" i="8" s="1"/>
  <c r="AE25" i="8"/>
  <c r="AE27" i="8" s="1"/>
  <c r="I25" i="8"/>
  <c r="I27" i="8" s="1"/>
  <c r="AF25" i="8"/>
  <c r="AF27" i="8" s="1"/>
  <c r="AC25" i="7"/>
  <c r="AC27" i="7" s="1"/>
  <c r="J25" i="8"/>
  <c r="J27" i="8" s="1"/>
  <c r="G25" i="7"/>
  <c r="G27" i="7" s="1"/>
  <c r="AD25" i="7"/>
  <c r="AD27" i="7" s="1"/>
  <c r="C25" i="7"/>
  <c r="C27" i="7" s="1"/>
  <c r="Q25" i="8"/>
  <c r="Q27" i="8" s="1"/>
  <c r="I25" i="7"/>
  <c r="I27" i="7" s="1"/>
  <c r="U25" i="8"/>
  <c r="U27" i="8" s="1"/>
  <c r="R25" i="7"/>
  <c r="R27" i="7" s="1"/>
  <c r="R25" i="8"/>
  <c r="R27" i="8" s="1"/>
  <c r="AB25" i="8"/>
  <c r="AB27" i="8" s="1"/>
  <c r="S25" i="7"/>
  <c r="S27" i="7" s="1"/>
  <c r="J25" i="7"/>
  <c r="J27" i="7" s="1"/>
  <c r="T25" i="8"/>
  <c r="T27" i="8" s="1"/>
  <c r="K25" i="7"/>
  <c r="K27" i="7" s="1"/>
  <c r="N3" i="8"/>
  <c r="N5" i="8" s="1"/>
  <c r="Y3" i="8"/>
  <c r="Y5" i="8" s="1"/>
  <c r="G3" i="7"/>
  <c r="G5" i="7" s="1"/>
  <c r="R3" i="7"/>
  <c r="R5" i="7" s="1"/>
  <c r="AC3" i="7"/>
  <c r="AC5" i="7" s="1"/>
  <c r="D3" i="8"/>
  <c r="D5" i="8" s="1"/>
  <c r="O3" i="8"/>
  <c r="O5" i="8" s="1"/>
  <c r="Z3" i="8"/>
  <c r="Z5" i="8" s="1"/>
  <c r="H3" i="7"/>
  <c r="H5" i="7" s="1"/>
  <c r="S3" i="7"/>
  <c r="S5" i="7" s="1"/>
  <c r="AD3" i="7"/>
  <c r="AD5" i="7" s="1"/>
  <c r="E3" i="8"/>
  <c r="E5" i="8" s="1"/>
  <c r="P3" i="8"/>
  <c r="P5" i="8" s="1"/>
  <c r="AA3" i="8"/>
  <c r="AA5" i="8" s="1"/>
  <c r="I3" i="7"/>
  <c r="I5" i="7" s="1"/>
  <c r="T3" i="7"/>
  <c r="T5" i="7" s="1"/>
  <c r="AE3" i="7"/>
  <c r="AE5" i="7" s="1"/>
  <c r="F3" i="8"/>
  <c r="F5" i="8" s="1"/>
  <c r="Q3" i="8"/>
  <c r="Q5" i="8" s="1"/>
  <c r="AB3" i="8"/>
  <c r="AB5" i="8" s="1"/>
  <c r="J3" i="7"/>
  <c r="J5" i="7" s="1"/>
  <c r="U3" i="7"/>
  <c r="U5" i="7" s="1"/>
  <c r="AF3" i="7"/>
  <c r="AF5" i="7" s="1"/>
  <c r="L3" i="8"/>
  <c r="L5" i="8" s="1"/>
  <c r="W3" i="8"/>
  <c r="W5" i="8" s="1"/>
  <c r="C3" i="8"/>
  <c r="C5" i="8" s="1"/>
  <c r="E3" i="7"/>
  <c r="E5" i="7" s="1"/>
  <c r="P3" i="7"/>
  <c r="P5" i="7" s="1"/>
  <c r="AA3" i="7"/>
  <c r="AA5" i="7" s="1"/>
  <c r="AB3" i="7"/>
  <c r="AB5" i="7" s="1"/>
  <c r="M3" i="8"/>
  <c r="M5" i="8" s="1"/>
  <c r="X3" i="8"/>
  <c r="X5" i="8" s="1"/>
  <c r="F3" i="7"/>
  <c r="F5" i="7" s="1"/>
  <c r="Q3" i="7"/>
  <c r="Q5" i="7" s="1"/>
  <c r="G3" i="8"/>
  <c r="G5" i="8" s="1"/>
  <c r="AD3" i="8"/>
  <c r="AD5" i="8" s="1"/>
  <c r="X3" i="7"/>
  <c r="X5" i="7" s="1"/>
  <c r="L3" i="7"/>
  <c r="L5" i="7" s="1"/>
  <c r="S3" i="8"/>
  <c r="S5" i="8" s="1"/>
  <c r="M3" i="7"/>
  <c r="M5" i="7" s="1"/>
  <c r="T3" i="8"/>
  <c r="T5" i="8" s="1"/>
  <c r="H3" i="8"/>
  <c r="H5" i="8" s="1"/>
  <c r="AE3" i="8"/>
  <c r="AE5" i="8" s="1"/>
  <c r="Y3" i="7"/>
  <c r="Y5" i="7" s="1"/>
  <c r="Z3" i="7"/>
  <c r="Z5" i="7" s="1"/>
  <c r="I3" i="8"/>
  <c r="I5" i="8" s="1"/>
  <c r="AF3" i="8"/>
  <c r="AF5" i="8" s="1"/>
  <c r="J3" i="8"/>
  <c r="J5" i="8" s="1"/>
  <c r="D3" i="7"/>
  <c r="D5" i="7" s="1"/>
  <c r="K3" i="8"/>
  <c r="K5" i="8" s="1"/>
  <c r="K3" i="7"/>
  <c r="K5" i="7" s="1"/>
  <c r="C3" i="7"/>
  <c r="C5" i="7" s="1"/>
  <c r="R3" i="8"/>
  <c r="R5" i="8" s="1"/>
  <c r="V3" i="8"/>
  <c r="V5" i="8" s="1"/>
  <c r="V3" i="7"/>
  <c r="V5" i="7" s="1"/>
  <c r="AC3" i="8"/>
  <c r="AC5" i="8" s="1"/>
  <c r="W3" i="7"/>
  <c r="W5" i="7" s="1"/>
  <c r="N3" i="7"/>
  <c r="N5" i="7" s="1"/>
  <c r="U3" i="8"/>
  <c r="U5" i="8" s="1"/>
  <c r="O3" i="7"/>
  <c r="O5" i="7" s="1"/>
  <c r="G59" i="8"/>
  <c r="G61" i="8" s="1"/>
  <c r="R59" i="8"/>
  <c r="R61" i="8" s="1"/>
  <c r="AC59" i="8"/>
  <c r="AC61" i="8" s="1"/>
  <c r="H59" i="7"/>
  <c r="H61" i="7" s="1"/>
  <c r="S59" i="7"/>
  <c r="S61" i="7" s="1"/>
  <c r="AD59" i="7"/>
  <c r="AD61" i="7" s="1"/>
  <c r="C59" i="7"/>
  <c r="C61" i="7" s="1"/>
  <c r="H59" i="8"/>
  <c r="H61" i="8" s="1"/>
  <c r="S59" i="8"/>
  <c r="S61" i="8" s="1"/>
  <c r="AD59" i="8"/>
  <c r="AD61" i="8" s="1"/>
  <c r="C59" i="8"/>
  <c r="C61" i="8" s="1"/>
  <c r="I59" i="7"/>
  <c r="I61" i="7" s="1"/>
  <c r="T59" i="7"/>
  <c r="T61" i="7" s="1"/>
  <c r="AE59" i="7"/>
  <c r="AE61" i="7" s="1"/>
  <c r="I59" i="8"/>
  <c r="I61" i="8" s="1"/>
  <c r="T59" i="8"/>
  <c r="T61" i="8" s="1"/>
  <c r="AE59" i="8"/>
  <c r="AE61" i="8" s="1"/>
  <c r="J59" i="7"/>
  <c r="J61" i="7" s="1"/>
  <c r="U59" i="7"/>
  <c r="U61" i="7" s="1"/>
  <c r="AF59" i="7"/>
  <c r="AF61" i="7" s="1"/>
  <c r="J59" i="8"/>
  <c r="J61" i="8" s="1"/>
  <c r="U59" i="8"/>
  <c r="U61" i="8" s="1"/>
  <c r="AF59" i="8"/>
  <c r="AF61" i="8" s="1"/>
  <c r="K59" i="7"/>
  <c r="K61" i="7" s="1"/>
  <c r="V59" i="7"/>
  <c r="V61" i="7" s="1"/>
  <c r="E59" i="8"/>
  <c r="E61" i="8" s="1"/>
  <c r="P59" i="8"/>
  <c r="P61" i="8" s="1"/>
  <c r="AA59" i="8"/>
  <c r="AA61" i="8" s="1"/>
  <c r="F59" i="7"/>
  <c r="F61" i="7" s="1"/>
  <c r="Q59" i="7"/>
  <c r="Q61" i="7" s="1"/>
  <c r="AB59" i="7"/>
  <c r="AB61" i="7" s="1"/>
  <c r="F59" i="8"/>
  <c r="F61" i="8" s="1"/>
  <c r="Q59" i="8"/>
  <c r="Q61" i="8" s="1"/>
  <c r="AB59" i="8"/>
  <c r="AB61" i="8" s="1"/>
  <c r="G59" i="7"/>
  <c r="G61" i="7" s="1"/>
  <c r="R59" i="7"/>
  <c r="R61" i="7" s="1"/>
  <c r="AC59" i="7"/>
  <c r="AC61" i="7" s="1"/>
  <c r="X59" i="8"/>
  <c r="X61" i="8" s="1"/>
  <c r="O59" i="7"/>
  <c r="O61" i="7" s="1"/>
  <c r="Z59" i="7"/>
  <c r="Z61" i="7" s="1"/>
  <c r="D59" i="7"/>
  <c r="D61" i="7" s="1"/>
  <c r="E59" i="7"/>
  <c r="E61" i="7" s="1"/>
  <c r="Y59" i="8"/>
  <c r="Y61" i="8" s="1"/>
  <c r="P59" i="7"/>
  <c r="P61" i="7" s="1"/>
  <c r="W59" i="7"/>
  <c r="W61" i="7" s="1"/>
  <c r="AA59" i="7"/>
  <c r="AA61" i="7" s="1"/>
  <c r="Z59" i="8"/>
  <c r="Z61" i="8" s="1"/>
  <c r="D59" i="8"/>
  <c r="D61" i="8" s="1"/>
  <c r="X59" i="7"/>
  <c r="X61" i="7" s="1"/>
  <c r="K59" i="8"/>
  <c r="K61" i="8" s="1"/>
  <c r="Y59" i="7"/>
  <c r="Y61" i="7" s="1"/>
  <c r="O59" i="8"/>
  <c r="O61" i="8" s="1"/>
  <c r="V59" i="8"/>
  <c r="V61" i="8" s="1"/>
  <c r="M59" i="7"/>
  <c r="M61" i="7" s="1"/>
  <c r="L59" i="8"/>
  <c r="L61" i="8" s="1"/>
  <c r="M59" i="8"/>
  <c r="M61" i="8" s="1"/>
  <c r="N59" i="8"/>
  <c r="N61" i="8" s="1"/>
  <c r="W59" i="8"/>
  <c r="W61" i="8" s="1"/>
  <c r="N59" i="7"/>
  <c r="N61" i="7" s="1"/>
  <c r="L59" i="7"/>
  <c r="L61" i="7" s="1"/>
  <c r="D36" i="6"/>
  <c r="D38" i="6" s="1"/>
  <c r="O36" i="6"/>
  <c r="O38" i="6" s="1"/>
  <c r="Z36" i="6"/>
  <c r="Z38" i="6" s="1"/>
  <c r="E36" i="6"/>
  <c r="E38" i="6" s="1"/>
  <c r="P36" i="6"/>
  <c r="P38" i="6" s="1"/>
  <c r="AA36" i="6"/>
  <c r="AA38" i="6" s="1"/>
  <c r="G36" i="6"/>
  <c r="G38" i="6" s="1"/>
  <c r="R36" i="6"/>
  <c r="R38" i="6" s="1"/>
  <c r="AC36" i="6"/>
  <c r="AC38" i="6" s="1"/>
  <c r="F36" i="6"/>
  <c r="F38" i="6" s="1"/>
  <c r="Q36" i="6"/>
  <c r="Q38" i="6" s="1"/>
  <c r="AB36" i="6"/>
  <c r="AB38" i="6" s="1"/>
  <c r="M36" i="6"/>
  <c r="M38" i="6" s="1"/>
  <c r="X36" i="6"/>
  <c r="X38" i="6" s="1"/>
  <c r="N36" i="6"/>
  <c r="N38" i="6" s="1"/>
  <c r="Y36" i="6"/>
  <c r="Y38" i="6" s="1"/>
  <c r="K36" i="6"/>
  <c r="K38" i="6" s="1"/>
  <c r="U36" i="6"/>
  <c r="U38" i="6" s="1"/>
  <c r="L36" i="6"/>
  <c r="L38" i="6" s="1"/>
  <c r="S36" i="6"/>
  <c r="S38" i="6" s="1"/>
  <c r="T36" i="6"/>
  <c r="T38" i="6" s="1"/>
  <c r="I36" i="6"/>
  <c r="I38" i="6" s="1"/>
  <c r="AF36" i="6"/>
  <c r="AF38" i="6" s="1"/>
  <c r="W36" i="6"/>
  <c r="W38" i="6" s="1"/>
  <c r="H36" i="6"/>
  <c r="H38" i="6" s="1"/>
  <c r="AE36" i="6"/>
  <c r="AE38" i="6" s="1"/>
  <c r="J36" i="6"/>
  <c r="J38" i="6" s="1"/>
  <c r="V36" i="6"/>
  <c r="V38" i="6" s="1"/>
  <c r="AD36" i="6"/>
  <c r="AD38" i="6" s="1"/>
  <c r="C36" i="6"/>
  <c r="C38" i="6" s="1"/>
  <c r="B65" i="6"/>
  <c r="R14" i="9" s="1"/>
  <c r="R15" i="9" s="1"/>
  <c r="R21" i="9" s="1"/>
  <c r="B9" i="6"/>
  <c r="D3" i="9" s="1"/>
  <c r="D4" i="9" s="1"/>
  <c r="D10" i="9" s="1"/>
  <c r="B55" i="6"/>
  <c r="R3" i="9" s="1"/>
  <c r="R4" i="9" s="1"/>
  <c r="R10" i="9" s="1"/>
  <c r="B42" i="5"/>
  <c r="J14" i="9" s="1"/>
  <c r="J15" i="9" s="1"/>
  <c r="H54" i="4"/>
  <c r="B31" i="6"/>
  <c r="K3" i="9" s="1"/>
  <c r="K4" i="9" s="1"/>
  <c r="K10" i="9" s="1"/>
  <c r="AA13" i="7" l="1"/>
  <c r="AA15" i="7" s="1"/>
  <c r="K13" i="8"/>
  <c r="K15" i="8" s="1"/>
  <c r="Z13" i="7"/>
  <c r="Z15" i="7" s="1"/>
  <c r="AE13" i="8"/>
  <c r="AE15" i="8" s="1"/>
  <c r="I13" i="8"/>
  <c r="I15" i="8" s="1"/>
  <c r="O13" i="7"/>
  <c r="O15" i="7" s="1"/>
  <c r="D13" i="7"/>
  <c r="D15" i="7" s="1"/>
  <c r="P13" i="8"/>
  <c r="P15" i="8" s="1"/>
  <c r="C13" i="8"/>
  <c r="C15" i="8" s="1"/>
  <c r="Q13" i="7"/>
  <c r="Q15" i="7" s="1"/>
  <c r="X13" i="8"/>
  <c r="X15" i="8" s="1"/>
  <c r="E13" i="7"/>
  <c r="E15" i="7" s="1"/>
  <c r="C32" i="9"/>
  <c r="C33" i="9" s="1"/>
  <c r="I13" i="7"/>
  <c r="I15" i="7" s="1"/>
  <c r="B19" i="6"/>
  <c r="D14" i="9" s="1"/>
  <c r="D15" i="9" s="1"/>
  <c r="D21" i="9" s="1"/>
  <c r="O13" i="8"/>
  <c r="O15" i="8" s="1"/>
  <c r="R13" i="8"/>
  <c r="R15" i="8" s="1"/>
  <c r="D13" i="8"/>
  <c r="D15" i="8" s="1"/>
  <c r="G13" i="8"/>
  <c r="G15" i="8" s="1"/>
  <c r="Y13" i="8"/>
  <c r="Y15" i="8" s="1"/>
  <c r="AC13" i="8"/>
  <c r="AC15" i="8" s="1"/>
  <c r="W13" i="7"/>
  <c r="W15" i="7" s="1"/>
  <c r="R13" i="7"/>
  <c r="R15" i="7" s="1"/>
  <c r="AF13" i="7"/>
  <c r="AF15" i="7" s="1"/>
  <c r="L13" i="7"/>
  <c r="L15" i="7" s="1"/>
  <c r="C13" i="7"/>
  <c r="C15" i="7" s="1"/>
  <c r="G13" i="7"/>
  <c r="G15" i="7" s="1"/>
  <c r="J13" i="7"/>
  <c r="J15" i="7" s="1"/>
  <c r="AD13" i="8"/>
  <c r="AD15" i="8" s="1"/>
  <c r="AC13" i="7"/>
  <c r="AC15" i="7" s="1"/>
  <c r="Q13" i="8"/>
  <c r="Q15" i="8" s="1"/>
  <c r="H13" i="8"/>
  <c r="H15" i="8" s="1"/>
  <c r="F13" i="7"/>
  <c r="F15" i="7" s="1"/>
  <c r="F13" i="8"/>
  <c r="F15" i="8" s="1"/>
  <c r="L13" i="8"/>
  <c r="L15" i="8" s="1"/>
  <c r="Z13" i="8"/>
  <c r="Z15" i="8" s="1"/>
  <c r="U13" i="8"/>
  <c r="U15" i="8" s="1"/>
  <c r="S13" i="7"/>
  <c r="S15" i="7" s="1"/>
  <c r="AE13" i="7"/>
  <c r="AE15" i="7" s="1"/>
  <c r="J13" i="8"/>
  <c r="J15" i="8" s="1"/>
  <c r="E13" i="8"/>
  <c r="E15" i="8" s="1"/>
  <c r="AF13" i="8"/>
  <c r="AF15" i="8" s="1"/>
  <c r="AA13" i="8"/>
  <c r="AA15" i="8" s="1"/>
  <c r="N13" i="8"/>
  <c r="N15" i="8" s="1"/>
  <c r="H13" i="7"/>
  <c r="H15" i="7" s="1"/>
  <c r="X13" i="7"/>
  <c r="X15" i="7" s="1"/>
  <c r="AB13" i="7"/>
  <c r="AB15" i="7" s="1"/>
  <c r="T13" i="7"/>
  <c r="T15" i="7" s="1"/>
  <c r="V13" i="8"/>
  <c r="V15" i="8" s="1"/>
  <c r="S13" i="8"/>
  <c r="S15" i="8" s="1"/>
  <c r="M13" i="8"/>
  <c r="M15" i="8" s="1"/>
  <c r="V13" i="7"/>
  <c r="V15" i="7" s="1"/>
  <c r="Y13" i="7"/>
  <c r="Y15" i="7" s="1"/>
  <c r="AD13" i="7"/>
  <c r="AD15" i="7" s="1"/>
  <c r="K13" i="7"/>
  <c r="K15" i="7" s="1"/>
  <c r="N13" i="7"/>
  <c r="N15" i="7" s="1"/>
  <c r="P13" i="7"/>
  <c r="P15" i="7" s="1"/>
  <c r="W13" i="8"/>
  <c r="W15" i="8" s="1"/>
  <c r="U13" i="7"/>
  <c r="U15" i="7" s="1"/>
  <c r="M13" i="7"/>
  <c r="M15" i="7" s="1"/>
  <c r="AB13" i="8"/>
  <c r="AB15" i="8" s="1"/>
  <c r="C40" i="9"/>
  <c r="J21" i="9"/>
  <c r="J32" i="9"/>
  <c r="J33" i="9" s="1"/>
  <c r="G36" i="8"/>
  <c r="G38" i="8" s="1"/>
  <c r="R36" i="8"/>
  <c r="R38" i="8" s="1"/>
  <c r="AC36" i="8"/>
  <c r="AC38" i="8" s="1"/>
  <c r="L36" i="7"/>
  <c r="L38" i="7" s="1"/>
  <c r="W36" i="7"/>
  <c r="W38" i="7" s="1"/>
  <c r="C36" i="7"/>
  <c r="C38" i="7" s="1"/>
  <c r="H36" i="8"/>
  <c r="H38" i="8" s="1"/>
  <c r="S36" i="8"/>
  <c r="S38" i="8" s="1"/>
  <c r="AD36" i="8"/>
  <c r="AD38" i="8" s="1"/>
  <c r="M36" i="7"/>
  <c r="M38" i="7" s="1"/>
  <c r="X36" i="7"/>
  <c r="X38" i="7" s="1"/>
  <c r="I36" i="8"/>
  <c r="I38" i="8" s="1"/>
  <c r="T36" i="8"/>
  <c r="T38" i="8" s="1"/>
  <c r="AE36" i="8"/>
  <c r="AE38" i="8" s="1"/>
  <c r="N36" i="7"/>
  <c r="N38" i="7" s="1"/>
  <c r="Y36" i="7"/>
  <c r="Y38" i="7" s="1"/>
  <c r="J36" i="8"/>
  <c r="J38" i="8" s="1"/>
  <c r="U36" i="8"/>
  <c r="U38" i="8" s="1"/>
  <c r="AF36" i="8"/>
  <c r="AF38" i="8" s="1"/>
  <c r="D36" i="7"/>
  <c r="D38" i="7" s="1"/>
  <c r="O36" i="7"/>
  <c r="O38" i="7" s="1"/>
  <c r="Z36" i="7"/>
  <c r="Z38" i="7" s="1"/>
  <c r="E36" i="8"/>
  <c r="E38" i="8" s="1"/>
  <c r="P36" i="8"/>
  <c r="P38" i="8" s="1"/>
  <c r="AA36" i="8"/>
  <c r="AA38" i="8" s="1"/>
  <c r="J36" i="7"/>
  <c r="J38" i="7" s="1"/>
  <c r="U36" i="7"/>
  <c r="U38" i="7" s="1"/>
  <c r="AF36" i="7"/>
  <c r="AF38" i="7" s="1"/>
  <c r="F36" i="8"/>
  <c r="F38" i="8" s="1"/>
  <c r="Q36" i="8"/>
  <c r="Q38" i="8" s="1"/>
  <c r="AB36" i="8"/>
  <c r="AB38" i="8" s="1"/>
  <c r="K36" i="7"/>
  <c r="K38" i="7" s="1"/>
  <c r="V36" i="7"/>
  <c r="V38" i="7" s="1"/>
  <c r="N36" i="8"/>
  <c r="N38" i="8" s="1"/>
  <c r="F36" i="7"/>
  <c r="F38" i="7" s="1"/>
  <c r="AC36" i="7"/>
  <c r="AC38" i="7" s="1"/>
  <c r="AE36" i="7"/>
  <c r="AE38" i="7" s="1"/>
  <c r="Q36" i="7"/>
  <c r="Q38" i="7" s="1"/>
  <c r="Z36" i="8"/>
  <c r="Z38" i="8" s="1"/>
  <c r="O36" i="8"/>
  <c r="O38" i="8" s="1"/>
  <c r="G36" i="7"/>
  <c r="G38" i="7" s="1"/>
  <c r="AD36" i="7"/>
  <c r="AD38" i="7" s="1"/>
  <c r="H36" i="7"/>
  <c r="H38" i="7" s="1"/>
  <c r="V36" i="8"/>
  <c r="V38" i="8" s="1"/>
  <c r="W36" i="8"/>
  <c r="W38" i="8" s="1"/>
  <c r="I36" i="7"/>
  <c r="I38" i="7" s="1"/>
  <c r="X36" i="8"/>
  <c r="X38" i="8" s="1"/>
  <c r="P36" i="7"/>
  <c r="P38" i="7" s="1"/>
  <c r="Y36" i="8"/>
  <c r="Y38" i="8" s="1"/>
  <c r="T36" i="7"/>
  <c r="T38" i="7" s="1"/>
  <c r="L36" i="8"/>
  <c r="L38" i="8" s="1"/>
  <c r="AA36" i="7"/>
  <c r="AA38" i="7" s="1"/>
  <c r="R36" i="7"/>
  <c r="R38" i="7" s="1"/>
  <c r="D36" i="8"/>
  <c r="D38" i="8" s="1"/>
  <c r="M36" i="8"/>
  <c r="M38" i="8" s="1"/>
  <c r="E36" i="7"/>
  <c r="E38" i="7" s="1"/>
  <c r="AB36" i="7"/>
  <c r="AB38" i="7" s="1"/>
  <c r="S36" i="7"/>
  <c r="S38" i="7" s="1"/>
  <c r="K36" i="8"/>
  <c r="K38" i="8" s="1"/>
  <c r="C36" i="8"/>
  <c r="C38" i="8" s="1"/>
  <c r="B42" i="6"/>
  <c r="K14" i="9" s="1"/>
  <c r="K15" i="9" s="1"/>
  <c r="K21" i="9" s="1"/>
  <c r="B55" i="8"/>
  <c r="T3" i="9" s="1"/>
  <c r="T4" i="9" s="1"/>
  <c r="B31" i="7"/>
  <c r="L3" i="9" s="1"/>
  <c r="L4" i="9" s="1"/>
  <c r="L10" i="9" s="1"/>
  <c r="B65" i="8"/>
  <c r="T14" i="9" s="1"/>
  <c r="T15" i="9" s="1"/>
  <c r="T21" i="9" s="1"/>
  <c r="B65" i="7"/>
  <c r="S14" i="9" s="1"/>
  <c r="S15" i="9" s="1"/>
  <c r="S21" i="9" s="1"/>
  <c r="B31" i="8"/>
  <c r="M3" i="9" s="1"/>
  <c r="M4" i="9" s="1"/>
  <c r="B9" i="7"/>
  <c r="E3" i="9" s="1"/>
  <c r="E4" i="9" s="1"/>
  <c r="E10" i="9" s="1"/>
  <c r="B9" i="8"/>
  <c r="F3" i="9" s="1"/>
  <c r="F4" i="9" s="1"/>
  <c r="B55" i="7"/>
  <c r="S3" i="9" s="1"/>
  <c r="S4" i="9" s="1"/>
  <c r="S10" i="9" s="1"/>
  <c r="B19" i="7" l="1"/>
  <c r="E14" i="9" s="1"/>
  <c r="E15" i="9" s="1"/>
  <c r="E21" i="9" s="1"/>
  <c r="B19" i="8"/>
  <c r="F14" i="9" s="1"/>
  <c r="F15" i="9" s="1"/>
  <c r="F21" i="9" s="1"/>
  <c r="C41" i="9"/>
  <c r="C47" i="9" s="1"/>
  <c r="F10" i="9"/>
  <c r="C27" i="9"/>
  <c r="C28" i="9" s="1"/>
  <c r="T10" i="9"/>
  <c r="Q27" i="9"/>
  <c r="Q28" i="9" s="1"/>
  <c r="M10" i="9"/>
  <c r="J27" i="9"/>
  <c r="J28" i="9" s="1"/>
  <c r="Q34" i="9"/>
  <c r="Q35" i="9" s="1"/>
  <c r="B42" i="7"/>
  <c r="L14" i="9" s="1"/>
  <c r="L15" i="9" s="1"/>
  <c r="L21" i="9" s="1"/>
  <c r="B42" i="8"/>
  <c r="M14" i="9" s="1"/>
  <c r="M15" i="9" s="1"/>
  <c r="M21" i="9" s="1"/>
  <c r="C34" i="9" l="1"/>
  <c r="C35" i="9" s="1"/>
  <c r="J34" i="9"/>
  <c r="J35" i="9" s="1"/>
</calcChain>
</file>

<file path=xl/sharedStrings.xml><?xml version="1.0" encoding="utf-8"?>
<sst xmlns="http://schemas.openxmlformats.org/spreadsheetml/2006/main" count="1113" uniqueCount="191">
  <si>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</si>
  <si>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</si>
  <si>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</si>
  <si>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</si>
  <si>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</si>
  <si>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</si>
  <si>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</si>
  <si>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</si>
  <si>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</si>
  <si>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</si>
  <si>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</si>
  <si>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</si>
  <si>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</si>
  <si>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</si>
  <si>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</si>
  <si>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</si>
  <si>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</si>
  <si>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</si>
  <si>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</si>
  <si>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</si>
  <si>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</si>
  <si>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</si>
  <si>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</si>
  <si>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</si>
  <si>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</si>
  <si>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</si>
  <si>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</si>
  <si>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</si>
  <si>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</si>
  <si>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</si>
  <si>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Key Parameters</t>
  </si>
  <si>
    <t>Source</t>
  </si>
  <si>
    <t>Notes</t>
  </si>
  <si>
    <t>Plant Lifetime</t>
  </si>
  <si>
    <t>Both</t>
  </si>
  <si>
    <t>years</t>
  </si>
  <si>
    <t>E-Fuels: A technoeconomic assessment of European domestic production and imports towards 2050 – Update, Concawe Table 130</t>
  </si>
  <si>
    <t>Discount Rate</t>
  </si>
  <si>
    <t>E-Fuels: A technoeconomic assessment of European domestic production and imports towards 2050 – Update, Concawe</t>
  </si>
  <si>
    <t>Plant Parameters</t>
  </si>
  <si>
    <t>Electrolyser Capacity</t>
  </si>
  <si>
    <t>Nm3/h</t>
  </si>
  <si>
    <t>E-Fuels: A technoeconomic assessment of European domestic production and imports towards 2050 – Update, Concawe Table 123</t>
  </si>
  <si>
    <t>E-Fuels: A technoeconomic assessment of European domestic production and imports towards 2050 – Update, Concawe Table 125</t>
  </si>
  <si>
    <t>H2 Storage Capacity</t>
  </si>
  <si>
    <t>Million Nm3</t>
  </si>
  <si>
    <t>Process Parameters</t>
  </si>
  <si>
    <t>CO2 Capture</t>
  </si>
  <si>
    <t>kg/kg fuel</t>
  </si>
  <si>
    <t>Annual CO2 requirement</t>
  </si>
  <si>
    <t>kt</t>
  </si>
  <si>
    <t>Calculated from energy balance</t>
  </si>
  <si>
    <t>Electrolyser Specific Electricity Consumption</t>
  </si>
  <si>
    <t>kWh/Nm3</t>
  </si>
  <si>
    <t>Annual Electrolysis Electricity Consumption</t>
  </si>
  <si>
    <t>GWh</t>
  </si>
  <si>
    <t>Annual Fuel Production</t>
  </si>
  <si>
    <t>Million tons</t>
  </si>
  <si>
    <t>litres</t>
  </si>
  <si>
    <t>Calculated</t>
  </si>
  <si>
    <t>Electricity Consumption</t>
  </si>
  <si>
    <t>MJ/MJ fuel</t>
  </si>
  <si>
    <t>E-Fuels: A technoeconomic assessment of European domestic production and imports towards 2050 – Update, Concawe Figure 127</t>
  </si>
  <si>
    <t>Anuual Electricity Consumption (FT)</t>
  </si>
  <si>
    <t>DAC Electricity Consumption</t>
  </si>
  <si>
    <t>MJ/kg CO2</t>
  </si>
  <si>
    <t>Annual DAC Electricity Consumption</t>
  </si>
  <si>
    <t>Hydrogen Consumption</t>
  </si>
  <si>
    <t>Annual Hydrogen Consumption</t>
  </si>
  <si>
    <t>Nm3</t>
  </si>
  <si>
    <t>External Inputs</t>
  </si>
  <si>
    <t>CO2 Price</t>
  </si>
  <si>
    <t>€/tCO2</t>
  </si>
  <si>
    <t>Electricity Price (2020)</t>
  </si>
  <si>
    <t>€/MWh</t>
  </si>
  <si>
    <t>E-Fuels: A technoeconomic assessment of European domestic production and imports towards 2050 – Update, Concawe Table 19</t>
  </si>
  <si>
    <t>Average EU</t>
  </si>
  <si>
    <t>Electricity Price (2050)</t>
  </si>
  <si>
    <t>Fuel Characteristics</t>
  </si>
  <si>
    <t>Syn-fuel emissions</t>
  </si>
  <si>
    <t>E-Fuels: A technoeconomic assessment of European domestic production and imports towards 2050 – Update, Concawe Key Message GHG Emissions</t>
  </si>
  <si>
    <t>kg/m3</t>
  </si>
  <si>
    <t>E-Fuels: A technoeconomic assessment of European domestic production and imports towards 2050 – Update, Concawe Table 10</t>
  </si>
  <si>
    <t>LHV</t>
  </si>
  <si>
    <t>E-Fuels: A technoeconomic assessment of European domestic production and imports towards 2050 – Update, Concawe Table 22</t>
  </si>
  <si>
    <t>Economic Assumptions 2024 EU-N</t>
  </si>
  <si>
    <t>Economic Assumptions 2050</t>
  </si>
  <si>
    <t>CAPEX</t>
  </si>
  <si>
    <t>Component</t>
  </si>
  <si>
    <t>DAC CAPEX</t>
  </si>
  <si>
    <t>M€</t>
  </si>
  <si>
    <t>E-Fuels: A technoeconomic assessment of European domestic production and imports towards 2050 – Update, Concawe Table 126</t>
  </si>
  <si>
    <t>Liquefaction</t>
  </si>
  <si>
    <t>Storage</t>
  </si>
  <si>
    <t>Total CAPEX</t>
  </si>
  <si>
    <t>OPEX</t>
  </si>
  <si>
    <t>Maintenance and Repair</t>
  </si>
  <si>
    <t>M€/year</t>
  </si>
  <si>
    <t>Insurance</t>
  </si>
  <si>
    <t>Labor</t>
  </si>
  <si>
    <t>Administration</t>
  </si>
  <si>
    <t>Electricity</t>
  </si>
  <si>
    <t>OPEX Liquefaction</t>
  </si>
  <si>
    <t>OPEX Storage</t>
  </si>
  <si>
    <t>Total OPEX</t>
  </si>
  <si>
    <t>CO2 Capacity</t>
  </si>
  <si>
    <t>kt/year</t>
  </si>
  <si>
    <t>MJ/kgCO2</t>
  </si>
  <si>
    <t>MWh/year</t>
  </si>
  <si>
    <t>Lifetime DAC Plant</t>
  </si>
  <si>
    <t>LCOR 2024</t>
  </si>
  <si>
    <t>Cost (€)</t>
  </si>
  <si>
    <t>Discounted Cost (€)</t>
  </si>
  <si>
    <t>Removal (t)</t>
  </si>
  <si>
    <t>Discounted Removal (t)</t>
  </si>
  <si>
    <t>LCOR (€/tCO2)</t>
  </si>
  <si>
    <t>LCOR 2050</t>
  </si>
  <si>
    <t>Economic Assumptions 2024 EU-North</t>
  </si>
  <si>
    <t>Economic Assumptions 2024 EU-Central</t>
  </si>
  <si>
    <t>Economic Assumptions 2024 EU-South</t>
  </si>
  <si>
    <t>Electrolyser</t>
  </si>
  <si>
    <t>H2 Storage</t>
  </si>
  <si>
    <t>FT Synthesis Plant</t>
  </si>
  <si>
    <t>CO2 Storage</t>
  </si>
  <si>
    <t>Amortized CAPEX</t>
  </si>
  <si>
    <t>€/year</t>
  </si>
  <si>
    <t>Electrolyser O&amp;M</t>
  </si>
  <si>
    <t>FT Synthesis Fixed O&amp;M</t>
  </si>
  <si>
    <t>FT Synthesis Variable O&amp;M</t>
  </si>
  <si>
    <t>CO2 Storage O&amp;M</t>
  </si>
  <si>
    <t>CO2 Supply</t>
  </si>
  <si>
    <t>Economic Assumptions 2050 EU-North</t>
  </si>
  <si>
    <t>Economic Assumptions 2050 EU-Central</t>
  </si>
  <si>
    <t>Economic Assumptions 2050 EU-South</t>
  </si>
  <si>
    <t>CO2 Cost</t>
  </si>
  <si>
    <t>Standardized Economic Assumptions 2024 EU-North</t>
  </si>
  <si>
    <t>Standardized Economic Assumptions 2024 EU-Central</t>
  </si>
  <si>
    <t>Standardized Economic Assumptions 2024 EU-South</t>
  </si>
  <si>
    <t>LCOE Corrected OPEX</t>
  </si>
  <si>
    <t>CO2 Corrected OPEX</t>
  </si>
  <si>
    <t>WACC Corrected Amortized CAPEX</t>
  </si>
  <si>
    <t>Standardized Economic Assumptions 2050 EU-North</t>
  </si>
  <si>
    <t>Standardized Economic Assumptions 2050 EU-Central</t>
  </si>
  <si>
    <t>Standardized Economic Assumptions 2050 EU-South</t>
  </si>
  <si>
    <t>Amortised Cash Flow Model 2024 EU-North</t>
  </si>
  <si>
    <t>OPEX (€)</t>
  </si>
  <si>
    <t>Amortised CAPEX (€)</t>
  </si>
  <si>
    <t>Production (l)</t>
  </si>
  <si>
    <t>Discounted Production (l)</t>
  </si>
  <si>
    <t>Minimum Fuel Selling Price (€/l)</t>
  </si>
  <si>
    <t>Amortised Cash Flow Model 2050 EU-North</t>
  </si>
  <si>
    <t>Amortised Cash Flow Model 2024 EU-Central</t>
  </si>
  <si>
    <t>Amortised Cash Flow Model 2050 EU-Central</t>
  </si>
  <si>
    <t>Amortized CAPEX (€)</t>
  </si>
  <si>
    <t>Amortised Cash Flow Model 2024 EU-South</t>
  </si>
  <si>
    <t>2024 EU - North</t>
  </si>
  <si>
    <t>CO2</t>
  </si>
  <si>
    <t>Other OPEX</t>
  </si>
  <si>
    <t xml:space="preserve">Contributions </t>
  </si>
  <si>
    <t>2050 EU - North</t>
  </si>
  <si>
    <t>2024 - EU - North</t>
  </si>
  <si>
    <t>2024 - EU - Central</t>
  </si>
  <si>
    <t>2024 - EU - South</t>
  </si>
  <si>
    <t>Base case</t>
  </si>
  <si>
    <t>Electricity correction</t>
  </si>
  <si>
    <t>DAC correction</t>
  </si>
  <si>
    <t>WACC correction</t>
  </si>
  <si>
    <t>Syn-Fuel cost</t>
  </si>
  <si>
    <t>€/l</t>
  </si>
  <si>
    <t>Fossil Fuel cost</t>
  </si>
  <si>
    <t>Syn-Fuel emissions</t>
  </si>
  <si>
    <t>gCO2eq/MJ</t>
  </si>
  <si>
    <t>Fossil Fuel emissions</t>
  </si>
  <si>
    <t>CO2 Abated</t>
  </si>
  <si>
    <t>gCO2eq/l</t>
  </si>
  <si>
    <t>Abatement cost</t>
  </si>
  <si>
    <t>2050 - EU - North</t>
  </si>
  <si>
    <t>2050 - EU - Central</t>
  </si>
  <si>
    <t>2050 - EU - South</t>
  </si>
  <si>
    <t xml:space="preserve">Full Abatement - 2024 - EU - North </t>
  </si>
  <si>
    <t xml:space="preserve">Full Abatement - 2024 - EU - Central </t>
  </si>
  <si>
    <t>Full Abatement - 2024 - EU - South</t>
  </si>
  <si>
    <t>Residual Emissions</t>
  </si>
  <si>
    <t>Emissions Reduction Cost</t>
  </si>
  <si>
    <t>Effective Synfuel Cost</t>
  </si>
  <si>
    <t>Effective Abatement Cost</t>
  </si>
  <si>
    <t xml:space="preserve">Full Abatement - 2050 - EU - North </t>
  </si>
  <si>
    <t>Full Abatement - 2050 - EU - Central</t>
  </si>
  <si>
    <t>Full Abatement - 2050 - EU - South</t>
  </si>
  <si>
    <t>2024 - FLH</t>
  </si>
  <si>
    <t>Lower FLH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</si>
</sst>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0.0000"/>
  </numFmts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1"/>
      <color theme="1"/>
      <name val="Aptos Narrow (Body)"/>
    </font>
    <font>
      <sz val="11"/>
      <color theme="1"/>
      <name val="Aptos Narrow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6C9E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5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3" borderId="0" xfId="0" applyFont="1" applyFill="1"/>
    <xf numFmtId="0" fontId="0" fillId="3" borderId="0" xfId="0" applyFill="1"/>
    <xf numFmtId="164" fontId="0" fillId="0" borderId="0" xfId="0" applyNumberFormat="1"/>
    <xf numFmtId="9" fontId="0" fillId="0" borderId="0" xfId="1" applyFont="1"/>
    <xf numFmtId="9" fontId="1" fillId="2" borderId="0" xfId="1" applyFont="1" applyFill="1"/>
    <xf numFmtId="0" fontId="5" fillId="0" borderId="0" xfId="0" applyFont="1"/>
    <xf numFmtId="0" fontId="5" fillId="0" borderId="1" xfId="0" applyFont="1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165" fontId="0" fillId="0" borderId="0" xfId="0" applyNumberFormat="1"/>
    <xf numFmtId="1" fontId="5" fillId="0" borderId="0" xfId="0" applyNumberFormat="1" applyFont="1"/>
    <xf numFmtId="11" fontId="0" fillId="0" borderId="0" xfId="0" applyNumberFormat="1"/>
    <xf numFmtId="1" fontId="5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/>
    </xf>
    <xf numFmtId="0" fontId="0" fillId="4" borderId="0" xfId="0" applyFill="1"/>
    <xf numFmtId="0" fontId="1" fillId="4" borderId="0" xfId="0" applyFont="1" applyFill="1"/>
    <xf numFmtId="164" fontId="0" fillId="3" borderId="0" xfId="0" applyNumberFormat="1" applyFill="1"/>
    <xf numFmtId="0" fontId="2" fillId="3" borderId="0" xfId="0" applyFont="1" applyFill="1"/>
    <xf numFmtId="166" fontId="0" fillId="0" borderId="0" xfId="0" applyNumberFormat="1"/>
    <xf numFmtId="166" fontId="0" fillId="3" borderId="0" xfId="0" applyNumberFormat="1" applyFill="1"/>
    <xf numFmtId="0" fontId="1" fillId="0" borderId="1" xfId="0" applyFont="1" applyBorder="1"/>
    <xf numFmtId="167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2" fontId="7" fillId="0" borderId="1" xfId="0" applyNumberFormat="1" applyFont="1" applyBorder="1"/>
    <xf numFmtId="0" fontId="9" fillId="0" borderId="0" xfId="0" applyFont="1"/>
    <xf numFmtId="9" fontId="3" fillId="0" borderId="0" xfId="1"/>
    <xf numFmtId="0" fontId="7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2" borderId="4" xfId="0" applyFont="1" applyFill="1" applyBorder="1" applyAlignment="1">
      <alignment horizontal="center"/>
    </xf>
    <xf numFmtId="0" fontId="0" fillId="0" borderId="4" xfId="0" applyBorder="1"/>
    <xf numFmtId="0" fontId="4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ster%20Standardisation_SAF.xlsx" TargetMode="External"/><Relationship Id="rId1" Type="http://schemas.openxmlformats.org/officeDocument/2006/relationships/externalLinkPath" Target="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4">
          <cell r="C4">
            <v>2024</v>
          </cell>
        </row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11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0.8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1282</v>
          </cell>
        </row>
        <row r="34">
          <cell r="C34">
            <v>480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3"/>
  <sheetViews>
    <sheetView tabSelected="1" workbookViewId="0">
      <selection activeCell="C3" sqref="C3"/>
    </sheetView>
  </sheetViews>
  <sheetFormatPr defaultColWidth="11" defaultRowHeight="15.75"/>
  <cols>
    <col min="1" max="1" width="24.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/>
      <c r="C2" s="3"/>
      <c r="D2" s="3"/>
    </row>
    <row r="3" spans="1:4">
      <c r="A3" t="s">
        <v>5</v>
      </c>
      <c r="C3">
        <f>[1]Inputs!C4</f>
        <v>2024</v>
      </c>
    </row>
    <row r="4" spans="1:4">
      <c r="A4" t="s">
        <v>6</v>
      </c>
      <c r="C4" s="36">
        <f>[1]Inputs!C5</f>
        <v>0.02</v>
      </c>
    </row>
    <row r="5" spans="1:4">
      <c r="A5" t="s">
        <v>7</v>
      </c>
      <c r="C5" s="36">
        <f>[1]Inputs!C6</f>
        <v>7.0000000000000007E-2</v>
      </c>
    </row>
    <row r="6" spans="1:4">
      <c r="A6" t="s">
        <v>8</v>
      </c>
      <c r="C6">
        <f>[1]Inputs!C7</f>
        <v>0.9</v>
      </c>
    </row>
    <row r="7" spans="1:4">
      <c r="A7" s="2" t="s">
        <v>9</v>
      </c>
      <c r="B7" s="3"/>
      <c r="C7" s="3"/>
      <c r="D7" s="3"/>
    </row>
    <row r="8" spans="1:4">
      <c r="A8" s="6" t="s">
        <v>10</v>
      </c>
      <c r="B8">
        <v>2024</v>
      </c>
      <c r="C8" s="5">
        <f>[1]Inputs!C9</f>
        <v>64</v>
      </c>
      <c r="D8" t="s">
        <v>11</v>
      </c>
    </row>
    <row r="9" spans="1:4">
      <c r="A9" s="6" t="s">
        <v>10</v>
      </c>
      <c r="B9">
        <v>2050</v>
      </c>
      <c r="C9" s="5">
        <f>[1]Inputs!C10</f>
        <v>11</v>
      </c>
      <c r="D9" t="s">
        <v>11</v>
      </c>
    </row>
    <row r="10" spans="1:4">
      <c r="A10" s="2" t="s">
        <v>12</v>
      </c>
      <c r="B10" s="3"/>
      <c r="C10" s="3"/>
      <c r="D10" s="3"/>
    </row>
    <row r="11" spans="1:4">
      <c r="A11" t="s">
        <v>13</v>
      </c>
      <c r="B11">
        <v>2024</v>
      </c>
      <c r="C11" s="5">
        <f>[1]Inputs!C12</f>
        <v>88.7</v>
      </c>
      <c r="D11" t="s">
        <v>14</v>
      </c>
    </row>
    <row r="12" spans="1:4">
      <c r="A12" t="s">
        <v>13</v>
      </c>
      <c r="B12">
        <v>2050</v>
      </c>
      <c r="C12" s="5">
        <f>[1]Inputs!C13</f>
        <v>88.7</v>
      </c>
      <c r="D12" t="s">
        <v>14</v>
      </c>
    </row>
    <row r="13" spans="1:4">
      <c r="A13" t="s">
        <v>15</v>
      </c>
      <c r="C13" s="5">
        <f>[1]Inputs!C14</f>
        <v>43.2</v>
      </c>
      <c r="D13" t="s">
        <v>16</v>
      </c>
    </row>
    <row r="14" spans="1:4">
      <c r="A14" t="s">
        <v>15</v>
      </c>
      <c r="C14" s="5">
        <f>[1]Inputs!C15</f>
        <v>34.689600000000006</v>
      </c>
      <c r="D14" t="s">
        <v>17</v>
      </c>
    </row>
    <row r="15" spans="1:4">
      <c r="A15" t="s">
        <v>18</v>
      </c>
      <c r="C15" s="5">
        <f>[1]Inputs!C16</f>
        <v>0.80300000000000005</v>
      </c>
      <c r="D15" t="s">
        <v>19</v>
      </c>
    </row>
    <row r="16" spans="1:4">
      <c r="A16" t="s">
        <v>20</v>
      </c>
      <c r="B16">
        <v>2024</v>
      </c>
      <c r="C16" s="5">
        <f>[1]Inputs!C17</f>
        <v>0.8</v>
      </c>
      <c r="D16" t="s">
        <v>21</v>
      </c>
    </row>
    <row r="17" spans="1:4">
      <c r="A17" s="2" t="s">
        <v>22</v>
      </c>
      <c r="B17" s="3"/>
      <c r="C17" s="3"/>
      <c r="D17" s="3"/>
    </row>
    <row r="18" spans="1:4">
      <c r="A18" s="6" t="s">
        <v>20</v>
      </c>
      <c r="B18">
        <v>2050</v>
      </c>
      <c r="C18" s="5">
        <f>[1]Inputs!C19</f>
        <v>0.8</v>
      </c>
      <c r="D18" t="s">
        <v>21</v>
      </c>
    </row>
    <row r="19" spans="1:4">
      <c r="A19" s="7" t="s">
        <v>23</v>
      </c>
      <c r="B19" s="8"/>
      <c r="C19" s="8"/>
      <c r="D19" s="8"/>
    </row>
    <row r="20" spans="1:4">
      <c r="A20" t="s">
        <v>20</v>
      </c>
      <c r="B20">
        <v>2024</v>
      </c>
      <c r="C20" s="5">
        <f>[1]Inputs!C21</f>
        <v>0.32246153846153797</v>
      </c>
      <c r="D20" t="s">
        <v>21</v>
      </c>
    </row>
    <row r="21" spans="1:4">
      <c r="A21" t="s">
        <v>20</v>
      </c>
      <c r="B21">
        <v>2050</v>
      </c>
      <c r="C21" s="5">
        <f>[1]Inputs!C22</f>
        <v>0.20923076923076925</v>
      </c>
      <c r="D21" t="s">
        <v>21</v>
      </c>
    </row>
    <row r="22" spans="1:4">
      <c r="A22" s="7" t="s">
        <v>24</v>
      </c>
      <c r="B22" s="8"/>
      <c r="C22" s="8"/>
      <c r="D22" s="8"/>
    </row>
    <row r="23" spans="1:4">
      <c r="A23" t="s">
        <v>20</v>
      </c>
      <c r="B23">
        <v>2024</v>
      </c>
      <c r="C23" s="5">
        <f>[1]Inputs!C24</f>
        <v>1.0209014091790563</v>
      </c>
      <c r="D23" t="s">
        <v>21</v>
      </c>
    </row>
    <row r="24" spans="1:4">
      <c r="A24" t="s">
        <v>20</v>
      </c>
      <c r="B24">
        <v>2050</v>
      </c>
      <c r="C24" s="5">
        <f>[1]Inputs!C25</f>
        <v>2.0095593639301876</v>
      </c>
      <c r="D24" t="s">
        <v>21</v>
      </c>
    </row>
    <row r="25" spans="1:4">
      <c r="A25" s="7" t="s">
        <v>25</v>
      </c>
      <c r="B25" s="8"/>
      <c r="C25" s="8"/>
      <c r="D25" s="8"/>
    </row>
    <row r="26" spans="1:4">
      <c r="A26" t="s">
        <v>20</v>
      </c>
      <c r="B26">
        <v>2024</v>
      </c>
      <c r="C26" s="5">
        <f>[1]Inputs!C27</f>
        <v>0.4828683335488041</v>
      </c>
      <c r="D26" t="s">
        <v>21</v>
      </c>
    </row>
    <row r="27" spans="1:4">
      <c r="A27" t="s">
        <v>20</v>
      </c>
      <c r="B27">
        <v>2050</v>
      </c>
      <c r="C27" s="5">
        <f>[1]Inputs!C28</f>
        <v>0.89646574789915967</v>
      </c>
      <c r="D27" t="s">
        <v>21</v>
      </c>
    </row>
    <row r="28" spans="1:4">
      <c r="A28" s="7" t="s">
        <v>26</v>
      </c>
      <c r="B28" s="8"/>
      <c r="C28" s="8"/>
      <c r="D28" s="8"/>
    </row>
    <row r="29" spans="1:4">
      <c r="A29" t="s">
        <v>20</v>
      </c>
      <c r="B29">
        <v>2024</v>
      </c>
      <c r="C29" s="5">
        <f>[1]Inputs!C30</f>
        <v>1.8838712863606983</v>
      </c>
      <c r="D29" t="s">
        <v>21</v>
      </c>
    </row>
    <row r="30" spans="1:4">
      <c r="A30" t="s">
        <v>20</v>
      </c>
      <c r="B30">
        <v>2050</v>
      </c>
      <c r="C30" s="5">
        <f>[1]Inputs!C31</f>
        <v>3.7893730833872015</v>
      </c>
      <c r="D30" t="s">
        <v>21</v>
      </c>
    </row>
    <row r="31" spans="1:4">
      <c r="A31" s="2" t="s">
        <v>27</v>
      </c>
      <c r="B31" s="3"/>
      <c r="C31" s="3"/>
      <c r="D31" s="3"/>
    </row>
    <row r="32" spans="1:4">
      <c r="A32" t="s">
        <v>28</v>
      </c>
      <c r="B32">
        <v>2024</v>
      </c>
      <c r="C32" s="5">
        <f>[1]Inputs!C33</f>
        <v>1282</v>
      </c>
      <c r="D32" t="s">
        <v>29</v>
      </c>
    </row>
    <row r="33" spans="1:4">
      <c r="A33" t="s">
        <v>28</v>
      </c>
      <c r="B33">
        <v>2050</v>
      </c>
      <c r="C33" s="9">
        <f>[1]Inputs!$C$34</f>
        <v>480</v>
      </c>
      <c r="D3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7"/>
  <sheetViews>
    <sheetView topLeftCell="A19" workbookViewId="0">
      <selection activeCell="C15" sqref="C15"/>
    </sheetView>
  </sheetViews>
  <sheetFormatPr defaultColWidth="11" defaultRowHeight="15.75"/>
  <cols>
    <col min="1" max="1" width="38.375" bestFit="1" customWidth="1"/>
    <col min="2" max="2" width="5.625" bestFit="1" customWidth="1"/>
    <col min="3" max="3" width="14.625" bestFit="1" customWidth="1"/>
    <col min="5" max="5" width="30.5" customWidth="1"/>
    <col min="6" max="6" width="27.125" bestFit="1" customWidth="1"/>
  </cols>
  <sheetData>
    <row r="1" spans="1:6" s="2" customFormat="1">
      <c r="A1" s="2" t="s">
        <v>30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31</v>
      </c>
      <c r="F2" t="s">
        <v>32</v>
      </c>
    </row>
    <row r="3" spans="1:6">
      <c r="A3" t="s">
        <v>33</v>
      </c>
      <c r="B3" t="s">
        <v>34</v>
      </c>
      <c r="C3">
        <v>30</v>
      </c>
      <c r="D3" t="s">
        <v>35</v>
      </c>
      <c r="E3" t="s">
        <v>36</v>
      </c>
    </row>
    <row r="4" spans="1:6">
      <c r="A4" t="s">
        <v>37</v>
      </c>
      <c r="B4" t="s">
        <v>34</v>
      </c>
      <c r="C4" s="10">
        <v>0.08</v>
      </c>
      <c r="E4" t="s">
        <v>38</v>
      </c>
    </row>
    <row r="5" spans="1:6">
      <c r="C5" s="10"/>
    </row>
    <row r="6" spans="1:6" s="2" customFormat="1">
      <c r="A6" s="2" t="s">
        <v>39</v>
      </c>
      <c r="C6" s="11"/>
    </row>
    <row r="7" spans="1:6">
      <c r="A7" t="s">
        <v>0</v>
      </c>
      <c r="B7" t="s">
        <v>1</v>
      </c>
      <c r="C7" t="s">
        <v>2</v>
      </c>
      <c r="D7" t="s">
        <v>3</v>
      </c>
      <c r="E7" t="s">
        <v>31</v>
      </c>
      <c r="F7" t="s">
        <v>32</v>
      </c>
    </row>
    <row r="8" spans="1:6">
      <c r="A8" t="s">
        <v>40</v>
      </c>
      <c r="B8">
        <v>2020</v>
      </c>
      <c r="C8">
        <v>1026333</v>
      </c>
      <c r="D8" t="s">
        <v>41</v>
      </c>
      <c r="E8" t="s">
        <v>42</v>
      </c>
    </row>
    <row r="9" spans="1:6">
      <c r="A9" t="s">
        <v>40</v>
      </c>
      <c r="B9">
        <v>2050</v>
      </c>
      <c r="C9">
        <v>1065000</v>
      </c>
      <c r="D9" t="s">
        <v>41</v>
      </c>
      <c r="E9" t="s">
        <v>43</v>
      </c>
    </row>
    <row r="10" spans="1:6">
      <c r="A10" t="s">
        <v>44</v>
      </c>
      <c r="B10">
        <v>2020</v>
      </c>
      <c r="C10">
        <v>150.19999999999999</v>
      </c>
      <c r="D10" t="s">
        <v>45</v>
      </c>
      <c r="E10" t="s">
        <v>42</v>
      </c>
    </row>
    <row r="11" spans="1:6">
      <c r="A11" t="s">
        <v>44</v>
      </c>
      <c r="B11">
        <v>2050</v>
      </c>
      <c r="C11">
        <v>56.97</v>
      </c>
      <c r="D11" t="s">
        <v>45</v>
      </c>
      <c r="E11" t="s">
        <v>43</v>
      </c>
    </row>
    <row r="12" spans="1:6" s="2" customFormat="1" ht="15" customHeight="1">
      <c r="A12" s="2" t="s">
        <v>46</v>
      </c>
    </row>
    <row r="13" spans="1:6">
      <c r="A13" t="s">
        <v>0</v>
      </c>
      <c r="B13" t="s">
        <v>1</v>
      </c>
      <c r="C13" t="s">
        <v>2</v>
      </c>
      <c r="D13" t="s">
        <v>3</v>
      </c>
      <c r="E13" t="s">
        <v>31</v>
      </c>
      <c r="F13" t="s">
        <v>32</v>
      </c>
    </row>
    <row r="14" spans="1:6">
      <c r="A14" t="s">
        <v>47</v>
      </c>
      <c r="B14" t="s">
        <v>34</v>
      </c>
      <c r="C14">
        <v>3.7149999999999999</v>
      </c>
      <c r="D14" t="s">
        <v>48</v>
      </c>
    </row>
    <row r="15" spans="1:6">
      <c r="A15" t="s">
        <v>49</v>
      </c>
      <c r="B15" t="s">
        <v>34</v>
      </c>
      <c r="C15">
        <f>(C14*C18*10^9) / 10^6</f>
        <v>2228.9999999999995</v>
      </c>
      <c r="D15" t="s">
        <v>50</v>
      </c>
      <c r="F15" t="s">
        <v>51</v>
      </c>
    </row>
    <row r="16" spans="1:6">
      <c r="A16" t="s">
        <v>52</v>
      </c>
      <c r="B16" t="s">
        <v>34</v>
      </c>
      <c r="C16">
        <v>6.4899999999999999E-2</v>
      </c>
      <c r="D16" t="s">
        <v>53</v>
      </c>
      <c r="E16" t="s">
        <v>42</v>
      </c>
    </row>
    <row r="17" spans="1:6">
      <c r="A17" t="s">
        <v>54</v>
      </c>
      <c r="B17" t="s">
        <v>34</v>
      </c>
      <c r="C17">
        <f>(C26*C16) / 10^6</f>
        <v>213.30466666666669</v>
      </c>
      <c r="D17" t="s">
        <v>55</v>
      </c>
    </row>
    <row r="18" spans="1:6">
      <c r="A18" t="s">
        <v>56</v>
      </c>
      <c r="B18" t="s">
        <v>34</v>
      </c>
      <c r="C18">
        <v>0.6</v>
      </c>
      <c r="D18" t="s">
        <v>57</v>
      </c>
      <c r="E18" t="s">
        <v>42</v>
      </c>
    </row>
    <row r="19" spans="1:6">
      <c r="A19" t="s">
        <v>56</v>
      </c>
      <c r="B19" t="s">
        <v>34</v>
      </c>
      <c r="C19">
        <f>C18 * 10^9 * 10^3 / C36</f>
        <v>800000000</v>
      </c>
      <c r="D19" t="s">
        <v>58</v>
      </c>
      <c r="F19" t="s">
        <v>59</v>
      </c>
    </row>
    <row r="20" spans="1:6">
      <c r="A20" t="s">
        <v>60</v>
      </c>
      <c r="B20" t="s">
        <v>34</v>
      </c>
      <c r="C20">
        <v>2.6293000000000002</v>
      </c>
      <c r="D20" t="s">
        <v>61</v>
      </c>
      <c r="E20" t="s">
        <v>62</v>
      </c>
    </row>
    <row r="21" spans="1:6">
      <c r="A21" t="s">
        <v>63</v>
      </c>
      <c r="B21" t="s">
        <v>34</v>
      </c>
      <c r="C21" s="5">
        <f>(C20* Inputs!$C$13*C18*10^9 / 3600) / 10^3 +C17</f>
        <v>19144.26466666667</v>
      </c>
      <c r="D21" t="s">
        <v>55</v>
      </c>
    </row>
    <row r="22" spans="1:6">
      <c r="A22" t="s">
        <v>64</v>
      </c>
      <c r="B22" t="s">
        <v>34</v>
      </c>
      <c r="C22" s="5">
        <v>1.82</v>
      </c>
      <c r="D22" t="s">
        <v>65</v>
      </c>
    </row>
    <row r="23" spans="1:6">
      <c r="A23" t="s">
        <v>66</v>
      </c>
      <c r="B23" t="s">
        <v>34</v>
      </c>
      <c r="C23" s="5">
        <f>(C22*C15 * 10^6) / 3600 / 10^3</f>
        <v>1126.8833333333332</v>
      </c>
      <c r="D23" t="s">
        <v>55</v>
      </c>
    </row>
    <row r="24" spans="1:6">
      <c r="A24" t="s">
        <v>67</v>
      </c>
      <c r="B24" t="s">
        <v>34</v>
      </c>
      <c r="C24" s="17">
        <v>0.49299999999999999</v>
      </c>
      <c r="D24" t="s">
        <v>48</v>
      </c>
    </row>
    <row r="25" spans="1:6">
      <c r="A25" t="s">
        <v>68</v>
      </c>
      <c r="B25" t="s">
        <v>34</v>
      </c>
      <c r="C25" s="17">
        <f>C24*C18</f>
        <v>0.29580000000000001</v>
      </c>
      <c r="D25" t="s">
        <v>57</v>
      </c>
    </row>
    <row r="26" spans="1:6">
      <c r="A26" t="s">
        <v>68</v>
      </c>
      <c r="B26" t="s">
        <v>34</v>
      </c>
      <c r="C26" s="19">
        <f>(C25 * 10^9) / 0.09</f>
        <v>3286666666.666667</v>
      </c>
      <c r="D26" t="s">
        <v>69</v>
      </c>
    </row>
    <row r="27" spans="1:6" s="2" customFormat="1">
      <c r="A27" s="2" t="s">
        <v>70</v>
      </c>
    </row>
    <row r="28" spans="1:6">
      <c r="A28" t="s">
        <v>0</v>
      </c>
      <c r="B28" t="s">
        <v>1</v>
      </c>
      <c r="C28" t="s">
        <v>2</v>
      </c>
      <c r="D28" t="s">
        <v>3</v>
      </c>
      <c r="E28" t="s">
        <v>31</v>
      </c>
      <c r="F28" t="s">
        <v>32</v>
      </c>
    </row>
    <row r="29" spans="1:6">
      <c r="A29" t="s">
        <v>71</v>
      </c>
      <c r="B29">
        <v>2020</v>
      </c>
      <c r="C29" s="5">
        <v>177</v>
      </c>
      <c r="D29" t="s">
        <v>72</v>
      </c>
    </row>
    <row r="30" spans="1:6">
      <c r="A30" t="s">
        <v>71</v>
      </c>
      <c r="B30">
        <v>2050</v>
      </c>
      <c r="C30" s="5">
        <v>158</v>
      </c>
      <c r="D30" t="s">
        <v>72</v>
      </c>
    </row>
    <row r="31" spans="1:6">
      <c r="A31" s="12" t="s">
        <v>73</v>
      </c>
      <c r="B31">
        <v>2020</v>
      </c>
      <c r="C31" s="18">
        <v>65</v>
      </c>
      <c r="D31" s="12" t="s">
        <v>74</v>
      </c>
      <c r="E31" s="12" t="s">
        <v>75</v>
      </c>
      <c r="F31" s="12" t="s">
        <v>76</v>
      </c>
    </row>
    <row r="32" spans="1:6" s="1" customFormat="1">
      <c r="A32" s="12" t="s">
        <v>77</v>
      </c>
      <c r="B32" s="6">
        <v>2050</v>
      </c>
      <c r="C32" s="18">
        <v>52</v>
      </c>
      <c r="D32" s="12" t="s">
        <v>74</v>
      </c>
      <c r="E32" s="12" t="s">
        <v>75</v>
      </c>
      <c r="F32" s="12" t="s">
        <v>76</v>
      </c>
    </row>
    <row r="33" spans="1:5" s="3" customFormat="1">
      <c r="A33" s="2" t="s">
        <v>78</v>
      </c>
      <c r="B33" s="2"/>
      <c r="C33" s="2"/>
      <c r="D33" s="2"/>
      <c r="E33" s="2"/>
    </row>
    <row r="34" spans="1:5">
      <c r="A34" t="s">
        <v>0</v>
      </c>
      <c r="B34" t="s">
        <v>1</v>
      </c>
      <c r="C34" t="s">
        <v>2</v>
      </c>
      <c r="D34" t="s">
        <v>3</v>
      </c>
      <c r="E34" t="s">
        <v>31</v>
      </c>
    </row>
    <row r="35" spans="1:5">
      <c r="A35" t="s">
        <v>79</v>
      </c>
      <c r="B35" t="s">
        <v>34</v>
      </c>
      <c r="C35">
        <v>5.9</v>
      </c>
      <c r="D35" t="s">
        <v>14</v>
      </c>
      <c r="E35" t="s">
        <v>80</v>
      </c>
    </row>
    <row r="36" spans="1:5">
      <c r="A36" t="s">
        <v>18</v>
      </c>
      <c r="B36" t="s">
        <v>34</v>
      </c>
      <c r="C36">
        <v>750</v>
      </c>
      <c r="D36" t="s">
        <v>81</v>
      </c>
      <c r="E36" t="s">
        <v>82</v>
      </c>
    </row>
    <row r="37" spans="1:5">
      <c r="A37" t="s">
        <v>83</v>
      </c>
      <c r="B37" t="s">
        <v>34</v>
      </c>
      <c r="C37">
        <v>43.1</v>
      </c>
      <c r="D37" t="s">
        <v>16</v>
      </c>
      <c r="E37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44"/>
  <sheetViews>
    <sheetView workbookViewId="0">
      <selection activeCell="H14" sqref="H14"/>
    </sheetView>
  </sheetViews>
  <sheetFormatPr defaultColWidth="10.875" defaultRowHeight="15.75"/>
  <cols>
    <col min="1" max="1" width="21" style="12" bestFit="1" customWidth="1"/>
    <col min="2" max="2" width="18.625" style="12" bestFit="1" customWidth="1"/>
    <col min="3" max="3" width="10.875" style="12" customWidth="1"/>
    <col min="4" max="16384" width="10.875" style="12"/>
  </cols>
  <sheetData>
    <row r="1" spans="1:11">
      <c r="A1" s="43" t="s">
        <v>85</v>
      </c>
      <c r="B1" s="39"/>
      <c r="C1" s="39"/>
      <c r="D1" s="39"/>
      <c r="E1" s="40"/>
      <c r="G1" s="43" t="s">
        <v>86</v>
      </c>
      <c r="H1" s="39"/>
      <c r="I1" s="39"/>
      <c r="J1" s="39"/>
      <c r="K1" s="40"/>
    </row>
    <row r="2" spans="1:11">
      <c r="A2" s="38" t="s">
        <v>87</v>
      </c>
      <c r="B2" s="39"/>
      <c r="C2" s="39"/>
      <c r="D2" s="39"/>
      <c r="E2" s="40"/>
      <c r="G2" s="38" t="s">
        <v>87</v>
      </c>
      <c r="H2" s="39"/>
      <c r="I2" s="39"/>
      <c r="J2" s="39"/>
      <c r="K2" s="40"/>
    </row>
    <row r="3" spans="1:11">
      <c r="A3" s="13" t="s">
        <v>88</v>
      </c>
      <c r="B3" s="13" t="s">
        <v>2</v>
      </c>
      <c r="C3" s="13" t="s">
        <v>3</v>
      </c>
      <c r="D3" s="13" t="s">
        <v>31</v>
      </c>
      <c r="E3" s="13" t="s">
        <v>32</v>
      </c>
      <c r="G3" s="13" t="s">
        <v>88</v>
      </c>
      <c r="H3" s="13" t="s">
        <v>2</v>
      </c>
      <c r="I3" s="13" t="s">
        <v>3</v>
      </c>
      <c r="J3" s="13" t="s">
        <v>31</v>
      </c>
      <c r="K3" s="13" t="s">
        <v>32</v>
      </c>
    </row>
    <row r="4" spans="1:11">
      <c r="A4" s="13" t="s">
        <v>89</v>
      </c>
      <c r="B4" s="13">
        <v>1345</v>
      </c>
      <c r="C4" s="13" t="s">
        <v>90</v>
      </c>
      <c r="D4" s="13" t="s">
        <v>91</v>
      </c>
      <c r="E4" s="13"/>
      <c r="G4" s="13" t="s">
        <v>89</v>
      </c>
      <c r="H4" s="13">
        <v>1294</v>
      </c>
      <c r="I4" s="13" t="s">
        <v>90</v>
      </c>
      <c r="J4" s="13" t="s">
        <v>91</v>
      </c>
      <c r="K4" s="13"/>
    </row>
    <row r="5" spans="1:11">
      <c r="A5" s="13" t="s">
        <v>92</v>
      </c>
      <c r="B5" s="13">
        <v>79</v>
      </c>
      <c r="C5" s="13" t="s">
        <v>90</v>
      </c>
      <c r="D5" s="13" t="s">
        <v>91</v>
      </c>
      <c r="E5" s="13"/>
      <c r="G5" s="13" t="s">
        <v>92</v>
      </c>
      <c r="H5" s="13">
        <v>80.67</v>
      </c>
      <c r="I5" s="13" t="s">
        <v>90</v>
      </c>
      <c r="J5" s="13" t="s">
        <v>91</v>
      </c>
      <c r="K5" s="13"/>
    </row>
    <row r="6" spans="1:11">
      <c r="A6" s="13" t="s">
        <v>93</v>
      </c>
      <c r="B6" s="13">
        <v>166</v>
      </c>
      <c r="C6" s="13" t="s">
        <v>90</v>
      </c>
      <c r="D6" s="13" t="s">
        <v>91</v>
      </c>
      <c r="E6" s="13"/>
      <c r="G6" s="13" t="s">
        <v>93</v>
      </c>
      <c r="H6" s="13">
        <v>37</v>
      </c>
      <c r="I6" s="13" t="s">
        <v>90</v>
      </c>
      <c r="J6" s="13" t="s">
        <v>91</v>
      </c>
      <c r="K6" s="13"/>
    </row>
    <row r="7" spans="1:11" s="14" customFormat="1">
      <c r="A7" s="15" t="s">
        <v>94</v>
      </c>
      <c r="B7" s="15">
        <f>SUM(B4:B6)</f>
        <v>1590</v>
      </c>
      <c r="C7" s="15" t="s">
        <v>90</v>
      </c>
      <c r="D7" s="15"/>
      <c r="E7" s="15"/>
      <c r="G7" s="15" t="s">
        <v>94</v>
      </c>
      <c r="H7" s="15">
        <f>SUM(H4:H6)</f>
        <v>1411.67</v>
      </c>
      <c r="I7" s="15" t="s">
        <v>90</v>
      </c>
      <c r="J7" s="15"/>
      <c r="K7" s="15"/>
    </row>
    <row r="8" spans="1:11">
      <c r="A8" s="38" t="s">
        <v>95</v>
      </c>
      <c r="B8" s="39"/>
      <c r="C8" s="39"/>
      <c r="D8" s="39"/>
      <c r="E8" s="40"/>
      <c r="G8" s="38" t="s">
        <v>95</v>
      </c>
      <c r="H8" s="39"/>
      <c r="I8" s="39"/>
      <c r="J8" s="39"/>
      <c r="K8" s="40"/>
    </row>
    <row r="9" spans="1:11">
      <c r="A9" s="13" t="s">
        <v>88</v>
      </c>
      <c r="B9" s="13" t="s">
        <v>2</v>
      </c>
      <c r="C9" s="13" t="s">
        <v>3</v>
      </c>
      <c r="D9" s="13" t="s">
        <v>31</v>
      </c>
      <c r="E9" s="13" t="s">
        <v>32</v>
      </c>
      <c r="G9" s="13" t="s">
        <v>88</v>
      </c>
      <c r="H9" s="13" t="s">
        <v>2</v>
      </c>
      <c r="I9" s="13" t="s">
        <v>3</v>
      </c>
      <c r="J9" s="13" t="s">
        <v>31</v>
      </c>
      <c r="K9" s="13" t="s">
        <v>32</v>
      </c>
    </row>
    <row r="10" spans="1:11">
      <c r="A10" s="13" t="s">
        <v>96</v>
      </c>
      <c r="B10" s="13">
        <f>0.025*B4</f>
        <v>33.625</v>
      </c>
      <c r="C10" s="13" t="s">
        <v>97</v>
      </c>
      <c r="D10" s="13" t="s">
        <v>91</v>
      </c>
      <c r="E10" s="13"/>
      <c r="G10" s="13" t="s">
        <v>96</v>
      </c>
      <c r="H10" s="13">
        <f>0.025*H4</f>
        <v>32.35</v>
      </c>
      <c r="I10" s="13" t="s">
        <v>97</v>
      </c>
      <c r="J10" s="13" t="s">
        <v>91</v>
      </c>
      <c r="K10" s="13"/>
    </row>
    <row r="11" spans="1:11">
      <c r="A11" s="13" t="s">
        <v>98</v>
      </c>
      <c r="B11" s="13">
        <f>0.02*B4</f>
        <v>26.900000000000002</v>
      </c>
      <c r="C11" s="13" t="s">
        <v>97</v>
      </c>
      <c r="D11" s="13" t="s">
        <v>91</v>
      </c>
      <c r="E11" s="13"/>
      <c r="G11" s="13" t="s">
        <v>98</v>
      </c>
      <c r="H11" s="13">
        <f>0.02*H4</f>
        <v>25.88</v>
      </c>
      <c r="I11" s="13" t="s">
        <v>97</v>
      </c>
      <c r="J11" s="13" t="s">
        <v>91</v>
      </c>
      <c r="K11" s="13"/>
    </row>
    <row r="12" spans="1:11">
      <c r="A12" s="13" t="s">
        <v>99</v>
      </c>
      <c r="B12" s="13">
        <v>2.16</v>
      </c>
      <c r="C12" s="13" t="s">
        <v>97</v>
      </c>
      <c r="D12" s="13" t="s">
        <v>91</v>
      </c>
      <c r="E12" s="13"/>
      <c r="G12" s="13" t="s">
        <v>99</v>
      </c>
      <c r="H12" s="13">
        <v>2.16</v>
      </c>
      <c r="I12" s="13" t="s">
        <v>97</v>
      </c>
      <c r="J12" s="13" t="s">
        <v>91</v>
      </c>
      <c r="K12" s="13"/>
    </row>
    <row r="13" spans="1:11">
      <c r="A13" s="13" t="s">
        <v>100</v>
      </c>
      <c r="B13" s="13">
        <f>0.3 * B10</f>
        <v>10.0875</v>
      </c>
      <c r="C13" s="13" t="s">
        <v>97</v>
      </c>
      <c r="D13" s="13" t="s">
        <v>91</v>
      </c>
      <c r="E13" s="13"/>
      <c r="G13" s="13" t="s">
        <v>100</v>
      </c>
      <c r="H13" s="13">
        <f>0.3 * H10</f>
        <v>9.7050000000000001</v>
      </c>
      <c r="I13" s="13" t="s">
        <v>97</v>
      </c>
      <c r="J13" s="13" t="s">
        <v>91</v>
      </c>
      <c r="K13" s="13"/>
    </row>
    <row r="14" spans="1:11">
      <c r="A14" s="13" t="s">
        <v>101</v>
      </c>
      <c r="B14" s="13">
        <f>(B24*B23) / 10^6</f>
        <v>503.07291666666663</v>
      </c>
      <c r="C14" s="13" t="s">
        <v>97</v>
      </c>
      <c r="D14" s="13"/>
      <c r="E14" s="13" t="s">
        <v>59</v>
      </c>
      <c r="G14" s="13" t="s">
        <v>101</v>
      </c>
      <c r="H14" s="13">
        <f>(B25*B23) / 10^6</f>
        <v>402.45833333333331</v>
      </c>
      <c r="I14" s="13" t="s">
        <v>97</v>
      </c>
      <c r="J14" s="13"/>
      <c r="K14" s="13" t="s">
        <v>59</v>
      </c>
    </row>
    <row r="15" spans="1:11">
      <c r="A15" s="13" t="s">
        <v>102</v>
      </c>
      <c r="B15" s="13">
        <f>0.1*B5</f>
        <v>7.9</v>
      </c>
      <c r="C15" s="13" t="s">
        <v>97</v>
      </c>
      <c r="D15" s="13" t="s">
        <v>91</v>
      </c>
      <c r="E15" s="13"/>
      <c r="G15" s="13" t="s">
        <v>102</v>
      </c>
      <c r="H15" s="13">
        <f>0.1*H5</f>
        <v>8.0670000000000002</v>
      </c>
      <c r="I15" s="13" t="s">
        <v>97</v>
      </c>
      <c r="J15" s="13"/>
      <c r="K15" s="13"/>
    </row>
    <row r="16" spans="1:11">
      <c r="A16" s="13" t="s">
        <v>103</v>
      </c>
      <c r="B16" s="13">
        <f>0.05 *B6</f>
        <v>8.3000000000000007</v>
      </c>
      <c r="C16" s="13" t="s">
        <v>97</v>
      </c>
      <c r="D16" s="13" t="s">
        <v>91</v>
      </c>
      <c r="E16" s="13"/>
      <c r="G16" s="13" t="s">
        <v>103</v>
      </c>
      <c r="H16" s="13">
        <f>0.05 *H6</f>
        <v>1.85</v>
      </c>
      <c r="I16" s="13" t="s">
        <v>97</v>
      </c>
      <c r="J16" s="13"/>
      <c r="K16" s="13"/>
    </row>
    <row r="17" spans="1:27">
      <c r="A17" s="15" t="s">
        <v>104</v>
      </c>
      <c r="B17" s="13">
        <f>SUM(B10:B16)</f>
        <v>592.0454166666666</v>
      </c>
      <c r="C17" s="13" t="s">
        <v>97</v>
      </c>
      <c r="D17" s="13"/>
      <c r="E17" s="13"/>
      <c r="G17" s="15" t="s">
        <v>104</v>
      </c>
      <c r="H17" s="13">
        <f>SUM(H10:H16)</f>
        <v>482.47033333333331</v>
      </c>
      <c r="I17" s="13" t="s">
        <v>97</v>
      </c>
      <c r="J17" s="13"/>
      <c r="K17" s="13"/>
    </row>
    <row r="19" spans="1:27" s="14" customFormat="1">
      <c r="A19" s="41" t="s">
        <v>46</v>
      </c>
      <c r="B19" s="42"/>
      <c r="C19" s="42"/>
      <c r="D19" s="42"/>
      <c r="E19" s="42"/>
      <c r="W19" s="12"/>
      <c r="X19" s="12"/>
      <c r="Y19" s="12"/>
      <c r="Z19" s="12"/>
      <c r="AA19" s="12"/>
    </row>
    <row r="20" spans="1:27">
      <c r="A20" s="13" t="s">
        <v>0</v>
      </c>
      <c r="B20" s="13" t="s">
        <v>2</v>
      </c>
      <c r="C20" s="13" t="s">
        <v>3</v>
      </c>
      <c r="D20" s="13" t="s">
        <v>31</v>
      </c>
      <c r="E20" s="13" t="s">
        <v>32</v>
      </c>
    </row>
    <row r="21" spans="1:27">
      <c r="A21" s="13" t="s">
        <v>105</v>
      </c>
      <c r="B21" s="13">
        <v>3715</v>
      </c>
      <c r="C21" s="13" t="s">
        <v>106</v>
      </c>
      <c r="D21" s="13" t="s">
        <v>91</v>
      </c>
      <c r="E21" s="13"/>
    </row>
    <row r="22" spans="1:27">
      <c r="A22" s="13" t="s">
        <v>60</v>
      </c>
      <c r="B22" s="13">
        <v>7.5</v>
      </c>
      <c r="C22" s="13" t="s">
        <v>107</v>
      </c>
      <c r="D22" s="13" t="s">
        <v>91</v>
      </c>
      <c r="E22" s="13"/>
    </row>
    <row r="23" spans="1:27">
      <c r="A23" s="13" t="s">
        <v>60</v>
      </c>
      <c r="B23" s="13">
        <f>(B22 / 3600 * B21 * 10^6)</f>
        <v>7739583.333333333</v>
      </c>
      <c r="C23" s="13" t="s">
        <v>108</v>
      </c>
      <c r="D23" s="13" t="s">
        <v>91</v>
      </c>
      <c r="E23" s="13"/>
    </row>
    <row r="24" spans="1:27">
      <c r="A24" s="13" t="s">
        <v>73</v>
      </c>
      <c r="B24" s="20">
        <f>'Study Parameters'!C31</f>
        <v>65</v>
      </c>
      <c r="C24" s="13" t="s">
        <v>74</v>
      </c>
      <c r="D24" s="13" t="s">
        <v>75</v>
      </c>
      <c r="E24" s="13" t="s">
        <v>76</v>
      </c>
    </row>
    <row r="25" spans="1:27">
      <c r="A25" s="13" t="s">
        <v>77</v>
      </c>
      <c r="B25" s="20">
        <f>'Study Parameters'!C32</f>
        <v>52</v>
      </c>
      <c r="C25" s="13" t="s">
        <v>74</v>
      </c>
      <c r="D25" s="13" t="s">
        <v>75</v>
      </c>
      <c r="E25" s="13" t="s">
        <v>76</v>
      </c>
    </row>
    <row r="26" spans="1:27">
      <c r="A26" s="13" t="s">
        <v>109</v>
      </c>
      <c r="B26" s="13">
        <v>25</v>
      </c>
      <c r="C26" s="13" t="s">
        <v>35</v>
      </c>
      <c r="D26" s="13"/>
      <c r="E26" s="13"/>
    </row>
    <row r="28" spans="1:27">
      <c r="A28" s="12" t="s">
        <v>110</v>
      </c>
    </row>
    <row r="29" spans="1:27">
      <c r="A29" s="12" t="s">
        <v>1</v>
      </c>
      <c r="B29" s="12">
        <v>0</v>
      </c>
      <c r="C29" s="12">
        <v>1</v>
      </c>
      <c r="D29" s="12">
        <v>2</v>
      </c>
      <c r="E29" s="12">
        <v>3</v>
      </c>
      <c r="F29" s="12">
        <v>4</v>
      </c>
      <c r="G29" s="12">
        <v>5</v>
      </c>
      <c r="H29" s="12">
        <v>6</v>
      </c>
      <c r="I29" s="12">
        <v>7</v>
      </c>
      <c r="J29" s="12">
        <v>8</v>
      </c>
      <c r="K29" s="12">
        <v>9</v>
      </c>
      <c r="L29" s="12">
        <v>10</v>
      </c>
      <c r="M29" s="12">
        <v>11</v>
      </c>
      <c r="N29" s="12">
        <v>12</v>
      </c>
      <c r="O29" s="12">
        <v>13</v>
      </c>
      <c r="P29" s="12">
        <v>14</v>
      </c>
      <c r="Q29" s="12">
        <v>15</v>
      </c>
      <c r="R29" s="12">
        <v>16</v>
      </c>
      <c r="S29" s="12">
        <v>17</v>
      </c>
      <c r="T29" s="12">
        <v>18</v>
      </c>
      <c r="U29" s="12">
        <v>19</v>
      </c>
      <c r="V29" s="12">
        <v>20</v>
      </c>
      <c r="W29" s="12">
        <v>21</v>
      </c>
      <c r="X29" s="12">
        <v>22</v>
      </c>
      <c r="Y29" s="12">
        <v>23</v>
      </c>
      <c r="Z29" s="12">
        <v>24</v>
      </c>
      <c r="AA29" s="12">
        <v>25</v>
      </c>
    </row>
    <row r="30" spans="1:27">
      <c r="A30" s="12" t="s">
        <v>111</v>
      </c>
      <c r="B30" s="12">
        <f>B7 * 10^6</f>
        <v>1590000000</v>
      </c>
      <c r="C30" s="12">
        <f t="shared" ref="C30:AA30" si="0">$B$17 * 10^6</f>
        <v>592045416.66666663</v>
      </c>
      <c r="D30" s="12">
        <f t="shared" si="0"/>
        <v>592045416.66666663</v>
      </c>
      <c r="E30" s="12">
        <f t="shared" si="0"/>
        <v>592045416.66666663</v>
      </c>
      <c r="F30" s="12">
        <f t="shared" si="0"/>
        <v>592045416.66666663</v>
      </c>
      <c r="G30" s="12">
        <f t="shared" si="0"/>
        <v>592045416.66666663</v>
      </c>
      <c r="H30" s="12">
        <f t="shared" si="0"/>
        <v>592045416.66666663</v>
      </c>
      <c r="I30" s="12">
        <f t="shared" si="0"/>
        <v>592045416.66666663</v>
      </c>
      <c r="J30" s="12">
        <f t="shared" si="0"/>
        <v>592045416.66666663</v>
      </c>
      <c r="K30" s="12">
        <f t="shared" si="0"/>
        <v>592045416.66666663</v>
      </c>
      <c r="L30" s="12">
        <f t="shared" si="0"/>
        <v>592045416.66666663</v>
      </c>
      <c r="M30" s="12">
        <f t="shared" si="0"/>
        <v>592045416.66666663</v>
      </c>
      <c r="N30" s="12">
        <f t="shared" si="0"/>
        <v>592045416.66666663</v>
      </c>
      <c r="O30" s="12">
        <f t="shared" si="0"/>
        <v>592045416.66666663</v>
      </c>
      <c r="P30" s="12">
        <f t="shared" si="0"/>
        <v>592045416.66666663</v>
      </c>
      <c r="Q30" s="12">
        <f t="shared" si="0"/>
        <v>592045416.66666663</v>
      </c>
      <c r="R30" s="12">
        <f t="shared" si="0"/>
        <v>592045416.66666663</v>
      </c>
      <c r="S30" s="12">
        <f t="shared" si="0"/>
        <v>592045416.66666663</v>
      </c>
      <c r="T30" s="12">
        <f t="shared" si="0"/>
        <v>592045416.66666663</v>
      </c>
      <c r="U30" s="12">
        <f t="shared" si="0"/>
        <v>592045416.66666663</v>
      </c>
      <c r="V30" s="12">
        <f t="shared" si="0"/>
        <v>592045416.66666663</v>
      </c>
      <c r="W30" s="12">
        <f t="shared" si="0"/>
        <v>592045416.66666663</v>
      </c>
      <c r="X30" s="12">
        <f t="shared" si="0"/>
        <v>592045416.66666663</v>
      </c>
      <c r="Y30" s="12">
        <f t="shared" si="0"/>
        <v>592045416.66666663</v>
      </c>
      <c r="Z30" s="12">
        <f t="shared" si="0"/>
        <v>592045416.66666663</v>
      </c>
      <c r="AA30" s="12">
        <f t="shared" si="0"/>
        <v>592045416.66666663</v>
      </c>
    </row>
    <row r="31" spans="1:27">
      <c r="A31" s="12" t="s">
        <v>112</v>
      </c>
      <c r="B31" s="12">
        <f>B30/(1+'Study Parameters'!$C$4)^'Levelised Cost of Removal'!B29</f>
        <v>1590000000</v>
      </c>
      <c r="C31" s="12">
        <f>C30/(1+'Study Parameters'!$C$4)^'Levelised Cost of Removal'!C29</f>
        <v>548190200.61728382</v>
      </c>
      <c r="D31" s="12">
        <f>D30/(1+'Study Parameters'!$C$4)^'Levelised Cost of Removal'!D29</f>
        <v>507583519.09007764</v>
      </c>
      <c r="E31" s="12">
        <f>E30/(1+'Study Parameters'!$C$4)^'Levelised Cost of Removal'!E29</f>
        <v>469984739.89822</v>
      </c>
      <c r="F31" s="12">
        <f>F30/(1+'Study Parameters'!$C$4)^'Levelised Cost of Removal'!F29</f>
        <v>435171055.4613148</v>
      </c>
      <c r="G31" s="12">
        <f>G30/(1+'Study Parameters'!$C$4)^'Levelised Cost of Removal'!G29</f>
        <v>402936162.46418035</v>
      </c>
      <c r="H31" s="12">
        <f>H30/(1+'Study Parameters'!$C$4)^'Levelised Cost of Removal'!H29</f>
        <v>373089039.31868547</v>
      </c>
      <c r="I31" s="12">
        <f>I30/(1+'Study Parameters'!$C$4)^'Levelised Cost of Removal'!I29</f>
        <v>345452814.18396801</v>
      </c>
      <c r="J31" s="12">
        <f>J30/(1+'Study Parameters'!$C$4)^'Levelised Cost of Removal'!J29</f>
        <v>319863716.8370074</v>
      </c>
      <c r="K31" s="12">
        <f>K30/(1+'Study Parameters'!$C$4)^'Levelised Cost of Removal'!K29</f>
        <v>296170108.18241429</v>
      </c>
      <c r="L31" s="12">
        <f>L30/(1+'Study Parameters'!$C$4)^'Levelised Cost of Removal'!L29</f>
        <v>274231581.65038359</v>
      </c>
      <c r="M31" s="12">
        <f>M30/(1+'Study Parameters'!$C$4)^'Levelised Cost of Removal'!M29</f>
        <v>253918131.15776256</v>
      </c>
      <c r="N31" s="12">
        <f>N30/(1+'Study Parameters'!$C$4)^'Levelised Cost of Removal'!N29</f>
        <v>235109380.70163199</v>
      </c>
      <c r="O31" s="12">
        <f>O30/(1+'Study Parameters'!$C$4)^'Levelised Cost of Removal'!O29</f>
        <v>217693871.02002963</v>
      </c>
      <c r="P31" s="12">
        <f>P30/(1+'Study Parameters'!$C$4)^'Levelised Cost of Removal'!P29</f>
        <v>201568399.09261999</v>
      </c>
      <c r="Q31" s="12">
        <f>Q30/(1+'Study Parameters'!$C$4)^'Levelised Cost of Removal'!Q29</f>
        <v>186637406.56724072</v>
      </c>
      <c r="R31" s="12">
        <f>R30/(1+'Study Parameters'!$C$4)^'Levelised Cost of Removal'!R29</f>
        <v>172812413.48818585</v>
      </c>
      <c r="S31" s="12">
        <f>S30/(1+'Study Parameters'!$C$4)^'Levelised Cost of Removal'!S29</f>
        <v>160011493.97054246</v>
      </c>
      <c r="T31" s="12">
        <f>T30/(1+'Study Parameters'!$C$4)^'Levelised Cost of Removal'!T29</f>
        <v>148158790.71346521</v>
      </c>
      <c r="U31" s="12">
        <f>U30/(1+'Study Parameters'!$C$4)^'Levelised Cost of Removal'!U29</f>
        <v>137184065.47543073</v>
      </c>
      <c r="V31" s="12">
        <f>V30/(1+'Study Parameters'!$C$4)^'Levelised Cost of Removal'!V29</f>
        <v>127022282.84762107</v>
      </c>
      <c r="W31" s="12">
        <f>W30/(1+'Study Parameters'!$C$4)^'Levelised Cost of Removal'!W29</f>
        <v>117613224.85890839</v>
      </c>
      <c r="X31" s="12">
        <f>X30/(1+'Study Parameters'!$C$4)^'Levelised Cost of Removal'!X29</f>
        <v>108901134.12861887</v>
      </c>
      <c r="Y31" s="12">
        <f>Y30/(1+'Study Parameters'!$C$4)^'Levelised Cost of Removal'!Y29</f>
        <v>100834383.45242487</v>
      </c>
      <c r="Z31" s="12">
        <f>Z30/(1+'Study Parameters'!$C$4)^'Levelised Cost of Removal'!Z29</f>
        <v>93365169.863356367</v>
      </c>
      <c r="AA31" s="12">
        <f>AA30/(1+'Study Parameters'!$C$4)^'Levelised Cost of Removal'!AA29</f>
        <v>86449231.354959577</v>
      </c>
    </row>
    <row r="32" spans="1:27">
      <c r="A32" s="12" t="s">
        <v>113</v>
      </c>
      <c r="B32" s="12">
        <f t="shared" ref="B32:AA32" si="1">$B$21 * 10^3</f>
        <v>3715000</v>
      </c>
      <c r="C32" s="12">
        <f t="shared" si="1"/>
        <v>3715000</v>
      </c>
      <c r="D32" s="12">
        <f t="shared" si="1"/>
        <v>3715000</v>
      </c>
      <c r="E32" s="12">
        <f t="shared" si="1"/>
        <v>3715000</v>
      </c>
      <c r="F32" s="12">
        <f t="shared" si="1"/>
        <v>3715000</v>
      </c>
      <c r="G32" s="12">
        <f t="shared" si="1"/>
        <v>3715000</v>
      </c>
      <c r="H32" s="12">
        <f t="shared" si="1"/>
        <v>3715000</v>
      </c>
      <c r="I32" s="12">
        <f t="shared" si="1"/>
        <v>3715000</v>
      </c>
      <c r="J32" s="12">
        <f t="shared" si="1"/>
        <v>3715000</v>
      </c>
      <c r="K32" s="12">
        <f t="shared" si="1"/>
        <v>3715000</v>
      </c>
      <c r="L32" s="12">
        <f t="shared" si="1"/>
        <v>3715000</v>
      </c>
      <c r="M32" s="12">
        <f t="shared" si="1"/>
        <v>3715000</v>
      </c>
      <c r="N32" s="12">
        <f t="shared" si="1"/>
        <v>3715000</v>
      </c>
      <c r="O32" s="12">
        <f t="shared" si="1"/>
        <v>3715000</v>
      </c>
      <c r="P32" s="12">
        <f t="shared" si="1"/>
        <v>3715000</v>
      </c>
      <c r="Q32" s="12">
        <f t="shared" si="1"/>
        <v>3715000</v>
      </c>
      <c r="R32" s="12">
        <f t="shared" si="1"/>
        <v>3715000</v>
      </c>
      <c r="S32" s="12">
        <f t="shared" si="1"/>
        <v>3715000</v>
      </c>
      <c r="T32" s="12">
        <f t="shared" si="1"/>
        <v>3715000</v>
      </c>
      <c r="U32" s="12">
        <f t="shared" si="1"/>
        <v>3715000</v>
      </c>
      <c r="V32" s="12">
        <f t="shared" si="1"/>
        <v>3715000</v>
      </c>
      <c r="W32" s="12">
        <f t="shared" si="1"/>
        <v>3715000</v>
      </c>
      <c r="X32" s="12">
        <f t="shared" si="1"/>
        <v>3715000</v>
      </c>
      <c r="Y32" s="12">
        <f t="shared" si="1"/>
        <v>3715000</v>
      </c>
      <c r="Z32" s="12">
        <f t="shared" si="1"/>
        <v>3715000</v>
      </c>
      <c r="AA32" s="12">
        <f t="shared" si="1"/>
        <v>3715000</v>
      </c>
    </row>
    <row r="33" spans="1:27">
      <c r="A33" s="12" t="s">
        <v>114</v>
      </c>
      <c r="B33" s="12">
        <f>B32/(1+'Study Parameters'!$C$4)^'Levelised Cost of Removal'!B29</f>
        <v>3715000</v>
      </c>
      <c r="C33" s="12">
        <f>C32/(1+'Study Parameters'!$C$4)^'Levelised Cost of Removal'!C29</f>
        <v>3439814.8148148144</v>
      </c>
      <c r="D33" s="12">
        <f>D32/(1+'Study Parameters'!$C$4)^'Levelised Cost of Removal'!D29</f>
        <v>3185013.7174211247</v>
      </c>
      <c r="E33" s="12">
        <f>E32/(1+'Study Parameters'!$C$4)^'Levelised Cost of Removal'!E29</f>
        <v>2949086.7753899302</v>
      </c>
      <c r="F33" s="12">
        <f>F32/(1+'Study Parameters'!$C$4)^'Levelised Cost of Removal'!F29</f>
        <v>2730635.9031388238</v>
      </c>
      <c r="G33" s="12">
        <f>G32/(1+'Study Parameters'!$C$4)^'Levelised Cost of Removal'!G29</f>
        <v>2528366.5769803924</v>
      </c>
      <c r="H33" s="12">
        <f>H32/(1+'Study Parameters'!$C$4)^'Levelised Cost of Removal'!H29</f>
        <v>2341080.1638707332</v>
      </c>
      <c r="I33" s="12">
        <f>I32/(1+'Study Parameters'!$C$4)^'Levelised Cost of Removal'!I29</f>
        <v>2167666.8183988272</v>
      </c>
      <c r="J33" s="12">
        <f>J32/(1+'Study Parameters'!$C$4)^'Levelised Cost of Removal'!J29</f>
        <v>2007098.9059248399</v>
      </c>
      <c r="K33" s="12">
        <f>K32/(1+'Study Parameters'!$C$4)^'Levelised Cost of Removal'!K29</f>
        <v>1858424.9128933703</v>
      </c>
      <c r="L33" s="12">
        <f>L32/(1+'Study Parameters'!$C$4)^'Levelised Cost of Removal'!L29</f>
        <v>1720763.808234602</v>
      </c>
      <c r="M33" s="12">
        <f>M32/(1+'Study Parameters'!$C$4)^'Levelised Cost of Removal'!M29</f>
        <v>1593299.8224394463</v>
      </c>
      <c r="N33" s="12">
        <f>N32/(1+'Study Parameters'!$C$4)^'Levelised Cost of Removal'!N29</f>
        <v>1475277.6133698577</v>
      </c>
      <c r="O33" s="12">
        <f>O32/(1+'Study Parameters'!$C$4)^'Levelised Cost of Removal'!O29</f>
        <v>1365997.7901572755</v>
      </c>
      <c r="P33" s="12">
        <f>P32/(1+'Study Parameters'!$C$4)^'Levelised Cost of Removal'!P29</f>
        <v>1264812.7686641437</v>
      </c>
      <c r="Q33" s="12">
        <f>Q32/(1+'Study Parameters'!$C$4)^'Levelised Cost of Removal'!Q29</f>
        <v>1171122.9339482812</v>
      </c>
      <c r="R33" s="12">
        <f>R32/(1+'Study Parameters'!$C$4)^'Levelised Cost of Removal'!R29</f>
        <v>1084373.0869891492</v>
      </c>
      <c r="S33" s="12">
        <f>S32/(1+'Study Parameters'!$C$4)^'Levelised Cost of Removal'!S29</f>
        <v>1004049.1546195827</v>
      </c>
      <c r="T33" s="12">
        <f>T32/(1+'Study Parameters'!$C$4)^'Levelised Cost of Removal'!T29</f>
        <v>929675.14316628012</v>
      </c>
      <c r="U33" s="12">
        <f>U32/(1+'Study Parameters'!$C$4)^'Levelised Cost of Removal'!U29</f>
        <v>860810.31774655555</v>
      </c>
      <c r="V33" s="12">
        <f>V32/(1+'Study Parameters'!$C$4)^'Levelised Cost of Removal'!V29</f>
        <v>797046.59050607006</v>
      </c>
      <c r="W33" s="12">
        <f>W32/(1+'Study Parameters'!$C$4)^'Levelised Cost of Removal'!W29</f>
        <v>738006.10232043522</v>
      </c>
      <c r="X33" s="12">
        <f>X32/(1+'Study Parameters'!$C$4)^'Levelised Cost of Removal'!X29</f>
        <v>683338.98363003251</v>
      </c>
      <c r="Y33" s="12">
        <f>Y32/(1+'Study Parameters'!$C$4)^'Levelised Cost of Removal'!Y29</f>
        <v>632721.28113891894</v>
      </c>
      <c r="Z33" s="12">
        <f>Z32/(1+'Study Parameters'!$C$4)^'Levelised Cost of Removal'!Z29</f>
        <v>585853.03809159168</v>
      </c>
      <c r="AA33" s="12">
        <f>AA32/(1+'Study Parameters'!$C$4)^'Levelised Cost of Removal'!AA29</f>
        <v>542456.51675147365</v>
      </c>
    </row>
    <row r="35" spans="1:27">
      <c r="A35" s="12" t="s">
        <v>115</v>
      </c>
      <c r="B35" s="12">
        <f>SUM(B31:AF31) / SUM(B33:AF33)</f>
        <v>182.37549500900153</v>
      </c>
    </row>
    <row r="37" spans="1:27">
      <c r="A37" s="12" t="s">
        <v>116</v>
      </c>
    </row>
    <row r="38" spans="1:27">
      <c r="A38" s="12" t="s">
        <v>1</v>
      </c>
      <c r="B38" s="12">
        <v>0</v>
      </c>
      <c r="C38" s="12">
        <v>1</v>
      </c>
      <c r="D38" s="12">
        <v>2</v>
      </c>
      <c r="E38" s="12">
        <v>3</v>
      </c>
      <c r="F38" s="12">
        <v>4</v>
      </c>
      <c r="G38" s="12">
        <v>5</v>
      </c>
      <c r="H38" s="12">
        <v>6</v>
      </c>
      <c r="I38" s="12">
        <v>7</v>
      </c>
      <c r="J38" s="12">
        <v>8</v>
      </c>
      <c r="K38" s="12">
        <v>9</v>
      </c>
      <c r="L38" s="12">
        <v>10</v>
      </c>
      <c r="M38" s="12">
        <v>11</v>
      </c>
      <c r="N38" s="12">
        <v>12</v>
      </c>
      <c r="O38" s="12">
        <v>13</v>
      </c>
      <c r="P38" s="12">
        <v>14</v>
      </c>
      <c r="Q38" s="12">
        <v>15</v>
      </c>
      <c r="R38" s="12">
        <v>16</v>
      </c>
      <c r="S38" s="12">
        <v>17</v>
      </c>
      <c r="T38" s="12">
        <v>18</v>
      </c>
      <c r="U38" s="12">
        <v>19</v>
      </c>
      <c r="V38" s="12">
        <v>20</v>
      </c>
      <c r="W38" s="12">
        <v>21</v>
      </c>
      <c r="X38" s="12">
        <v>22</v>
      </c>
      <c r="Y38" s="12">
        <v>23</v>
      </c>
      <c r="Z38" s="12">
        <v>24</v>
      </c>
      <c r="AA38" s="12">
        <v>25</v>
      </c>
    </row>
    <row r="39" spans="1:27">
      <c r="A39" s="12" t="s">
        <v>111</v>
      </c>
      <c r="B39" s="12">
        <f>H7*10^6</f>
        <v>1411670000</v>
      </c>
      <c r="C39" s="12">
        <f t="shared" ref="C39:AA39" si="2">$H$17 * 10^6</f>
        <v>482470333.33333331</v>
      </c>
      <c r="D39" s="12">
        <f t="shared" si="2"/>
        <v>482470333.33333331</v>
      </c>
      <c r="E39" s="12">
        <f t="shared" si="2"/>
        <v>482470333.33333331</v>
      </c>
      <c r="F39" s="12">
        <f t="shared" si="2"/>
        <v>482470333.33333331</v>
      </c>
      <c r="G39" s="12">
        <f t="shared" si="2"/>
        <v>482470333.33333331</v>
      </c>
      <c r="H39" s="12">
        <f t="shared" si="2"/>
        <v>482470333.33333331</v>
      </c>
      <c r="I39" s="12">
        <f t="shared" si="2"/>
        <v>482470333.33333331</v>
      </c>
      <c r="J39" s="12">
        <f t="shared" si="2"/>
        <v>482470333.33333331</v>
      </c>
      <c r="K39" s="12">
        <f t="shared" si="2"/>
        <v>482470333.33333331</v>
      </c>
      <c r="L39" s="12">
        <f t="shared" si="2"/>
        <v>482470333.33333331</v>
      </c>
      <c r="M39" s="12">
        <f t="shared" si="2"/>
        <v>482470333.33333331</v>
      </c>
      <c r="N39" s="12">
        <f t="shared" si="2"/>
        <v>482470333.33333331</v>
      </c>
      <c r="O39" s="12">
        <f t="shared" si="2"/>
        <v>482470333.33333331</v>
      </c>
      <c r="P39" s="12">
        <f t="shared" si="2"/>
        <v>482470333.33333331</v>
      </c>
      <c r="Q39" s="12">
        <f t="shared" si="2"/>
        <v>482470333.33333331</v>
      </c>
      <c r="R39" s="12">
        <f t="shared" si="2"/>
        <v>482470333.33333331</v>
      </c>
      <c r="S39" s="12">
        <f t="shared" si="2"/>
        <v>482470333.33333331</v>
      </c>
      <c r="T39" s="12">
        <f t="shared" si="2"/>
        <v>482470333.33333331</v>
      </c>
      <c r="U39" s="12">
        <f t="shared" si="2"/>
        <v>482470333.33333331</v>
      </c>
      <c r="V39" s="12">
        <f t="shared" si="2"/>
        <v>482470333.33333331</v>
      </c>
      <c r="W39" s="12">
        <f t="shared" si="2"/>
        <v>482470333.33333331</v>
      </c>
      <c r="X39" s="12">
        <f t="shared" si="2"/>
        <v>482470333.33333331</v>
      </c>
      <c r="Y39" s="12">
        <f t="shared" si="2"/>
        <v>482470333.33333331</v>
      </c>
      <c r="Z39" s="12">
        <f t="shared" si="2"/>
        <v>482470333.33333331</v>
      </c>
      <c r="AA39" s="12">
        <f t="shared" si="2"/>
        <v>482470333.33333331</v>
      </c>
    </row>
    <row r="40" spans="1:27">
      <c r="A40" s="12" t="s">
        <v>112</v>
      </c>
      <c r="B40" s="12">
        <f>B39/(1+'Study Parameters'!$C$4)^'Levelised Cost of Removal'!B38</f>
        <v>1411670000</v>
      </c>
      <c r="C40" s="12">
        <f>C39/(1+'Study Parameters'!$C$4)^'Levelised Cost of Removal'!C38</f>
        <v>446731790.12345672</v>
      </c>
      <c r="D40" s="12">
        <f>D39/(1+'Study Parameters'!$C$4)^'Levelised Cost of Removal'!D38</f>
        <v>413640546.41060811</v>
      </c>
      <c r="E40" s="12">
        <f>E39/(1+'Study Parameters'!$C$4)^'Levelised Cost of Removal'!E38</f>
        <v>383000505.93574822</v>
      </c>
      <c r="F40" s="12">
        <f>F39/(1+'Study Parameters'!$C$4)^'Levelised Cost of Removal'!F38</f>
        <v>354630098.08865571</v>
      </c>
      <c r="G40" s="12">
        <f>G39/(1+'Study Parameters'!$C$4)^'Levelised Cost of Removal'!G38</f>
        <v>328361201.93394047</v>
      </c>
      <c r="H40" s="12">
        <f>H39/(1+'Study Parameters'!$C$4)^'Levelised Cost of Removal'!H38</f>
        <v>304038149.93883371</v>
      </c>
      <c r="I40" s="12">
        <f>I39/(1+'Study Parameters'!$C$4)^'Levelised Cost of Removal'!I38</f>
        <v>281516805.49892014</v>
      </c>
      <c r="J40" s="12">
        <f>J39/(1+'Study Parameters'!$C$4)^'Levelised Cost of Removal'!J38</f>
        <v>260663708.7952964</v>
      </c>
      <c r="K40" s="12">
        <f>K39/(1+'Study Parameters'!$C$4)^'Levelised Cost of Removal'!K38</f>
        <v>241355285.92157072</v>
      </c>
      <c r="L40" s="12">
        <f>L39/(1+'Study Parameters'!$C$4)^'Levelised Cost of Removal'!L38</f>
        <v>223477116.59404695</v>
      </c>
      <c r="M40" s="12">
        <f>M39/(1+'Study Parameters'!$C$4)^'Levelised Cost of Removal'!M38</f>
        <v>206923256.10559905</v>
      </c>
      <c r="N40" s="12">
        <f>N39/(1+'Study Parameters'!$C$4)^'Levelised Cost of Removal'!N38</f>
        <v>191595607.50518429</v>
      </c>
      <c r="O40" s="12">
        <f>O39/(1+'Study Parameters'!$C$4)^'Levelised Cost of Removal'!O38</f>
        <v>177403340.28257805</v>
      </c>
      <c r="P40" s="12">
        <f>P39/(1+'Study Parameters'!$C$4)^'Levelised Cost of Removal'!P38</f>
        <v>164262352.11349815</v>
      </c>
      <c r="Q40" s="12">
        <f>Q39/(1+'Study Parameters'!$C$4)^'Levelised Cost of Removal'!Q38</f>
        <v>152094770.47546124</v>
      </c>
      <c r="R40" s="12">
        <f>R39/(1+'Study Parameters'!$C$4)^'Levelised Cost of Removal'!R38</f>
        <v>140828491.18098265</v>
      </c>
      <c r="S40" s="12">
        <f>S39/(1+'Study Parameters'!$C$4)^'Levelised Cost of Removal'!S38</f>
        <v>130396751.09350243</v>
      </c>
      <c r="T40" s="12">
        <f>T39/(1+'Study Parameters'!$C$4)^'Levelised Cost of Removal'!T38</f>
        <v>120737732.49398373</v>
      </c>
      <c r="U40" s="12">
        <f>U39/(1+'Study Parameters'!$C$4)^'Levelised Cost of Removal'!U38</f>
        <v>111794196.75368863</v>
      </c>
      <c r="V40" s="12">
        <f>V39/(1+'Study Parameters'!$C$4)^'Levelised Cost of Removal'!V38</f>
        <v>103513145.14230429</v>
      </c>
      <c r="W40" s="12">
        <f>W39/(1+'Study Parameters'!$C$4)^'Levelised Cost of Removal'!W38</f>
        <v>95845504.761392862</v>
      </c>
      <c r="X40" s="12">
        <f>X39/(1+'Study Parameters'!$C$4)^'Levelised Cost of Removal'!X38</f>
        <v>88745837.742030412</v>
      </c>
      <c r="Y40" s="12">
        <f>Y39/(1+'Study Parameters'!$C$4)^'Levelised Cost of Removal'!Y38</f>
        <v>82172071.983361483</v>
      </c>
      <c r="Z40" s="12">
        <f>Z39/(1+'Study Parameters'!$C$4)^'Levelised Cost of Removal'!Z38</f>
        <v>76085251.836445823</v>
      </c>
      <c r="AA40" s="12">
        <f>AA39/(1+'Study Parameters'!$C$4)^'Levelised Cost of Removal'!AA38</f>
        <v>70449307.255968347</v>
      </c>
    </row>
    <row r="41" spans="1:27">
      <c r="A41" s="12" t="s">
        <v>113</v>
      </c>
      <c r="B41" s="12">
        <f t="shared" ref="B41:AA41" si="3">$B$21 * 10^3</f>
        <v>3715000</v>
      </c>
      <c r="C41" s="12">
        <f t="shared" si="3"/>
        <v>3715000</v>
      </c>
      <c r="D41" s="12">
        <f t="shared" si="3"/>
        <v>3715000</v>
      </c>
      <c r="E41" s="12">
        <f t="shared" si="3"/>
        <v>3715000</v>
      </c>
      <c r="F41" s="12">
        <f t="shared" si="3"/>
        <v>3715000</v>
      </c>
      <c r="G41" s="12">
        <f t="shared" si="3"/>
        <v>3715000</v>
      </c>
      <c r="H41" s="12">
        <f t="shared" si="3"/>
        <v>3715000</v>
      </c>
      <c r="I41" s="12">
        <f t="shared" si="3"/>
        <v>3715000</v>
      </c>
      <c r="J41" s="12">
        <f t="shared" si="3"/>
        <v>3715000</v>
      </c>
      <c r="K41" s="12">
        <f t="shared" si="3"/>
        <v>3715000</v>
      </c>
      <c r="L41" s="12">
        <f t="shared" si="3"/>
        <v>3715000</v>
      </c>
      <c r="M41" s="12">
        <f t="shared" si="3"/>
        <v>3715000</v>
      </c>
      <c r="N41" s="12">
        <f t="shared" si="3"/>
        <v>3715000</v>
      </c>
      <c r="O41" s="12">
        <f t="shared" si="3"/>
        <v>3715000</v>
      </c>
      <c r="P41" s="12">
        <f t="shared" si="3"/>
        <v>3715000</v>
      </c>
      <c r="Q41" s="12">
        <f t="shared" si="3"/>
        <v>3715000</v>
      </c>
      <c r="R41" s="12">
        <f t="shared" si="3"/>
        <v>3715000</v>
      </c>
      <c r="S41" s="12">
        <f t="shared" si="3"/>
        <v>3715000</v>
      </c>
      <c r="T41" s="12">
        <f t="shared" si="3"/>
        <v>3715000</v>
      </c>
      <c r="U41" s="12">
        <f t="shared" si="3"/>
        <v>3715000</v>
      </c>
      <c r="V41" s="12">
        <f t="shared" si="3"/>
        <v>3715000</v>
      </c>
      <c r="W41" s="12">
        <f t="shared" si="3"/>
        <v>3715000</v>
      </c>
      <c r="X41" s="12">
        <f t="shared" si="3"/>
        <v>3715000</v>
      </c>
      <c r="Y41" s="12">
        <f t="shared" si="3"/>
        <v>3715000</v>
      </c>
      <c r="Z41" s="12">
        <f t="shared" si="3"/>
        <v>3715000</v>
      </c>
      <c r="AA41" s="12">
        <f t="shared" si="3"/>
        <v>3715000</v>
      </c>
    </row>
    <row r="42" spans="1:27">
      <c r="A42" s="12" t="s">
        <v>114</v>
      </c>
      <c r="B42" s="12">
        <f>B41/(1+'Study Parameters'!$C$4)^'Levelised Cost of Removal'!B38</f>
        <v>3715000</v>
      </c>
      <c r="C42" s="12">
        <f>C41/(1+'Study Parameters'!$C$4)^'Levelised Cost of Removal'!C38</f>
        <v>3439814.8148148144</v>
      </c>
      <c r="D42" s="12">
        <f>D41/(1+'Study Parameters'!$C$4)^'Levelised Cost of Removal'!D38</f>
        <v>3185013.7174211247</v>
      </c>
      <c r="E42" s="12">
        <f>E41/(1+'Study Parameters'!$C$4)^'Levelised Cost of Removal'!E38</f>
        <v>2949086.7753899302</v>
      </c>
      <c r="F42" s="12">
        <f>F41/(1+'Study Parameters'!$C$4)^'Levelised Cost of Removal'!F38</f>
        <v>2730635.9031388238</v>
      </c>
      <c r="G42" s="12">
        <f>G41/(1+'Study Parameters'!$C$4)^'Levelised Cost of Removal'!G38</f>
        <v>2528366.5769803924</v>
      </c>
      <c r="H42" s="12">
        <f>H41/(1+'Study Parameters'!$C$4)^'Levelised Cost of Removal'!H38</f>
        <v>2341080.1638707332</v>
      </c>
      <c r="I42" s="12">
        <f>I41/(1+'Study Parameters'!$C$4)^'Levelised Cost of Removal'!I38</f>
        <v>2167666.8183988272</v>
      </c>
      <c r="J42" s="12">
        <f>J41/(1+'Study Parameters'!$C$4)^'Levelised Cost of Removal'!J38</f>
        <v>2007098.9059248399</v>
      </c>
      <c r="K42" s="12">
        <f>K41/(1+'Study Parameters'!$C$4)^'Levelised Cost of Removal'!K38</f>
        <v>1858424.9128933703</v>
      </c>
      <c r="L42" s="12">
        <f>L41/(1+'Study Parameters'!$C$4)^'Levelised Cost of Removal'!L38</f>
        <v>1720763.808234602</v>
      </c>
      <c r="M42" s="12">
        <f>M41/(1+'Study Parameters'!$C$4)^'Levelised Cost of Removal'!M38</f>
        <v>1593299.8224394463</v>
      </c>
      <c r="N42" s="12">
        <f>N41/(1+'Study Parameters'!$C$4)^'Levelised Cost of Removal'!N38</f>
        <v>1475277.6133698577</v>
      </c>
      <c r="O42" s="12">
        <f>O41/(1+'Study Parameters'!$C$4)^'Levelised Cost of Removal'!O38</f>
        <v>1365997.7901572755</v>
      </c>
      <c r="P42" s="12">
        <f>P41/(1+'Study Parameters'!$C$4)^'Levelised Cost of Removal'!P38</f>
        <v>1264812.7686641437</v>
      </c>
      <c r="Q42" s="12">
        <f>Q41/(1+'Study Parameters'!$C$4)^'Levelised Cost of Removal'!Q38</f>
        <v>1171122.9339482812</v>
      </c>
      <c r="R42" s="12">
        <f>R41/(1+'Study Parameters'!$C$4)^'Levelised Cost of Removal'!R38</f>
        <v>1084373.0869891492</v>
      </c>
      <c r="S42" s="12">
        <f>S41/(1+'Study Parameters'!$C$4)^'Levelised Cost of Removal'!S38</f>
        <v>1004049.1546195827</v>
      </c>
      <c r="T42" s="12">
        <f>T41/(1+'Study Parameters'!$C$4)^'Levelised Cost of Removal'!T38</f>
        <v>929675.14316628012</v>
      </c>
      <c r="U42" s="12">
        <f>U41/(1+'Study Parameters'!$C$4)^'Levelised Cost of Removal'!U38</f>
        <v>860810.31774655555</v>
      </c>
      <c r="V42" s="12">
        <f>V41/(1+'Study Parameters'!$C$4)^'Levelised Cost of Removal'!V38</f>
        <v>797046.59050607006</v>
      </c>
      <c r="W42" s="12">
        <f>W41/(1+'Study Parameters'!$C$4)^'Levelised Cost of Removal'!W38</f>
        <v>738006.10232043522</v>
      </c>
      <c r="X42" s="12">
        <f>X41/(1+'Study Parameters'!$C$4)^'Levelised Cost of Removal'!X38</f>
        <v>683338.98363003251</v>
      </c>
      <c r="Y42" s="12">
        <f>Y41/(1+'Study Parameters'!$C$4)^'Levelised Cost of Removal'!Y38</f>
        <v>632721.28113891894</v>
      </c>
      <c r="Z42" s="12">
        <f>Z41/(1+'Study Parameters'!$C$4)^'Levelised Cost of Removal'!Z38</f>
        <v>585853.03809159168</v>
      </c>
      <c r="AA42" s="12">
        <f>AA41/(1+'Study Parameters'!$C$4)^'Levelised Cost of Removal'!AA38</f>
        <v>542456.51675147365</v>
      </c>
    </row>
    <row r="44" spans="1:27">
      <c r="A44" s="12" t="s">
        <v>115</v>
      </c>
      <c r="B44" s="12">
        <f>SUM(B40:AF40) / SUM(B42:AF42)</f>
        <v>151.29493826035787</v>
      </c>
    </row>
  </sheetData>
  <mergeCells count="7">
    <mergeCell ref="A2:E2"/>
    <mergeCell ref="G2:K2"/>
    <mergeCell ref="A19:E19"/>
    <mergeCell ref="G1:K1"/>
    <mergeCell ref="A1:E1"/>
    <mergeCell ref="A8:E8"/>
    <mergeCell ref="G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8"/>
  <sheetViews>
    <sheetView zoomScaleNormal="100" workbookViewId="0">
      <selection activeCell="E55" sqref="E55"/>
    </sheetView>
  </sheetViews>
  <sheetFormatPr defaultColWidth="11" defaultRowHeight="15.75"/>
  <cols>
    <col min="1" max="1" width="29.875" bestFit="1" customWidth="1"/>
    <col min="2" max="2" width="16" bestFit="1" customWidth="1"/>
    <col min="3" max="3" width="8" bestFit="1" customWidth="1"/>
    <col min="4" max="4" width="9.875" customWidth="1"/>
    <col min="5" max="5" width="10" bestFit="1" customWidth="1"/>
    <col min="7" max="7" width="29.875" bestFit="1" customWidth="1"/>
    <col min="8" max="8" width="12.125" bestFit="1" customWidth="1"/>
    <col min="9" max="9" width="8" bestFit="1" customWidth="1"/>
    <col min="10" max="10" width="21.125" customWidth="1"/>
    <col min="11" max="11" width="10" bestFit="1" customWidth="1"/>
    <col min="13" max="13" width="29.875" bestFit="1" customWidth="1"/>
    <col min="14" max="14" width="12.125" bestFit="1" customWidth="1"/>
    <col min="15" max="15" width="8" bestFit="1" customWidth="1"/>
    <col min="16" max="16" width="25.375" customWidth="1"/>
    <col min="17" max="17" width="10" bestFit="1" customWidth="1"/>
  </cols>
  <sheetData>
    <row r="1" spans="1:18">
      <c r="A1" s="46" t="s">
        <v>117</v>
      </c>
      <c r="B1" s="39"/>
      <c r="C1" s="39"/>
      <c r="D1" s="39"/>
      <c r="E1" s="40"/>
      <c r="G1" s="46" t="s">
        <v>118</v>
      </c>
      <c r="H1" s="39"/>
      <c r="I1" s="39"/>
      <c r="J1" s="39"/>
      <c r="K1" s="40"/>
      <c r="L1" s="23"/>
      <c r="M1" s="46" t="s">
        <v>119</v>
      </c>
      <c r="N1" s="39"/>
      <c r="O1" s="39"/>
      <c r="P1" s="39"/>
      <c r="Q1" s="40"/>
      <c r="R1" s="23"/>
    </row>
    <row r="2" spans="1:18">
      <c r="A2" s="47" t="s">
        <v>87</v>
      </c>
      <c r="B2" s="39"/>
      <c r="C2" s="39"/>
      <c r="D2" s="39"/>
      <c r="E2" s="40"/>
      <c r="G2" s="47" t="s">
        <v>87</v>
      </c>
      <c r="H2" s="39"/>
      <c r="I2" s="39"/>
      <c r="J2" s="39"/>
      <c r="K2" s="40"/>
      <c r="M2" s="47" t="s">
        <v>87</v>
      </c>
      <c r="N2" s="39"/>
      <c r="O2" s="39"/>
      <c r="P2" s="39"/>
      <c r="Q2" s="40"/>
    </row>
    <row r="3" spans="1:18">
      <c r="A3" s="16" t="s">
        <v>88</v>
      </c>
      <c r="B3" s="16" t="s">
        <v>2</v>
      </c>
      <c r="C3" s="16" t="s">
        <v>3</v>
      </c>
      <c r="D3" s="16" t="s">
        <v>31</v>
      </c>
      <c r="E3" s="16" t="s">
        <v>32</v>
      </c>
      <c r="G3" s="16" t="s">
        <v>88</v>
      </c>
      <c r="H3" s="16" t="s">
        <v>2</v>
      </c>
      <c r="I3" s="16" t="s">
        <v>3</v>
      </c>
      <c r="J3" s="16" t="s">
        <v>31</v>
      </c>
      <c r="K3" s="16" t="s">
        <v>32</v>
      </c>
      <c r="M3" s="16" t="s">
        <v>88</v>
      </c>
      <c r="N3" s="16" t="s">
        <v>2</v>
      </c>
      <c r="O3" s="16" t="s">
        <v>3</v>
      </c>
      <c r="P3" s="16" t="s">
        <v>31</v>
      </c>
      <c r="Q3" s="16" t="s">
        <v>32</v>
      </c>
    </row>
    <row r="4" spans="1:18">
      <c r="A4" s="16" t="s">
        <v>120</v>
      </c>
      <c r="B4" s="16">
        <v>249</v>
      </c>
      <c r="C4" s="16" t="s">
        <v>90</v>
      </c>
      <c r="D4" s="16" t="s">
        <v>42</v>
      </c>
      <c r="E4" s="16" t="s">
        <v>76</v>
      </c>
      <c r="G4" s="16" t="s">
        <v>120</v>
      </c>
      <c r="H4" s="16">
        <v>278</v>
      </c>
      <c r="I4" s="16" t="s">
        <v>90</v>
      </c>
      <c r="J4" s="16" t="s">
        <v>42</v>
      </c>
      <c r="K4" s="16" t="s">
        <v>76</v>
      </c>
      <c r="M4" s="16" t="s">
        <v>120</v>
      </c>
      <c r="N4" s="16">
        <v>264</v>
      </c>
      <c r="O4" s="16" t="s">
        <v>90</v>
      </c>
      <c r="P4" s="16" t="s">
        <v>42</v>
      </c>
      <c r="Q4" s="16" t="s">
        <v>76</v>
      </c>
    </row>
    <row r="5" spans="1:18">
      <c r="A5" s="16" t="s">
        <v>121</v>
      </c>
      <c r="B5" s="16">
        <v>4140</v>
      </c>
      <c r="C5" s="16" t="s">
        <v>90</v>
      </c>
      <c r="D5" s="16" t="s">
        <v>42</v>
      </c>
      <c r="E5" s="16" t="s">
        <v>76</v>
      </c>
      <c r="G5" s="16" t="s">
        <v>121</v>
      </c>
      <c r="H5" s="16">
        <v>2916</v>
      </c>
      <c r="I5" s="16" t="s">
        <v>90</v>
      </c>
      <c r="J5" s="16" t="s">
        <v>42</v>
      </c>
      <c r="K5" s="16" t="s">
        <v>76</v>
      </c>
      <c r="M5" s="16" t="s">
        <v>121</v>
      </c>
      <c r="N5" s="16">
        <v>4263</v>
      </c>
      <c r="O5" s="16" t="s">
        <v>90</v>
      </c>
      <c r="P5" s="16" t="s">
        <v>42</v>
      </c>
      <c r="Q5" s="16" t="s">
        <v>76</v>
      </c>
    </row>
    <row r="6" spans="1:18">
      <c r="A6" s="16" t="s">
        <v>122</v>
      </c>
      <c r="B6" s="16">
        <v>1678</v>
      </c>
      <c r="C6" s="16" t="s">
        <v>90</v>
      </c>
      <c r="D6" s="16" t="s">
        <v>36</v>
      </c>
      <c r="E6" s="16" t="s">
        <v>76</v>
      </c>
      <c r="G6" s="16" t="s">
        <v>122</v>
      </c>
      <c r="H6" s="16">
        <v>1676</v>
      </c>
      <c r="I6" s="16" t="s">
        <v>90</v>
      </c>
      <c r="J6" s="16" t="s">
        <v>36</v>
      </c>
      <c r="K6" s="16" t="s">
        <v>76</v>
      </c>
      <c r="M6" s="16" t="s">
        <v>122</v>
      </c>
      <c r="N6" s="16">
        <v>1637</v>
      </c>
      <c r="O6" s="16" t="s">
        <v>90</v>
      </c>
      <c r="P6" s="16" t="s">
        <v>36</v>
      </c>
      <c r="Q6" s="16" t="s">
        <v>76</v>
      </c>
    </row>
    <row r="7" spans="1:18">
      <c r="A7" s="16" t="s">
        <v>123</v>
      </c>
      <c r="B7" s="16">
        <v>173</v>
      </c>
      <c r="C7" s="16" t="s">
        <v>90</v>
      </c>
      <c r="D7" s="16"/>
      <c r="E7" s="16"/>
      <c r="G7" s="16" t="s">
        <v>123</v>
      </c>
      <c r="H7" s="16">
        <v>86</v>
      </c>
      <c r="I7" s="16" t="s">
        <v>90</v>
      </c>
      <c r="J7" s="16"/>
      <c r="K7" s="16"/>
      <c r="M7" s="16" t="s">
        <v>123</v>
      </c>
      <c r="N7" s="16">
        <v>240</v>
      </c>
      <c r="O7" s="16" t="s">
        <v>90</v>
      </c>
      <c r="P7" s="16"/>
      <c r="Q7" s="16"/>
    </row>
    <row r="8" spans="1:18" s="1" customFormat="1">
      <c r="A8" s="30" t="s">
        <v>94</v>
      </c>
      <c r="B8" s="30">
        <f>SUM(B4:B7)</f>
        <v>6240</v>
      </c>
      <c r="C8" s="30" t="s">
        <v>90</v>
      </c>
      <c r="D8" s="30"/>
      <c r="E8" s="30"/>
      <c r="G8" s="30" t="s">
        <v>94</v>
      </c>
      <c r="H8" s="30">
        <f>SUM(H4:H7)</f>
        <v>4956</v>
      </c>
      <c r="I8" s="30" t="s">
        <v>90</v>
      </c>
      <c r="J8" s="30"/>
      <c r="K8" s="30"/>
      <c r="M8" s="30" t="s">
        <v>94</v>
      </c>
      <c r="N8" s="30">
        <f>SUM(N4:N7)</f>
        <v>6404</v>
      </c>
      <c r="O8" s="30" t="s">
        <v>90</v>
      </c>
      <c r="P8" s="30"/>
      <c r="Q8" s="30"/>
    </row>
    <row r="9" spans="1:18" s="1" customFormat="1">
      <c r="A9" s="30" t="s">
        <v>124</v>
      </c>
      <c r="B9" s="30">
        <f>PMT('Study Parameters'!$C$4,'Study Parameters'!$C$3, -B8*10^6)</f>
        <v>554283184.33657908</v>
      </c>
      <c r="C9" s="30" t="s">
        <v>125</v>
      </c>
      <c r="D9" s="30"/>
      <c r="E9" s="30"/>
      <c r="G9" s="30" t="s">
        <v>124</v>
      </c>
      <c r="H9" s="30">
        <f>PMT('Study Parameters'!$C$4,'Study Parameters'!$C$3, -H8*10^6)</f>
        <v>440228759.86732149</v>
      </c>
      <c r="I9" s="30" t="s">
        <v>125</v>
      </c>
      <c r="J9" s="30"/>
      <c r="K9" s="30"/>
      <c r="M9" s="30" t="s">
        <v>124</v>
      </c>
      <c r="N9" s="30">
        <f>PMT('Study Parameters'!$C$4,'Study Parameters'!$C$3, -N8*10^6)</f>
        <v>568850883.41209173</v>
      </c>
      <c r="O9" s="30" t="s">
        <v>125</v>
      </c>
      <c r="P9" s="30"/>
      <c r="Q9" s="30"/>
    </row>
    <row r="10" spans="1:18">
      <c r="A10" s="47" t="s">
        <v>95</v>
      </c>
      <c r="B10" s="39"/>
      <c r="C10" s="39"/>
      <c r="D10" s="39"/>
      <c r="E10" s="40"/>
      <c r="G10" s="47" t="s">
        <v>95</v>
      </c>
      <c r="H10" s="39"/>
      <c r="I10" s="39"/>
      <c r="J10" s="39"/>
      <c r="K10" s="40"/>
      <c r="M10" s="47" t="s">
        <v>95</v>
      </c>
      <c r="N10" s="39"/>
      <c r="O10" s="39"/>
      <c r="P10" s="39"/>
      <c r="Q10" s="40"/>
    </row>
    <row r="11" spans="1:18">
      <c r="A11" s="16" t="s">
        <v>88</v>
      </c>
      <c r="B11" s="16" t="s">
        <v>2</v>
      </c>
      <c r="C11" s="16" t="s">
        <v>3</v>
      </c>
      <c r="D11" s="16" t="s">
        <v>31</v>
      </c>
      <c r="E11" s="16" t="s">
        <v>32</v>
      </c>
      <c r="G11" s="16" t="s">
        <v>88</v>
      </c>
      <c r="H11" s="16" t="s">
        <v>2</v>
      </c>
      <c r="I11" s="16" t="s">
        <v>3</v>
      </c>
      <c r="J11" s="16" t="s">
        <v>31</v>
      </c>
      <c r="K11" s="16" t="s">
        <v>32</v>
      </c>
      <c r="M11" s="16" t="s">
        <v>88</v>
      </c>
      <c r="N11" s="16" t="s">
        <v>2</v>
      </c>
      <c r="O11" s="16" t="s">
        <v>3</v>
      </c>
      <c r="P11" s="16" t="s">
        <v>31</v>
      </c>
      <c r="Q11" s="16" t="s">
        <v>32</v>
      </c>
    </row>
    <row r="12" spans="1:18">
      <c r="A12" s="16" t="s">
        <v>126</v>
      </c>
      <c r="B12" s="16">
        <f>0.03 * B4</f>
        <v>7.47</v>
      </c>
      <c r="C12" s="16" t="s">
        <v>97</v>
      </c>
      <c r="D12" s="16" t="s">
        <v>42</v>
      </c>
      <c r="E12" s="16"/>
      <c r="G12" s="16" t="s">
        <v>126</v>
      </c>
      <c r="H12" s="16">
        <f>0.03 * H4</f>
        <v>8.34</v>
      </c>
      <c r="I12" s="16" t="s">
        <v>97</v>
      </c>
      <c r="J12" s="16" t="s">
        <v>42</v>
      </c>
      <c r="K12" s="16"/>
      <c r="M12" s="16" t="s">
        <v>126</v>
      </c>
      <c r="N12" s="16">
        <f>0.03 * N4</f>
        <v>7.92</v>
      </c>
      <c r="O12" s="16" t="s">
        <v>97</v>
      </c>
      <c r="P12" s="16" t="s">
        <v>42</v>
      </c>
      <c r="Q12" s="16"/>
    </row>
    <row r="13" spans="1:18">
      <c r="A13" s="16" t="s">
        <v>127</v>
      </c>
      <c r="B13" s="16">
        <f>0.03 * B6</f>
        <v>50.339999999999996</v>
      </c>
      <c r="C13" s="16" t="s">
        <v>97</v>
      </c>
      <c r="D13" s="16" t="s">
        <v>36</v>
      </c>
      <c r="E13" s="16"/>
      <c r="G13" s="16" t="s">
        <v>127</v>
      </c>
      <c r="H13" s="16">
        <f>0.03 * H6</f>
        <v>50.28</v>
      </c>
      <c r="I13" s="16" t="s">
        <v>97</v>
      </c>
      <c r="J13" s="16" t="s">
        <v>36</v>
      </c>
      <c r="K13" s="16"/>
      <c r="M13" s="16" t="s">
        <v>127</v>
      </c>
      <c r="N13" s="16">
        <f>0.03 * N6</f>
        <v>49.11</v>
      </c>
      <c r="O13" s="16" t="s">
        <v>97</v>
      </c>
      <c r="P13" s="16" t="s">
        <v>36</v>
      </c>
      <c r="Q13" s="16"/>
    </row>
    <row r="14" spans="1:18">
      <c r="A14" s="16" t="s">
        <v>128</v>
      </c>
      <c r="B14" s="31">
        <f>(1.53 * (1/'Study Parameters'!$C$37) * 'Study Parameters'!$C$18 * 10^9 / 10^3) / 10^6</f>
        <v>2.1299303944315548E-2</v>
      </c>
      <c r="C14" s="16" t="s">
        <v>97</v>
      </c>
      <c r="D14" s="16" t="s">
        <v>36</v>
      </c>
      <c r="E14" s="16"/>
      <c r="G14" s="16" t="s">
        <v>128</v>
      </c>
      <c r="H14" s="31">
        <f>(1.53 * (1/'Study Parameters'!$C$37) * 'Study Parameters'!$C$18 * 10^9 / 10^3) / 10^6</f>
        <v>2.1299303944315548E-2</v>
      </c>
      <c r="I14" s="16" t="s">
        <v>97</v>
      </c>
      <c r="J14" s="16" t="s">
        <v>36</v>
      </c>
      <c r="K14" s="16"/>
      <c r="M14" s="16" t="s">
        <v>128</v>
      </c>
      <c r="N14" s="31">
        <f>(1.53 * (1/'Study Parameters'!$C$37) * 'Study Parameters'!$C$18 * 10^9 / 10^3) / 10^6</f>
        <v>2.1299303944315548E-2</v>
      </c>
      <c r="O14" s="16" t="s">
        <v>97</v>
      </c>
      <c r="P14" s="16" t="s">
        <v>36</v>
      </c>
      <c r="Q14" s="16"/>
    </row>
    <row r="15" spans="1:18">
      <c r="A15" s="16" t="s">
        <v>129</v>
      </c>
      <c r="B15" s="31">
        <f>0.1 * B7</f>
        <v>17.3</v>
      </c>
      <c r="C15" s="16" t="s">
        <v>97</v>
      </c>
      <c r="D15" s="16" t="s">
        <v>36</v>
      </c>
      <c r="E15" s="16"/>
      <c r="G15" s="16" t="s">
        <v>129</v>
      </c>
      <c r="H15" s="31">
        <f>0.1 * H7</f>
        <v>8.6</v>
      </c>
      <c r="I15" s="16" t="s">
        <v>97</v>
      </c>
      <c r="J15" s="16" t="s">
        <v>36</v>
      </c>
      <c r="K15" s="16"/>
      <c r="M15" s="16" t="s">
        <v>129</v>
      </c>
      <c r="N15" s="31">
        <f>0.1 * N7</f>
        <v>24</v>
      </c>
      <c r="O15" s="16" t="s">
        <v>97</v>
      </c>
      <c r="P15" s="16" t="s">
        <v>36</v>
      </c>
      <c r="Q15" s="16"/>
    </row>
    <row r="16" spans="1:18">
      <c r="A16" s="16" t="s">
        <v>101</v>
      </c>
      <c r="B16" s="16">
        <f>('Study Parameters'!$C$21*10^3*'Study Parameters'!$C$31) / 10^6</f>
        <v>1244.3772033333335</v>
      </c>
      <c r="C16" s="16" t="s">
        <v>97</v>
      </c>
      <c r="D16" s="16"/>
      <c r="E16" s="16"/>
      <c r="G16" s="16" t="s">
        <v>101</v>
      </c>
      <c r="H16" s="16">
        <f>('Study Parameters'!$C$21*10^3*'Study Parameters'!$C$31) / 10^6</f>
        <v>1244.3772033333335</v>
      </c>
      <c r="I16" s="16" t="s">
        <v>97</v>
      </c>
      <c r="J16" s="16"/>
      <c r="K16" s="16"/>
      <c r="M16" s="16" t="s">
        <v>101</v>
      </c>
      <c r="N16" s="16">
        <f>('Study Parameters'!$C$21*10^3*'Study Parameters'!$C$31) / 10^6</f>
        <v>1244.3772033333335</v>
      </c>
      <c r="O16" s="16" t="s">
        <v>97</v>
      </c>
      <c r="P16" s="16"/>
      <c r="Q16" s="16"/>
    </row>
    <row r="17" spans="1:17">
      <c r="A17" s="16" t="s">
        <v>130</v>
      </c>
      <c r="B17" s="16">
        <f>('Study Parameters'!$C$29*'Study Parameters'!$C$15 * 10^3) / 10^6</f>
        <v>394.53299999999996</v>
      </c>
      <c r="C17" s="16" t="s">
        <v>97</v>
      </c>
      <c r="D17" s="16"/>
      <c r="E17" s="16"/>
      <c r="G17" s="16" t="s">
        <v>130</v>
      </c>
      <c r="H17" s="16">
        <f>('Study Parameters'!$C$29*'Study Parameters'!$C$15 * 10^3) / 10^6</f>
        <v>394.53299999999996</v>
      </c>
      <c r="I17" s="16" t="s">
        <v>97</v>
      </c>
      <c r="J17" s="16"/>
      <c r="K17" s="16"/>
      <c r="M17" s="16" t="s">
        <v>130</v>
      </c>
      <c r="N17" s="16">
        <f>('Study Parameters'!$C$29*'Study Parameters'!$C$15 * 10^3) / 10^6</f>
        <v>394.53299999999996</v>
      </c>
      <c r="O17" s="16" t="s">
        <v>97</v>
      </c>
      <c r="P17" s="16"/>
      <c r="Q17" s="16"/>
    </row>
    <row r="18" spans="1:17" s="1" customFormat="1">
      <c r="A18" s="30" t="s">
        <v>104</v>
      </c>
      <c r="B18" s="30">
        <f>SUM(B12:B17)</f>
        <v>1714.0415026372777</v>
      </c>
      <c r="C18" s="30" t="s">
        <v>97</v>
      </c>
      <c r="D18" s="30"/>
      <c r="E18" s="30"/>
      <c r="G18" s="30" t="s">
        <v>104</v>
      </c>
      <c r="H18" s="30">
        <f>SUM(H12:H17)</f>
        <v>1706.1515026372776</v>
      </c>
      <c r="I18" s="30" t="s">
        <v>97</v>
      </c>
      <c r="J18" s="30"/>
      <c r="K18" s="30"/>
      <c r="M18" s="30" t="s">
        <v>104</v>
      </c>
      <c r="N18" s="30">
        <f>SUM(N12:N17)</f>
        <v>1719.9615026372776</v>
      </c>
      <c r="O18" s="30" t="s">
        <v>97</v>
      </c>
      <c r="P18" s="30"/>
      <c r="Q18" s="30"/>
    </row>
    <row r="21" spans="1:17">
      <c r="A21" s="46" t="s">
        <v>131</v>
      </c>
      <c r="B21" s="39"/>
      <c r="C21" s="39"/>
      <c r="D21" s="39"/>
      <c r="E21" s="40"/>
      <c r="G21" s="46" t="s">
        <v>132</v>
      </c>
      <c r="H21" s="39"/>
      <c r="I21" s="39"/>
      <c r="J21" s="39"/>
      <c r="K21" s="40"/>
      <c r="M21" s="46" t="s">
        <v>133</v>
      </c>
      <c r="N21" s="39"/>
      <c r="O21" s="39"/>
      <c r="P21" s="39"/>
      <c r="Q21" s="40"/>
    </row>
    <row r="22" spans="1:17">
      <c r="A22" s="47" t="s">
        <v>87</v>
      </c>
      <c r="B22" s="39"/>
      <c r="C22" s="39"/>
      <c r="D22" s="39"/>
      <c r="E22" s="40"/>
      <c r="G22" s="47" t="s">
        <v>87</v>
      </c>
      <c r="H22" s="39"/>
      <c r="I22" s="39"/>
      <c r="J22" s="39"/>
      <c r="K22" s="40"/>
      <c r="M22" s="47" t="s">
        <v>87</v>
      </c>
      <c r="N22" s="39"/>
      <c r="O22" s="39"/>
      <c r="P22" s="39"/>
      <c r="Q22" s="40"/>
    </row>
    <row r="23" spans="1:17">
      <c r="A23" s="16" t="s">
        <v>88</v>
      </c>
      <c r="B23" s="16" t="s">
        <v>2</v>
      </c>
      <c r="C23" s="16" t="s">
        <v>3</v>
      </c>
      <c r="D23" s="16" t="s">
        <v>31</v>
      </c>
      <c r="E23" s="16" t="s">
        <v>32</v>
      </c>
      <c r="G23" s="16" t="s">
        <v>88</v>
      </c>
      <c r="H23" s="16" t="s">
        <v>2</v>
      </c>
      <c r="I23" s="16" t="s">
        <v>3</v>
      </c>
      <c r="J23" s="16" t="s">
        <v>31</v>
      </c>
      <c r="K23" s="16" t="s">
        <v>32</v>
      </c>
      <c r="M23" s="16" t="s">
        <v>88</v>
      </c>
      <c r="N23" s="16" t="s">
        <v>2</v>
      </c>
      <c r="O23" s="16" t="s">
        <v>3</v>
      </c>
      <c r="P23" s="16" t="s">
        <v>31</v>
      </c>
      <c r="Q23" s="16" t="s">
        <v>32</v>
      </c>
    </row>
    <row r="24" spans="1:17">
      <c r="A24" s="16" t="s">
        <v>120</v>
      </c>
      <c r="B24" s="16">
        <v>250</v>
      </c>
      <c r="C24" s="16" t="s">
        <v>90</v>
      </c>
      <c r="D24" s="16" t="s">
        <v>43</v>
      </c>
      <c r="E24" s="16" t="s">
        <v>76</v>
      </c>
      <c r="G24" s="16" t="s">
        <v>120</v>
      </c>
      <c r="H24" s="16">
        <v>291</v>
      </c>
      <c r="I24" s="16" t="s">
        <v>90</v>
      </c>
      <c r="J24" s="16" t="s">
        <v>43</v>
      </c>
      <c r="K24" s="16" t="s">
        <v>76</v>
      </c>
      <c r="M24" s="16" t="s">
        <v>120</v>
      </c>
      <c r="N24" s="16">
        <v>280</v>
      </c>
      <c r="O24" s="16" t="s">
        <v>90</v>
      </c>
      <c r="P24" s="16" t="s">
        <v>43</v>
      </c>
      <c r="Q24" s="16" t="s">
        <v>76</v>
      </c>
    </row>
    <row r="25" spans="1:17">
      <c r="A25" s="16" t="s">
        <v>121</v>
      </c>
      <c r="B25" s="16">
        <v>1628</v>
      </c>
      <c r="C25" s="16" t="s">
        <v>90</v>
      </c>
      <c r="D25" s="16" t="s">
        <v>43</v>
      </c>
      <c r="E25" s="16" t="s">
        <v>76</v>
      </c>
      <c r="G25" s="16" t="s">
        <v>121</v>
      </c>
      <c r="H25" s="16">
        <v>1503</v>
      </c>
      <c r="I25" s="16" t="s">
        <v>90</v>
      </c>
      <c r="J25" s="16" t="s">
        <v>43</v>
      </c>
      <c r="K25" s="16" t="s">
        <v>76</v>
      </c>
      <c r="M25" s="16" t="s">
        <v>121</v>
      </c>
      <c r="N25" s="16">
        <v>1616</v>
      </c>
      <c r="O25" s="16" t="s">
        <v>90</v>
      </c>
      <c r="P25" s="16" t="s">
        <v>43</v>
      </c>
      <c r="Q25" s="16" t="s">
        <v>76</v>
      </c>
    </row>
    <row r="26" spans="1:17">
      <c r="A26" s="16" t="s">
        <v>122</v>
      </c>
      <c r="B26" s="16">
        <v>1818</v>
      </c>
      <c r="C26" s="16" t="s">
        <v>90</v>
      </c>
      <c r="D26" s="16" t="s">
        <v>36</v>
      </c>
      <c r="E26" s="16" t="s">
        <v>76</v>
      </c>
      <c r="G26" s="16" t="s">
        <v>122</v>
      </c>
      <c r="H26" s="16">
        <v>1958</v>
      </c>
      <c r="I26" s="16" t="s">
        <v>90</v>
      </c>
      <c r="J26" s="16" t="s">
        <v>36</v>
      </c>
      <c r="K26" s="16" t="s">
        <v>76</v>
      </c>
      <c r="M26" s="16" t="s">
        <v>122</v>
      </c>
      <c r="N26" s="16">
        <v>1778</v>
      </c>
      <c r="O26" s="16" t="s">
        <v>90</v>
      </c>
      <c r="P26" s="16" t="s">
        <v>36</v>
      </c>
      <c r="Q26" s="16" t="s">
        <v>76</v>
      </c>
    </row>
    <row r="27" spans="1:17">
      <c r="A27" s="16" t="s">
        <v>123</v>
      </c>
      <c r="B27" s="16">
        <v>40</v>
      </c>
      <c r="C27" s="16" t="s">
        <v>90</v>
      </c>
      <c r="D27" s="16"/>
      <c r="E27" s="16"/>
      <c r="G27" s="16" t="s">
        <v>123</v>
      </c>
      <c r="H27" s="16">
        <v>18</v>
      </c>
      <c r="I27" s="16" t="s">
        <v>90</v>
      </c>
      <c r="J27" s="16"/>
      <c r="K27" s="16"/>
      <c r="M27" s="16" t="s">
        <v>123</v>
      </c>
      <c r="N27" s="16">
        <v>53</v>
      </c>
      <c r="O27" s="16" t="s">
        <v>90</v>
      </c>
      <c r="P27" s="16"/>
      <c r="Q27" s="16"/>
    </row>
    <row r="28" spans="1:17">
      <c r="A28" s="30" t="s">
        <v>94</v>
      </c>
      <c r="B28" s="30">
        <f>SUM(B24:B27)</f>
        <v>3736</v>
      </c>
      <c r="C28" s="30" t="s">
        <v>90</v>
      </c>
      <c r="D28" s="30"/>
      <c r="E28" s="30"/>
      <c r="G28" s="30" t="s">
        <v>94</v>
      </c>
      <c r="H28" s="30">
        <f>SUM(H24:H27)</f>
        <v>3770</v>
      </c>
      <c r="I28" s="30" t="s">
        <v>90</v>
      </c>
      <c r="J28" s="30"/>
      <c r="K28" s="30"/>
      <c r="M28" s="30" t="s">
        <v>94</v>
      </c>
      <c r="N28" s="30">
        <f>SUM(N24:N27)</f>
        <v>3727</v>
      </c>
      <c r="O28" s="30" t="s">
        <v>90</v>
      </c>
      <c r="P28" s="30"/>
      <c r="Q28" s="30"/>
    </row>
    <row r="29" spans="1:17">
      <c r="A29" s="30" t="s">
        <v>124</v>
      </c>
      <c r="B29" s="30">
        <f>PMT('Study Parameters'!$C$4,'Study Parameters'!$C$3, -B28*10^6)</f>
        <v>331859291.13484931</v>
      </c>
      <c r="C29" s="30" t="s">
        <v>125</v>
      </c>
      <c r="D29" s="30"/>
      <c r="E29" s="30"/>
      <c r="G29" s="30" t="s">
        <v>124</v>
      </c>
      <c r="H29" s="30">
        <f>PMT('Study Parameters'!$C$4,'Study Parameters'!$C$3, -H28*10^6)</f>
        <v>334879423.87001657</v>
      </c>
      <c r="I29" s="30" t="s">
        <v>125</v>
      </c>
      <c r="J29" s="30"/>
      <c r="K29" s="30"/>
      <c r="M29" s="30" t="s">
        <v>124</v>
      </c>
      <c r="N29" s="30">
        <f>PMT('Study Parameters'!$C$4,'Study Parameters'!$C$3, -N28*10^6)</f>
        <v>331059844.23436385</v>
      </c>
      <c r="O29" s="30" t="s">
        <v>125</v>
      </c>
      <c r="P29" s="30"/>
      <c r="Q29" s="30"/>
    </row>
    <row r="30" spans="1:17">
      <c r="A30" s="47" t="s">
        <v>95</v>
      </c>
      <c r="B30" s="39"/>
      <c r="C30" s="39"/>
      <c r="D30" s="39"/>
      <c r="E30" s="40"/>
      <c r="G30" s="47" t="s">
        <v>95</v>
      </c>
      <c r="H30" s="39"/>
      <c r="I30" s="39"/>
      <c r="J30" s="39"/>
      <c r="K30" s="40"/>
      <c r="M30" s="47" t="s">
        <v>95</v>
      </c>
      <c r="N30" s="39"/>
      <c r="O30" s="39"/>
      <c r="P30" s="39"/>
      <c r="Q30" s="40"/>
    </row>
    <row r="31" spans="1:17">
      <c r="A31" s="16" t="s">
        <v>88</v>
      </c>
      <c r="B31" s="16" t="s">
        <v>2</v>
      </c>
      <c r="C31" s="16" t="s">
        <v>3</v>
      </c>
      <c r="D31" s="16" t="s">
        <v>31</v>
      </c>
      <c r="E31" s="16" t="s">
        <v>32</v>
      </c>
      <c r="G31" s="16" t="s">
        <v>88</v>
      </c>
      <c r="H31" s="16" t="s">
        <v>2</v>
      </c>
      <c r="I31" s="16" t="s">
        <v>3</v>
      </c>
      <c r="J31" s="16" t="s">
        <v>31</v>
      </c>
      <c r="K31" s="16" t="s">
        <v>32</v>
      </c>
      <c r="M31" s="16" t="s">
        <v>88</v>
      </c>
      <c r="N31" s="16" t="s">
        <v>2</v>
      </c>
      <c r="O31" s="16" t="s">
        <v>3</v>
      </c>
      <c r="P31" s="16" t="s">
        <v>31</v>
      </c>
      <c r="Q31" s="16" t="s">
        <v>32</v>
      </c>
    </row>
    <row r="32" spans="1:17">
      <c r="A32" s="16" t="s">
        <v>126</v>
      </c>
      <c r="B32" s="16">
        <f>0.03 * B24</f>
        <v>7.5</v>
      </c>
      <c r="C32" s="16" t="s">
        <v>97</v>
      </c>
      <c r="D32" s="16" t="s">
        <v>42</v>
      </c>
      <c r="E32" s="16"/>
      <c r="G32" s="16" t="s">
        <v>126</v>
      </c>
      <c r="H32" s="16">
        <f>0.03 * H24</f>
        <v>8.73</v>
      </c>
      <c r="I32" s="16" t="s">
        <v>97</v>
      </c>
      <c r="J32" s="16" t="s">
        <v>42</v>
      </c>
      <c r="K32" s="16"/>
      <c r="M32" s="16" t="s">
        <v>126</v>
      </c>
      <c r="N32" s="16">
        <f>0.03 * N24</f>
        <v>8.4</v>
      </c>
      <c r="O32" s="16" t="s">
        <v>97</v>
      </c>
      <c r="P32" s="16" t="s">
        <v>42</v>
      </c>
      <c r="Q32" s="16"/>
    </row>
    <row r="33" spans="1:17">
      <c r="A33" s="16" t="s">
        <v>127</v>
      </c>
      <c r="B33" s="16">
        <f>0.03 * B26</f>
        <v>54.54</v>
      </c>
      <c r="C33" s="16" t="s">
        <v>97</v>
      </c>
      <c r="D33" s="16" t="s">
        <v>36</v>
      </c>
      <c r="E33" s="16"/>
      <c r="G33" s="16" t="s">
        <v>127</v>
      </c>
      <c r="H33" s="16">
        <f>0.03 * H26</f>
        <v>58.739999999999995</v>
      </c>
      <c r="I33" s="16" t="s">
        <v>97</v>
      </c>
      <c r="J33" s="16" t="s">
        <v>36</v>
      </c>
      <c r="K33" s="16"/>
      <c r="M33" s="16" t="s">
        <v>127</v>
      </c>
      <c r="N33" s="16">
        <f>0.03 * N26</f>
        <v>53.339999999999996</v>
      </c>
      <c r="O33" s="16" t="s">
        <v>97</v>
      </c>
      <c r="P33" s="16" t="s">
        <v>36</v>
      </c>
      <c r="Q33" s="16"/>
    </row>
    <row r="34" spans="1:17">
      <c r="A34" s="16" t="s">
        <v>128</v>
      </c>
      <c r="B34" s="31">
        <f>(1.53 * (1/'Study Parameters'!$C$37) * 'Study Parameters'!$C$18 * 10^9 / 10^3) / 10^6</f>
        <v>2.1299303944315548E-2</v>
      </c>
      <c r="C34" s="16" t="s">
        <v>97</v>
      </c>
      <c r="D34" s="16" t="s">
        <v>36</v>
      </c>
      <c r="E34" s="16"/>
      <c r="G34" s="16" t="s">
        <v>128</v>
      </c>
      <c r="H34" s="31">
        <f>(1.53 * (1/'Study Parameters'!$C$37) * 'Study Parameters'!$C$18 * 10^9 / 10^3) / 10^6</f>
        <v>2.1299303944315548E-2</v>
      </c>
      <c r="I34" s="16" t="s">
        <v>97</v>
      </c>
      <c r="J34" s="16" t="s">
        <v>36</v>
      </c>
      <c r="K34" s="16"/>
      <c r="M34" s="16" t="s">
        <v>128</v>
      </c>
      <c r="N34" s="31">
        <f>(1.53 * (1/'Study Parameters'!$C$37) * 'Study Parameters'!$C$18 * 10^9 / 10^3) / 10^6</f>
        <v>2.1299303944315548E-2</v>
      </c>
      <c r="O34" s="16" t="s">
        <v>97</v>
      </c>
      <c r="P34" s="16" t="s">
        <v>36</v>
      </c>
      <c r="Q34" s="16"/>
    </row>
    <row r="35" spans="1:17">
      <c r="A35" s="16" t="s">
        <v>129</v>
      </c>
      <c r="B35" s="31">
        <f>0.1 * B27</f>
        <v>4</v>
      </c>
      <c r="C35" s="16" t="s">
        <v>97</v>
      </c>
      <c r="D35" s="16"/>
      <c r="E35" s="16"/>
      <c r="G35" s="16" t="s">
        <v>129</v>
      </c>
      <c r="H35" s="31">
        <f>0.1 * H27</f>
        <v>1.8</v>
      </c>
      <c r="I35" s="16" t="s">
        <v>97</v>
      </c>
      <c r="J35" s="16"/>
      <c r="K35" s="16"/>
      <c r="M35" s="16" t="s">
        <v>129</v>
      </c>
      <c r="N35" s="31">
        <f>0.1 * N27</f>
        <v>5.3000000000000007</v>
      </c>
      <c r="O35" s="16" t="s">
        <v>97</v>
      </c>
      <c r="P35" s="16"/>
      <c r="Q35" s="16"/>
    </row>
    <row r="36" spans="1:17">
      <c r="A36" s="16" t="s">
        <v>101</v>
      </c>
      <c r="B36" s="16">
        <f>('Study Parameters'!$C$21*10^3*'Study Parameters'!$C$32) / 10^6</f>
        <v>995.50176266666676</v>
      </c>
      <c r="C36" s="16" t="s">
        <v>97</v>
      </c>
      <c r="D36" s="16"/>
      <c r="E36" s="16"/>
      <c r="G36" s="16" t="s">
        <v>101</v>
      </c>
      <c r="H36" s="16">
        <f>('Study Parameters'!$C$21*10^3*'Study Parameters'!$C$32) / 10^6</f>
        <v>995.50176266666676</v>
      </c>
      <c r="I36" s="16" t="s">
        <v>97</v>
      </c>
      <c r="J36" s="16"/>
      <c r="K36" s="16"/>
      <c r="M36" s="16" t="s">
        <v>101</v>
      </c>
      <c r="N36" s="16">
        <f>('Study Parameters'!$C$21*10^3*'Study Parameters'!$C$32) / 10^6</f>
        <v>995.50176266666676</v>
      </c>
      <c r="O36" s="16" t="s">
        <v>97</v>
      </c>
      <c r="P36" s="16"/>
      <c r="Q36" s="16"/>
    </row>
    <row r="37" spans="1:17">
      <c r="A37" s="16" t="s">
        <v>134</v>
      </c>
      <c r="B37" s="16">
        <f>('Study Parameters'!$C$30*'Study Parameters'!$C$15 * 10^3) / 10^6</f>
        <v>352.18199999999996</v>
      </c>
      <c r="C37" s="16" t="s">
        <v>97</v>
      </c>
      <c r="D37" s="16"/>
      <c r="E37" s="16"/>
      <c r="G37" s="16" t="s">
        <v>134</v>
      </c>
      <c r="H37" s="16">
        <f>('Study Parameters'!$C$30*'Study Parameters'!$C$15 * 10^3) / 10^6</f>
        <v>352.18199999999996</v>
      </c>
      <c r="I37" s="16" t="s">
        <v>97</v>
      </c>
      <c r="J37" s="16"/>
      <c r="K37" s="16"/>
      <c r="M37" s="16" t="s">
        <v>134</v>
      </c>
      <c r="N37" s="16">
        <f>('Study Parameters'!$C$30*'Study Parameters'!$C$15 * 10^3) / 10^6</f>
        <v>352.18199999999996</v>
      </c>
      <c r="O37" s="16" t="s">
        <v>97</v>
      </c>
      <c r="P37" s="16"/>
      <c r="Q37" s="16"/>
    </row>
    <row r="38" spans="1:17">
      <c r="A38" s="30" t="s">
        <v>104</v>
      </c>
      <c r="B38" s="30">
        <f>SUM(B32:B37)</f>
        <v>1413.745061970611</v>
      </c>
      <c r="C38" s="30" t="s">
        <v>97</v>
      </c>
      <c r="D38" s="30"/>
      <c r="E38" s="30"/>
      <c r="G38" s="30" t="s">
        <v>104</v>
      </c>
      <c r="H38" s="30">
        <f>SUM(H32:H37)</f>
        <v>1416.975061970611</v>
      </c>
      <c r="I38" s="30" t="s">
        <v>97</v>
      </c>
      <c r="J38" s="30"/>
      <c r="K38" s="30"/>
      <c r="M38" s="30" t="s">
        <v>104</v>
      </c>
      <c r="N38" s="30">
        <f>SUM(N32:N37)</f>
        <v>1414.745061970611</v>
      </c>
      <c r="O38" s="30" t="s">
        <v>97</v>
      </c>
      <c r="P38" s="30"/>
      <c r="Q38" s="30"/>
    </row>
    <row r="39" spans="1:17" s="24" customFormat="1">
      <c r="A39" s="25"/>
      <c r="B39" s="25"/>
      <c r="C39" s="25"/>
      <c r="D39" s="25"/>
      <c r="E39" s="25"/>
      <c r="G39" s="25"/>
      <c r="H39" s="25"/>
      <c r="I39" s="25"/>
      <c r="J39" s="25"/>
      <c r="K39" s="25"/>
      <c r="M39" s="25"/>
      <c r="N39" s="25"/>
      <c r="O39" s="25"/>
      <c r="P39" s="25"/>
      <c r="Q39" s="25"/>
    </row>
    <row r="41" spans="1:17">
      <c r="A41" s="44" t="s">
        <v>135</v>
      </c>
      <c r="B41" s="45"/>
      <c r="C41" s="45"/>
      <c r="D41" s="1"/>
      <c r="E41" s="1"/>
      <c r="G41" s="44" t="s">
        <v>136</v>
      </c>
      <c r="H41" s="45"/>
      <c r="I41" s="45"/>
      <c r="J41" s="1"/>
      <c r="K41" s="1"/>
      <c r="M41" s="44" t="s">
        <v>137</v>
      </c>
      <c r="N41" s="45"/>
      <c r="O41" s="45"/>
      <c r="P41" s="1"/>
      <c r="Q41" s="1"/>
    </row>
    <row r="42" spans="1:17">
      <c r="A42" t="s">
        <v>101</v>
      </c>
      <c r="B42">
        <f>('Study Parameters'!$C$21*10^3*Inputs!$C$8) / 10^6</f>
        <v>1225.2329386666668</v>
      </c>
      <c r="C42" t="s">
        <v>97</v>
      </c>
      <c r="G42" t="s">
        <v>101</v>
      </c>
      <c r="H42">
        <f>('Study Parameters'!$C$21*10^3*Inputs!$C$8) / 10^6</f>
        <v>1225.2329386666668</v>
      </c>
      <c r="I42" t="s">
        <v>97</v>
      </c>
      <c r="M42" t="s">
        <v>101</v>
      </c>
      <c r="N42">
        <f>('Study Parameters'!$C$21*10^3*Inputs!$C$8) / 10^6</f>
        <v>1225.2329386666668</v>
      </c>
      <c r="O42" t="s">
        <v>97</v>
      </c>
    </row>
    <row r="43" spans="1:17">
      <c r="A43" s="8" t="s">
        <v>138</v>
      </c>
      <c r="B43" s="8">
        <f>B18-B16+B42</f>
        <v>1694.8972379706111</v>
      </c>
      <c r="C43" s="8" t="s">
        <v>97</v>
      </c>
      <c r="G43" s="8" t="s">
        <v>138</v>
      </c>
      <c r="H43" s="8">
        <f>H18-H16+H42</f>
        <v>1687.007237970611</v>
      </c>
      <c r="I43" s="8" t="s">
        <v>97</v>
      </c>
      <c r="M43" s="8" t="s">
        <v>138</v>
      </c>
      <c r="N43" s="8">
        <f>N18-N16+N42</f>
        <v>1700.8172379706109</v>
      </c>
      <c r="O43" s="8" t="s">
        <v>97</v>
      </c>
    </row>
    <row r="44" spans="1:17">
      <c r="A44" t="s">
        <v>134</v>
      </c>
      <c r="B44" s="28">
        <f>(Inputs!$C$32*'Study Parameters'!$C$15 * 10^3) / 10^6</f>
        <v>2857.5779999999995</v>
      </c>
      <c r="C44" t="s">
        <v>97</v>
      </c>
      <c r="G44" t="s">
        <v>134</v>
      </c>
      <c r="H44">
        <f>(Inputs!$C$32*'Study Parameters'!$C$15 * 10^3) / 10^6</f>
        <v>2857.5779999999995</v>
      </c>
      <c r="I44" t="s">
        <v>97</v>
      </c>
      <c r="M44" t="s">
        <v>134</v>
      </c>
      <c r="N44">
        <f>(Inputs!$C$32*'Study Parameters'!$C$15 * 10^3) / 10^6</f>
        <v>2857.5779999999995</v>
      </c>
      <c r="O44" t="s">
        <v>97</v>
      </c>
    </row>
    <row r="45" spans="1:17">
      <c r="A45" s="8" t="s">
        <v>139</v>
      </c>
      <c r="B45" s="29">
        <f>B43-B17+B44</f>
        <v>4157.9422379706102</v>
      </c>
      <c r="C45" s="8" t="s">
        <v>97</v>
      </c>
      <c r="G45" s="8" t="s">
        <v>139</v>
      </c>
      <c r="H45" s="8">
        <f>H43-H17+H44</f>
        <v>4150.0522379706108</v>
      </c>
      <c r="I45" s="8" t="s">
        <v>97</v>
      </c>
      <c r="M45" s="8" t="s">
        <v>139</v>
      </c>
      <c r="N45" s="26">
        <f>N43-N17+N44</f>
        <v>4163.8622379706103</v>
      </c>
      <c r="O45" s="8" t="s">
        <v>97</v>
      </c>
    </row>
    <row r="46" spans="1:17">
      <c r="A46" t="s">
        <v>7</v>
      </c>
      <c r="B46" s="4">
        <f>Inputs!$C$5</f>
        <v>7.0000000000000007E-2</v>
      </c>
      <c r="G46" t="s">
        <v>7</v>
      </c>
      <c r="H46" s="4">
        <f>Inputs!$C$5</f>
        <v>7.0000000000000007E-2</v>
      </c>
      <c r="M46" t="s">
        <v>7</v>
      </c>
      <c r="N46" s="4">
        <f>Inputs!$C$5</f>
        <v>7.0000000000000007E-2</v>
      </c>
    </row>
    <row r="47" spans="1:17">
      <c r="A47" s="8" t="s">
        <v>140</v>
      </c>
      <c r="B47" s="27">
        <f>PMT(B46,'Study Parameters'!$C$3, -B8*10^6)</f>
        <v>502859157.90933394</v>
      </c>
      <c r="C47" s="27" t="s">
        <v>125</v>
      </c>
      <c r="G47" s="8" t="s">
        <v>140</v>
      </c>
      <c r="H47" s="27">
        <f>PMT(H46,'Study Parameters'!$C$3, -H8*10^6)</f>
        <v>399386215.80106711</v>
      </c>
      <c r="I47" s="27" t="s">
        <v>125</v>
      </c>
      <c r="M47" s="8" t="s">
        <v>140</v>
      </c>
      <c r="N47" s="27">
        <f>PMT(N46,'Study Parameters'!$C$3, -N8*10^6)</f>
        <v>516075328.08515614</v>
      </c>
      <c r="O47" s="27" t="s">
        <v>125</v>
      </c>
    </row>
    <row r="48" spans="1:17">
      <c r="B48" s="6"/>
      <c r="C48" s="6"/>
      <c r="H48" s="6"/>
      <c r="I48" s="6"/>
      <c r="N48" s="6"/>
      <c r="O48" s="6"/>
    </row>
    <row r="50" spans="1:15">
      <c r="A50" s="44" t="s">
        <v>141</v>
      </c>
      <c r="B50" s="45"/>
      <c r="C50" s="45"/>
      <c r="G50" s="44" t="s">
        <v>142</v>
      </c>
      <c r="H50" s="45"/>
      <c r="I50" s="45"/>
      <c r="M50" s="48" t="s">
        <v>143</v>
      </c>
      <c r="N50" s="45"/>
      <c r="O50" s="45"/>
    </row>
    <row r="51" spans="1:15">
      <c r="A51" t="s">
        <v>101</v>
      </c>
      <c r="B51">
        <f>('Study Parameters'!$C$21*10^3*Inputs!$C$9) / 10^6</f>
        <v>210.58691133333335</v>
      </c>
      <c r="C51" t="s">
        <v>97</v>
      </c>
      <c r="G51" t="s">
        <v>101</v>
      </c>
      <c r="H51">
        <f>('Study Parameters'!$C$21*10^3*Inputs!$C$9) / 10^6</f>
        <v>210.58691133333335</v>
      </c>
      <c r="I51" t="s">
        <v>97</v>
      </c>
      <c r="M51" t="s">
        <v>101</v>
      </c>
      <c r="N51">
        <f>('Study Parameters'!$C$21*10^3*Inputs!$C$9) / 10^6</f>
        <v>210.58691133333335</v>
      </c>
      <c r="O51" t="s">
        <v>97</v>
      </c>
    </row>
    <row r="52" spans="1:15">
      <c r="A52" s="8" t="s">
        <v>138</v>
      </c>
      <c r="B52" s="8">
        <f>B38-B36+B51</f>
        <v>628.83021063727756</v>
      </c>
      <c r="C52" s="8" t="s">
        <v>97</v>
      </c>
      <c r="G52" s="8" t="s">
        <v>138</v>
      </c>
      <c r="H52" s="8">
        <f>H38-H36+H51</f>
        <v>632.06021063727758</v>
      </c>
      <c r="I52" s="8" t="s">
        <v>97</v>
      </c>
      <c r="M52" s="8" t="s">
        <v>138</v>
      </c>
      <c r="N52" s="8">
        <f>N38-N36+N51</f>
        <v>629.83021063727756</v>
      </c>
      <c r="O52" s="8" t="s">
        <v>97</v>
      </c>
    </row>
    <row r="53" spans="1:15">
      <c r="A53" t="s">
        <v>134</v>
      </c>
      <c r="B53" s="28">
        <f>(Inputs!$C$33*'Study Parameters'!$C$15 * 10^3) / 10^6</f>
        <v>1069.9199999999998</v>
      </c>
      <c r="C53" t="s">
        <v>97</v>
      </c>
      <c r="G53" t="s">
        <v>134</v>
      </c>
      <c r="H53" s="28">
        <f>(Inputs!$C$33*'Study Parameters'!$C$15 * 10^3) / 10^6</f>
        <v>1069.9199999999998</v>
      </c>
      <c r="I53" t="s">
        <v>97</v>
      </c>
      <c r="M53" t="s">
        <v>134</v>
      </c>
      <c r="N53" s="28">
        <f>(Inputs!$C$33*'Study Parameters'!$C$15 * 10^3) / 10^6</f>
        <v>1069.9199999999998</v>
      </c>
      <c r="O53" t="s">
        <v>97</v>
      </c>
    </row>
    <row r="54" spans="1:15">
      <c r="A54" s="8" t="s">
        <v>139</v>
      </c>
      <c r="B54" s="29">
        <f>B52-B37+B53</f>
        <v>1346.5682106372774</v>
      </c>
      <c r="C54" s="8" t="s">
        <v>97</v>
      </c>
      <c r="G54" s="8" t="s">
        <v>139</v>
      </c>
      <c r="H54" s="29">
        <f>H52-H37+H53</f>
        <v>1349.7982106372774</v>
      </c>
      <c r="I54" s="8" t="s">
        <v>97</v>
      </c>
      <c r="M54" s="8" t="s">
        <v>139</v>
      </c>
      <c r="N54" s="29">
        <f>N52-N37+N53</f>
        <v>1347.5682106372774</v>
      </c>
      <c r="O54" s="8" t="s">
        <v>97</v>
      </c>
    </row>
    <row r="55" spans="1:15">
      <c r="A55" t="s">
        <v>7</v>
      </c>
      <c r="B55" s="4">
        <f>Inputs!$C$5</f>
        <v>7.0000000000000007E-2</v>
      </c>
      <c r="G55" t="s">
        <v>7</v>
      </c>
      <c r="H55" s="4">
        <f>Inputs!$C$5</f>
        <v>7.0000000000000007E-2</v>
      </c>
      <c r="M55" t="s">
        <v>7</v>
      </c>
      <c r="N55" s="4">
        <f>Inputs!$C$5</f>
        <v>7.0000000000000007E-2</v>
      </c>
    </row>
    <row r="56" spans="1:15">
      <c r="A56" s="8" t="s">
        <v>140</v>
      </c>
      <c r="B56" s="7">
        <f>PMT(B55,'Study Parameters'!$C$3, -B28*10^6)</f>
        <v>301070803.51751143</v>
      </c>
      <c r="C56" s="27" t="s">
        <v>125</v>
      </c>
      <c r="G56" s="8" t="s">
        <v>140</v>
      </c>
      <c r="H56" s="7">
        <f>PMT(H55,'Study Parameters'!$C$3, -H28*10^6)</f>
        <v>303810741.23688918</v>
      </c>
      <c r="I56" s="27" t="s">
        <v>125</v>
      </c>
      <c r="M56" s="8" t="s">
        <v>140</v>
      </c>
      <c r="N56" s="7">
        <f>PMT(N55,'Study Parameters'!$C$3, -N28*10^6)</f>
        <v>300345525.88591146</v>
      </c>
      <c r="O56" s="27" t="s">
        <v>125</v>
      </c>
    </row>
    <row r="58" spans="1:15">
      <c r="A58" s="1"/>
    </row>
  </sheetData>
  <mergeCells count="24">
    <mergeCell ref="A30:E30"/>
    <mergeCell ref="A41:C41"/>
    <mergeCell ref="G21:K21"/>
    <mergeCell ref="G2:K2"/>
    <mergeCell ref="A1:E1"/>
    <mergeCell ref="A10:E10"/>
    <mergeCell ref="G1:K1"/>
    <mergeCell ref="G22:K22"/>
    <mergeCell ref="A50:C50"/>
    <mergeCell ref="M1:Q1"/>
    <mergeCell ref="M2:Q2"/>
    <mergeCell ref="G10:K10"/>
    <mergeCell ref="M10:Q10"/>
    <mergeCell ref="M41:O41"/>
    <mergeCell ref="M22:Q22"/>
    <mergeCell ref="A21:E21"/>
    <mergeCell ref="G30:K30"/>
    <mergeCell ref="M30:Q30"/>
    <mergeCell ref="G50:I50"/>
    <mergeCell ref="A2:E2"/>
    <mergeCell ref="M21:Q21"/>
    <mergeCell ref="G41:I41"/>
    <mergeCell ref="M50:O50"/>
    <mergeCell ref="A22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F65"/>
  <sheetViews>
    <sheetView topLeftCell="A32" workbookViewId="0">
      <selection activeCell="C50" sqref="C50"/>
    </sheetView>
  </sheetViews>
  <sheetFormatPr defaultColWidth="11" defaultRowHeight="15.75"/>
  <cols>
    <col min="1" max="1" width="26.875" bestFit="1" customWidth="1"/>
    <col min="2" max="2" width="17.625" bestFit="1" customWidth="1"/>
    <col min="3" max="3" width="11.125" bestFit="1" customWidth="1"/>
  </cols>
  <sheetData>
    <row r="1" spans="1:32">
      <c r="A1" t="s">
        <v>144</v>
      </c>
    </row>
    <row r="2" spans="1:32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>
      <c r="A3" t="s">
        <v>145</v>
      </c>
      <c r="B3">
        <v>0</v>
      </c>
      <c r="C3">
        <f>'Cost Components'!$B$18 * 10^6</f>
        <v>1714041502.6372778</v>
      </c>
      <c r="D3">
        <f>'Cost Components'!$B$18 * 10^6 + 'Cost Components'!$B$9</f>
        <v>2268324686.9738569</v>
      </c>
      <c r="E3">
        <f>'Cost Components'!$B$18 * 10^6 + 'Cost Components'!$B$9</f>
        <v>2268324686.9738569</v>
      </c>
      <c r="F3">
        <f>'Cost Components'!$B$18 * 10^6 + 'Cost Components'!$B$9</f>
        <v>2268324686.9738569</v>
      </c>
      <c r="G3">
        <f>'Cost Components'!$B$18 * 10^6 + 'Cost Components'!$B$9</f>
        <v>2268324686.9738569</v>
      </c>
      <c r="H3">
        <f>'Cost Components'!$B$18 * 10^6 + 'Cost Components'!$B$9</f>
        <v>2268324686.9738569</v>
      </c>
      <c r="I3">
        <f>'Cost Components'!$B$18 * 10^6 + 'Cost Components'!$B$9</f>
        <v>2268324686.9738569</v>
      </c>
      <c r="J3">
        <f>'Cost Components'!$B$18 * 10^6 + 'Cost Components'!$B$9</f>
        <v>2268324686.9738569</v>
      </c>
      <c r="K3">
        <f>'Cost Components'!$B$18 * 10^6 + 'Cost Components'!$B$9</f>
        <v>2268324686.9738569</v>
      </c>
      <c r="L3">
        <f>'Cost Components'!$B$18 * 10^6 + 'Cost Components'!$B$9</f>
        <v>2268324686.9738569</v>
      </c>
      <c r="M3">
        <f>'Cost Components'!$B$18 * 10^6 + 'Cost Components'!$B$9</f>
        <v>2268324686.9738569</v>
      </c>
      <c r="N3">
        <f>'Cost Components'!$B$18 * 10^6 + 'Cost Components'!$B$9</f>
        <v>2268324686.9738569</v>
      </c>
      <c r="O3">
        <f>'Cost Components'!$B$18 * 10^6 + 'Cost Components'!$B$9</f>
        <v>2268324686.9738569</v>
      </c>
      <c r="P3">
        <f>'Cost Components'!$B$18 * 10^6 + 'Cost Components'!$B$9</f>
        <v>2268324686.9738569</v>
      </c>
      <c r="Q3">
        <f>'Cost Components'!$B$18 * 10^6 + 'Cost Components'!$B$9</f>
        <v>2268324686.9738569</v>
      </c>
      <c r="R3">
        <f>'Cost Components'!$B$18 * 10^6 + 'Cost Components'!$B$9</f>
        <v>2268324686.9738569</v>
      </c>
      <c r="S3">
        <f>'Cost Components'!$B$18 * 10^6 + 'Cost Components'!$B$9</f>
        <v>2268324686.9738569</v>
      </c>
      <c r="T3">
        <f>'Cost Components'!$B$18 * 10^6 + 'Cost Components'!$B$9</f>
        <v>2268324686.9738569</v>
      </c>
      <c r="U3">
        <f>'Cost Components'!$B$18 * 10^6 + 'Cost Components'!$B$9</f>
        <v>2268324686.9738569</v>
      </c>
      <c r="V3">
        <f>'Cost Components'!$B$18 * 10^6 + 'Cost Components'!$B$9</f>
        <v>2268324686.9738569</v>
      </c>
      <c r="W3">
        <f>'Cost Components'!$B$18 * 10^6 + 'Cost Components'!$B$9</f>
        <v>2268324686.9738569</v>
      </c>
      <c r="X3">
        <f>'Cost Components'!$B$18 * 10^6 + 'Cost Components'!$B$9</f>
        <v>2268324686.9738569</v>
      </c>
      <c r="Y3">
        <f>'Cost Components'!$B$18 * 10^6 + 'Cost Components'!$B$9</f>
        <v>2268324686.9738569</v>
      </c>
      <c r="Z3">
        <f>'Cost Components'!$B$18 * 10^6 + 'Cost Components'!$B$9</f>
        <v>2268324686.9738569</v>
      </c>
      <c r="AA3">
        <f>'Cost Components'!$B$18 * 10^6 + 'Cost Components'!$B$9</f>
        <v>2268324686.9738569</v>
      </c>
      <c r="AB3">
        <f>'Cost Components'!$B$18 * 10^6 + 'Cost Components'!$B$9</f>
        <v>2268324686.9738569</v>
      </c>
      <c r="AC3">
        <f>'Cost Components'!$B$18 * 10^6 + 'Cost Components'!$B$9</f>
        <v>2268324686.9738569</v>
      </c>
      <c r="AD3">
        <f>'Cost Components'!$B$18 * 10^6 + 'Cost Components'!$B$9</f>
        <v>2268324686.9738569</v>
      </c>
      <c r="AE3">
        <f>'Cost Components'!$B$18 * 10^6 + 'Cost Components'!$B$9</f>
        <v>2268324686.9738569</v>
      </c>
      <c r="AF3">
        <f>'Cost Components'!$B$18 * 10^6 + 'Cost Components'!$B$9</f>
        <v>2268324686.9738569</v>
      </c>
    </row>
    <row r="4" spans="1:32">
      <c r="A4" t="s">
        <v>146</v>
      </c>
      <c r="B4">
        <v>0</v>
      </c>
      <c r="C4">
        <f>'Cost Components'!$B$9</f>
        <v>554283184.33657908</v>
      </c>
      <c r="D4">
        <f>'Cost Components'!$B$9</f>
        <v>554283184.33657908</v>
      </c>
      <c r="E4">
        <f>'Cost Components'!$B$9</f>
        <v>554283184.33657908</v>
      </c>
      <c r="F4">
        <f>'Cost Components'!$B$9</f>
        <v>554283184.33657908</v>
      </c>
      <c r="G4">
        <f>'Cost Components'!$B$9</f>
        <v>554283184.33657908</v>
      </c>
      <c r="H4">
        <f>'Cost Components'!$B$9</f>
        <v>554283184.33657908</v>
      </c>
      <c r="I4">
        <f>'Cost Components'!$B$9</f>
        <v>554283184.33657908</v>
      </c>
      <c r="J4">
        <f>'Cost Components'!$B$9</f>
        <v>554283184.33657908</v>
      </c>
      <c r="K4">
        <f>'Cost Components'!$B$9</f>
        <v>554283184.33657908</v>
      </c>
      <c r="L4">
        <f>'Cost Components'!$B$9</f>
        <v>554283184.33657908</v>
      </c>
      <c r="M4">
        <f>'Cost Components'!$B$9</f>
        <v>554283184.33657908</v>
      </c>
      <c r="N4">
        <f>'Cost Components'!$B$9</f>
        <v>554283184.33657908</v>
      </c>
      <c r="O4">
        <f>'Cost Components'!$B$9</f>
        <v>554283184.33657908</v>
      </c>
      <c r="P4">
        <f>'Cost Components'!$B$9</f>
        <v>554283184.33657908</v>
      </c>
      <c r="Q4">
        <f>'Cost Components'!$B$9</f>
        <v>554283184.33657908</v>
      </c>
      <c r="R4">
        <f>'Cost Components'!$B$9</f>
        <v>554283184.33657908</v>
      </c>
      <c r="S4">
        <f>'Cost Components'!$B$9</f>
        <v>554283184.33657908</v>
      </c>
      <c r="T4">
        <f>'Cost Components'!$B$9</f>
        <v>554283184.33657908</v>
      </c>
      <c r="U4">
        <f>'Cost Components'!$B$9</f>
        <v>554283184.33657908</v>
      </c>
      <c r="V4">
        <f>'Cost Components'!$B$9</f>
        <v>554283184.33657908</v>
      </c>
      <c r="W4">
        <f>'Cost Components'!$B$9</f>
        <v>554283184.33657908</v>
      </c>
      <c r="X4">
        <f>'Cost Components'!$B$9</f>
        <v>554283184.33657908</v>
      </c>
      <c r="Y4">
        <f>'Cost Components'!$B$9</f>
        <v>554283184.33657908</v>
      </c>
      <c r="Z4">
        <f>'Cost Components'!$B$9</f>
        <v>554283184.33657908</v>
      </c>
      <c r="AA4">
        <f>'Cost Components'!$B$9</f>
        <v>554283184.33657908</v>
      </c>
      <c r="AB4">
        <f>'Cost Components'!$B$9</f>
        <v>554283184.33657908</v>
      </c>
      <c r="AC4">
        <f>'Cost Components'!$B$9</f>
        <v>554283184.33657908</v>
      </c>
      <c r="AD4">
        <f>'Cost Components'!$B$9</f>
        <v>554283184.33657908</v>
      </c>
      <c r="AE4">
        <f>'Cost Components'!$B$9</f>
        <v>554283184.33657908</v>
      </c>
      <c r="AF4">
        <f>'Cost Components'!$B$9</f>
        <v>554283184.33657908</v>
      </c>
    </row>
    <row r="5" spans="1:32">
      <c r="A5" t="s">
        <v>112</v>
      </c>
      <c r="B5">
        <f>B3/((1+'Study Parameters'!$C$4)^'MFSP Baseline'!B2)</f>
        <v>0</v>
      </c>
      <c r="C5">
        <f>C3/((1+'Study Parameters'!$C$4)^'MFSP Baseline'!C2) + C4</f>
        <v>2141358649.7414658</v>
      </c>
      <c r="D5">
        <f>D3/((1+'Study Parameters'!$C$4)^'MFSP Baseline'!D2) + D4</f>
        <v>2499005995.5281572</v>
      </c>
      <c r="E5">
        <f>E3/((1+'Study Parameters'!$C$4)^'MFSP Baseline'!E2) + E4</f>
        <v>2354952453.9584103</v>
      </c>
      <c r="F5">
        <f>F3/((1+'Study Parameters'!$C$4)^'MFSP Baseline'!F2) + F4</f>
        <v>2221569545.0975342</v>
      </c>
      <c r="G5">
        <f>G3/((1+'Study Parameters'!$C$4)^'MFSP Baseline'!G2) + G4</f>
        <v>2098066851.7078338</v>
      </c>
      <c r="H5">
        <f>H3/((1+'Study Parameters'!$C$4)^'MFSP Baseline'!H2) + H4</f>
        <v>1983712505.9766295</v>
      </c>
      <c r="I5">
        <f>I3/((1+'Study Parameters'!$C$4)^'MFSP Baseline'!I2) + I4</f>
        <v>1877828852.5218108</v>
      </c>
      <c r="J5">
        <f>J3/((1+'Study Parameters'!$C$4)^'MFSP Baseline'!J2) + J4</f>
        <v>1779788432.6562381</v>
      </c>
      <c r="K5">
        <f>K3/((1+'Study Parameters'!$C$4)^'MFSP Baseline'!K2) + K4</f>
        <v>1689010266.1140411</v>
      </c>
      <c r="L5">
        <f>L3/((1+'Study Parameters'!$C$4)^'MFSP Baseline'!L2) + L4</f>
        <v>1604956408.2045994</v>
      </c>
      <c r="M5">
        <f>M3/((1+'Study Parameters'!$C$4)^'MFSP Baseline'!M2) + M4</f>
        <v>1527128761.9921536</v>
      </c>
      <c r="N5">
        <f>N3/((1+'Study Parameters'!$C$4)^'MFSP Baseline'!N2) + N4</f>
        <v>1455066126.6102591</v>
      </c>
      <c r="O5">
        <f>O3/((1+'Study Parameters'!$C$4)^'MFSP Baseline'!O2) + O4</f>
        <v>1388341464.2196159</v>
      </c>
      <c r="P5">
        <f>P3/((1+'Study Parameters'!$C$4)^'MFSP Baseline'!P2) + P4</f>
        <v>1326559369.413465</v>
      </c>
      <c r="Q5">
        <f>Q3/((1+'Study Parameters'!$C$4)^'MFSP Baseline'!Q2) + Q4</f>
        <v>1269353726.0744364</v>
      </c>
      <c r="R5">
        <f>R3/((1+'Study Parameters'!$C$4)^'MFSP Baseline'!R2) + R4</f>
        <v>1216385537.7975581</v>
      </c>
      <c r="S5">
        <f>S3/((1+'Study Parameters'!$C$4)^'MFSP Baseline'!S2) + S4</f>
        <v>1167340919.0226707</v>
      </c>
      <c r="T5">
        <f>T3/((1+'Study Parameters'!$C$4)^'MFSP Baseline'!T2) + T4</f>
        <v>1121929234.971849</v>
      </c>
      <c r="U5">
        <f>U3/((1+'Study Parameters'!$C$4)^'MFSP Baseline'!U2) + U4</f>
        <v>1079881379.3692365</v>
      </c>
      <c r="V5">
        <f>V3/((1+'Study Parameters'!$C$4)^'MFSP Baseline'!V2) + V4</f>
        <v>1040948179.7371877</v>
      </c>
      <c r="W5">
        <f>W3/((1+'Study Parameters'!$C$4)^'MFSP Baseline'!W2) + W4</f>
        <v>1004898920.8186241</v>
      </c>
      <c r="X5">
        <f>X3/((1+'Study Parameters'!$C$4)^'MFSP Baseline'!X2) + X4</f>
        <v>971519977.37550962</v>
      </c>
      <c r="Y5">
        <f>Y3/((1+'Study Parameters'!$C$4)^'MFSP Baseline'!Y2) + Y4</f>
        <v>940613548.26151478</v>
      </c>
      <c r="Z5">
        <f>Z3/((1+'Study Parameters'!$C$4)^'MFSP Baseline'!Z2) + Z4</f>
        <v>911996484.26707506</v>
      </c>
      <c r="AA5">
        <f>AA3/((1+'Study Parameters'!$C$4)^'MFSP Baseline'!AA2) + AA4</f>
        <v>885499202.79074192</v>
      </c>
      <c r="AB5">
        <f>AB3/((1+'Study Parameters'!$C$4)^'MFSP Baseline'!AB2) + AB4</f>
        <v>860964682.9052484</v>
      </c>
      <c r="AC5">
        <f>AC3/((1+'Study Parameters'!$C$4)^'MFSP Baseline'!AC2) + AC4</f>
        <v>838247534.86312485</v>
      </c>
      <c r="AD5">
        <f>AD3/((1+'Study Parameters'!$C$4)^'MFSP Baseline'!AD2) + AD4</f>
        <v>817213138.52782512</v>
      </c>
      <c r="AE5">
        <f>AE3/((1+'Study Parameters'!$C$4)^'MFSP Baseline'!AE2) + AE4</f>
        <v>797736845.62476981</v>
      </c>
      <c r="AF5">
        <f>AF3/((1+'Study Parameters'!$C$4)^'MFSP Baseline'!AF2) + AF4</f>
        <v>779703241.08490384</v>
      </c>
    </row>
    <row r="6" spans="1:32">
      <c r="A6" t="s">
        <v>147</v>
      </c>
      <c r="B6">
        <v>0</v>
      </c>
      <c r="C6">
        <f>'Study Parameters'!$C$19</f>
        <v>800000000</v>
      </c>
      <c r="D6">
        <f>'Study Parameters'!$C$19</f>
        <v>800000000</v>
      </c>
      <c r="E6">
        <f>'Study Parameters'!$C$19</f>
        <v>800000000</v>
      </c>
      <c r="F6">
        <f>'Study Parameters'!$C$19</f>
        <v>800000000</v>
      </c>
      <c r="G6">
        <f>'Study Parameters'!$C$19</f>
        <v>800000000</v>
      </c>
      <c r="H6">
        <f>'Study Parameters'!$C$19</f>
        <v>800000000</v>
      </c>
      <c r="I6">
        <f>'Study Parameters'!$C$19</f>
        <v>800000000</v>
      </c>
      <c r="J6">
        <f>'Study Parameters'!$C$19</f>
        <v>800000000</v>
      </c>
      <c r="K6">
        <f>'Study Parameters'!$C$19</f>
        <v>800000000</v>
      </c>
      <c r="L6">
        <f>'Study Parameters'!$C$19</f>
        <v>800000000</v>
      </c>
      <c r="M6">
        <f>'Study Parameters'!$C$19</f>
        <v>800000000</v>
      </c>
      <c r="N6">
        <f>'Study Parameters'!$C$19</f>
        <v>800000000</v>
      </c>
      <c r="O6">
        <f>'Study Parameters'!$C$19</f>
        <v>800000000</v>
      </c>
      <c r="P6">
        <f>'Study Parameters'!$C$19</f>
        <v>800000000</v>
      </c>
      <c r="Q6">
        <f>'Study Parameters'!$C$19</f>
        <v>800000000</v>
      </c>
      <c r="R6">
        <f>'Study Parameters'!$C$19</f>
        <v>800000000</v>
      </c>
      <c r="S6">
        <f>'Study Parameters'!$C$19</f>
        <v>800000000</v>
      </c>
      <c r="T6">
        <f>'Study Parameters'!$C$19</f>
        <v>800000000</v>
      </c>
      <c r="U6">
        <f>'Study Parameters'!$C$19</f>
        <v>800000000</v>
      </c>
      <c r="V6">
        <f>'Study Parameters'!$C$19</f>
        <v>800000000</v>
      </c>
      <c r="W6">
        <f>'Study Parameters'!$C$19</f>
        <v>800000000</v>
      </c>
      <c r="X6">
        <f>'Study Parameters'!$C$19</f>
        <v>800000000</v>
      </c>
      <c r="Y6">
        <f>'Study Parameters'!$C$19</f>
        <v>800000000</v>
      </c>
      <c r="Z6">
        <f>'Study Parameters'!$C$19</f>
        <v>800000000</v>
      </c>
      <c r="AA6">
        <f>'Study Parameters'!$C$19</f>
        <v>800000000</v>
      </c>
      <c r="AB6">
        <f>'Study Parameters'!$C$19</f>
        <v>800000000</v>
      </c>
      <c r="AC6">
        <f>'Study Parameters'!$C$19</f>
        <v>800000000</v>
      </c>
      <c r="AD6">
        <f>'Study Parameters'!$C$19</f>
        <v>800000000</v>
      </c>
      <c r="AE6">
        <f>'Study Parameters'!$C$19</f>
        <v>800000000</v>
      </c>
      <c r="AF6">
        <f>'Study Parameters'!$C$19</f>
        <v>800000000</v>
      </c>
    </row>
    <row r="7" spans="1:32">
      <c r="A7" t="s">
        <v>148</v>
      </c>
      <c r="B7">
        <f>B6/((1+'Study Parameters'!$C$4)^'MFSP Baseline'!B2)</f>
        <v>0</v>
      </c>
      <c r="C7">
        <f>C6/((1+'Study Parameters'!$C$4)^'MFSP Baseline'!C2)</f>
        <v>740740740.74074066</v>
      </c>
      <c r="D7">
        <f>D6/((1+'Study Parameters'!$C$4)^'MFSP Baseline'!D2)</f>
        <v>685871056.24142659</v>
      </c>
      <c r="E7">
        <f>E6/((1+'Study Parameters'!$C$4)^'MFSP Baseline'!E2)</f>
        <v>635065792.81613564</v>
      </c>
      <c r="F7">
        <f>F6/((1+'Study Parameters'!$C$4)^'MFSP Baseline'!F2)</f>
        <v>588023882.23716259</v>
      </c>
      <c r="G7">
        <f>G6/((1+'Study Parameters'!$C$4)^'MFSP Baseline'!G2)</f>
        <v>544466557.62700236</v>
      </c>
      <c r="H7">
        <f>H6/((1+'Study Parameters'!$C$4)^'MFSP Baseline'!H2)</f>
        <v>504135701.50648367</v>
      </c>
      <c r="I7">
        <f>I6/((1+'Study Parameters'!$C$4)^'MFSP Baseline'!I2)</f>
        <v>466792316.20970708</v>
      </c>
      <c r="J7">
        <f>J6/((1+'Study Parameters'!$C$4)^'MFSP Baseline'!J2)</f>
        <v>432215107.60158062</v>
      </c>
      <c r="K7">
        <f>K6/((1+'Study Parameters'!$C$4)^'MFSP Baseline'!K2)</f>
        <v>400199173.70516723</v>
      </c>
      <c r="L7">
        <f>L6/((1+'Study Parameters'!$C$4)^'MFSP Baseline'!L2)</f>
        <v>370554790.46774739</v>
      </c>
      <c r="M7">
        <f>M6/((1+'Study Parameters'!$C$4)^'MFSP Baseline'!M2)</f>
        <v>343106287.47013646</v>
      </c>
      <c r="N7">
        <f>N6/((1+'Study Parameters'!$C$4)^'MFSP Baseline'!N2)</f>
        <v>317691006.91679299</v>
      </c>
      <c r="O7">
        <f>O6/((1+'Study Parameters'!$C$4)^'MFSP Baseline'!O2)</f>
        <v>294158339.73777133</v>
      </c>
      <c r="P7">
        <f>P6/((1+'Study Parameters'!$C$4)^'MFSP Baseline'!P2)</f>
        <v>272368833.09052896</v>
      </c>
      <c r="Q7">
        <f>Q6/((1+'Study Parameters'!$C$4)^'MFSP Baseline'!Q2)</f>
        <v>252193363.97271198</v>
      </c>
      <c r="R7">
        <f>R6/((1+'Study Parameters'!$C$4)^'MFSP Baseline'!R2)</f>
        <v>233512374.04880738</v>
      </c>
      <c r="S7">
        <f>S6/((1+'Study Parameters'!$C$4)^'MFSP Baseline'!S2)</f>
        <v>216215161.15630314</v>
      </c>
      <c r="T7">
        <f>T6/((1+'Study Parameters'!$C$4)^'MFSP Baseline'!T2)</f>
        <v>200199223.29287323</v>
      </c>
      <c r="U7">
        <f>U6/((1+'Study Parameters'!$C$4)^'MFSP Baseline'!U2)</f>
        <v>185369651.19710484</v>
      </c>
      <c r="V7">
        <f>V6/((1+'Study Parameters'!$C$4)^'MFSP Baseline'!V2)</f>
        <v>171638565.92324522</v>
      </c>
      <c r="W7">
        <f>W6/((1+'Study Parameters'!$C$4)^'MFSP Baseline'!W2)</f>
        <v>158924598.07707891</v>
      </c>
      <c r="X7">
        <f>X6/((1+'Study Parameters'!$C$4)^'MFSP Baseline'!X2)</f>
        <v>147152405.6269249</v>
      </c>
      <c r="Y7">
        <f>Y6/((1+'Study Parameters'!$C$4)^'MFSP Baseline'!Y2)</f>
        <v>136252227.43233788</v>
      </c>
      <c r="Z7">
        <f>Z6/((1+'Study Parameters'!$C$4)^'MFSP Baseline'!Z2)</f>
        <v>126159469.84475727</v>
      </c>
      <c r="AA7">
        <f>AA6/((1+'Study Parameters'!$C$4)^'MFSP Baseline'!AA2)</f>
        <v>116814323.9303308</v>
      </c>
      <c r="AB7">
        <f>AB6/((1+'Study Parameters'!$C$4)^'MFSP Baseline'!AB2)</f>
        <v>108161411.04660261</v>
      </c>
      <c r="AC7">
        <f>AC6/((1+'Study Parameters'!$C$4)^'MFSP Baseline'!AC2)</f>
        <v>100149454.67278019</v>
      </c>
      <c r="AD7">
        <f>AD6/((1+'Study Parameters'!$C$4)^'MFSP Baseline'!AD2)</f>
        <v>92730976.548870534</v>
      </c>
      <c r="AE7">
        <f>AE6/((1+'Study Parameters'!$C$4)^'MFSP Baseline'!AE2)</f>
        <v>85862015.323028266</v>
      </c>
      <c r="AF7">
        <f>AF6/((1+'Study Parameters'!$C$4)^'MFSP Baseline'!AF2)</f>
        <v>79501866.039840981</v>
      </c>
    </row>
    <row r="9" spans="1:32">
      <c r="A9" t="s">
        <v>149</v>
      </c>
      <c r="B9">
        <f>SUM(B5:AF5) / SUM(B7:AF7)</f>
        <v>4.624753489178385</v>
      </c>
    </row>
    <row r="11" spans="1:32">
      <c r="A11" t="s">
        <v>150</v>
      </c>
    </row>
    <row r="12" spans="1:32">
      <c r="A12" t="s">
        <v>1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11</v>
      </c>
      <c r="N12">
        <v>12</v>
      </c>
      <c r="O12">
        <v>13</v>
      </c>
      <c r="P12">
        <v>14</v>
      </c>
      <c r="Q12">
        <v>15</v>
      </c>
      <c r="R12">
        <v>16</v>
      </c>
      <c r="S12">
        <v>17</v>
      </c>
      <c r="T12">
        <v>18</v>
      </c>
      <c r="U12">
        <v>19</v>
      </c>
      <c r="V12">
        <v>20</v>
      </c>
      <c r="W12">
        <v>21</v>
      </c>
      <c r="X12">
        <v>22</v>
      </c>
      <c r="Y12">
        <v>23</v>
      </c>
      <c r="Z12">
        <v>24</v>
      </c>
      <c r="AA12">
        <v>25</v>
      </c>
      <c r="AB12">
        <v>26</v>
      </c>
      <c r="AC12">
        <v>27</v>
      </c>
      <c r="AD12">
        <v>28</v>
      </c>
      <c r="AE12">
        <v>29</v>
      </c>
      <c r="AF12">
        <v>30</v>
      </c>
    </row>
    <row r="13" spans="1:32">
      <c r="A13" t="s">
        <v>145</v>
      </c>
      <c r="B13">
        <v>0</v>
      </c>
      <c r="C13">
        <f>'Cost Components'!$B$38*10^6</f>
        <v>1413745061.9706111</v>
      </c>
      <c r="D13">
        <f>'Cost Components'!$B$38*10^6</f>
        <v>1413745061.9706111</v>
      </c>
      <c r="E13">
        <f>'Cost Components'!$B$38*10^6</f>
        <v>1413745061.9706111</v>
      </c>
      <c r="F13">
        <f>'Cost Components'!$B$38*10^6</f>
        <v>1413745061.9706111</v>
      </c>
      <c r="G13">
        <f>'Cost Components'!$B$38*10^6</f>
        <v>1413745061.9706111</v>
      </c>
      <c r="H13">
        <f>'Cost Components'!$B$38*10^6</f>
        <v>1413745061.9706111</v>
      </c>
      <c r="I13">
        <f>'Cost Components'!$B$38*10^6</f>
        <v>1413745061.9706111</v>
      </c>
      <c r="J13">
        <f>'Cost Components'!$B$38*10^6</f>
        <v>1413745061.9706111</v>
      </c>
      <c r="K13">
        <f>'Cost Components'!$B$38*10^6</f>
        <v>1413745061.9706111</v>
      </c>
      <c r="L13">
        <f>'Cost Components'!$B$38*10^6</f>
        <v>1413745061.9706111</v>
      </c>
      <c r="M13">
        <f>'Cost Components'!$B$38*10^6</f>
        <v>1413745061.9706111</v>
      </c>
      <c r="N13">
        <f>'Cost Components'!$B$38*10^6</f>
        <v>1413745061.9706111</v>
      </c>
      <c r="O13">
        <f>'Cost Components'!$B$38*10^6</f>
        <v>1413745061.9706111</v>
      </c>
      <c r="P13">
        <f>'Cost Components'!$B$38*10^6</f>
        <v>1413745061.9706111</v>
      </c>
      <c r="Q13">
        <f>'Cost Components'!$B$38*10^6</f>
        <v>1413745061.9706111</v>
      </c>
      <c r="R13">
        <f>'Cost Components'!$B$38*10^6</f>
        <v>1413745061.9706111</v>
      </c>
      <c r="S13">
        <f>'Cost Components'!$B$38*10^6</f>
        <v>1413745061.9706111</v>
      </c>
      <c r="T13">
        <f>'Cost Components'!$B$38*10^6</f>
        <v>1413745061.9706111</v>
      </c>
      <c r="U13">
        <f>'Cost Components'!$B$38*10^6</f>
        <v>1413745061.9706111</v>
      </c>
      <c r="V13">
        <f>'Cost Components'!$B$38*10^6</f>
        <v>1413745061.9706111</v>
      </c>
      <c r="W13">
        <f>'Cost Components'!$B$38*10^6</f>
        <v>1413745061.9706111</v>
      </c>
      <c r="X13">
        <f>'Cost Components'!$B$38*10^6</f>
        <v>1413745061.9706111</v>
      </c>
      <c r="Y13">
        <f>'Cost Components'!$B$38*10^6</f>
        <v>1413745061.9706111</v>
      </c>
      <c r="Z13">
        <f>'Cost Components'!$B$38*10^6</f>
        <v>1413745061.9706111</v>
      </c>
      <c r="AA13">
        <f>'Cost Components'!$B$38*10^6</f>
        <v>1413745061.9706111</v>
      </c>
      <c r="AB13">
        <f>'Cost Components'!$B$38*10^6</f>
        <v>1413745061.9706111</v>
      </c>
      <c r="AC13">
        <f>'Cost Components'!$B$38*10^6</f>
        <v>1413745061.9706111</v>
      </c>
      <c r="AD13">
        <f>'Cost Components'!$B$38*10^6</f>
        <v>1413745061.9706111</v>
      </c>
      <c r="AE13">
        <f>'Cost Components'!$B$38*10^6</f>
        <v>1413745061.9706111</v>
      </c>
      <c r="AF13">
        <f>'Cost Components'!$B$38*10^6</f>
        <v>1413745061.9706111</v>
      </c>
    </row>
    <row r="14" spans="1:32">
      <c r="A14" t="s">
        <v>146</v>
      </c>
      <c r="B14">
        <v>0</v>
      </c>
      <c r="C14">
        <f>'Cost Components'!$B$29</f>
        <v>331859291.13484931</v>
      </c>
      <c r="D14">
        <f>'Cost Components'!$B$29</f>
        <v>331859291.13484931</v>
      </c>
      <c r="E14">
        <f>'Cost Components'!$B$29</f>
        <v>331859291.13484931</v>
      </c>
      <c r="F14">
        <f>'Cost Components'!$B$29</f>
        <v>331859291.13484931</v>
      </c>
      <c r="G14">
        <f>'Cost Components'!$B$29</f>
        <v>331859291.13484931</v>
      </c>
      <c r="H14">
        <f>'Cost Components'!$B$29</f>
        <v>331859291.13484931</v>
      </c>
      <c r="I14">
        <f>'Cost Components'!$B$29</f>
        <v>331859291.13484931</v>
      </c>
      <c r="J14">
        <f>'Cost Components'!$B$29</f>
        <v>331859291.13484931</v>
      </c>
      <c r="K14">
        <f>'Cost Components'!$B$29</f>
        <v>331859291.13484931</v>
      </c>
      <c r="L14">
        <f>'Cost Components'!$B$29</f>
        <v>331859291.13484931</v>
      </c>
      <c r="M14">
        <f>'Cost Components'!$B$29</f>
        <v>331859291.13484931</v>
      </c>
      <c r="N14">
        <f>'Cost Components'!$B$29</f>
        <v>331859291.13484931</v>
      </c>
      <c r="O14">
        <f>'Cost Components'!$B$29</f>
        <v>331859291.13484931</v>
      </c>
      <c r="P14">
        <f>'Cost Components'!$B$29</f>
        <v>331859291.13484931</v>
      </c>
      <c r="Q14">
        <f>'Cost Components'!$B$29</f>
        <v>331859291.13484931</v>
      </c>
      <c r="R14">
        <f>'Cost Components'!$B$29</f>
        <v>331859291.13484931</v>
      </c>
      <c r="S14">
        <f>'Cost Components'!$B$29</f>
        <v>331859291.13484931</v>
      </c>
      <c r="T14">
        <f>'Cost Components'!$B$29</f>
        <v>331859291.13484931</v>
      </c>
      <c r="U14">
        <f>'Cost Components'!$B$29</f>
        <v>331859291.13484931</v>
      </c>
      <c r="V14">
        <f>'Cost Components'!$B$29</f>
        <v>331859291.13484931</v>
      </c>
      <c r="W14">
        <f>'Cost Components'!$B$29</f>
        <v>331859291.13484931</v>
      </c>
      <c r="X14">
        <f>'Cost Components'!$B$29</f>
        <v>331859291.13484931</v>
      </c>
      <c r="Y14">
        <f>'Cost Components'!$B$29</f>
        <v>331859291.13484931</v>
      </c>
      <c r="Z14">
        <f>'Cost Components'!$B$29</f>
        <v>331859291.13484931</v>
      </c>
      <c r="AA14">
        <f>'Cost Components'!$B$29</f>
        <v>331859291.13484931</v>
      </c>
      <c r="AB14">
        <f>'Cost Components'!$B$29</f>
        <v>331859291.13484931</v>
      </c>
      <c r="AC14">
        <f>'Cost Components'!$B$29</f>
        <v>331859291.13484931</v>
      </c>
      <c r="AD14">
        <f>'Cost Components'!$B$29</f>
        <v>331859291.13484931</v>
      </c>
      <c r="AE14">
        <f>'Cost Components'!$B$29</f>
        <v>331859291.13484931</v>
      </c>
      <c r="AF14">
        <f>'Cost Components'!$B$29</f>
        <v>331859291.13484931</v>
      </c>
    </row>
    <row r="15" spans="1:32">
      <c r="A15" t="s">
        <v>112</v>
      </c>
      <c r="B15">
        <v>0</v>
      </c>
      <c r="C15">
        <f>C13/((1+'Study Parameters'!$C$4)^'MFSP Baseline'!C12) +C14</f>
        <v>1640882496.6631927</v>
      </c>
      <c r="D15">
        <f>D13/((1+'Study Parameters'!$C$4)^'MFSP Baseline'!D12) +D14</f>
        <v>1543917814.7722044</v>
      </c>
      <c r="E15">
        <f>E13/((1+'Study Parameters'!$C$4)^'MFSP Baseline'!E12) +E14</f>
        <v>1454135701.9101779</v>
      </c>
      <c r="F15">
        <f>F13/((1+'Study Parameters'!$C$4)^'MFSP Baseline'!F12) +F14</f>
        <v>1371004115.9268203</v>
      </c>
      <c r="G15">
        <f>G13/((1+'Study Parameters'!$C$4)^'MFSP Baseline'!G12) +G14</f>
        <v>1294030425.201489</v>
      </c>
      <c r="H15">
        <f>H13/((1+'Study Parameters'!$C$4)^'MFSP Baseline'!H12) +H14</f>
        <v>1222758489.3447008</v>
      </c>
      <c r="I15">
        <f>I13/((1+'Study Parameters'!$C$4)^'MFSP Baseline'!I12) +I14</f>
        <v>1156765956.143971</v>
      </c>
      <c r="J15">
        <f>J13/((1+'Study Parameters'!$C$4)^'MFSP Baseline'!J12) +J14</f>
        <v>1095661758.735888</v>
      </c>
      <c r="K15">
        <f>K13/((1+'Study Parameters'!$C$4)^'MFSP Baseline'!K12) +K14</f>
        <v>1039083798.172848</v>
      </c>
      <c r="L15">
        <f>L13/((1+'Study Parameters'!$C$4)^'MFSP Baseline'!L12) +L14</f>
        <v>986696797.65151477</v>
      </c>
      <c r="M15">
        <f>M13/((1+'Study Parameters'!$C$4)^'MFSP Baseline'!M12) +M14</f>
        <v>938190315.68731737</v>
      </c>
      <c r="N15">
        <f>N13/((1+'Study Parameters'!$C$4)^'MFSP Baseline'!N12) +N14</f>
        <v>893276906.46120858</v>
      </c>
      <c r="O15">
        <f>O13/((1+'Study Parameters'!$C$4)^'MFSP Baseline'!O12) +O14</f>
        <v>851690416.43703377</v>
      </c>
      <c r="P15">
        <f>P13/((1+'Study Parameters'!$C$4)^'MFSP Baseline'!P12) +P14</f>
        <v>813184407.15539038</v>
      </c>
      <c r="Q15">
        <f>Q13/((1+'Study Parameters'!$C$4)^'MFSP Baseline'!Q12) +Q14</f>
        <v>777530694.85757256</v>
      </c>
      <c r="R15">
        <f>R13/((1+'Study Parameters'!$C$4)^'MFSP Baseline'!R12) +R14</f>
        <v>744517998.28551888</v>
      </c>
      <c r="S15">
        <f>S13/((1+'Study Parameters'!$C$4)^'MFSP Baseline'!S12) +S14</f>
        <v>713950686.64472866</v>
      </c>
      <c r="T15">
        <f>T13/((1+'Study Parameters'!$C$4)^'MFSP Baseline'!T12) +T14</f>
        <v>685647620.31066346</v>
      </c>
      <c r="U15">
        <f>U13/((1+'Study Parameters'!$C$4)^'MFSP Baseline'!U12) +U14</f>
        <v>659441077.40875125</v>
      </c>
      <c r="V15">
        <f>V13/((1+'Study Parameters'!$C$4)^'MFSP Baseline'!V12) +V14</f>
        <v>635175759.90698075</v>
      </c>
      <c r="W15">
        <f>W13/((1+'Study Parameters'!$C$4)^'MFSP Baseline'!W12) +W14</f>
        <v>612707873.33126736</v>
      </c>
      <c r="X15">
        <f>X13/((1+'Study Parameters'!$C$4)^'MFSP Baseline'!X12) +X14</f>
        <v>591904274.65005112</v>
      </c>
      <c r="Y15">
        <f>Y13/((1+'Study Parameters'!$C$4)^'MFSP Baseline'!Y12) +Y14</f>
        <v>572641683.27855468</v>
      </c>
      <c r="Z15">
        <f>Z13/((1+'Study Parameters'!$C$4)^'MFSP Baseline'!Z12) +Z14</f>
        <v>554805950.52716911</v>
      </c>
      <c r="AA15">
        <f>AA13/((1+'Study Parameters'!$C$4)^'MFSP Baseline'!AA12) +AA14</f>
        <v>538291383.16477501</v>
      </c>
      <c r="AB15">
        <f>AB13/((1+'Study Parameters'!$C$4)^'MFSP Baseline'!AB12) +AB14</f>
        <v>523000117.08848423</v>
      </c>
      <c r="AC15">
        <f>AC13/((1+'Study Parameters'!$C$4)^'MFSP Baseline'!AC12) +AC14</f>
        <v>508841537.38821495</v>
      </c>
      <c r="AD15">
        <f>AD13/((1+'Study Parameters'!$C$4)^'MFSP Baseline'!AD12) +AD14</f>
        <v>495731741.36944711</v>
      </c>
      <c r="AE15">
        <f>AE13/((1+'Study Parameters'!$C$4)^'MFSP Baseline'!AE12) +AE14</f>
        <v>483593041.3520695</v>
      </c>
      <c r="AF15">
        <f>AF13/((1+'Study Parameters'!$C$4)^'MFSP Baseline'!AF12) +AF14</f>
        <v>472353504.29894209</v>
      </c>
    </row>
    <row r="16" spans="1:32">
      <c r="A16" t="s">
        <v>147</v>
      </c>
      <c r="B16">
        <v>0</v>
      </c>
      <c r="C16">
        <f>'Study Parameters'!$C$19</f>
        <v>800000000</v>
      </c>
      <c r="D16">
        <f>'Study Parameters'!$C$19</f>
        <v>800000000</v>
      </c>
      <c r="E16">
        <f>'Study Parameters'!$C$19</f>
        <v>800000000</v>
      </c>
      <c r="F16">
        <f>'Study Parameters'!$C$19</f>
        <v>800000000</v>
      </c>
      <c r="G16">
        <f>'Study Parameters'!$C$19</f>
        <v>800000000</v>
      </c>
      <c r="H16">
        <f>'Study Parameters'!$C$19</f>
        <v>800000000</v>
      </c>
      <c r="I16">
        <f>'Study Parameters'!$C$19</f>
        <v>800000000</v>
      </c>
      <c r="J16">
        <f>'Study Parameters'!$C$19</f>
        <v>800000000</v>
      </c>
      <c r="K16">
        <f>'Study Parameters'!$C$19</f>
        <v>800000000</v>
      </c>
      <c r="L16">
        <f>'Study Parameters'!$C$19</f>
        <v>800000000</v>
      </c>
      <c r="M16">
        <f>'Study Parameters'!$C$19</f>
        <v>800000000</v>
      </c>
      <c r="N16">
        <f>'Study Parameters'!$C$19</f>
        <v>800000000</v>
      </c>
      <c r="O16">
        <f>'Study Parameters'!$C$19</f>
        <v>800000000</v>
      </c>
      <c r="P16">
        <f>'Study Parameters'!$C$19</f>
        <v>800000000</v>
      </c>
      <c r="Q16">
        <f>'Study Parameters'!$C$19</f>
        <v>800000000</v>
      </c>
      <c r="R16">
        <f>'Study Parameters'!$C$19</f>
        <v>800000000</v>
      </c>
      <c r="S16">
        <f>'Study Parameters'!$C$19</f>
        <v>800000000</v>
      </c>
      <c r="T16">
        <f>'Study Parameters'!$C$19</f>
        <v>800000000</v>
      </c>
      <c r="U16">
        <f>'Study Parameters'!$C$19</f>
        <v>800000000</v>
      </c>
      <c r="V16">
        <f>'Study Parameters'!$C$19</f>
        <v>800000000</v>
      </c>
      <c r="W16">
        <f>'Study Parameters'!$C$19</f>
        <v>800000000</v>
      </c>
      <c r="X16">
        <f>'Study Parameters'!$C$19</f>
        <v>800000000</v>
      </c>
      <c r="Y16">
        <f>'Study Parameters'!$C$19</f>
        <v>800000000</v>
      </c>
      <c r="Z16">
        <f>'Study Parameters'!$C$19</f>
        <v>800000000</v>
      </c>
      <c r="AA16">
        <f>'Study Parameters'!$C$19</f>
        <v>800000000</v>
      </c>
      <c r="AB16">
        <f>'Study Parameters'!$C$19</f>
        <v>800000000</v>
      </c>
      <c r="AC16">
        <f>'Study Parameters'!$C$19</f>
        <v>800000000</v>
      </c>
      <c r="AD16">
        <f>'Study Parameters'!$C$19</f>
        <v>800000000</v>
      </c>
      <c r="AE16">
        <f>'Study Parameters'!$C$19</f>
        <v>800000000</v>
      </c>
      <c r="AF16">
        <f>'Study Parameters'!$C$19</f>
        <v>800000000</v>
      </c>
    </row>
    <row r="17" spans="1:32">
      <c r="A17" t="s">
        <v>148</v>
      </c>
      <c r="B17">
        <v>0</v>
      </c>
      <c r="C17">
        <f>C16/((1+'Study Parameters'!$C$4)^'MFSP Baseline'!C12)</f>
        <v>740740740.74074066</v>
      </c>
      <c r="D17">
        <f>D16/((1+'Study Parameters'!$C$4)^'MFSP Baseline'!D12)</f>
        <v>685871056.24142659</v>
      </c>
      <c r="E17">
        <f>E16/((1+'Study Parameters'!$C$4)^'MFSP Baseline'!E12)</f>
        <v>635065792.81613564</v>
      </c>
      <c r="F17">
        <f>F16/((1+'Study Parameters'!$C$4)^'MFSP Baseline'!F12)</f>
        <v>588023882.23716259</v>
      </c>
      <c r="G17">
        <f>G16/((1+'Study Parameters'!$C$4)^'MFSP Baseline'!G12)</f>
        <v>544466557.62700236</v>
      </c>
      <c r="H17">
        <f>H16/((1+'Study Parameters'!$C$4)^'MFSP Baseline'!H12)</f>
        <v>504135701.50648367</v>
      </c>
      <c r="I17">
        <f>I16/((1+'Study Parameters'!$C$4)^'MFSP Baseline'!I12)</f>
        <v>466792316.20970708</v>
      </c>
      <c r="J17">
        <f>J16/((1+'Study Parameters'!$C$4)^'MFSP Baseline'!J12)</f>
        <v>432215107.60158062</v>
      </c>
      <c r="K17">
        <f>K16/((1+'Study Parameters'!$C$4)^'MFSP Baseline'!K12)</f>
        <v>400199173.70516723</v>
      </c>
      <c r="L17">
        <f>L16/((1+'Study Parameters'!$C$4)^'MFSP Baseline'!L12)</f>
        <v>370554790.46774739</v>
      </c>
      <c r="M17">
        <f>M16/((1+'Study Parameters'!$C$4)^'MFSP Baseline'!M12)</f>
        <v>343106287.47013646</v>
      </c>
      <c r="N17">
        <f>N16/((1+'Study Parameters'!$C$4)^'MFSP Baseline'!N12)</f>
        <v>317691006.91679299</v>
      </c>
      <c r="O17">
        <f>O16/((1+'Study Parameters'!$C$4)^'MFSP Baseline'!O12)</f>
        <v>294158339.73777133</v>
      </c>
      <c r="P17">
        <f>P16/((1+'Study Parameters'!$C$4)^'MFSP Baseline'!P12)</f>
        <v>272368833.09052896</v>
      </c>
      <c r="Q17">
        <f>Q16/((1+'Study Parameters'!$C$4)^'MFSP Baseline'!Q12)</f>
        <v>252193363.97271198</v>
      </c>
      <c r="R17">
        <f>R16/((1+'Study Parameters'!$C$4)^'MFSP Baseline'!R12)</f>
        <v>233512374.04880738</v>
      </c>
      <c r="S17">
        <f>S16/((1+'Study Parameters'!$C$4)^'MFSP Baseline'!S12)</f>
        <v>216215161.15630314</v>
      </c>
      <c r="T17">
        <f>T16/((1+'Study Parameters'!$C$4)^'MFSP Baseline'!T12)</f>
        <v>200199223.29287323</v>
      </c>
      <c r="U17">
        <f>U16/((1+'Study Parameters'!$C$4)^'MFSP Baseline'!U12)</f>
        <v>185369651.19710484</v>
      </c>
      <c r="V17">
        <f>V16/((1+'Study Parameters'!$C$4)^'MFSP Baseline'!V12)</f>
        <v>171638565.92324522</v>
      </c>
      <c r="W17">
        <f>W16/((1+'Study Parameters'!$C$4)^'MFSP Baseline'!W12)</f>
        <v>158924598.07707891</v>
      </c>
      <c r="X17">
        <f>X16/((1+'Study Parameters'!$C$4)^'MFSP Baseline'!X12)</f>
        <v>147152405.6269249</v>
      </c>
      <c r="Y17">
        <f>Y16/((1+'Study Parameters'!$C$4)^'MFSP Baseline'!Y12)</f>
        <v>136252227.43233788</v>
      </c>
      <c r="Z17">
        <f>Z16/((1+'Study Parameters'!$C$4)^'MFSP Baseline'!Z12)</f>
        <v>126159469.84475727</v>
      </c>
      <c r="AA17">
        <f>AA16/((1+'Study Parameters'!$C$4)^'MFSP Baseline'!AA12)</f>
        <v>116814323.9303308</v>
      </c>
      <c r="AB17">
        <f>AB16/((1+'Study Parameters'!$C$4)^'MFSP Baseline'!AB12)</f>
        <v>108161411.04660261</v>
      </c>
      <c r="AC17">
        <f>AC16/((1+'Study Parameters'!$C$4)^'MFSP Baseline'!AC12)</f>
        <v>100149454.67278019</v>
      </c>
      <c r="AD17">
        <f>AD16/((1+'Study Parameters'!$C$4)^'MFSP Baseline'!AD12)</f>
        <v>92730976.548870534</v>
      </c>
      <c r="AE17">
        <f>AE16/((1+'Study Parameters'!$C$4)^'MFSP Baseline'!AE12)</f>
        <v>85862015.323028266</v>
      </c>
      <c r="AF17">
        <f>AF16/((1+'Study Parameters'!$C$4)^'MFSP Baseline'!AF12)</f>
        <v>79501866.039840981</v>
      </c>
    </row>
    <row r="19" spans="1:32">
      <c r="A19" t="s">
        <v>149</v>
      </c>
      <c r="B19">
        <f>SUM(B15:AF15) / SUM(B17:AF17)</f>
        <v>2.8726141678593238</v>
      </c>
    </row>
    <row r="21" spans="1:32" s="24" customFormat="1"/>
    <row r="23" spans="1:32">
      <c r="A23" t="s">
        <v>151</v>
      </c>
    </row>
    <row r="24" spans="1:32">
      <c r="A24" t="s">
        <v>1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</row>
    <row r="25" spans="1:32">
      <c r="A25" t="s">
        <v>145</v>
      </c>
      <c r="B25">
        <v>0</v>
      </c>
      <c r="C25">
        <f>'Cost Components'!$H$18 * 10^6</f>
        <v>1706151502.6372776</v>
      </c>
      <c r="D25">
        <f>'Cost Components'!$H$9+'Cost Components'!$H$18 * 10^6</f>
        <v>2146380262.5045991</v>
      </c>
      <c r="E25">
        <f>'Cost Components'!$H$9+'Cost Components'!$H$18 * 10^6</f>
        <v>2146380262.5045991</v>
      </c>
      <c r="F25">
        <f>'Cost Components'!$H$9+'Cost Components'!$H$18 * 10^6</f>
        <v>2146380262.5045991</v>
      </c>
      <c r="G25">
        <f>'Cost Components'!$H$9+'Cost Components'!$H$18 * 10^6</f>
        <v>2146380262.5045991</v>
      </c>
      <c r="H25">
        <f>'Cost Components'!$H$9+'Cost Components'!$H$18 * 10^6</f>
        <v>2146380262.5045991</v>
      </c>
      <c r="I25">
        <f>'Cost Components'!$H$9+'Cost Components'!$H$18 * 10^6</f>
        <v>2146380262.5045991</v>
      </c>
      <c r="J25">
        <f>'Cost Components'!$H$9+'Cost Components'!$H$18 * 10^6</f>
        <v>2146380262.5045991</v>
      </c>
      <c r="K25">
        <f>'Cost Components'!$H$9+'Cost Components'!$H$18 * 10^6</f>
        <v>2146380262.5045991</v>
      </c>
      <c r="L25">
        <f>'Cost Components'!$H$9+'Cost Components'!$H$18 * 10^6</f>
        <v>2146380262.5045991</v>
      </c>
      <c r="M25">
        <f>'Cost Components'!$H$9+'Cost Components'!$H$18 * 10^6</f>
        <v>2146380262.5045991</v>
      </c>
      <c r="N25">
        <f>'Cost Components'!$H$9+'Cost Components'!$H$18 * 10^6</f>
        <v>2146380262.5045991</v>
      </c>
      <c r="O25">
        <f>'Cost Components'!$H$9+'Cost Components'!$H$18 * 10^6</f>
        <v>2146380262.5045991</v>
      </c>
      <c r="P25">
        <f>'Cost Components'!$H$9+'Cost Components'!$H$18 * 10^6</f>
        <v>2146380262.5045991</v>
      </c>
      <c r="Q25">
        <f>'Cost Components'!$H$9+'Cost Components'!$H$18 * 10^6</f>
        <v>2146380262.5045991</v>
      </c>
      <c r="R25">
        <f>'Cost Components'!$H$9+'Cost Components'!$H$18 * 10^6</f>
        <v>2146380262.5045991</v>
      </c>
      <c r="S25">
        <f>'Cost Components'!$H$9+'Cost Components'!$H$18 * 10^6</f>
        <v>2146380262.5045991</v>
      </c>
      <c r="T25">
        <f>'Cost Components'!$H$9+'Cost Components'!$H$18 * 10^6</f>
        <v>2146380262.5045991</v>
      </c>
      <c r="U25">
        <f>'Cost Components'!$H$9+'Cost Components'!$H$18 * 10^6</f>
        <v>2146380262.5045991</v>
      </c>
      <c r="V25">
        <f>'Cost Components'!$H$9+'Cost Components'!$H$18 * 10^6</f>
        <v>2146380262.5045991</v>
      </c>
      <c r="W25">
        <f>'Cost Components'!$H$9+'Cost Components'!$H$18 * 10^6</f>
        <v>2146380262.5045991</v>
      </c>
      <c r="X25">
        <f>'Cost Components'!$H$9+'Cost Components'!$H$18 * 10^6</f>
        <v>2146380262.5045991</v>
      </c>
      <c r="Y25">
        <f>'Cost Components'!$H$9+'Cost Components'!$H$18 * 10^6</f>
        <v>2146380262.5045991</v>
      </c>
      <c r="Z25">
        <f>'Cost Components'!$H$9+'Cost Components'!$H$18 * 10^6</f>
        <v>2146380262.5045991</v>
      </c>
      <c r="AA25">
        <f>'Cost Components'!$H$9+'Cost Components'!$H$18 * 10^6</f>
        <v>2146380262.5045991</v>
      </c>
      <c r="AB25">
        <f>'Cost Components'!$H$9+'Cost Components'!$H$18 * 10^6</f>
        <v>2146380262.5045991</v>
      </c>
      <c r="AC25">
        <f>'Cost Components'!$H$9+'Cost Components'!$H$18 * 10^6</f>
        <v>2146380262.5045991</v>
      </c>
      <c r="AD25">
        <f>'Cost Components'!$H$9+'Cost Components'!$H$18 * 10^6</f>
        <v>2146380262.5045991</v>
      </c>
      <c r="AE25">
        <f>'Cost Components'!$H$9+'Cost Components'!$H$18 * 10^6</f>
        <v>2146380262.5045991</v>
      </c>
      <c r="AF25">
        <f>'Cost Components'!$H$9+'Cost Components'!$H$18 * 10^6</f>
        <v>2146380262.5045991</v>
      </c>
    </row>
    <row r="26" spans="1:32">
      <c r="A26" t="s">
        <v>146</v>
      </c>
      <c r="B26">
        <v>0</v>
      </c>
      <c r="C26">
        <f>'Cost Components'!$H$9</f>
        <v>440228759.86732149</v>
      </c>
      <c r="D26">
        <f>'Cost Components'!$H$9</f>
        <v>440228759.86732149</v>
      </c>
      <c r="E26">
        <f>'Cost Components'!$H$9</f>
        <v>440228759.86732149</v>
      </c>
      <c r="F26">
        <f>'Cost Components'!$H$9</f>
        <v>440228759.86732149</v>
      </c>
      <c r="G26">
        <f>'Cost Components'!$H$9</f>
        <v>440228759.86732149</v>
      </c>
      <c r="H26">
        <f>'Cost Components'!$H$9</f>
        <v>440228759.86732149</v>
      </c>
      <c r="I26">
        <f>'Cost Components'!$H$9</f>
        <v>440228759.86732149</v>
      </c>
      <c r="J26">
        <f>'Cost Components'!$H$9</f>
        <v>440228759.86732149</v>
      </c>
      <c r="K26">
        <f>'Cost Components'!$H$9</f>
        <v>440228759.86732149</v>
      </c>
      <c r="L26">
        <f>'Cost Components'!$H$9</f>
        <v>440228759.86732149</v>
      </c>
      <c r="M26">
        <f>'Cost Components'!$H$9</f>
        <v>440228759.86732149</v>
      </c>
      <c r="N26">
        <f>'Cost Components'!$H$9</f>
        <v>440228759.86732149</v>
      </c>
      <c r="O26">
        <f>'Cost Components'!$H$9</f>
        <v>440228759.86732149</v>
      </c>
      <c r="P26">
        <f>'Cost Components'!$H$9</f>
        <v>440228759.86732149</v>
      </c>
      <c r="Q26">
        <f>'Cost Components'!$H$9</f>
        <v>440228759.86732149</v>
      </c>
      <c r="R26">
        <f>'Cost Components'!$H$9</f>
        <v>440228759.86732149</v>
      </c>
      <c r="S26">
        <f>'Cost Components'!$H$9</f>
        <v>440228759.86732149</v>
      </c>
      <c r="T26">
        <f>'Cost Components'!$H$9</f>
        <v>440228759.86732149</v>
      </c>
      <c r="U26">
        <f>'Cost Components'!$H$9</f>
        <v>440228759.86732149</v>
      </c>
      <c r="V26">
        <f>'Cost Components'!$H$9</f>
        <v>440228759.86732149</v>
      </c>
      <c r="W26">
        <f>'Cost Components'!$H$9</f>
        <v>440228759.86732149</v>
      </c>
      <c r="X26">
        <f>'Cost Components'!$H$9</f>
        <v>440228759.86732149</v>
      </c>
      <c r="Y26">
        <f>'Cost Components'!$H$9</f>
        <v>440228759.86732149</v>
      </c>
      <c r="Z26">
        <f>'Cost Components'!$H$9</f>
        <v>440228759.86732149</v>
      </c>
      <c r="AA26">
        <f>'Cost Components'!$H$9</f>
        <v>440228759.86732149</v>
      </c>
      <c r="AB26">
        <f>'Cost Components'!$H$9</f>
        <v>440228759.86732149</v>
      </c>
      <c r="AC26">
        <f>'Cost Components'!$H$9</f>
        <v>440228759.86732149</v>
      </c>
      <c r="AD26">
        <f>'Cost Components'!$H$9</f>
        <v>440228759.86732149</v>
      </c>
      <c r="AE26">
        <f>'Cost Components'!$H$9</f>
        <v>440228759.86732149</v>
      </c>
      <c r="AF26">
        <f>'Cost Components'!$H$9</f>
        <v>440228759.86732149</v>
      </c>
    </row>
    <row r="27" spans="1:32">
      <c r="A27" t="s">
        <v>112</v>
      </c>
      <c r="B27">
        <f>B25/((1+'Study Parameters'!$C$4)^'MFSP Baseline'!B24)</f>
        <v>0</v>
      </c>
      <c r="C27">
        <f>C25/((1+'Study Parameters'!$C$4)^'MFSP Baseline'!C24) +C26</f>
        <v>2019998669.7166524</v>
      </c>
      <c r="D27">
        <f>D25/((1+'Study Parameters'!$C$4)^'MFSP Baseline'!D24) +D26</f>
        <v>2280403882.0420465</v>
      </c>
      <c r="E27">
        <f>E25/((1+'Study Parameters'!$C$4)^'MFSP Baseline'!E24) +E26</f>
        <v>2144094613.7328072</v>
      </c>
      <c r="F27">
        <f>F25/((1+'Study Parameters'!$C$4)^'MFSP Baseline'!F24) +F26</f>
        <v>2017882328.2612896</v>
      </c>
      <c r="G27">
        <f>G25/((1+'Study Parameters'!$C$4)^'MFSP Baseline'!G24) +G26</f>
        <v>1901019100.9728475</v>
      </c>
      <c r="H27">
        <f>H25/((1+'Study Parameters'!$C$4)^'MFSP Baseline'!H24) +H26</f>
        <v>1792812409.0391047</v>
      </c>
      <c r="I27">
        <f>I25/((1+'Study Parameters'!$C$4)^'MFSP Baseline'!I24) +I26</f>
        <v>1692621027.6189725</v>
      </c>
      <c r="J27">
        <f>J25/((1+'Study Parameters'!$C$4)^'MFSP Baseline'!J24) +J26</f>
        <v>1599851230.0077391</v>
      </c>
      <c r="K27">
        <f>K25/((1+'Study Parameters'!$C$4)^'MFSP Baseline'!K24) +K26</f>
        <v>1513953269.256597</v>
      </c>
      <c r="L27">
        <f>L25/((1+'Study Parameters'!$C$4)^'MFSP Baseline'!L24) +L26</f>
        <v>1434418120.4129469</v>
      </c>
      <c r="M27">
        <f>M25/((1+'Study Parameters'!$C$4)^'MFSP Baseline'!M24) +M26</f>
        <v>1360774464.0762339</v>
      </c>
      <c r="N27">
        <f>N25/((1+'Study Parameters'!$C$4)^'MFSP Baseline'!N24) +N26</f>
        <v>1292585893.3940921</v>
      </c>
      <c r="O27">
        <f>O25/((1+'Study Parameters'!$C$4)^'MFSP Baseline'!O24) +O26</f>
        <v>1229448327.9476647</v>
      </c>
      <c r="P27">
        <f>P25/((1+'Study Parameters'!$C$4)^'MFSP Baseline'!P24) +P26</f>
        <v>1170987619.2009726</v>
      </c>
      <c r="Q27">
        <f>Q25/((1+'Study Parameters'!$C$4)^'MFSP Baseline'!Q24) +Q26</f>
        <v>1116857333.3244057</v>
      </c>
      <c r="R27">
        <f>R25/((1+'Study Parameters'!$C$4)^'MFSP Baseline'!R24) +R26</f>
        <v>1066736698.2535106</v>
      </c>
      <c r="S27">
        <f>S25/((1+'Study Parameters'!$C$4)^'MFSP Baseline'!S24) +S26</f>
        <v>1020328702.8174967</v>
      </c>
      <c r="T27">
        <f>T25/((1+'Study Parameters'!$C$4)^'MFSP Baseline'!T24) +T26</f>
        <v>977358336.6730392</v>
      </c>
      <c r="U27">
        <f>U25/((1+'Study Parameters'!$C$4)^'MFSP Baseline'!U24) +U26</f>
        <v>937570960.61335635</v>
      </c>
      <c r="V27">
        <f>V25/((1+'Study Parameters'!$C$4)^'MFSP Baseline'!V24) +V26</f>
        <v>900730797.59513152</v>
      </c>
      <c r="W27">
        <f>W25/((1+'Study Parameters'!$C$4)^'MFSP Baseline'!W24) +W26</f>
        <v>866619535.54121971</v>
      </c>
      <c r="X27">
        <f>X25/((1+'Study Parameters'!$C$4)^'MFSP Baseline'!X24) +X26</f>
        <v>835035033.63944936</v>
      </c>
      <c r="Y27">
        <f>Y25/((1+'Study Parameters'!$C$4)^'MFSP Baseline'!Y24) +Y26</f>
        <v>805790124.4711436</v>
      </c>
      <c r="Z27">
        <f>Z25/((1+'Study Parameters'!$C$4)^'MFSP Baseline'!Z24) +Z26</f>
        <v>778711504.87086046</v>
      </c>
      <c r="AA27">
        <f>AA25/((1+'Study Parameters'!$C$4)^'MFSP Baseline'!AA24) +AA26</f>
        <v>753638708.94467235</v>
      </c>
      <c r="AB27">
        <f>AB25/((1+'Study Parameters'!$C$4)^'MFSP Baseline'!AB24) +AB26</f>
        <v>730423157.161165</v>
      </c>
      <c r="AC27">
        <f>AC25/((1+'Study Parameters'!$C$4)^'MFSP Baseline'!AC24) +AC26</f>
        <v>708927275.88013947</v>
      </c>
      <c r="AD27">
        <f>AD25/((1+'Study Parameters'!$C$4)^'MFSP Baseline'!AD24) +AD26</f>
        <v>689023682.10141218</v>
      </c>
      <c r="AE27">
        <f>AE25/((1+'Study Parameters'!$C$4)^'MFSP Baseline'!AE24) +AE26</f>
        <v>670594428.60259068</v>
      </c>
      <c r="AF27">
        <f>AF25/((1+'Study Parameters'!$C$4)^'MFSP Baseline'!AF24) +AF26</f>
        <v>653530304.99257064</v>
      </c>
    </row>
    <row r="28" spans="1:32">
      <c r="A28" t="s">
        <v>147</v>
      </c>
      <c r="B28">
        <v>0</v>
      </c>
      <c r="C28">
        <f>'Study Parameters'!$C$19</f>
        <v>800000000</v>
      </c>
      <c r="D28">
        <f>'Study Parameters'!$C$19</f>
        <v>800000000</v>
      </c>
      <c r="E28">
        <f>'Study Parameters'!$C$19</f>
        <v>800000000</v>
      </c>
      <c r="F28">
        <f>'Study Parameters'!$C$19</f>
        <v>800000000</v>
      </c>
      <c r="G28">
        <f>'Study Parameters'!$C$19</f>
        <v>800000000</v>
      </c>
      <c r="H28">
        <f>'Study Parameters'!$C$19</f>
        <v>800000000</v>
      </c>
      <c r="I28">
        <f>'Study Parameters'!$C$19</f>
        <v>800000000</v>
      </c>
      <c r="J28">
        <f>'Study Parameters'!$C$19</f>
        <v>800000000</v>
      </c>
      <c r="K28">
        <f>'Study Parameters'!$C$19</f>
        <v>800000000</v>
      </c>
      <c r="L28">
        <f>'Study Parameters'!$C$19</f>
        <v>800000000</v>
      </c>
      <c r="M28">
        <f>'Study Parameters'!$C$19</f>
        <v>800000000</v>
      </c>
      <c r="N28">
        <f>'Study Parameters'!$C$19</f>
        <v>800000000</v>
      </c>
      <c r="O28">
        <f>'Study Parameters'!$C$19</f>
        <v>800000000</v>
      </c>
      <c r="P28">
        <f>'Study Parameters'!$C$19</f>
        <v>800000000</v>
      </c>
      <c r="Q28">
        <f>'Study Parameters'!$C$19</f>
        <v>800000000</v>
      </c>
      <c r="R28">
        <f>'Study Parameters'!$C$19</f>
        <v>800000000</v>
      </c>
      <c r="S28">
        <f>'Study Parameters'!$C$19</f>
        <v>800000000</v>
      </c>
      <c r="T28">
        <f>'Study Parameters'!$C$19</f>
        <v>800000000</v>
      </c>
      <c r="U28">
        <f>'Study Parameters'!$C$19</f>
        <v>800000000</v>
      </c>
      <c r="V28">
        <f>'Study Parameters'!$C$19</f>
        <v>800000000</v>
      </c>
      <c r="W28">
        <f>'Study Parameters'!$C$19</f>
        <v>800000000</v>
      </c>
      <c r="X28">
        <f>'Study Parameters'!$C$19</f>
        <v>800000000</v>
      </c>
      <c r="Y28">
        <f>'Study Parameters'!$C$19</f>
        <v>800000000</v>
      </c>
      <c r="Z28">
        <f>'Study Parameters'!$C$19</f>
        <v>800000000</v>
      </c>
      <c r="AA28">
        <f>'Study Parameters'!$C$19</f>
        <v>800000000</v>
      </c>
      <c r="AB28">
        <f>'Study Parameters'!$C$19</f>
        <v>800000000</v>
      </c>
      <c r="AC28">
        <f>'Study Parameters'!$C$19</f>
        <v>800000000</v>
      </c>
      <c r="AD28">
        <f>'Study Parameters'!$C$19</f>
        <v>800000000</v>
      </c>
      <c r="AE28">
        <f>'Study Parameters'!$C$19</f>
        <v>800000000</v>
      </c>
      <c r="AF28">
        <f>'Study Parameters'!$C$19</f>
        <v>800000000</v>
      </c>
    </row>
    <row r="29" spans="1:32">
      <c r="A29" t="s">
        <v>148</v>
      </c>
      <c r="B29">
        <f>B28/((1+'Study Parameters'!$C$4)^'MFSP Baseline'!B24)</f>
        <v>0</v>
      </c>
      <c r="C29">
        <f>C28/((1+'Study Parameters'!$C$4)^'MFSP Baseline'!C24)</f>
        <v>740740740.74074066</v>
      </c>
      <c r="D29">
        <f>D28/((1+'Study Parameters'!$C$4)^'MFSP Baseline'!D24)</f>
        <v>685871056.24142659</v>
      </c>
      <c r="E29">
        <f>E28/((1+'Study Parameters'!$C$4)^'MFSP Baseline'!E24)</f>
        <v>635065792.81613564</v>
      </c>
      <c r="F29">
        <f>F28/((1+'Study Parameters'!$C$4)^'MFSP Baseline'!F24)</f>
        <v>588023882.23716259</v>
      </c>
      <c r="G29">
        <f>G28/((1+'Study Parameters'!$C$4)^'MFSP Baseline'!G24)</f>
        <v>544466557.62700236</v>
      </c>
      <c r="H29">
        <f>H28/((1+'Study Parameters'!$C$4)^'MFSP Baseline'!H24)</f>
        <v>504135701.50648367</v>
      </c>
      <c r="I29">
        <f>I28/((1+'Study Parameters'!$C$4)^'MFSP Baseline'!I24)</f>
        <v>466792316.20970708</v>
      </c>
      <c r="J29">
        <f>J28/((1+'Study Parameters'!$C$4)^'MFSP Baseline'!J24)</f>
        <v>432215107.60158062</v>
      </c>
      <c r="K29">
        <f>K28/((1+'Study Parameters'!$C$4)^'MFSP Baseline'!K24)</f>
        <v>400199173.70516723</v>
      </c>
      <c r="L29">
        <f>L28/((1+'Study Parameters'!$C$4)^'MFSP Baseline'!L24)</f>
        <v>370554790.46774739</v>
      </c>
      <c r="M29">
        <f>M28/((1+'Study Parameters'!$C$4)^'MFSP Baseline'!M24)</f>
        <v>343106287.47013646</v>
      </c>
      <c r="N29">
        <f>N28/((1+'Study Parameters'!$C$4)^'MFSP Baseline'!N24)</f>
        <v>317691006.91679299</v>
      </c>
      <c r="O29">
        <f>O28/((1+'Study Parameters'!$C$4)^'MFSP Baseline'!O24)</f>
        <v>294158339.73777133</v>
      </c>
      <c r="P29">
        <f>P28/((1+'Study Parameters'!$C$4)^'MFSP Baseline'!P24)</f>
        <v>272368833.09052896</v>
      </c>
      <c r="Q29">
        <f>Q28/((1+'Study Parameters'!$C$4)^'MFSP Baseline'!Q24)</f>
        <v>252193363.97271198</v>
      </c>
      <c r="R29">
        <f>R28/((1+'Study Parameters'!$C$4)^'MFSP Baseline'!R24)</f>
        <v>233512374.04880738</v>
      </c>
      <c r="S29">
        <f>S28/((1+'Study Parameters'!$C$4)^'MFSP Baseline'!S24)</f>
        <v>216215161.15630314</v>
      </c>
      <c r="T29">
        <f>T28/((1+'Study Parameters'!$C$4)^'MFSP Baseline'!T24)</f>
        <v>200199223.29287323</v>
      </c>
      <c r="U29">
        <f>U28/((1+'Study Parameters'!$C$4)^'MFSP Baseline'!U24)</f>
        <v>185369651.19710484</v>
      </c>
      <c r="V29">
        <f>V28/((1+'Study Parameters'!$C$4)^'MFSP Baseline'!V24)</f>
        <v>171638565.92324522</v>
      </c>
      <c r="W29">
        <f>W28/((1+'Study Parameters'!$C$4)^'MFSP Baseline'!W24)</f>
        <v>158924598.07707891</v>
      </c>
      <c r="X29">
        <f>X28/((1+'Study Parameters'!$C$4)^'MFSP Baseline'!X24)</f>
        <v>147152405.6269249</v>
      </c>
      <c r="Y29">
        <f>Y28/((1+'Study Parameters'!$C$4)^'MFSP Baseline'!Y24)</f>
        <v>136252227.43233788</v>
      </c>
      <c r="Z29">
        <f>Z28/((1+'Study Parameters'!$C$4)^'MFSP Baseline'!Z24)</f>
        <v>126159469.84475727</v>
      </c>
      <c r="AA29">
        <f>AA28/((1+'Study Parameters'!$C$4)^'MFSP Baseline'!AA24)</f>
        <v>116814323.9303308</v>
      </c>
      <c r="AB29">
        <f>AB28/((1+'Study Parameters'!$C$4)^'MFSP Baseline'!AB24)</f>
        <v>108161411.04660261</v>
      </c>
      <c r="AC29">
        <f>AC28/((1+'Study Parameters'!$C$4)^'MFSP Baseline'!AC24)</f>
        <v>100149454.67278019</v>
      </c>
      <c r="AD29">
        <f>AD28/((1+'Study Parameters'!$C$4)^'MFSP Baseline'!AD24)</f>
        <v>92730976.548870534</v>
      </c>
      <c r="AE29">
        <f>AE28/((1+'Study Parameters'!$C$4)^'MFSP Baseline'!AE24)</f>
        <v>85862015.323028266</v>
      </c>
      <c r="AF29">
        <f>AF28/((1+'Study Parameters'!$C$4)^'MFSP Baseline'!AF24)</f>
        <v>79501866.039840981</v>
      </c>
    </row>
    <row r="31" spans="1:32">
      <c r="A31" t="s">
        <v>149</v>
      </c>
      <c r="B31">
        <f>SUM(B27:AF27) / SUM(B29:AF29)</f>
        <v>4.1041302730930944</v>
      </c>
    </row>
    <row r="33" spans="1:32">
      <c r="A33" t="s">
        <v>152</v>
      </c>
    </row>
    <row r="35" spans="1:32">
      <c r="A35" t="s">
        <v>1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</row>
    <row r="36" spans="1:32">
      <c r="A36" t="s">
        <v>145</v>
      </c>
      <c r="B36">
        <v>0</v>
      </c>
      <c r="C36">
        <f>'Cost Components'!$H$38*10^6</f>
        <v>1416975061.9706111</v>
      </c>
      <c r="D36">
        <f>'Cost Components'!$H$29+'Cost Components'!$H$38*10^6</f>
        <v>1751854485.8406277</v>
      </c>
      <c r="E36">
        <f>'Cost Components'!$H$29+'Cost Components'!$H$38*10^6</f>
        <v>1751854485.8406277</v>
      </c>
      <c r="F36">
        <f>'Cost Components'!$H$29+'Cost Components'!$H$38*10^6</f>
        <v>1751854485.8406277</v>
      </c>
      <c r="G36">
        <f>'Cost Components'!$H$29+'Cost Components'!$H$38*10^6</f>
        <v>1751854485.8406277</v>
      </c>
      <c r="H36">
        <f>'Cost Components'!$H$29+'Cost Components'!$H$38*10^6</f>
        <v>1751854485.8406277</v>
      </c>
      <c r="I36">
        <f>'Cost Components'!$H$29+'Cost Components'!$H$38*10^6</f>
        <v>1751854485.8406277</v>
      </c>
      <c r="J36">
        <f>'Cost Components'!$H$29+'Cost Components'!$H$38*10^6</f>
        <v>1751854485.8406277</v>
      </c>
      <c r="K36">
        <f>'Cost Components'!$H$29+'Cost Components'!$H$38*10^6</f>
        <v>1751854485.8406277</v>
      </c>
      <c r="L36">
        <f>'Cost Components'!$H$29+'Cost Components'!$H$38*10^6</f>
        <v>1751854485.8406277</v>
      </c>
      <c r="M36">
        <f>'Cost Components'!$H$29+'Cost Components'!$H$38*10^6</f>
        <v>1751854485.8406277</v>
      </c>
      <c r="N36">
        <f>'Cost Components'!$H$29+'Cost Components'!$H$38*10^6</f>
        <v>1751854485.8406277</v>
      </c>
      <c r="O36">
        <f>'Cost Components'!$H$29+'Cost Components'!$H$38*10^6</f>
        <v>1751854485.8406277</v>
      </c>
      <c r="P36">
        <f>'Cost Components'!$H$29+'Cost Components'!$H$38*10^6</f>
        <v>1751854485.8406277</v>
      </c>
      <c r="Q36">
        <f>'Cost Components'!$H$29+'Cost Components'!$H$38*10^6</f>
        <v>1751854485.8406277</v>
      </c>
      <c r="R36">
        <f>'Cost Components'!$H$29+'Cost Components'!$H$38*10^6</f>
        <v>1751854485.8406277</v>
      </c>
      <c r="S36">
        <f>'Cost Components'!$H$29+'Cost Components'!$H$38*10^6</f>
        <v>1751854485.8406277</v>
      </c>
      <c r="T36">
        <f>'Cost Components'!$H$29+'Cost Components'!$H$38*10^6</f>
        <v>1751854485.8406277</v>
      </c>
      <c r="U36">
        <f>'Cost Components'!$H$29+'Cost Components'!$H$38*10^6</f>
        <v>1751854485.8406277</v>
      </c>
      <c r="V36">
        <f>'Cost Components'!$H$29+'Cost Components'!$H$38*10^6</f>
        <v>1751854485.8406277</v>
      </c>
      <c r="W36">
        <f>'Cost Components'!$H$29+'Cost Components'!$H$38*10^6</f>
        <v>1751854485.8406277</v>
      </c>
      <c r="X36">
        <f>'Cost Components'!$H$29+'Cost Components'!$H$38*10^6</f>
        <v>1751854485.8406277</v>
      </c>
      <c r="Y36">
        <f>'Cost Components'!$H$29+'Cost Components'!$H$38*10^6</f>
        <v>1751854485.8406277</v>
      </c>
      <c r="Z36">
        <f>'Cost Components'!$H$29+'Cost Components'!$H$38*10^6</f>
        <v>1751854485.8406277</v>
      </c>
      <c r="AA36">
        <f>'Cost Components'!$H$29+'Cost Components'!$H$38*10^6</f>
        <v>1751854485.8406277</v>
      </c>
      <c r="AB36">
        <f>'Cost Components'!$H$29+'Cost Components'!$H$38*10^6</f>
        <v>1751854485.8406277</v>
      </c>
      <c r="AC36">
        <f>'Cost Components'!$H$29+'Cost Components'!$H$38*10^6</f>
        <v>1751854485.8406277</v>
      </c>
      <c r="AD36">
        <f>'Cost Components'!$H$29+'Cost Components'!$H$38*10^6</f>
        <v>1751854485.8406277</v>
      </c>
      <c r="AE36">
        <f>'Cost Components'!$H$29+'Cost Components'!$H$38*10^6</f>
        <v>1751854485.8406277</v>
      </c>
      <c r="AF36">
        <f>'Cost Components'!$H$29+'Cost Components'!$H$38*10^6</f>
        <v>1751854485.8406277</v>
      </c>
    </row>
    <row r="37" spans="1:32">
      <c r="A37" t="s">
        <v>153</v>
      </c>
      <c r="C37">
        <f>'Cost Components'!$H$29</f>
        <v>334879423.87001657</v>
      </c>
      <c r="D37">
        <f>'Cost Components'!$H$29</f>
        <v>334879423.87001657</v>
      </c>
      <c r="E37">
        <f>'Cost Components'!$H$29</f>
        <v>334879423.87001657</v>
      </c>
      <c r="F37">
        <f>'Cost Components'!$H$29</f>
        <v>334879423.87001657</v>
      </c>
      <c r="G37">
        <f>'Cost Components'!$H$29</f>
        <v>334879423.87001657</v>
      </c>
      <c r="H37">
        <f>'Cost Components'!$H$29</f>
        <v>334879423.87001657</v>
      </c>
      <c r="I37">
        <f>'Cost Components'!$H$29</f>
        <v>334879423.87001657</v>
      </c>
      <c r="J37">
        <f>'Cost Components'!$H$29</f>
        <v>334879423.87001657</v>
      </c>
      <c r="K37">
        <f>'Cost Components'!$H$29</f>
        <v>334879423.87001657</v>
      </c>
      <c r="L37">
        <f>'Cost Components'!$H$29</f>
        <v>334879423.87001657</v>
      </c>
      <c r="M37">
        <f>'Cost Components'!$H$29</f>
        <v>334879423.87001657</v>
      </c>
      <c r="N37">
        <f>'Cost Components'!$H$29</f>
        <v>334879423.87001657</v>
      </c>
      <c r="O37">
        <f>'Cost Components'!$H$29</f>
        <v>334879423.87001657</v>
      </c>
      <c r="P37">
        <f>'Cost Components'!$H$29</f>
        <v>334879423.87001657</v>
      </c>
      <c r="Q37">
        <f>'Cost Components'!$H$29</f>
        <v>334879423.87001657</v>
      </c>
      <c r="R37">
        <f>'Cost Components'!$H$29</f>
        <v>334879423.87001657</v>
      </c>
      <c r="S37">
        <f>'Cost Components'!$H$29</f>
        <v>334879423.87001657</v>
      </c>
      <c r="T37">
        <f>'Cost Components'!$H$29</f>
        <v>334879423.87001657</v>
      </c>
      <c r="U37">
        <f>'Cost Components'!$H$29</f>
        <v>334879423.87001657</v>
      </c>
      <c r="V37">
        <f>'Cost Components'!$H$29</f>
        <v>334879423.87001657</v>
      </c>
      <c r="W37">
        <f>'Cost Components'!$H$29</f>
        <v>334879423.87001657</v>
      </c>
      <c r="X37">
        <f>'Cost Components'!$H$29</f>
        <v>334879423.87001657</v>
      </c>
      <c r="Y37">
        <f>'Cost Components'!$H$29</f>
        <v>334879423.87001657</v>
      </c>
      <c r="Z37">
        <f>'Cost Components'!$H$29</f>
        <v>334879423.87001657</v>
      </c>
      <c r="AA37">
        <f>'Cost Components'!$H$29</f>
        <v>334879423.87001657</v>
      </c>
      <c r="AB37">
        <f>'Cost Components'!$H$29</f>
        <v>334879423.87001657</v>
      </c>
      <c r="AC37">
        <f>'Cost Components'!$H$29</f>
        <v>334879423.87001657</v>
      </c>
      <c r="AD37">
        <f>'Cost Components'!$H$29</f>
        <v>334879423.87001657</v>
      </c>
      <c r="AE37">
        <f>'Cost Components'!$H$29</f>
        <v>334879423.87001657</v>
      </c>
      <c r="AF37">
        <f>'Cost Components'!$H$29</f>
        <v>334879423.87001657</v>
      </c>
    </row>
    <row r="38" spans="1:32">
      <c r="A38" t="s">
        <v>112</v>
      </c>
      <c r="B38">
        <f>B36/((1+'Study Parameters'!$C$4)^'MFSP Baseline'!B35)</f>
        <v>0</v>
      </c>
      <c r="C38">
        <f>C36/((1+'Study Parameters'!$C$4)^'MFSP Baseline'!C35) +C37</f>
        <v>1646893370.1391008</v>
      </c>
      <c r="D38">
        <f>D36/((1+'Study Parameters'!$C$4)^'MFSP Baseline'!D35) +D37</f>
        <v>1836812282.1010072</v>
      </c>
      <c r="E38">
        <f>E36/((1+'Study Parameters'!$C$4)^'MFSP Baseline'!E35) +E37</f>
        <v>1725557996.306119</v>
      </c>
      <c r="F38">
        <f>F36/((1+'Study Parameters'!$C$4)^'MFSP Baseline'!F35) +F37</f>
        <v>1622544768.7182593</v>
      </c>
      <c r="G38">
        <f>G36/((1+'Study Parameters'!$C$4)^'MFSP Baseline'!G35) +G37</f>
        <v>1527162150.5813525</v>
      </c>
      <c r="H38">
        <f>H36/((1+'Study Parameters'!$C$4)^'MFSP Baseline'!H35) +H37</f>
        <v>1438844911.5656979</v>
      </c>
      <c r="I38">
        <f>I36/((1+'Study Parameters'!$C$4)^'MFSP Baseline'!I35) +I37</f>
        <v>1357069690.2549067</v>
      </c>
      <c r="J38">
        <f>J36/((1+'Study Parameters'!$C$4)^'MFSP Baseline'!J35) +J37</f>
        <v>1281351892.7449148</v>
      </c>
      <c r="K38">
        <f>K36/((1+'Study Parameters'!$C$4)^'MFSP Baseline'!K35) +K37</f>
        <v>1211242820.9764037</v>
      </c>
      <c r="L38">
        <f>L36/((1+'Study Parameters'!$C$4)^'MFSP Baseline'!L35) +L37</f>
        <v>1146327013.7833381</v>
      </c>
      <c r="M38">
        <f>M36/((1+'Study Parameters'!$C$4)^'MFSP Baseline'!M35) +M37</f>
        <v>1086219784.9008698</v>
      </c>
      <c r="N38">
        <f>N36/((1+'Study Parameters'!$C$4)^'MFSP Baseline'!N35) +N37</f>
        <v>1030564943.3430287</v>
      </c>
      <c r="O38">
        <f>O36/((1+'Study Parameters'!$C$4)^'MFSP Baseline'!O35) +O37</f>
        <v>979032682.64132416</v>
      </c>
      <c r="P38">
        <f>P36/((1+'Study Parameters'!$C$4)^'MFSP Baseline'!P35) +P37</f>
        <v>931317626.43604195</v>
      </c>
      <c r="Q38">
        <f>Q36/((1+'Study Parameters'!$C$4)^'MFSP Baseline'!Q35) +Q37</f>
        <v>887137018.83855855</v>
      </c>
      <c r="R38">
        <f>R36/((1+'Study Parameters'!$C$4)^'MFSP Baseline'!R35) +R37</f>
        <v>846229048.84088874</v>
      </c>
      <c r="S38">
        <f>S36/((1+'Study Parameters'!$C$4)^'MFSP Baseline'!S35) +S37</f>
        <v>808351298.84304643</v>
      </c>
      <c r="T38">
        <f>T36/((1+'Study Parameters'!$C$4)^'MFSP Baseline'!T35) +T37</f>
        <v>773279308.10430336</v>
      </c>
      <c r="U38">
        <f>U36/((1+'Study Parameters'!$C$4)^'MFSP Baseline'!U35) +U37</f>
        <v>740805242.60546732</v>
      </c>
      <c r="V38">
        <f>V36/((1+'Study Parameters'!$C$4)^'MFSP Baseline'!V35) +V37</f>
        <v>710736663.43987846</v>
      </c>
      <c r="W38">
        <f>W36/((1+'Study Parameters'!$C$4)^'MFSP Baseline'!W35) +W37</f>
        <v>682895386.43470335</v>
      </c>
      <c r="X38">
        <f>X36/((1+'Study Parameters'!$C$4)^'MFSP Baseline'!X35) +X37</f>
        <v>657116426.24472666</v>
      </c>
      <c r="Y38">
        <f>Y36/((1+'Study Parameters'!$C$4)^'MFSP Baseline'!Y35) +Y37</f>
        <v>633247018.66141474</v>
      </c>
      <c r="Z38">
        <f>Z36/((1+'Study Parameters'!$C$4)^'MFSP Baseline'!Z35) +Z37</f>
        <v>611145715.3435334</v>
      </c>
      <c r="AA38">
        <f>AA36/((1+'Study Parameters'!$C$4)^'MFSP Baseline'!AA35) +AA37</f>
        <v>590681545.60475433</v>
      </c>
      <c r="AB38">
        <f>AB36/((1+'Study Parameters'!$C$4)^'MFSP Baseline'!AB35) +AB37</f>
        <v>571733240.29106998</v>
      </c>
      <c r="AC38">
        <f>AC36/((1+'Study Parameters'!$C$4)^'MFSP Baseline'!AC35) +AC37</f>
        <v>554188513.14876986</v>
      </c>
      <c r="AD38">
        <f>AD36/((1+'Study Parameters'!$C$4)^'MFSP Baseline'!AD35) +AD37</f>
        <v>537943395.42441773</v>
      </c>
      <c r="AE38">
        <f>AE36/((1+'Study Parameters'!$C$4)^'MFSP Baseline'!AE35) +AE37</f>
        <v>522901619.7537213</v>
      </c>
      <c r="AF38">
        <f>AF36/((1+'Study Parameters'!$C$4)^'MFSP Baseline'!AF35) +AF37</f>
        <v>508974049.68826169</v>
      </c>
    </row>
    <row r="39" spans="1:32">
      <c r="A39" t="s">
        <v>147</v>
      </c>
      <c r="B39">
        <v>0</v>
      </c>
      <c r="C39">
        <f>'Study Parameters'!$C$19</f>
        <v>800000000</v>
      </c>
      <c r="D39">
        <f>'Study Parameters'!$C$19</f>
        <v>800000000</v>
      </c>
      <c r="E39">
        <f>'Study Parameters'!$C$19</f>
        <v>800000000</v>
      </c>
      <c r="F39">
        <f>'Study Parameters'!$C$19</f>
        <v>800000000</v>
      </c>
      <c r="G39">
        <f>'Study Parameters'!$C$19</f>
        <v>800000000</v>
      </c>
      <c r="H39">
        <f>'Study Parameters'!$C$19</f>
        <v>800000000</v>
      </c>
      <c r="I39">
        <f>'Study Parameters'!$C$19</f>
        <v>800000000</v>
      </c>
      <c r="J39">
        <f>'Study Parameters'!$C$19</f>
        <v>800000000</v>
      </c>
      <c r="K39">
        <f>'Study Parameters'!$C$19</f>
        <v>800000000</v>
      </c>
      <c r="L39">
        <f>'Study Parameters'!$C$19</f>
        <v>800000000</v>
      </c>
      <c r="M39">
        <f>'Study Parameters'!$C$19</f>
        <v>800000000</v>
      </c>
      <c r="N39">
        <f>'Study Parameters'!$C$19</f>
        <v>800000000</v>
      </c>
      <c r="O39">
        <f>'Study Parameters'!$C$19</f>
        <v>800000000</v>
      </c>
      <c r="P39">
        <f>'Study Parameters'!$C$19</f>
        <v>800000000</v>
      </c>
      <c r="Q39">
        <f>'Study Parameters'!$C$19</f>
        <v>800000000</v>
      </c>
      <c r="R39">
        <f>'Study Parameters'!$C$19</f>
        <v>800000000</v>
      </c>
      <c r="S39">
        <f>'Study Parameters'!$C$19</f>
        <v>800000000</v>
      </c>
      <c r="T39">
        <f>'Study Parameters'!$C$19</f>
        <v>800000000</v>
      </c>
      <c r="U39">
        <f>'Study Parameters'!$C$19</f>
        <v>800000000</v>
      </c>
      <c r="V39">
        <f>'Study Parameters'!$C$19</f>
        <v>800000000</v>
      </c>
      <c r="W39">
        <f>'Study Parameters'!$C$19</f>
        <v>800000000</v>
      </c>
      <c r="X39">
        <f>'Study Parameters'!$C$19</f>
        <v>800000000</v>
      </c>
      <c r="Y39">
        <f>'Study Parameters'!$C$19</f>
        <v>800000000</v>
      </c>
      <c r="Z39">
        <f>'Study Parameters'!$C$19</f>
        <v>800000000</v>
      </c>
      <c r="AA39">
        <f>'Study Parameters'!$C$19</f>
        <v>800000000</v>
      </c>
      <c r="AB39">
        <f>'Study Parameters'!$C$19</f>
        <v>800000000</v>
      </c>
      <c r="AC39">
        <f>'Study Parameters'!$C$19</f>
        <v>800000000</v>
      </c>
      <c r="AD39">
        <f>'Study Parameters'!$C$19</f>
        <v>800000000</v>
      </c>
      <c r="AE39">
        <f>'Study Parameters'!$C$19</f>
        <v>800000000</v>
      </c>
      <c r="AF39">
        <f>'Study Parameters'!$C$19</f>
        <v>800000000</v>
      </c>
    </row>
    <row r="40" spans="1:32">
      <c r="A40" t="s">
        <v>148</v>
      </c>
      <c r="B40">
        <f>B39/((1+'Study Parameters'!$C$4)^'MFSP Baseline'!B35)</f>
        <v>0</v>
      </c>
      <c r="C40">
        <f>C39/((1+'Study Parameters'!$C$4)^'MFSP Baseline'!C35)</f>
        <v>740740740.74074066</v>
      </c>
      <c r="D40">
        <f>D39/((1+'Study Parameters'!$C$4)^'MFSP Baseline'!D35)</f>
        <v>685871056.24142659</v>
      </c>
      <c r="E40">
        <f>E39/((1+'Study Parameters'!$C$4)^'MFSP Baseline'!E35)</f>
        <v>635065792.81613564</v>
      </c>
      <c r="F40">
        <f>F39/((1+'Study Parameters'!$C$4)^'MFSP Baseline'!F35)</f>
        <v>588023882.23716259</v>
      </c>
      <c r="G40">
        <f>G39/((1+'Study Parameters'!$C$4)^'MFSP Baseline'!G35)</f>
        <v>544466557.62700236</v>
      </c>
      <c r="H40">
        <f>H39/((1+'Study Parameters'!$C$4)^'MFSP Baseline'!H35)</f>
        <v>504135701.50648367</v>
      </c>
      <c r="I40">
        <f>I39/((1+'Study Parameters'!$C$4)^'MFSP Baseline'!I35)</f>
        <v>466792316.20970708</v>
      </c>
      <c r="J40">
        <f>J39/((1+'Study Parameters'!$C$4)^'MFSP Baseline'!J35)</f>
        <v>432215107.60158062</v>
      </c>
      <c r="K40">
        <f>K39/((1+'Study Parameters'!$C$4)^'MFSP Baseline'!K35)</f>
        <v>400199173.70516723</v>
      </c>
      <c r="L40">
        <f>L39/((1+'Study Parameters'!$C$4)^'MFSP Baseline'!L35)</f>
        <v>370554790.46774739</v>
      </c>
      <c r="M40">
        <f>M39/((1+'Study Parameters'!$C$4)^'MFSP Baseline'!M35)</f>
        <v>343106287.47013646</v>
      </c>
      <c r="N40">
        <f>N39/((1+'Study Parameters'!$C$4)^'MFSP Baseline'!N35)</f>
        <v>317691006.91679299</v>
      </c>
      <c r="O40">
        <f>O39/((1+'Study Parameters'!$C$4)^'MFSP Baseline'!O35)</f>
        <v>294158339.73777133</v>
      </c>
      <c r="P40">
        <f>P39/((1+'Study Parameters'!$C$4)^'MFSP Baseline'!P35)</f>
        <v>272368833.09052896</v>
      </c>
      <c r="Q40">
        <f>Q39/((1+'Study Parameters'!$C$4)^'MFSP Baseline'!Q35)</f>
        <v>252193363.97271198</v>
      </c>
      <c r="R40">
        <f>R39/((1+'Study Parameters'!$C$4)^'MFSP Baseline'!R35)</f>
        <v>233512374.04880738</v>
      </c>
      <c r="S40">
        <f>S39/((1+'Study Parameters'!$C$4)^'MFSP Baseline'!S35)</f>
        <v>216215161.15630314</v>
      </c>
      <c r="T40">
        <f>T39/((1+'Study Parameters'!$C$4)^'MFSP Baseline'!T35)</f>
        <v>200199223.29287323</v>
      </c>
      <c r="U40">
        <f>U39/((1+'Study Parameters'!$C$4)^'MFSP Baseline'!U35)</f>
        <v>185369651.19710484</v>
      </c>
      <c r="V40">
        <f>V39/((1+'Study Parameters'!$C$4)^'MFSP Baseline'!V35)</f>
        <v>171638565.92324522</v>
      </c>
      <c r="W40">
        <f>W39/((1+'Study Parameters'!$C$4)^'MFSP Baseline'!W35)</f>
        <v>158924598.07707891</v>
      </c>
      <c r="X40">
        <f>X39/((1+'Study Parameters'!$C$4)^'MFSP Baseline'!X35)</f>
        <v>147152405.6269249</v>
      </c>
      <c r="Y40">
        <f>Y39/((1+'Study Parameters'!$C$4)^'MFSP Baseline'!Y35)</f>
        <v>136252227.43233788</v>
      </c>
      <c r="Z40">
        <f>Z39/((1+'Study Parameters'!$C$4)^'MFSP Baseline'!Z35)</f>
        <v>126159469.84475727</v>
      </c>
      <c r="AA40">
        <f>AA39/((1+'Study Parameters'!$C$4)^'MFSP Baseline'!AA35)</f>
        <v>116814323.9303308</v>
      </c>
      <c r="AB40">
        <f>AB39/((1+'Study Parameters'!$C$4)^'MFSP Baseline'!AB35)</f>
        <v>108161411.04660261</v>
      </c>
      <c r="AC40">
        <f>AC39/((1+'Study Parameters'!$C$4)^'MFSP Baseline'!AC35)</f>
        <v>100149454.67278019</v>
      </c>
      <c r="AD40">
        <f>AD39/((1+'Study Parameters'!$C$4)^'MFSP Baseline'!AD35)</f>
        <v>92730976.548870534</v>
      </c>
      <c r="AE40">
        <f>AE39/((1+'Study Parameters'!$C$4)^'MFSP Baseline'!AE35)</f>
        <v>85862015.323028266</v>
      </c>
      <c r="AF40">
        <f>AF39/((1+'Study Parameters'!$C$4)^'MFSP Baseline'!AF35)</f>
        <v>79501866.039840981</v>
      </c>
    </row>
    <row r="42" spans="1:32">
      <c r="A42" t="s">
        <v>149</v>
      </c>
      <c r="B42">
        <f>SUM(B38:AF38) / SUM(B40:AF40)</f>
        <v>3.2708823007043457</v>
      </c>
    </row>
    <row r="44" spans="1:32" s="24" customFormat="1"/>
    <row r="46" spans="1:32">
      <c r="A46" t="s">
        <v>154</v>
      </c>
    </row>
    <row r="48" spans="1:32">
      <c r="A48" t="s">
        <v>1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  <c r="J48">
        <v>8</v>
      </c>
      <c r="K48">
        <v>9</v>
      </c>
      <c r="L48">
        <v>10</v>
      </c>
      <c r="M48">
        <v>11</v>
      </c>
      <c r="N48">
        <v>12</v>
      </c>
      <c r="O48">
        <v>13</v>
      </c>
      <c r="P48">
        <v>14</v>
      </c>
      <c r="Q48">
        <v>15</v>
      </c>
      <c r="R48">
        <v>16</v>
      </c>
      <c r="S48">
        <v>17</v>
      </c>
      <c r="T48">
        <v>18</v>
      </c>
      <c r="U48">
        <v>19</v>
      </c>
      <c r="V48">
        <v>20</v>
      </c>
      <c r="W48">
        <v>21</v>
      </c>
      <c r="X48">
        <v>22</v>
      </c>
      <c r="Y48">
        <v>23</v>
      </c>
      <c r="Z48">
        <v>24</v>
      </c>
      <c r="AA48">
        <v>25</v>
      </c>
      <c r="AB48">
        <v>26</v>
      </c>
      <c r="AC48">
        <v>27</v>
      </c>
      <c r="AD48">
        <v>28</v>
      </c>
      <c r="AE48">
        <v>29</v>
      </c>
      <c r="AF48">
        <v>30</v>
      </c>
    </row>
    <row r="49" spans="1:32">
      <c r="A49" t="s">
        <v>111</v>
      </c>
      <c r="B49">
        <v>0</v>
      </c>
      <c r="C49">
        <f>'Cost Components'!$N$18* 10^6</f>
        <v>1719961502.6372776</v>
      </c>
      <c r="D49">
        <f>'Cost Components'!$N$18* 10^6</f>
        <v>1719961502.6372776</v>
      </c>
      <c r="E49">
        <f>'Cost Components'!$N$18* 10^6</f>
        <v>1719961502.6372776</v>
      </c>
      <c r="F49">
        <f>'Cost Components'!$N$18* 10^6</f>
        <v>1719961502.6372776</v>
      </c>
      <c r="G49">
        <f>'Cost Components'!$N$18* 10^6</f>
        <v>1719961502.6372776</v>
      </c>
      <c r="H49">
        <f>'Cost Components'!$N$18* 10^6</f>
        <v>1719961502.6372776</v>
      </c>
      <c r="I49">
        <f>'Cost Components'!$N$18* 10^6</f>
        <v>1719961502.6372776</v>
      </c>
      <c r="J49">
        <f>'Cost Components'!$N$18* 10^6</f>
        <v>1719961502.6372776</v>
      </c>
      <c r="K49">
        <f>'Cost Components'!$N$18* 10^6</f>
        <v>1719961502.6372776</v>
      </c>
      <c r="L49">
        <f>'Cost Components'!$N$18* 10^6</f>
        <v>1719961502.6372776</v>
      </c>
      <c r="M49">
        <f>'Cost Components'!$N$18* 10^6</f>
        <v>1719961502.6372776</v>
      </c>
      <c r="N49">
        <f>'Cost Components'!$N$18* 10^6</f>
        <v>1719961502.6372776</v>
      </c>
      <c r="O49">
        <f>'Cost Components'!$N$18* 10^6</f>
        <v>1719961502.6372776</v>
      </c>
      <c r="P49">
        <f>'Cost Components'!$N$18* 10^6</f>
        <v>1719961502.6372776</v>
      </c>
      <c r="Q49">
        <f>'Cost Components'!$N$18* 10^6</f>
        <v>1719961502.6372776</v>
      </c>
      <c r="R49">
        <f>'Cost Components'!$N$18* 10^6</f>
        <v>1719961502.6372776</v>
      </c>
      <c r="S49">
        <f>'Cost Components'!$N$18* 10^6</f>
        <v>1719961502.6372776</v>
      </c>
      <c r="T49">
        <f>'Cost Components'!$N$18* 10^6</f>
        <v>1719961502.6372776</v>
      </c>
      <c r="U49">
        <f>'Cost Components'!$N$18* 10^6</f>
        <v>1719961502.6372776</v>
      </c>
      <c r="V49">
        <f>'Cost Components'!$N$18* 10^6</f>
        <v>1719961502.6372776</v>
      </c>
      <c r="W49">
        <f>'Cost Components'!$N$18* 10^6</f>
        <v>1719961502.6372776</v>
      </c>
      <c r="X49">
        <f>'Cost Components'!$N$18* 10^6</f>
        <v>1719961502.6372776</v>
      </c>
      <c r="Y49">
        <f>'Cost Components'!$N$18* 10^6</f>
        <v>1719961502.6372776</v>
      </c>
      <c r="Z49">
        <f>'Cost Components'!$N$18* 10^6</f>
        <v>1719961502.6372776</v>
      </c>
      <c r="AA49">
        <f>'Cost Components'!$N$18* 10^6</f>
        <v>1719961502.6372776</v>
      </c>
      <c r="AB49">
        <f>'Cost Components'!$N$18* 10^6</f>
        <v>1719961502.6372776</v>
      </c>
      <c r="AC49">
        <f>'Cost Components'!$N$18* 10^6</f>
        <v>1719961502.6372776</v>
      </c>
      <c r="AD49">
        <f>'Cost Components'!$N$18* 10^6</f>
        <v>1719961502.6372776</v>
      </c>
      <c r="AE49">
        <f>'Cost Components'!$N$18* 10^6</f>
        <v>1719961502.6372776</v>
      </c>
      <c r="AF49">
        <f>'Cost Components'!$N$18* 10^6</f>
        <v>1719961502.6372776</v>
      </c>
    </row>
    <row r="50" spans="1:32">
      <c r="A50" t="s">
        <v>153</v>
      </c>
      <c r="B50">
        <v>0</v>
      </c>
      <c r="C50">
        <f>'Cost Components'!$N$9</f>
        <v>568850883.41209173</v>
      </c>
      <c r="D50">
        <f>'Cost Components'!$N$9</f>
        <v>568850883.41209173</v>
      </c>
      <c r="E50">
        <f>'Cost Components'!$N$9</f>
        <v>568850883.41209173</v>
      </c>
      <c r="F50">
        <f>'Cost Components'!$N$9</f>
        <v>568850883.41209173</v>
      </c>
      <c r="G50">
        <f>'Cost Components'!$N$9</f>
        <v>568850883.41209173</v>
      </c>
      <c r="H50">
        <f>'Cost Components'!$N$9</f>
        <v>568850883.41209173</v>
      </c>
      <c r="I50">
        <f>'Cost Components'!$N$9</f>
        <v>568850883.41209173</v>
      </c>
      <c r="J50">
        <f>'Cost Components'!$N$9</f>
        <v>568850883.41209173</v>
      </c>
      <c r="K50">
        <f>'Cost Components'!$N$9</f>
        <v>568850883.41209173</v>
      </c>
      <c r="L50">
        <f>'Cost Components'!$N$9</f>
        <v>568850883.41209173</v>
      </c>
      <c r="M50">
        <f>'Cost Components'!$N$9</f>
        <v>568850883.41209173</v>
      </c>
      <c r="N50">
        <f>'Cost Components'!$N$9</f>
        <v>568850883.41209173</v>
      </c>
      <c r="O50">
        <f>'Cost Components'!$N$9</f>
        <v>568850883.41209173</v>
      </c>
      <c r="P50">
        <f>'Cost Components'!$N$9</f>
        <v>568850883.41209173</v>
      </c>
      <c r="Q50">
        <f>'Cost Components'!$N$9</f>
        <v>568850883.41209173</v>
      </c>
      <c r="R50">
        <f>'Cost Components'!$N$9</f>
        <v>568850883.41209173</v>
      </c>
      <c r="S50">
        <f>'Cost Components'!$N$9</f>
        <v>568850883.41209173</v>
      </c>
      <c r="T50">
        <f>'Cost Components'!$N$9</f>
        <v>568850883.41209173</v>
      </c>
      <c r="U50">
        <f>'Cost Components'!$N$9</f>
        <v>568850883.41209173</v>
      </c>
      <c r="V50">
        <f>'Cost Components'!$N$9</f>
        <v>568850883.41209173</v>
      </c>
      <c r="W50">
        <f>'Cost Components'!$N$9</f>
        <v>568850883.41209173</v>
      </c>
      <c r="X50">
        <f>'Cost Components'!$N$9</f>
        <v>568850883.41209173</v>
      </c>
      <c r="Y50">
        <f>'Cost Components'!$N$9</f>
        <v>568850883.41209173</v>
      </c>
      <c r="Z50">
        <f>'Cost Components'!$N$9</f>
        <v>568850883.41209173</v>
      </c>
      <c r="AA50">
        <f>'Cost Components'!$N$9</f>
        <v>568850883.41209173</v>
      </c>
      <c r="AB50">
        <f>'Cost Components'!$N$9</f>
        <v>568850883.41209173</v>
      </c>
      <c r="AC50">
        <f>'Cost Components'!$N$9</f>
        <v>568850883.41209173</v>
      </c>
      <c r="AD50">
        <f>'Cost Components'!$N$9</f>
        <v>568850883.41209173</v>
      </c>
      <c r="AE50">
        <f>'Cost Components'!$N$9</f>
        <v>568850883.41209173</v>
      </c>
      <c r="AF50">
        <f>'Cost Components'!$N$9</f>
        <v>568850883.41209173</v>
      </c>
    </row>
    <row r="51" spans="1:32">
      <c r="A51" t="s">
        <v>112</v>
      </c>
      <c r="B51">
        <v>0</v>
      </c>
      <c r="C51">
        <f>C49/((1+'Study Parameters'!$C$4)^'MFSP Baseline'!C48) + C50</f>
        <v>2161407830.29846</v>
      </c>
      <c r="D51">
        <f>D49/((1+'Study Parameters'!$C$4)^'MFSP Baseline'!D48) + D50</f>
        <v>2043440649.0476177</v>
      </c>
      <c r="E51">
        <f>E49/((1+'Study Parameters'!$C$4)^'MFSP Baseline'!E48) + E50</f>
        <v>1934211777.5190601</v>
      </c>
      <c r="F51">
        <f>F49/((1+'Study Parameters'!$C$4)^'MFSP Baseline'!F48) + F50</f>
        <v>1833073933.5111365</v>
      </c>
      <c r="G51">
        <f>G49/((1+'Study Parameters'!$C$4)^'MFSP Baseline'!G48) + G50</f>
        <v>1739427781.651948</v>
      </c>
      <c r="H51">
        <f>H49/((1+'Study Parameters'!$C$4)^'MFSP Baseline'!H48) + H50</f>
        <v>1652718381.7823288</v>
      </c>
      <c r="I51">
        <f>I49/((1+'Study Parameters'!$C$4)^'MFSP Baseline'!I48) + I50</f>
        <v>1572431900.4215705</v>
      </c>
      <c r="J51">
        <f>J49/((1+'Study Parameters'!$C$4)^'MFSP Baseline'!J48) + J50</f>
        <v>1498092565.8282757</v>
      </c>
      <c r="K51">
        <f>K49/((1+'Study Parameters'!$C$4)^'MFSP Baseline'!K48) + K50</f>
        <v>1429259848.612262</v>
      </c>
      <c r="L51">
        <f>L49/((1+'Study Parameters'!$C$4)^'MFSP Baseline'!L48) + L50</f>
        <v>1365525851.1900272</v>
      </c>
      <c r="M51">
        <f>M49/((1+'Study Parameters'!$C$4)^'MFSP Baseline'!M48) + M50</f>
        <v>1306512890.613884</v>
      </c>
      <c r="N51">
        <f>N49/((1+'Study Parameters'!$C$4)^'MFSP Baseline'!N48) + N50</f>
        <v>1251871260.450788</v>
      </c>
      <c r="O51">
        <f>O49/((1+'Study Parameters'!$C$4)^'MFSP Baseline'!O48) + O50</f>
        <v>1201277158.4479218</v>
      </c>
      <c r="P51">
        <f>P49/((1+'Study Parameters'!$C$4)^'MFSP Baseline'!P48) + P50</f>
        <v>1154430767.7045269</v>
      </c>
      <c r="Q51">
        <f>Q49/((1+'Study Parameters'!$C$4)^'MFSP Baseline'!Q48) + Q50</f>
        <v>1111054479.9791613</v>
      </c>
      <c r="R51">
        <f>R49/((1+'Study Parameters'!$C$4)^'MFSP Baseline'!R48) + R50</f>
        <v>1070891250.6038227</v>
      </c>
      <c r="S51">
        <f>S49/((1+'Study Parameters'!$C$4)^'MFSP Baseline'!S48) + S50</f>
        <v>1033703075.2562871</v>
      </c>
      <c r="T51">
        <f>T49/((1+'Study Parameters'!$C$4)^'MFSP Baseline'!T48) + T50</f>
        <v>999269579.56412435</v>
      </c>
      <c r="U51">
        <f>U49/((1+'Study Parameters'!$C$4)^'MFSP Baseline'!U48) + U50</f>
        <v>967386713.18249226</v>
      </c>
      <c r="V51">
        <f>V49/((1+'Study Parameters'!$C$4)^'MFSP Baseline'!V48) + V50</f>
        <v>937865540.60690713</v>
      </c>
      <c r="W51">
        <f>W49/((1+'Study Parameters'!$C$4)^'MFSP Baseline'!W48) + W50</f>
        <v>910531121.55543923</v>
      </c>
      <c r="X51">
        <f>X49/((1+'Study Parameters'!$C$4)^'MFSP Baseline'!X48) + X50</f>
        <v>885221474.28556156</v>
      </c>
      <c r="Y51">
        <f>Y49/((1+'Study Parameters'!$C$4)^'MFSP Baseline'!Y48) + Y50</f>
        <v>861786615.70234168</v>
      </c>
      <c r="Z51">
        <f>Z49/((1+'Study Parameters'!$C$4)^'MFSP Baseline'!Z48) + Z50</f>
        <v>840087672.56973052</v>
      </c>
      <c r="AA51">
        <f>AA49/((1+'Study Parameters'!$C$4)^'MFSP Baseline'!AA48) + AA50</f>
        <v>819996058.55805349</v>
      </c>
      <c r="AB51">
        <f>AB49/((1+'Study Parameters'!$C$4)^'MFSP Baseline'!AB48) + AB50</f>
        <v>801392712.25094533</v>
      </c>
      <c r="AC51">
        <f>AC49/((1+'Study Parameters'!$C$4)^'MFSP Baseline'!AC48) + AC50</f>
        <v>784167391.59621537</v>
      </c>
      <c r="AD51">
        <f>AD49/((1+'Study Parameters'!$C$4)^'MFSP Baseline'!AD48) + AD50</f>
        <v>768218020.61961365</v>
      </c>
      <c r="AE51">
        <f>AE49/((1+'Study Parameters'!$C$4)^'MFSP Baseline'!AE48) + AE50</f>
        <v>753450084.53016758</v>
      </c>
      <c r="AF51">
        <f>AF49/((1+'Study Parameters'!$C$4)^'MFSP Baseline'!AF48) + AF50</f>
        <v>739776069.63253236</v>
      </c>
    </row>
    <row r="52" spans="1:32">
      <c r="A52" t="s">
        <v>147</v>
      </c>
      <c r="B52">
        <v>0</v>
      </c>
      <c r="C52">
        <f>'Study Parameters'!$C$19</f>
        <v>800000000</v>
      </c>
      <c r="D52">
        <f>'Study Parameters'!$C$19</f>
        <v>800000000</v>
      </c>
      <c r="E52">
        <f>'Study Parameters'!$C$19</f>
        <v>800000000</v>
      </c>
      <c r="F52">
        <f>'Study Parameters'!$C$19</f>
        <v>800000000</v>
      </c>
      <c r="G52">
        <f>'Study Parameters'!$C$19</f>
        <v>800000000</v>
      </c>
      <c r="H52">
        <f>'Study Parameters'!$C$19</f>
        <v>800000000</v>
      </c>
      <c r="I52">
        <f>'Study Parameters'!$C$19</f>
        <v>800000000</v>
      </c>
      <c r="J52">
        <f>'Study Parameters'!$C$19</f>
        <v>800000000</v>
      </c>
      <c r="K52">
        <f>'Study Parameters'!$C$19</f>
        <v>800000000</v>
      </c>
      <c r="L52">
        <f>'Study Parameters'!$C$19</f>
        <v>800000000</v>
      </c>
      <c r="M52">
        <f>'Study Parameters'!$C$19</f>
        <v>800000000</v>
      </c>
      <c r="N52">
        <f>'Study Parameters'!$C$19</f>
        <v>800000000</v>
      </c>
      <c r="O52">
        <f>'Study Parameters'!$C$19</f>
        <v>800000000</v>
      </c>
      <c r="P52">
        <f>'Study Parameters'!$C$19</f>
        <v>800000000</v>
      </c>
      <c r="Q52">
        <f>'Study Parameters'!$C$19</f>
        <v>800000000</v>
      </c>
      <c r="R52">
        <f>'Study Parameters'!$C$19</f>
        <v>800000000</v>
      </c>
      <c r="S52">
        <f>'Study Parameters'!$C$19</f>
        <v>800000000</v>
      </c>
      <c r="T52">
        <f>'Study Parameters'!$C$19</f>
        <v>800000000</v>
      </c>
      <c r="U52">
        <f>'Study Parameters'!$C$19</f>
        <v>800000000</v>
      </c>
      <c r="V52">
        <f>'Study Parameters'!$C$19</f>
        <v>800000000</v>
      </c>
      <c r="W52">
        <f>'Study Parameters'!$C$19</f>
        <v>800000000</v>
      </c>
      <c r="X52">
        <f>'Study Parameters'!$C$19</f>
        <v>800000000</v>
      </c>
      <c r="Y52">
        <f>'Study Parameters'!$C$19</f>
        <v>800000000</v>
      </c>
      <c r="Z52">
        <f>'Study Parameters'!$C$19</f>
        <v>800000000</v>
      </c>
      <c r="AA52">
        <f>'Study Parameters'!$C$19</f>
        <v>800000000</v>
      </c>
      <c r="AB52">
        <f>'Study Parameters'!$C$19</f>
        <v>800000000</v>
      </c>
      <c r="AC52">
        <f>'Study Parameters'!$C$19</f>
        <v>800000000</v>
      </c>
      <c r="AD52">
        <f>'Study Parameters'!$C$19</f>
        <v>800000000</v>
      </c>
      <c r="AE52">
        <f>'Study Parameters'!$C$19</f>
        <v>800000000</v>
      </c>
      <c r="AF52">
        <f>'Study Parameters'!$C$19</f>
        <v>800000000</v>
      </c>
    </row>
    <row r="53" spans="1:32">
      <c r="A53" t="s">
        <v>148</v>
      </c>
      <c r="B53">
        <v>0</v>
      </c>
      <c r="C53">
        <f>C52/((1+'Study Parameters'!$C$4)^'MFSP Baseline'!C48)</f>
        <v>740740740.74074066</v>
      </c>
      <c r="D53">
        <f>D52/((1+'Study Parameters'!$C$4)^'MFSP Baseline'!D48)</f>
        <v>685871056.24142659</v>
      </c>
      <c r="E53">
        <f>E52/((1+'Study Parameters'!$C$4)^'MFSP Baseline'!E48)</f>
        <v>635065792.81613564</v>
      </c>
      <c r="F53">
        <f>F52/((1+'Study Parameters'!$C$4)^'MFSP Baseline'!F48)</f>
        <v>588023882.23716259</v>
      </c>
      <c r="G53">
        <f>G52/((1+'Study Parameters'!$C$4)^'MFSP Baseline'!G48)</f>
        <v>544466557.62700236</v>
      </c>
      <c r="H53">
        <f>H52/((1+'Study Parameters'!$C$4)^'MFSP Baseline'!H48)</f>
        <v>504135701.50648367</v>
      </c>
      <c r="I53">
        <f>I52/((1+'Study Parameters'!$C$4)^'MFSP Baseline'!I48)</f>
        <v>466792316.20970708</v>
      </c>
      <c r="J53">
        <f>J52/((1+'Study Parameters'!$C$4)^'MFSP Baseline'!J48)</f>
        <v>432215107.60158062</v>
      </c>
      <c r="K53">
        <f>K52/((1+'Study Parameters'!$C$4)^'MFSP Baseline'!K48)</f>
        <v>400199173.70516723</v>
      </c>
      <c r="L53">
        <f>L52/((1+'Study Parameters'!$C$4)^'MFSP Baseline'!L48)</f>
        <v>370554790.46774739</v>
      </c>
      <c r="M53">
        <f>M52/((1+'Study Parameters'!$C$4)^'MFSP Baseline'!M48)</f>
        <v>343106287.47013646</v>
      </c>
      <c r="N53">
        <f>N52/((1+'Study Parameters'!$C$4)^'MFSP Baseline'!N48)</f>
        <v>317691006.91679299</v>
      </c>
      <c r="O53">
        <f>O52/((1+'Study Parameters'!$C$4)^'MFSP Baseline'!O48)</f>
        <v>294158339.73777133</v>
      </c>
      <c r="P53">
        <f>P52/((1+'Study Parameters'!$C$4)^'MFSP Baseline'!P48)</f>
        <v>272368833.09052896</v>
      </c>
      <c r="Q53">
        <f>Q52/((1+'Study Parameters'!$C$4)^'MFSP Baseline'!Q48)</f>
        <v>252193363.97271198</v>
      </c>
      <c r="R53">
        <f>R52/((1+'Study Parameters'!$C$4)^'MFSP Baseline'!R48)</f>
        <v>233512374.04880738</v>
      </c>
      <c r="S53">
        <f>S52/((1+'Study Parameters'!$C$4)^'MFSP Baseline'!S48)</f>
        <v>216215161.15630314</v>
      </c>
      <c r="T53">
        <f>T52/((1+'Study Parameters'!$C$4)^'MFSP Baseline'!T48)</f>
        <v>200199223.29287323</v>
      </c>
      <c r="U53">
        <f>U52/((1+'Study Parameters'!$C$4)^'MFSP Baseline'!U48)</f>
        <v>185369651.19710484</v>
      </c>
      <c r="V53">
        <f>V52/((1+'Study Parameters'!$C$4)^'MFSP Baseline'!V48)</f>
        <v>171638565.92324522</v>
      </c>
      <c r="W53">
        <f>W52/((1+'Study Parameters'!$C$4)^'MFSP Baseline'!W48)</f>
        <v>158924598.07707891</v>
      </c>
      <c r="X53">
        <f>X52/((1+'Study Parameters'!$C$4)^'MFSP Baseline'!X48)</f>
        <v>147152405.6269249</v>
      </c>
      <c r="Y53">
        <f>Y52/((1+'Study Parameters'!$C$4)^'MFSP Baseline'!Y48)</f>
        <v>136252227.43233788</v>
      </c>
      <c r="Z53">
        <f>Z52/((1+'Study Parameters'!$C$4)^'MFSP Baseline'!Z48)</f>
        <v>126159469.84475727</v>
      </c>
      <c r="AA53">
        <f>AA52/((1+'Study Parameters'!$C$4)^'MFSP Baseline'!AA48)</f>
        <v>116814323.9303308</v>
      </c>
      <c r="AB53">
        <f>AB52/((1+'Study Parameters'!$C$4)^'MFSP Baseline'!AB48)</f>
        <v>108161411.04660261</v>
      </c>
      <c r="AC53">
        <f>AC52/((1+'Study Parameters'!$C$4)^'MFSP Baseline'!AC48)</f>
        <v>100149454.67278019</v>
      </c>
      <c r="AD53">
        <f>AD52/((1+'Study Parameters'!$C$4)^'MFSP Baseline'!AD48)</f>
        <v>92730976.548870534</v>
      </c>
      <c r="AE53">
        <f>AE52/((1+'Study Parameters'!$C$4)^'MFSP Baseline'!AE48)</f>
        <v>85862015.323028266</v>
      </c>
      <c r="AF53">
        <f>AF52/((1+'Study Parameters'!$C$4)^'MFSP Baseline'!AF48)</f>
        <v>79501866.039840981</v>
      </c>
    </row>
    <row r="55" spans="1:32">
      <c r="A55" t="s">
        <v>149</v>
      </c>
      <c r="B55">
        <f>SUM(B51:AF51) / SUM(B53:AF53)</f>
        <v>4.0448105265557928</v>
      </c>
    </row>
    <row r="57" spans="1:32">
      <c r="A57" t="s">
        <v>152</v>
      </c>
    </row>
    <row r="58" spans="1:32">
      <c r="A58" t="s">
        <v>1</v>
      </c>
      <c r="B58">
        <v>0</v>
      </c>
      <c r="C58">
        <v>1</v>
      </c>
      <c r="D58">
        <v>2</v>
      </c>
      <c r="E58">
        <v>3</v>
      </c>
      <c r="F58">
        <v>4</v>
      </c>
      <c r="G58">
        <v>5</v>
      </c>
      <c r="H58">
        <v>6</v>
      </c>
      <c r="I58">
        <v>7</v>
      </c>
      <c r="J58">
        <v>8</v>
      </c>
      <c r="K58">
        <v>9</v>
      </c>
      <c r="L58">
        <v>10</v>
      </c>
      <c r="M58">
        <v>11</v>
      </c>
      <c r="N58">
        <v>12</v>
      </c>
      <c r="O58">
        <v>13</v>
      </c>
      <c r="P58">
        <v>14</v>
      </c>
      <c r="Q58">
        <v>15</v>
      </c>
      <c r="R58">
        <v>16</v>
      </c>
      <c r="S58">
        <v>17</v>
      </c>
      <c r="T58">
        <v>18</v>
      </c>
      <c r="U58">
        <v>19</v>
      </c>
      <c r="V58">
        <v>20</v>
      </c>
      <c r="W58">
        <v>21</v>
      </c>
      <c r="X58">
        <v>22</v>
      </c>
      <c r="Y58">
        <v>23</v>
      </c>
      <c r="Z58">
        <v>24</v>
      </c>
      <c r="AA58">
        <v>25</v>
      </c>
      <c r="AB58">
        <v>26</v>
      </c>
      <c r="AC58">
        <v>27</v>
      </c>
      <c r="AD58">
        <v>28</v>
      </c>
      <c r="AE58">
        <v>29</v>
      </c>
      <c r="AF58">
        <v>30</v>
      </c>
    </row>
    <row r="59" spans="1:32">
      <c r="A59" t="s">
        <v>111</v>
      </c>
      <c r="B59">
        <v>0</v>
      </c>
      <c r="C59">
        <f>'Cost Components'!$N$38*10^6</f>
        <v>1414745061.9706111</v>
      </c>
      <c r="D59">
        <f>'Cost Components'!$N$38*10^6</f>
        <v>1414745061.9706111</v>
      </c>
      <c r="E59">
        <f>'Cost Components'!$N$38*10^6</f>
        <v>1414745061.9706111</v>
      </c>
      <c r="F59">
        <f>'Cost Components'!$N$38*10^6</f>
        <v>1414745061.9706111</v>
      </c>
      <c r="G59">
        <f>'Cost Components'!$N$38*10^6</f>
        <v>1414745061.9706111</v>
      </c>
      <c r="H59">
        <f>'Cost Components'!$N$38*10^6</f>
        <v>1414745061.9706111</v>
      </c>
      <c r="I59">
        <f>'Cost Components'!$N$38*10^6</f>
        <v>1414745061.9706111</v>
      </c>
      <c r="J59">
        <f>'Cost Components'!$N$38*10^6</f>
        <v>1414745061.9706111</v>
      </c>
      <c r="K59">
        <f>'Cost Components'!$N$38*10^6</f>
        <v>1414745061.9706111</v>
      </c>
      <c r="L59">
        <f>'Cost Components'!$N$38*10^6</f>
        <v>1414745061.9706111</v>
      </c>
      <c r="M59">
        <f>'Cost Components'!$N$38*10^6</f>
        <v>1414745061.9706111</v>
      </c>
      <c r="N59">
        <f>'Cost Components'!$N$38*10^6</f>
        <v>1414745061.9706111</v>
      </c>
      <c r="O59">
        <f>'Cost Components'!$N$38*10^6</f>
        <v>1414745061.9706111</v>
      </c>
      <c r="P59">
        <f>'Cost Components'!$N$38*10^6</f>
        <v>1414745061.9706111</v>
      </c>
      <c r="Q59">
        <f>'Cost Components'!$N$38*10^6</f>
        <v>1414745061.9706111</v>
      </c>
      <c r="R59">
        <f>'Cost Components'!$N$38*10^6</f>
        <v>1414745061.9706111</v>
      </c>
      <c r="S59">
        <f>'Cost Components'!$N$38*10^6</f>
        <v>1414745061.9706111</v>
      </c>
      <c r="T59">
        <f>'Cost Components'!$N$38*10^6</f>
        <v>1414745061.9706111</v>
      </c>
      <c r="U59">
        <f>'Cost Components'!$N$38*10^6</f>
        <v>1414745061.9706111</v>
      </c>
      <c r="V59">
        <f>'Cost Components'!$N$38*10^6</f>
        <v>1414745061.9706111</v>
      </c>
      <c r="W59">
        <f>'Cost Components'!$N$38*10^6</f>
        <v>1414745061.9706111</v>
      </c>
      <c r="X59">
        <f>'Cost Components'!$N$38*10^6</f>
        <v>1414745061.9706111</v>
      </c>
      <c r="Y59">
        <f>'Cost Components'!$N$38*10^6</f>
        <v>1414745061.9706111</v>
      </c>
      <c r="Z59">
        <f>'Cost Components'!$N$38*10^6</f>
        <v>1414745061.9706111</v>
      </c>
      <c r="AA59">
        <f>'Cost Components'!$N$38*10^6</f>
        <v>1414745061.9706111</v>
      </c>
      <c r="AB59">
        <f>'Cost Components'!$N$38*10^6</f>
        <v>1414745061.9706111</v>
      </c>
      <c r="AC59">
        <f>'Cost Components'!$N$38*10^6</f>
        <v>1414745061.9706111</v>
      </c>
      <c r="AD59">
        <f>'Cost Components'!$N$38*10^6</f>
        <v>1414745061.9706111</v>
      </c>
      <c r="AE59">
        <f>'Cost Components'!$N$38*10^6</f>
        <v>1414745061.9706111</v>
      </c>
      <c r="AF59">
        <f>'Cost Components'!$N$38*10^6</f>
        <v>1414745061.9706111</v>
      </c>
    </row>
    <row r="60" spans="1:32">
      <c r="A60" t="s">
        <v>153</v>
      </c>
      <c r="B60">
        <v>0</v>
      </c>
      <c r="C60">
        <f>'Cost Components'!$N$29</f>
        <v>331059844.23436385</v>
      </c>
      <c r="D60">
        <f>'Cost Components'!$N$29</f>
        <v>331059844.23436385</v>
      </c>
      <c r="E60">
        <f>'Cost Components'!$N$29</f>
        <v>331059844.23436385</v>
      </c>
      <c r="F60">
        <f>'Cost Components'!$N$29</f>
        <v>331059844.23436385</v>
      </c>
      <c r="G60">
        <f>'Cost Components'!$N$29</f>
        <v>331059844.23436385</v>
      </c>
      <c r="H60">
        <f>'Cost Components'!$N$29</f>
        <v>331059844.23436385</v>
      </c>
      <c r="I60">
        <f>'Cost Components'!$N$29</f>
        <v>331059844.23436385</v>
      </c>
      <c r="J60">
        <f>'Cost Components'!$N$29</f>
        <v>331059844.23436385</v>
      </c>
      <c r="K60">
        <f>'Cost Components'!$N$29</f>
        <v>331059844.23436385</v>
      </c>
      <c r="L60">
        <f>'Cost Components'!$N$29</f>
        <v>331059844.23436385</v>
      </c>
      <c r="M60">
        <f>'Cost Components'!$N$29</f>
        <v>331059844.23436385</v>
      </c>
      <c r="N60">
        <f>'Cost Components'!$N$29</f>
        <v>331059844.23436385</v>
      </c>
      <c r="O60">
        <f>'Cost Components'!$N$29</f>
        <v>331059844.23436385</v>
      </c>
      <c r="P60">
        <f>'Cost Components'!$N$29</f>
        <v>331059844.23436385</v>
      </c>
      <c r="Q60">
        <f>'Cost Components'!$N$29</f>
        <v>331059844.23436385</v>
      </c>
      <c r="R60">
        <f>'Cost Components'!$N$29</f>
        <v>331059844.23436385</v>
      </c>
      <c r="S60">
        <f>'Cost Components'!$N$29</f>
        <v>331059844.23436385</v>
      </c>
      <c r="T60">
        <f>'Cost Components'!$N$29</f>
        <v>331059844.23436385</v>
      </c>
      <c r="U60">
        <f>'Cost Components'!$N$29</f>
        <v>331059844.23436385</v>
      </c>
      <c r="V60">
        <f>'Cost Components'!$N$29</f>
        <v>331059844.23436385</v>
      </c>
      <c r="W60">
        <f>'Cost Components'!$N$29</f>
        <v>331059844.23436385</v>
      </c>
      <c r="X60">
        <f>'Cost Components'!$N$29</f>
        <v>331059844.23436385</v>
      </c>
      <c r="Y60">
        <f>'Cost Components'!$N$29</f>
        <v>331059844.23436385</v>
      </c>
      <c r="Z60">
        <f>'Cost Components'!$N$29</f>
        <v>331059844.23436385</v>
      </c>
      <c r="AA60">
        <f>'Cost Components'!$N$29</f>
        <v>331059844.23436385</v>
      </c>
      <c r="AB60">
        <f>'Cost Components'!$N$29</f>
        <v>331059844.23436385</v>
      </c>
      <c r="AC60">
        <f>'Cost Components'!$N$29</f>
        <v>331059844.23436385</v>
      </c>
      <c r="AD60">
        <f>'Cost Components'!$N$29</f>
        <v>331059844.23436385</v>
      </c>
      <c r="AE60">
        <f>'Cost Components'!$N$29</f>
        <v>331059844.23436385</v>
      </c>
      <c r="AF60">
        <f>'Cost Components'!$N$29</f>
        <v>331059844.23436385</v>
      </c>
    </row>
    <row r="61" spans="1:32">
      <c r="A61" t="s">
        <v>112</v>
      </c>
      <c r="B61">
        <v>0</v>
      </c>
      <c r="C61">
        <f>C59/((1+'Study Parameters'!$C$4)^'MFSP Baseline'!C58) + C60</f>
        <v>1641008975.6886332</v>
      </c>
      <c r="D61">
        <f>D59/((1+'Study Parameters'!$C$4)^'MFSP Baseline'!D58) + D60</f>
        <v>1543975706.6920207</v>
      </c>
      <c r="E61">
        <f>E59/((1+'Study Parameters'!$C$4)^'MFSP Baseline'!E58) + E60</f>
        <v>1454130087.2507126</v>
      </c>
      <c r="F61">
        <f>F59/((1+'Study Parameters'!$C$4)^'MFSP Baseline'!F58) + F60</f>
        <v>1370939698.8791313</v>
      </c>
      <c r="G61">
        <f>G59/((1+'Study Parameters'!$C$4)^'MFSP Baseline'!G58) + G60</f>
        <v>1293911561.4980373</v>
      </c>
      <c r="H61">
        <f>H59/((1+'Study Parameters'!$C$4)^'MFSP Baseline'!H58) + H60</f>
        <v>1222589212.0710986</v>
      </c>
      <c r="I61">
        <f>I59/((1+'Study Parameters'!$C$4)^'MFSP Baseline'!I58) + I60</f>
        <v>1156549999.6387477</v>
      </c>
      <c r="J61">
        <f>J59/((1+'Study Parameters'!$C$4)^'MFSP Baseline'!J58) + J60</f>
        <v>1095402580.7199044</v>
      </c>
      <c r="K61">
        <f>K59/((1+'Study Parameters'!$C$4)^'MFSP Baseline'!K58) + K60</f>
        <v>1038784600.2394941</v>
      </c>
      <c r="L61">
        <f>L59/((1+'Study Parameters'!$C$4)^'MFSP Baseline'!L58) + L60</f>
        <v>986360544.23911405</v>
      </c>
      <c r="M61">
        <f>M59/((1+'Study Parameters'!$C$4)^'MFSP Baseline'!M58) + M60</f>
        <v>937819751.64616942</v>
      </c>
      <c r="N61">
        <f>N59/((1+'Study Parameters'!$C$4)^'MFSP Baseline'!N58) + N60</f>
        <v>892874573.31936908</v>
      </c>
      <c r="O61">
        <f>O59/((1+'Study Parameters'!$C$4)^'MFSP Baseline'!O58) + O60</f>
        <v>851258667.4612205</v>
      </c>
      <c r="P61">
        <f>P59/((1+'Study Parameters'!$C$4)^'MFSP Baseline'!P58) + P60</f>
        <v>812725421.29626811</v>
      </c>
      <c r="Q61">
        <f>Q59/((1+'Study Parameters'!$C$4)^'MFSP Baseline'!Q58) + Q60</f>
        <v>777046489.66205287</v>
      </c>
      <c r="R61">
        <f>R59/((1+'Study Parameters'!$C$4)^'MFSP Baseline'!R58) + R60</f>
        <v>744010441.85259449</v>
      </c>
      <c r="S61">
        <f>S59/((1+'Study Parameters'!$C$4)^'MFSP Baseline'!S58) + S60</f>
        <v>713421508.69568849</v>
      </c>
      <c r="T61">
        <f>T59/((1+'Study Parameters'!$C$4)^'MFSP Baseline'!T58) + T60</f>
        <v>685098422.4392941</v>
      </c>
      <c r="U61">
        <f>U59/((1+'Study Parameters'!$C$4)^'MFSP Baseline'!U58) + U60</f>
        <v>658873342.57226217</v>
      </c>
      <c r="V61">
        <f>V59/((1+'Study Parameters'!$C$4)^'MFSP Baseline'!V58) + V60</f>
        <v>634590861.21389937</v>
      </c>
      <c r="W61">
        <f>W59/((1+'Study Parameters'!$C$4)^'MFSP Baseline'!W58) + W60</f>
        <v>612107082.17837811</v>
      </c>
      <c r="X61">
        <f>X59/((1+'Study Parameters'!$C$4)^'MFSP Baseline'!X58) + X60</f>
        <v>591288768.25659931</v>
      </c>
      <c r="Y61">
        <f>Y59/((1+'Study Parameters'!$C$4)^'MFSP Baseline'!Y58) + Y60</f>
        <v>572012551.66235971</v>
      </c>
      <c r="Z61">
        <f>Z59/((1+'Study Parameters'!$C$4)^'MFSP Baseline'!Z58) + Z60</f>
        <v>554164202.96398962</v>
      </c>
      <c r="AA61">
        <f>AA59/((1+'Study Parameters'!$C$4)^'MFSP Baseline'!AA58) + AA60</f>
        <v>537637954.16920245</v>
      </c>
      <c r="AB61">
        <f>AB59/((1+'Study Parameters'!$C$4)^'MFSP Baseline'!AB58) + AB60</f>
        <v>522335871.95180702</v>
      </c>
      <c r="AC61">
        <f>AC59/((1+'Study Parameters'!$C$4)^'MFSP Baseline'!AC58) + AC60</f>
        <v>508167277.30607045</v>
      </c>
      <c r="AD61">
        <f>AD59/((1+'Study Parameters'!$C$4)^'MFSP Baseline'!AD58) + AD60</f>
        <v>495048208.18964779</v>
      </c>
      <c r="AE61">
        <f>AE59/((1+'Study Parameters'!$C$4)^'MFSP Baseline'!AE58) + AE60</f>
        <v>482900921.97073781</v>
      </c>
      <c r="AF61">
        <f>AF59/((1+'Study Parameters'!$C$4)^'MFSP Baseline'!AF58) + AF60</f>
        <v>471653434.73100638</v>
      </c>
    </row>
    <row r="62" spans="1:32">
      <c r="A62" t="s">
        <v>147</v>
      </c>
      <c r="B62">
        <v>0</v>
      </c>
      <c r="C62">
        <f>'Study Parameters'!$C$19</f>
        <v>800000000</v>
      </c>
      <c r="D62">
        <f>'Study Parameters'!$C$19</f>
        <v>800000000</v>
      </c>
      <c r="E62">
        <f>'Study Parameters'!$C$19</f>
        <v>800000000</v>
      </c>
      <c r="F62">
        <f>'Study Parameters'!$C$19</f>
        <v>800000000</v>
      </c>
      <c r="G62">
        <f>'Study Parameters'!$C$19</f>
        <v>800000000</v>
      </c>
      <c r="H62">
        <f>'Study Parameters'!$C$19</f>
        <v>800000000</v>
      </c>
      <c r="I62">
        <f>'Study Parameters'!$C$19</f>
        <v>800000000</v>
      </c>
      <c r="J62">
        <f>'Study Parameters'!$C$19</f>
        <v>800000000</v>
      </c>
      <c r="K62">
        <f>'Study Parameters'!$C$19</f>
        <v>800000000</v>
      </c>
      <c r="L62">
        <f>'Study Parameters'!$C$19</f>
        <v>800000000</v>
      </c>
      <c r="M62">
        <f>'Study Parameters'!$C$19</f>
        <v>800000000</v>
      </c>
      <c r="N62">
        <f>'Study Parameters'!$C$19</f>
        <v>800000000</v>
      </c>
      <c r="O62">
        <f>'Study Parameters'!$C$19</f>
        <v>800000000</v>
      </c>
      <c r="P62">
        <f>'Study Parameters'!$C$19</f>
        <v>800000000</v>
      </c>
      <c r="Q62">
        <f>'Study Parameters'!$C$19</f>
        <v>800000000</v>
      </c>
      <c r="R62">
        <f>'Study Parameters'!$C$19</f>
        <v>800000000</v>
      </c>
      <c r="S62">
        <f>'Study Parameters'!$C$19</f>
        <v>800000000</v>
      </c>
      <c r="T62">
        <f>'Study Parameters'!$C$19</f>
        <v>800000000</v>
      </c>
      <c r="U62">
        <f>'Study Parameters'!$C$19</f>
        <v>800000000</v>
      </c>
      <c r="V62">
        <f>'Study Parameters'!$C$19</f>
        <v>800000000</v>
      </c>
      <c r="W62">
        <f>'Study Parameters'!$C$19</f>
        <v>800000000</v>
      </c>
      <c r="X62">
        <f>'Study Parameters'!$C$19</f>
        <v>800000000</v>
      </c>
      <c r="Y62">
        <f>'Study Parameters'!$C$19</f>
        <v>800000000</v>
      </c>
      <c r="Z62">
        <f>'Study Parameters'!$C$19</f>
        <v>800000000</v>
      </c>
      <c r="AA62">
        <f>'Study Parameters'!$C$19</f>
        <v>800000000</v>
      </c>
      <c r="AB62">
        <f>'Study Parameters'!$C$19</f>
        <v>800000000</v>
      </c>
      <c r="AC62">
        <f>'Study Parameters'!$C$19</f>
        <v>800000000</v>
      </c>
      <c r="AD62">
        <f>'Study Parameters'!$C$19</f>
        <v>800000000</v>
      </c>
      <c r="AE62">
        <f>'Study Parameters'!$C$19</f>
        <v>800000000</v>
      </c>
      <c r="AF62">
        <f>'Study Parameters'!$C$19</f>
        <v>800000000</v>
      </c>
    </row>
    <row r="63" spans="1:32">
      <c r="A63" t="s">
        <v>148</v>
      </c>
      <c r="B63">
        <v>0</v>
      </c>
      <c r="C63">
        <f>C62/((1+'Study Parameters'!$C$4)^'MFSP Baseline'!C58)</f>
        <v>740740740.74074066</v>
      </c>
      <c r="D63">
        <f>D62/((1+'Study Parameters'!$C$4)^'MFSP Baseline'!D58)</f>
        <v>685871056.24142659</v>
      </c>
      <c r="E63">
        <f>E62/((1+'Study Parameters'!$C$4)^'MFSP Baseline'!E58)</f>
        <v>635065792.81613564</v>
      </c>
      <c r="F63">
        <f>F62/((1+'Study Parameters'!$C$4)^'MFSP Baseline'!F58)</f>
        <v>588023882.23716259</v>
      </c>
      <c r="G63">
        <f>G62/((1+'Study Parameters'!$C$4)^'MFSP Baseline'!G58)</f>
        <v>544466557.62700236</v>
      </c>
      <c r="H63">
        <f>H62/((1+'Study Parameters'!$C$4)^'MFSP Baseline'!H58)</f>
        <v>504135701.50648367</v>
      </c>
      <c r="I63">
        <f>I62/((1+'Study Parameters'!$C$4)^'MFSP Baseline'!I58)</f>
        <v>466792316.20970708</v>
      </c>
      <c r="J63">
        <f>J62/((1+'Study Parameters'!$C$4)^'MFSP Baseline'!J58)</f>
        <v>432215107.60158062</v>
      </c>
      <c r="K63">
        <f>K62/((1+'Study Parameters'!$C$4)^'MFSP Baseline'!K58)</f>
        <v>400199173.70516723</v>
      </c>
      <c r="L63">
        <f>L62/((1+'Study Parameters'!$C$4)^'MFSP Baseline'!L58)</f>
        <v>370554790.46774739</v>
      </c>
      <c r="M63">
        <f>M62/((1+'Study Parameters'!$C$4)^'MFSP Baseline'!M58)</f>
        <v>343106287.47013646</v>
      </c>
      <c r="N63">
        <f>N62/((1+'Study Parameters'!$C$4)^'MFSP Baseline'!N58)</f>
        <v>317691006.91679299</v>
      </c>
      <c r="O63">
        <f>O62/((1+'Study Parameters'!$C$4)^'MFSP Baseline'!O58)</f>
        <v>294158339.73777133</v>
      </c>
      <c r="P63">
        <f>P62/((1+'Study Parameters'!$C$4)^'MFSP Baseline'!P58)</f>
        <v>272368833.09052896</v>
      </c>
      <c r="Q63">
        <f>Q62/((1+'Study Parameters'!$C$4)^'MFSP Baseline'!Q58)</f>
        <v>252193363.97271198</v>
      </c>
      <c r="R63">
        <f>R62/((1+'Study Parameters'!$C$4)^'MFSP Baseline'!R58)</f>
        <v>233512374.04880738</v>
      </c>
      <c r="S63">
        <f>S62/((1+'Study Parameters'!$C$4)^'MFSP Baseline'!S58)</f>
        <v>216215161.15630314</v>
      </c>
      <c r="T63">
        <f>T62/((1+'Study Parameters'!$C$4)^'MFSP Baseline'!T58)</f>
        <v>200199223.29287323</v>
      </c>
      <c r="U63">
        <f>U62/((1+'Study Parameters'!$C$4)^'MFSP Baseline'!U58)</f>
        <v>185369651.19710484</v>
      </c>
      <c r="V63">
        <f>V62/((1+'Study Parameters'!$C$4)^'MFSP Baseline'!V58)</f>
        <v>171638565.92324522</v>
      </c>
      <c r="W63">
        <f>W62/((1+'Study Parameters'!$C$4)^'MFSP Baseline'!W58)</f>
        <v>158924598.07707891</v>
      </c>
      <c r="X63">
        <f>X62/((1+'Study Parameters'!$C$4)^'MFSP Baseline'!X58)</f>
        <v>147152405.6269249</v>
      </c>
      <c r="Y63">
        <f>Y62/((1+'Study Parameters'!$C$4)^'MFSP Baseline'!Y58)</f>
        <v>136252227.43233788</v>
      </c>
      <c r="Z63">
        <f>Z62/((1+'Study Parameters'!$C$4)^'MFSP Baseline'!Z58)</f>
        <v>126159469.84475727</v>
      </c>
      <c r="AA63">
        <f>AA62/((1+'Study Parameters'!$C$4)^'MFSP Baseline'!AA58)</f>
        <v>116814323.9303308</v>
      </c>
      <c r="AB63">
        <f>AB62/((1+'Study Parameters'!$C$4)^'MFSP Baseline'!AB58)</f>
        <v>108161411.04660261</v>
      </c>
      <c r="AC63">
        <f>AC62/((1+'Study Parameters'!$C$4)^'MFSP Baseline'!AC58)</f>
        <v>100149454.67278019</v>
      </c>
      <c r="AD63">
        <f>AD62/((1+'Study Parameters'!$C$4)^'MFSP Baseline'!AD58)</f>
        <v>92730976.548870534</v>
      </c>
      <c r="AE63">
        <f>AE62/((1+'Study Parameters'!$C$4)^'MFSP Baseline'!AE58)</f>
        <v>85862015.323028266</v>
      </c>
      <c r="AF63">
        <f>AF62/((1+'Study Parameters'!$C$4)^'MFSP Baseline'!AF58)</f>
        <v>79501866.039840981</v>
      </c>
    </row>
    <row r="65" spans="1:2">
      <c r="A65" t="s">
        <v>149</v>
      </c>
      <c r="B65">
        <f>SUM(B61:AF61) / SUM(B63:AF63)</f>
        <v>2.8712011872480905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F65"/>
  <sheetViews>
    <sheetView topLeftCell="A20" workbookViewId="0">
      <selection activeCell="C25" sqref="C25"/>
    </sheetView>
  </sheetViews>
  <sheetFormatPr defaultColWidth="11" defaultRowHeight="15.75"/>
  <cols>
    <col min="1" max="1" width="26.875" bestFit="1" customWidth="1"/>
    <col min="2" max="2" width="17.625" bestFit="1" customWidth="1"/>
    <col min="3" max="3" width="11.125" bestFit="1" customWidth="1"/>
  </cols>
  <sheetData>
    <row r="1" spans="1:32">
      <c r="A1" t="s">
        <v>144</v>
      </c>
    </row>
    <row r="2" spans="1:32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>
      <c r="A3" t="s">
        <v>111</v>
      </c>
      <c r="B3">
        <v>0</v>
      </c>
      <c r="C3">
        <f>'Cost Components'!$B$43 * 10^6</f>
        <v>1694897237.9706111</v>
      </c>
      <c r="D3">
        <f>'Cost Components'!$B$43 * 10^6</f>
        <v>1694897237.9706111</v>
      </c>
      <c r="E3">
        <f>'Cost Components'!$B$43 * 10^6</f>
        <v>1694897237.9706111</v>
      </c>
      <c r="F3">
        <f>'Cost Components'!$B$43 * 10^6</f>
        <v>1694897237.9706111</v>
      </c>
      <c r="G3">
        <f>'Cost Components'!$B$43 * 10^6</f>
        <v>1694897237.9706111</v>
      </c>
      <c r="H3">
        <f>'Cost Components'!$B$43 * 10^6</f>
        <v>1694897237.9706111</v>
      </c>
      <c r="I3">
        <f>'Cost Components'!$B$43 * 10^6</f>
        <v>1694897237.9706111</v>
      </c>
      <c r="J3">
        <f>'Cost Components'!$B$43 * 10^6</f>
        <v>1694897237.9706111</v>
      </c>
      <c r="K3">
        <f>'Cost Components'!$B$43 * 10^6</f>
        <v>1694897237.9706111</v>
      </c>
      <c r="L3">
        <f>'Cost Components'!$B$43 * 10^6</f>
        <v>1694897237.9706111</v>
      </c>
      <c r="M3">
        <f>'Cost Components'!$B$43 * 10^6</f>
        <v>1694897237.9706111</v>
      </c>
      <c r="N3">
        <f>'Cost Components'!$B$43 * 10^6</f>
        <v>1694897237.9706111</v>
      </c>
      <c r="O3">
        <f>'Cost Components'!$B$43 * 10^6</f>
        <v>1694897237.9706111</v>
      </c>
      <c r="P3">
        <f>'Cost Components'!$B$43 * 10^6</f>
        <v>1694897237.9706111</v>
      </c>
      <c r="Q3">
        <f>'Cost Components'!$B$43 * 10^6</f>
        <v>1694897237.9706111</v>
      </c>
      <c r="R3">
        <f>'Cost Components'!$B$43 * 10^6</f>
        <v>1694897237.9706111</v>
      </c>
      <c r="S3">
        <f>'Cost Components'!$B$43 * 10^6</f>
        <v>1694897237.9706111</v>
      </c>
      <c r="T3">
        <f>'Cost Components'!$B$43 * 10^6</f>
        <v>1694897237.9706111</v>
      </c>
      <c r="U3">
        <f>'Cost Components'!$B$43 * 10^6</f>
        <v>1694897237.9706111</v>
      </c>
      <c r="V3">
        <f>'Cost Components'!$B$43 * 10^6</f>
        <v>1694897237.9706111</v>
      </c>
      <c r="W3">
        <f>'Cost Components'!$B$43 * 10^6</f>
        <v>1694897237.9706111</v>
      </c>
      <c r="X3">
        <f>'Cost Components'!$B$43 * 10^6</f>
        <v>1694897237.9706111</v>
      </c>
      <c r="Y3">
        <f>'Cost Components'!$B$43 * 10^6</f>
        <v>1694897237.9706111</v>
      </c>
      <c r="Z3">
        <f>'Cost Components'!$B$43 * 10^6</f>
        <v>1694897237.9706111</v>
      </c>
      <c r="AA3">
        <f>'Cost Components'!$B$43 * 10^6</f>
        <v>1694897237.9706111</v>
      </c>
      <c r="AB3">
        <f>'Cost Components'!$B$43 * 10^6</f>
        <v>1694897237.9706111</v>
      </c>
      <c r="AC3">
        <f>'Cost Components'!$B$43 * 10^6</f>
        <v>1694897237.9706111</v>
      </c>
      <c r="AD3">
        <f>'Cost Components'!$B$43 * 10^6</f>
        <v>1694897237.9706111</v>
      </c>
      <c r="AE3">
        <f>'Cost Components'!$B$43 * 10^6</f>
        <v>1694897237.9706111</v>
      </c>
      <c r="AF3">
        <f>'Cost Components'!$B$43 * 10^6</f>
        <v>1694897237.9706111</v>
      </c>
    </row>
    <row r="4" spans="1:32">
      <c r="A4" t="s">
        <v>146</v>
      </c>
      <c r="B4">
        <v>0</v>
      </c>
      <c r="C4">
        <f>'Cost Components'!$B$9</f>
        <v>554283184.33657908</v>
      </c>
      <c r="D4">
        <f>'Cost Components'!$B$9</f>
        <v>554283184.33657908</v>
      </c>
      <c r="E4">
        <f>'Cost Components'!$B$9</f>
        <v>554283184.33657908</v>
      </c>
      <c r="F4">
        <f>'Cost Components'!$B$9</f>
        <v>554283184.33657908</v>
      </c>
      <c r="G4">
        <f>'Cost Components'!$B$9</f>
        <v>554283184.33657908</v>
      </c>
      <c r="H4">
        <f>'Cost Components'!$B$9</f>
        <v>554283184.33657908</v>
      </c>
      <c r="I4">
        <f>'Cost Components'!$B$9</f>
        <v>554283184.33657908</v>
      </c>
      <c r="J4">
        <f>'Cost Components'!$B$9</f>
        <v>554283184.33657908</v>
      </c>
      <c r="K4">
        <f>'Cost Components'!$B$9</f>
        <v>554283184.33657908</v>
      </c>
      <c r="L4">
        <f>'Cost Components'!$B$9</f>
        <v>554283184.33657908</v>
      </c>
      <c r="M4">
        <f>'Cost Components'!$B$9</f>
        <v>554283184.33657908</v>
      </c>
      <c r="N4">
        <f>'Cost Components'!$B$9</f>
        <v>554283184.33657908</v>
      </c>
      <c r="O4">
        <f>'Cost Components'!$B$9</f>
        <v>554283184.33657908</v>
      </c>
      <c r="P4">
        <f>'Cost Components'!$B$9</f>
        <v>554283184.33657908</v>
      </c>
      <c r="Q4">
        <f>'Cost Components'!$B$9</f>
        <v>554283184.33657908</v>
      </c>
      <c r="R4">
        <f>'Cost Components'!$B$9</f>
        <v>554283184.33657908</v>
      </c>
      <c r="S4">
        <f>'Cost Components'!$B$9</f>
        <v>554283184.33657908</v>
      </c>
      <c r="T4">
        <f>'Cost Components'!$B$9</f>
        <v>554283184.33657908</v>
      </c>
      <c r="U4">
        <f>'Cost Components'!$B$9</f>
        <v>554283184.33657908</v>
      </c>
      <c r="V4">
        <f>'Cost Components'!$B$9</f>
        <v>554283184.33657908</v>
      </c>
      <c r="W4">
        <f>'Cost Components'!$B$9</f>
        <v>554283184.33657908</v>
      </c>
      <c r="X4">
        <f>'Cost Components'!$B$9</f>
        <v>554283184.33657908</v>
      </c>
      <c r="Y4">
        <f>'Cost Components'!$B$9</f>
        <v>554283184.33657908</v>
      </c>
      <c r="Z4">
        <f>'Cost Components'!$B$9</f>
        <v>554283184.33657908</v>
      </c>
      <c r="AA4">
        <f>'Cost Components'!$B$9</f>
        <v>554283184.33657908</v>
      </c>
      <c r="AB4">
        <f>'Cost Components'!$B$9</f>
        <v>554283184.33657908</v>
      </c>
      <c r="AC4">
        <f>'Cost Components'!$B$9</f>
        <v>554283184.33657908</v>
      </c>
      <c r="AD4">
        <f>'Cost Components'!$B$9</f>
        <v>554283184.33657908</v>
      </c>
      <c r="AE4">
        <f>'Cost Components'!$B$9</f>
        <v>554283184.33657908</v>
      </c>
      <c r="AF4">
        <f>'Cost Components'!$B$9</f>
        <v>554283184.33657908</v>
      </c>
    </row>
    <row r="5" spans="1:32">
      <c r="A5" t="s">
        <v>112</v>
      </c>
      <c r="B5">
        <f>B3/((1+'Study Parameters'!$C$4)^'MFSP Baseline'!B2)</f>
        <v>0</v>
      </c>
      <c r="C5">
        <f>C3/((1+'Study Parameters'!$C$4)^'MFSP Baseline'!C2) + C4</f>
        <v>2123632478.7538114</v>
      </c>
      <c r="D5">
        <f>D3/((1+'Study Parameters'!$C$4)^'MFSP Baseline'!D2) + D4</f>
        <v>2007384382.8710535</v>
      </c>
      <c r="E5">
        <f>E3/((1+'Study Parameters'!$C$4)^'MFSP Baseline'!E2) + E4</f>
        <v>1899747257.0536849</v>
      </c>
      <c r="F5">
        <f>F3/((1+'Study Parameters'!$C$4)^'MFSP Baseline'!F2) + F4</f>
        <v>1800083251.6672325</v>
      </c>
      <c r="G5">
        <f>G3/((1+'Study Parameters'!$C$4)^'MFSP Baseline'!G2) + G4</f>
        <v>1707801765.1982954</v>
      </c>
      <c r="H5">
        <f>H3/((1+'Study Parameters'!$C$4)^'MFSP Baseline'!H2) + H4</f>
        <v>1622355944.3937235</v>
      </c>
      <c r="I5">
        <f>I3/((1+'Study Parameters'!$C$4)^'MFSP Baseline'!I2) + I4</f>
        <v>1543239443.6487498</v>
      </c>
      <c r="J5">
        <f>J3/((1+'Study Parameters'!$C$4)^'MFSP Baseline'!J2) + J4</f>
        <v>1469983424.4404409</v>
      </c>
      <c r="K5">
        <f>K3/((1+'Study Parameters'!$C$4)^'MFSP Baseline'!K2) + K4</f>
        <v>1402153777.0253401</v>
      </c>
      <c r="L5">
        <f>L3/((1+'Study Parameters'!$C$4)^'MFSP Baseline'!L2) + L4</f>
        <v>1339348547.9372835</v>
      </c>
      <c r="M5">
        <f>M3/((1+'Study Parameters'!$C$4)^'MFSP Baseline'!M2) + M4</f>
        <v>1281195558.040935</v>
      </c>
      <c r="N5">
        <f>N3/((1+'Study Parameters'!$C$4)^'MFSP Baseline'!N2) + N4</f>
        <v>1227350197.0257976</v>
      </c>
      <c r="O5">
        <f>O3/((1+'Study Parameters'!$C$4)^'MFSP Baseline'!O2) + O4</f>
        <v>1177493381.2710407</v>
      </c>
      <c r="P5">
        <f>P3/((1+'Study Parameters'!$C$4)^'MFSP Baseline'!P2) + P4</f>
        <v>1131329662.979599</v>
      </c>
      <c r="Q5">
        <f>Q3/((1+'Study Parameters'!$C$4)^'MFSP Baseline'!Q2) + Q4</f>
        <v>1088585479.3764124</v>
      </c>
      <c r="R5">
        <f>R3/((1+'Study Parameters'!$C$4)^'MFSP Baseline'!R2) + R4</f>
        <v>1049007531.5956838</v>
      </c>
      <c r="S5">
        <f>S3/((1+'Study Parameters'!$C$4)^'MFSP Baseline'!S2) + S4</f>
        <v>1012361283.6505649</v>
      </c>
      <c r="T5">
        <f>T3/((1+'Study Parameters'!$C$4)^'MFSP Baseline'!T2) + T4</f>
        <v>978429572.59026968</v>
      </c>
      <c r="U5">
        <f>U3/((1+'Study Parameters'!$C$4)^'MFSP Baseline'!U2) + U4</f>
        <v>947011321.60851479</v>
      </c>
      <c r="V5">
        <f>V3/((1+'Study Parameters'!$C$4)^'MFSP Baseline'!V2) + V4</f>
        <v>917920348.47726035</v>
      </c>
      <c r="W5">
        <f>W3/((1+'Study Parameters'!$C$4)^'MFSP Baseline'!W2) + W4</f>
        <v>890984262.24461722</v>
      </c>
      <c r="X5">
        <f>X3/((1+'Study Parameters'!$C$4)^'MFSP Baseline'!X2) + X4</f>
        <v>866043441.6588366</v>
      </c>
      <c r="Y5">
        <f>Y3/((1+'Study Parameters'!$C$4)^'MFSP Baseline'!Y2) + Y4</f>
        <v>842950089.26459527</v>
      </c>
      <c r="Z5">
        <f>Z3/((1+'Study Parameters'!$C$4)^'MFSP Baseline'!Z2) + Z4</f>
        <v>821567355.56622374</v>
      </c>
      <c r="AA5">
        <f>AA3/((1+'Study Parameters'!$C$4)^'MFSP Baseline'!AA2) + AA4</f>
        <v>801768528.0677315</v>
      </c>
      <c r="AB5">
        <f>AB3/((1+'Study Parameters'!$C$4)^'MFSP Baseline'!AB2) + AB4</f>
        <v>783436280.38394248</v>
      </c>
      <c r="AC5">
        <f>AC3/((1+'Study Parameters'!$C$4)^'MFSP Baseline'!AC2) + AC4</f>
        <v>766461976.97302663</v>
      </c>
      <c r="AD5">
        <f>AD3/((1+'Study Parameters'!$C$4)^'MFSP Baseline'!AD2) + AD4</f>
        <v>750745029.37032676</v>
      </c>
      <c r="AE5">
        <f>AE3/((1+'Study Parameters'!$C$4)^'MFSP Baseline'!AE2) + AE4</f>
        <v>736192300.10856771</v>
      </c>
      <c r="AF5">
        <f>AF3/((1+'Study Parameters'!$C$4)^'MFSP Baseline'!AF2) + AF4</f>
        <v>722717550.79212403</v>
      </c>
    </row>
    <row r="6" spans="1:32">
      <c r="A6" t="s">
        <v>147</v>
      </c>
      <c r="B6">
        <v>0</v>
      </c>
      <c r="C6">
        <f>'Study Parameters'!$C$19</f>
        <v>800000000</v>
      </c>
      <c r="D6">
        <f>'Study Parameters'!$C$19</f>
        <v>800000000</v>
      </c>
      <c r="E6">
        <f>'Study Parameters'!$C$19</f>
        <v>800000000</v>
      </c>
      <c r="F6">
        <f>'Study Parameters'!$C$19</f>
        <v>800000000</v>
      </c>
      <c r="G6">
        <f>'Study Parameters'!$C$19</f>
        <v>800000000</v>
      </c>
      <c r="H6">
        <f>'Study Parameters'!$C$19</f>
        <v>800000000</v>
      </c>
      <c r="I6">
        <f>'Study Parameters'!$C$19</f>
        <v>800000000</v>
      </c>
      <c r="J6">
        <f>'Study Parameters'!$C$19</f>
        <v>800000000</v>
      </c>
      <c r="K6">
        <f>'Study Parameters'!$C$19</f>
        <v>800000000</v>
      </c>
      <c r="L6">
        <f>'Study Parameters'!$C$19</f>
        <v>800000000</v>
      </c>
      <c r="M6">
        <f>'Study Parameters'!$C$19</f>
        <v>800000000</v>
      </c>
      <c r="N6">
        <f>'Study Parameters'!$C$19</f>
        <v>800000000</v>
      </c>
      <c r="O6">
        <f>'Study Parameters'!$C$19</f>
        <v>800000000</v>
      </c>
      <c r="P6">
        <f>'Study Parameters'!$C$19</f>
        <v>800000000</v>
      </c>
      <c r="Q6">
        <f>'Study Parameters'!$C$19</f>
        <v>800000000</v>
      </c>
      <c r="R6">
        <f>'Study Parameters'!$C$19</f>
        <v>800000000</v>
      </c>
      <c r="S6">
        <f>'Study Parameters'!$C$19</f>
        <v>800000000</v>
      </c>
      <c r="T6">
        <f>'Study Parameters'!$C$19</f>
        <v>800000000</v>
      </c>
      <c r="U6">
        <f>'Study Parameters'!$C$19</f>
        <v>800000000</v>
      </c>
      <c r="V6">
        <f>'Study Parameters'!$C$19</f>
        <v>800000000</v>
      </c>
      <c r="W6">
        <f>'Study Parameters'!$C$19</f>
        <v>800000000</v>
      </c>
      <c r="X6">
        <f>'Study Parameters'!$C$19</f>
        <v>800000000</v>
      </c>
      <c r="Y6">
        <f>'Study Parameters'!$C$19</f>
        <v>800000000</v>
      </c>
      <c r="Z6">
        <f>'Study Parameters'!$C$19</f>
        <v>800000000</v>
      </c>
      <c r="AA6">
        <f>'Study Parameters'!$C$19</f>
        <v>800000000</v>
      </c>
      <c r="AB6">
        <f>'Study Parameters'!$C$19</f>
        <v>800000000</v>
      </c>
      <c r="AC6">
        <f>'Study Parameters'!$C$19</f>
        <v>800000000</v>
      </c>
      <c r="AD6">
        <f>'Study Parameters'!$C$19</f>
        <v>800000000</v>
      </c>
      <c r="AE6">
        <f>'Study Parameters'!$C$19</f>
        <v>800000000</v>
      </c>
      <c r="AF6">
        <f>'Study Parameters'!$C$19</f>
        <v>800000000</v>
      </c>
    </row>
    <row r="7" spans="1:32">
      <c r="A7" t="s">
        <v>148</v>
      </c>
      <c r="B7">
        <f>B6/((1+'Study Parameters'!$C$4)^'MFSP Baseline'!B2)</f>
        <v>0</v>
      </c>
      <c r="C7">
        <f>C6/((1+'Study Parameters'!$C$4)^'MFSP Baseline'!C2)</f>
        <v>740740740.74074066</v>
      </c>
      <c r="D7">
        <f>D6/((1+'Study Parameters'!$C$4)^'MFSP Baseline'!D2)</f>
        <v>685871056.24142659</v>
      </c>
      <c r="E7">
        <f>E6/((1+'Study Parameters'!$C$4)^'MFSP Baseline'!E2)</f>
        <v>635065792.81613564</v>
      </c>
      <c r="F7">
        <f>F6/((1+'Study Parameters'!$C$4)^'MFSP Baseline'!F2)</f>
        <v>588023882.23716259</v>
      </c>
      <c r="G7">
        <f>G6/((1+'Study Parameters'!$C$4)^'MFSP Baseline'!G2)</f>
        <v>544466557.62700236</v>
      </c>
      <c r="H7">
        <f>H6/((1+'Study Parameters'!$C$4)^'MFSP Baseline'!H2)</f>
        <v>504135701.50648367</v>
      </c>
      <c r="I7">
        <f>I6/((1+'Study Parameters'!$C$4)^'MFSP Baseline'!I2)</f>
        <v>466792316.20970708</v>
      </c>
      <c r="J7">
        <f>J6/((1+'Study Parameters'!$C$4)^'MFSP Baseline'!J2)</f>
        <v>432215107.60158062</v>
      </c>
      <c r="K7">
        <f>K6/((1+'Study Parameters'!$C$4)^'MFSP Baseline'!K2)</f>
        <v>400199173.70516723</v>
      </c>
      <c r="L7">
        <f>L6/((1+'Study Parameters'!$C$4)^'MFSP Baseline'!L2)</f>
        <v>370554790.46774739</v>
      </c>
      <c r="M7">
        <f>M6/((1+'Study Parameters'!$C$4)^'MFSP Baseline'!M2)</f>
        <v>343106287.47013646</v>
      </c>
      <c r="N7">
        <f>N6/((1+'Study Parameters'!$C$4)^'MFSP Baseline'!N2)</f>
        <v>317691006.91679299</v>
      </c>
      <c r="O7">
        <f>O6/((1+'Study Parameters'!$C$4)^'MFSP Baseline'!O2)</f>
        <v>294158339.73777133</v>
      </c>
      <c r="P7">
        <f>P6/((1+'Study Parameters'!$C$4)^'MFSP Baseline'!P2)</f>
        <v>272368833.09052896</v>
      </c>
      <c r="Q7">
        <f>Q6/((1+'Study Parameters'!$C$4)^'MFSP Baseline'!Q2)</f>
        <v>252193363.97271198</v>
      </c>
      <c r="R7">
        <f>R6/((1+'Study Parameters'!$C$4)^'MFSP Baseline'!R2)</f>
        <v>233512374.04880738</v>
      </c>
      <c r="S7">
        <f>S6/((1+'Study Parameters'!$C$4)^'MFSP Baseline'!S2)</f>
        <v>216215161.15630314</v>
      </c>
      <c r="T7">
        <f>T6/((1+'Study Parameters'!$C$4)^'MFSP Baseline'!T2)</f>
        <v>200199223.29287323</v>
      </c>
      <c r="U7">
        <f>U6/((1+'Study Parameters'!$C$4)^'MFSP Baseline'!U2)</f>
        <v>185369651.19710484</v>
      </c>
      <c r="V7">
        <f>V6/((1+'Study Parameters'!$C$4)^'MFSP Baseline'!V2)</f>
        <v>171638565.92324522</v>
      </c>
      <c r="W7">
        <f>W6/((1+'Study Parameters'!$C$4)^'MFSP Baseline'!W2)</f>
        <v>158924598.07707891</v>
      </c>
      <c r="X7">
        <f>X6/((1+'Study Parameters'!$C$4)^'MFSP Baseline'!X2)</f>
        <v>147152405.6269249</v>
      </c>
      <c r="Y7">
        <f>Y6/((1+'Study Parameters'!$C$4)^'MFSP Baseline'!Y2)</f>
        <v>136252227.43233788</v>
      </c>
      <c r="Z7">
        <f>Z6/((1+'Study Parameters'!$C$4)^'MFSP Baseline'!Z2)</f>
        <v>126159469.84475727</v>
      </c>
      <c r="AA7">
        <f>AA6/((1+'Study Parameters'!$C$4)^'MFSP Baseline'!AA2)</f>
        <v>116814323.9303308</v>
      </c>
      <c r="AB7">
        <f>AB6/((1+'Study Parameters'!$C$4)^'MFSP Baseline'!AB2)</f>
        <v>108161411.04660261</v>
      </c>
      <c r="AC7">
        <f>AC6/((1+'Study Parameters'!$C$4)^'MFSP Baseline'!AC2)</f>
        <v>100149454.67278019</v>
      </c>
      <c r="AD7">
        <f>AD6/((1+'Study Parameters'!$C$4)^'MFSP Baseline'!AD2)</f>
        <v>92730976.548870534</v>
      </c>
      <c r="AE7">
        <f>AE6/((1+'Study Parameters'!$C$4)^'MFSP Baseline'!AE2)</f>
        <v>85862015.323028266</v>
      </c>
      <c r="AF7">
        <f>AF6/((1+'Study Parameters'!$C$4)^'MFSP Baseline'!AF2)</f>
        <v>79501866.039840981</v>
      </c>
    </row>
    <row r="9" spans="1:32">
      <c r="A9" t="s">
        <v>149</v>
      </c>
      <c r="B9">
        <f>SUM(B5:AF5) / SUM(B7:AF7)</f>
        <v>3.9649547712511146</v>
      </c>
    </row>
    <row r="11" spans="1:32">
      <c r="A11" t="s">
        <v>150</v>
      </c>
    </row>
    <row r="12" spans="1:32">
      <c r="A12" t="s">
        <v>1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11</v>
      </c>
      <c r="N12">
        <v>12</v>
      </c>
      <c r="O12">
        <v>13</v>
      </c>
      <c r="P12">
        <v>14</v>
      </c>
      <c r="Q12">
        <v>15</v>
      </c>
      <c r="R12">
        <v>16</v>
      </c>
      <c r="S12">
        <v>17</v>
      </c>
      <c r="T12">
        <v>18</v>
      </c>
      <c r="U12">
        <v>19</v>
      </c>
      <c r="V12">
        <v>20</v>
      </c>
      <c r="W12">
        <v>21</v>
      </c>
      <c r="X12">
        <v>22</v>
      </c>
      <c r="Y12">
        <v>23</v>
      </c>
      <c r="Z12">
        <v>24</v>
      </c>
      <c r="AA12">
        <v>25</v>
      </c>
      <c r="AB12">
        <v>26</v>
      </c>
      <c r="AC12">
        <v>27</v>
      </c>
      <c r="AD12">
        <v>28</v>
      </c>
      <c r="AE12">
        <v>29</v>
      </c>
      <c r="AF12">
        <v>30</v>
      </c>
    </row>
    <row r="13" spans="1:32">
      <c r="A13" t="s">
        <v>111</v>
      </c>
      <c r="B13">
        <v>0</v>
      </c>
      <c r="C13">
        <f>'Cost Components'!$B$52*10^6</f>
        <v>628830210.6372776</v>
      </c>
      <c r="D13">
        <f>'Cost Components'!$B$52*10^6</f>
        <v>628830210.6372776</v>
      </c>
      <c r="E13">
        <f>'Cost Components'!$B$52*10^6</f>
        <v>628830210.6372776</v>
      </c>
      <c r="F13">
        <f>'Cost Components'!$B$52*10^6</f>
        <v>628830210.6372776</v>
      </c>
      <c r="G13">
        <f>'Cost Components'!$B$52*10^6</f>
        <v>628830210.6372776</v>
      </c>
      <c r="H13">
        <f>'Cost Components'!$B$52*10^6</f>
        <v>628830210.6372776</v>
      </c>
      <c r="I13">
        <f>'Cost Components'!$B$52*10^6</f>
        <v>628830210.6372776</v>
      </c>
      <c r="J13">
        <f>'Cost Components'!$B$52*10^6</f>
        <v>628830210.6372776</v>
      </c>
      <c r="K13">
        <f>'Cost Components'!$B$52*10^6</f>
        <v>628830210.6372776</v>
      </c>
      <c r="L13">
        <f>'Cost Components'!$B$52*10^6</f>
        <v>628830210.6372776</v>
      </c>
      <c r="M13">
        <f>'Cost Components'!$B$52*10^6</f>
        <v>628830210.6372776</v>
      </c>
      <c r="N13">
        <f>'Cost Components'!$B$52*10^6</f>
        <v>628830210.6372776</v>
      </c>
      <c r="O13">
        <f>'Cost Components'!$B$52*10^6</f>
        <v>628830210.6372776</v>
      </c>
      <c r="P13">
        <f>'Cost Components'!$B$52*10^6</f>
        <v>628830210.6372776</v>
      </c>
      <c r="Q13">
        <f>'Cost Components'!$B$52*10^6</f>
        <v>628830210.6372776</v>
      </c>
      <c r="R13">
        <f>'Cost Components'!$B$52*10^6</f>
        <v>628830210.6372776</v>
      </c>
      <c r="S13">
        <f>'Cost Components'!$B$52*10^6</f>
        <v>628830210.6372776</v>
      </c>
      <c r="T13">
        <f>'Cost Components'!$B$52*10^6</f>
        <v>628830210.6372776</v>
      </c>
      <c r="U13">
        <f>'Cost Components'!$B$52*10^6</f>
        <v>628830210.6372776</v>
      </c>
      <c r="V13">
        <f>'Cost Components'!$B$52*10^6</f>
        <v>628830210.6372776</v>
      </c>
      <c r="W13">
        <f>'Cost Components'!$B$52*10^6</f>
        <v>628830210.6372776</v>
      </c>
      <c r="X13">
        <f>'Cost Components'!$B$52*10^6</f>
        <v>628830210.6372776</v>
      </c>
      <c r="Y13">
        <f>'Cost Components'!$B$52*10^6</f>
        <v>628830210.6372776</v>
      </c>
      <c r="Z13">
        <f>'Cost Components'!$B$52*10^6</f>
        <v>628830210.6372776</v>
      </c>
      <c r="AA13">
        <f>'Cost Components'!$B$52*10^6</f>
        <v>628830210.6372776</v>
      </c>
      <c r="AB13">
        <f>'Cost Components'!$B$52*10^6</f>
        <v>628830210.6372776</v>
      </c>
      <c r="AC13">
        <f>'Cost Components'!$B$52*10^6</f>
        <v>628830210.6372776</v>
      </c>
      <c r="AD13">
        <f>'Cost Components'!$B$52*10^6</f>
        <v>628830210.6372776</v>
      </c>
      <c r="AE13">
        <f>'Cost Components'!$B$52*10^6</f>
        <v>628830210.6372776</v>
      </c>
      <c r="AF13">
        <f>'Cost Components'!$B$52*10^6</f>
        <v>628830210.6372776</v>
      </c>
    </row>
    <row r="14" spans="1:32">
      <c r="A14" t="s">
        <v>146</v>
      </c>
      <c r="B14">
        <v>0</v>
      </c>
      <c r="C14">
        <f>'Cost Components'!$B$29</f>
        <v>331859291.13484931</v>
      </c>
      <c r="D14">
        <f>'Cost Components'!$B$29</f>
        <v>331859291.13484931</v>
      </c>
      <c r="E14">
        <f>'Cost Components'!$B$29</f>
        <v>331859291.13484931</v>
      </c>
      <c r="F14">
        <f>'Cost Components'!$B$29</f>
        <v>331859291.13484931</v>
      </c>
      <c r="G14">
        <f>'Cost Components'!$B$29</f>
        <v>331859291.13484931</v>
      </c>
      <c r="H14">
        <f>'Cost Components'!$B$29</f>
        <v>331859291.13484931</v>
      </c>
      <c r="I14">
        <f>'Cost Components'!$B$29</f>
        <v>331859291.13484931</v>
      </c>
      <c r="J14">
        <f>'Cost Components'!$B$29</f>
        <v>331859291.13484931</v>
      </c>
      <c r="K14">
        <f>'Cost Components'!$B$29</f>
        <v>331859291.13484931</v>
      </c>
      <c r="L14">
        <f>'Cost Components'!$B$29</f>
        <v>331859291.13484931</v>
      </c>
      <c r="M14">
        <f>'Cost Components'!$B$29</f>
        <v>331859291.13484931</v>
      </c>
      <c r="N14">
        <f>'Cost Components'!$B$29</f>
        <v>331859291.13484931</v>
      </c>
      <c r="O14">
        <f>'Cost Components'!$B$29</f>
        <v>331859291.13484931</v>
      </c>
      <c r="P14">
        <f>'Cost Components'!$B$29</f>
        <v>331859291.13484931</v>
      </c>
      <c r="Q14">
        <f>'Cost Components'!$B$29</f>
        <v>331859291.13484931</v>
      </c>
      <c r="R14">
        <f>'Cost Components'!$B$29</f>
        <v>331859291.13484931</v>
      </c>
      <c r="S14">
        <f>'Cost Components'!$B$29</f>
        <v>331859291.13484931</v>
      </c>
      <c r="T14">
        <f>'Cost Components'!$B$29</f>
        <v>331859291.13484931</v>
      </c>
      <c r="U14">
        <f>'Cost Components'!$B$29</f>
        <v>331859291.13484931</v>
      </c>
      <c r="V14">
        <f>'Cost Components'!$B$29</f>
        <v>331859291.13484931</v>
      </c>
      <c r="W14">
        <f>'Cost Components'!$B$29</f>
        <v>331859291.13484931</v>
      </c>
      <c r="X14">
        <f>'Cost Components'!$B$29</f>
        <v>331859291.13484931</v>
      </c>
      <c r="Y14">
        <f>'Cost Components'!$B$29</f>
        <v>331859291.13484931</v>
      </c>
      <c r="Z14">
        <f>'Cost Components'!$B$29</f>
        <v>331859291.13484931</v>
      </c>
      <c r="AA14">
        <f>'Cost Components'!$B$29</f>
        <v>331859291.13484931</v>
      </c>
      <c r="AB14">
        <f>'Cost Components'!$B$29</f>
        <v>331859291.13484931</v>
      </c>
      <c r="AC14">
        <f>'Cost Components'!$B$29</f>
        <v>331859291.13484931</v>
      </c>
      <c r="AD14">
        <f>'Cost Components'!$B$29</f>
        <v>331859291.13484931</v>
      </c>
      <c r="AE14">
        <f>'Cost Components'!$B$29</f>
        <v>331859291.13484931</v>
      </c>
      <c r="AF14">
        <f>'Cost Components'!$B$29</f>
        <v>331859291.13484931</v>
      </c>
    </row>
    <row r="15" spans="1:32">
      <c r="A15" t="s">
        <v>112</v>
      </c>
      <c r="B15">
        <v>0</v>
      </c>
      <c r="C15">
        <f>C13/((1+'Study Parameters'!$C$4)^'MFSP Baseline'!C12) + C14</f>
        <v>914109486.16936553</v>
      </c>
      <c r="D15">
        <f>D13/((1+'Study Parameters'!$C$4)^'MFSP Baseline'!D12) + D14</f>
        <v>870979842.09273469</v>
      </c>
      <c r="E15">
        <f>E13/((1+'Study Parameters'!$C$4)^'MFSP Baseline'!E12) + E14</f>
        <v>831044986.46622467</v>
      </c>
      <c r="F15">
        <f>F13/((1+'Study Parameters'!$C$4)^'MFSP Baseline'!F12) + F14</f>
        <v>794068268.29353023</v>
      </c>
      <c r="G15">
        <f>G13/((1+'Study Parameters'!$C$4)^'MFSP Baseline'!G12) + G14</f>
        <v>759830566.28177595</v>
      </c>
      <c r="H15">
        <f>H13/((1+'Study Parameters'!$C$4)^'MFSP Baseline'!H12) + H14</f>
        <v>728128990.34496665</v>
      </c>
      <c r="I15">
        <f>I13/((1+'Study Parameters'!$C$4)^'MFSP Baseline'!I12) + I14</f>
        <v>698775679.29236531</v>
      </c>
      <c r="J15">
        <f>J13/((1+'Study Parameters'!$C$4)^'MFSP Baseline'!J12) + J14</f>
        <v>671596687.5769937</v>
      </c>
      <c r="K15">
        <f>K13/((1+'Study Parameters'!$C$4)^'MFSP Baseline'!K12) + K14</f>
        <v>646430954.50720525</v>
      </c>
      <c r="L15">
        <f>L13/((1+'Study Parameters'!$C$4)^'MFSP Baseline'!L12) + L14</f>
        <v>623129349.81295657</v>
      </c>
      <c r="M15">
        <f>M13/((1+'Study Parameters'!$C$4)^'MFSP Baseline'!M12) + M14</f>
        <v>601553789.91087461</v>
      </c>
      <c r="N15">
        <f>N13/((1+'Study Parameters'!$C$4)^'MFSP Baseline'!N12) + N14</f>
        <v>581576419.63116908</v>
      </c>
      <c r="O15">
        <f>O13/((1+'Study Parameters'!$C$4)^'MFSP Baseline'!O12) + O14</f>
        <v>563078854.55736756</v>
      </c>
      <c r="P15">
        <f>P13/((1+'Study Parameters'!$C$4)^'MFSP Baseline'!P12) + P14</f>
        <v>545951479.48903286</v>
      </c>
      <c r="Q15">
        <f>Q13/((1+'Study Parameters'!$C$4)^'MFSP Baseline'!Q12) + Q14</f>
        <v>530092798.87020445</v>
      </c>
      <c r="R15">
        <f>R13/((1+'Study Parameters'!$C$4)^'MFSP Baseline'!R12) + R14</f>
        <v>515408835.33425218</v>
      </c>
      <c r="S15">
        <f>S13/((1+'Study Parameters'!$C$4)^'MFSP Baseline'!S12) + S14</f>
        <v>501812572.80096304</v>
      </c>
      <c r="T15">
        <f>T13/((1+'Study Parameters'!$C$4)^'MFSP Baseline'!T12) + T14</f>
        <v>489223440.8256954</v>
      </c>
      <c r="U15">
        <f>U13/((1+'Study Parameters'!$C$4)^'MFSP Baseline'!U12) + U14</f>
        <v>477566837.14489198</v>
      </c>
      <c r="V15">
        <f>V13/((1+'Study Parameters'!$C$4)^'MFSP Baseline'!V12) + V14</f>
        <v>466773685.58859253</v>
      </c>
      <c r="W15">
        <f>W13/((1+'Study Parameters'!$C$4)^'MFSP Baseline'!W12) + W14</f>
        <v>456780026.74016708</v>
      </c>
      <c r="X15">
        <f>X13/((1+'Study Parameters'!$C$4)^'MFSP Baseline'!X12) + X14</f>
        <v>447526638.91755092</v>
      </c>
      <c r="Y15">
        <f>Y13/((1+'Study Parameters'!$C$4)^'MFSP Baseline'!Y12) + Y14</f>
        <v>438958687.22994339</v>
      </c>
      <c r="Z15">
        <f>Z13/((1+'Study Parameters'!$C$4)^'MFSP Baseline'!Z12) + Z14</f>
        <v>431025398.63030678</v>
      </c>
      <c r="AA15">
        <f>AA13/((1+'Study Parameters'!$C$4)^'MFSP Baseline'!AA12) + AA14</f>
        <v>423679761.03805065</v>
      </c>
      <c r="AB15">
        <f>AB13/((1+'Study Parameters'!$C$4)^'MFSP Baseline'!AB12) + AB14</f>
        <v>416878244.74892467</v>
      </c>
      <c r="AC15">
        <f>AC13/((1+'Study Parameters'!$C$4)^'MFSP Baseline'!AC12) + AC14</f>
        <v>410580544.48121536</v>
      </c>
      <c r="AD15">
        <f>AD13/((1+'Study Parameters'!$C$4)^'MFSP Baseline'!AD12) + AD14</f>
        <v>404749340.52963269</v>
      </c>
      <c r="AE15">
        <f>AE13/((1+'Study Parameters'!$C$4)^'MFSP Baseline'!AE12) + AE14</f>
        <v>399350077.61150062</v>
      </c>
      <c r="AF15">
        <f>AF13/((1+'Study Parameters'!$C$4)^'MFSP Baseline'!AF12) + AF14</f>
        <v>394350760.0947116</v>
      </c>
    </row>
    <row r="16" spans="1:32">
      <c r="A16" t="s">
        <v>147</v>
      </c>
      <c r="B16">
        <v>0</v>
      </c>
      <c r="C16">
        <f>'Study Parameters'!$C$19</f>
        <v>800000000</v>
      </c>
      <c r="D16">
        <f>'Study Parameters'!$C$19</f>
        <v>800000000</v>
      </c>
      <c r="E16">
        <f>'Study Parameters'!$C$19</f>
        <v>800000000</v>
      </c>
      <c r="F16">
        <f>'Study Parameters'!$C$19</f>
        <v>800000000</v>
      </c>
      <c r="G16">
        <f>'Study Parameters'!$C$19</f>
        <v>800000000</v>
      </c>
      <c r="H16">
        <f>'Study Parameters'!$C$19</f>
        <v>800000000</v>
      </c>
      <c r="I16">
        <f>'Study Parameters'!$C$19</f>
        <v>800000000</v>
      </c>
      <c r="J16">
        <f>'Study Parameters'!$C$19</f>
        <v>800000000</v>
      </c>
      <c r="K16">
        <f>'Study Parameters'!$C$19</f>
        <v>800000000</v>
      </c>
      <c r="L16">
        <f>'Study Parameters'!$C$19</f>
        <v>800000000</v>
      </c>
      <c r="M16">
        <f>'Study Parameters'!$C$19</f>
        <v>800000000</v>
      </c>
      <c r="N16">
        <f>'Study Parameters'!$C$19</f>
        <v>800000000</v>
      </c>
      <c r="O16">
        <f>'Study Parameters'!$C$19</f>
        <v>800000000</v>
      </c>
      <c r="P16">
        <f>'Study Parameters'!$C$19</f>
        <v>800000000</v>
      </c>
      <c r="Q16">
        <f>'Study Parameters'!$C$19</f>
        <v>800000000</v>
      </c>
      <c r="R16">
        <f>'Study Parameters'!$C$19</f>
        <v>800000000</v>
      </c>
      <c r="S16">
        <f>'Study Parameters'!$C$19</f>
        <v>800000000</v>
      </c>
      <c r="T16">
        <f>'Study Parameters'!$C$19</f>
        <v>800000000</v>
      </c>
      <c r="U16">
        <f>'Study Parameters'!$C$19</f>
        <v>800000000</v>
      </c>
      <c r="V16">
        <f>'Study Parameters'!$C$19</f>
        <v>800000000</v>
      </c>
      <c r="W16">
        <f>'Study Parameters'!$C$19</f>
        <v>800000000</v>
      </c>
      <c r="X16">
        <f>'Study Parameters'!$C$19</f>
        <v>800000000</v>
      </c>
      <c r="Y16">
        <f>'Study Parameters'!$C$19</f>
        <v>800000000</v>
      </c>
      <c r="Z16">
        <f>'Study Parameters'!$C$19</f>
        <v>800000000</v>
      </c>
      <c r="AA16">
        <f>'Study Parameters'!$C$19</f>
        <v>800000000</v>
      </c>
      <c r="AB16">
        <f>'Study Parameters'!$C$19</f>
        <v>800000000</v>
      </c>
      <c r="AC16">
        <f>'Study Parameters'!$C$19</f>
        <v>800000000</v>
      </c>
      <c r="AD16">
        <f>'Study Parameters'!$C$19</f>
        <v>800000000</v>
      </c>
      <c r="AE16">
        <f>'Study Parameters'!$C$19</f>
        <v>800000000</v>
      </c>
      <c r="AF16">
        <f>'Study Parameters'!$C$19</f>
        <v>800000000</v>
      </c>
    </row>
    <row r="17" spans="1:32">
      <c r="A17" t="s">
        <v>148</v>
      </c>
      <c r="B17">
        <v>0</v>
      </c>
      <c r="C17">
        <f>C16/((1+'Study Parameters'!$C$4)^'MFSP Baseline'!C12)</f>
        <v>740740740.74074066</v>
      </c>
      <c r="D17">
        <f>D16/((1+'Study Parameters'!$C$4)^'MFSP Baseline'!D12)</f>
        <v>685871056.24142659</v>
      </c>
      <c r="E17">
        <f>E16/((1+'Study Parameters'!$C$4)^'MFSP Baseline'!E12)</f>
        <v>635065792.81613564</v>
      </c>
      <c r="F17">
        <f>F16/((1+'Study Parameters'!$C$4)^'MFSP Baseline'!F12)</f>
        <v>588023882.23716259</v>
      </c>
      <c r="G17">
        <f>G16/((1+'Study Parameters'!$C$4)^'MFSP Baseline'!G12)</f>
        <v>544466557.62700236</v>
      </c>
      <c r="H17">
        <f>H16/((1+'Study Parameters'!$C$4)^'MFSP Baseline'!H12)</f>
        <v>504135701.50648367</v>
      </c>
      <c r="I17">
        <f>I16/((1+'Study Parameters'!$C$4)^'MFSP Baseline'!I12)</f>
        <v>466792316.20970708</v>
      </c>
      <c r="J17">
        <f>J16/((1+'Study Parameters'!$C$4)^'MFSP Baseline'!J12)</f>
        <v>432215107.60158062</v>
      </c>
      <c r="K17">
        <f>K16/((1+'Study Parameters'!$C$4)^'MFSP Baseline'!K12)</f>
        <v>400199173.70516723</v>
      </c>
      <c r="L17">
        <f>L16/((1+'Study Parameters'!$C$4)^'MFSP Baseline'!L12)</f>
        <v>370554790.46774739</v>
      </c>
      <c r="M17">
        <f>M16/((1+'Study Parameters'!$C$4)^'MFSP Baseline'!M12)</f>
        <v>343106287.47013646</v>
      </c>
      <c r="N17">
        <f>N16/((1+'Study Parameters'!$C$4)^'MFSP Baseline'!N12)</f>
        <v>317691006.91679299</v>
      </c>
      <c r="O17">
        <f>O16/((1+'Study Parameters'!$C$4)^'MFSP Baseline'!O12)</f>
        <v>294158339.73777133</v>
      </c>
      <c r="P17">
        <f>P16/((1+'Study Parameters'!$C$4)^'MFSP Baseline'!P12)</f>
        <v>272368833.09052896</v>
      </c>
      <c r="Q17">
        <f>Q16/((1+'Study Parameters'!$C$4)^'MFSP Baseline'!Q12)</f>
        <v>252193363.97271198</v>
      </c>
      <c r="R17">
        <f>R16/((1+'Study Parameters'!$C$4)^'MFSP Baseline'!R12)</f>
        <v>233512374.04880738</v>
      </c>
      <c r="S17">
        <f>S16/((1+'Study Parameters'!$C$4)^'MFSP Baseline'!S12)</f>
        <v>216215161.15630314</v>
      </c>
      <c r="T17">
        <f>T16/((1+'Study Parameters'!$C$4)^'MFSP Baseline'!T12)</f>
        <v>200199223.29287323</v>
      </c>
      <c r="U17">
        <f>U16/((1+'Study Parameters'!$C$4)^'MFSP Baseline'!U12)</f>
        <v>185369651.19710484</v>
      </c>
      <c r="V17">
        <f>V16/((1+'Study Parameters'!$C$4)^'MFSP Baseline'!V12)</f>
        <v>171638565.92324522</v>
      </c>
      <c r="W17">
        <f>W16/((1+'Study Parameters'!$C$4)^'MFSP Baseline'!W12)</f>
        <v>158924598.07707891</v>
      </c>
      <c r="X17">
        <f>X16/((1+'Study Parameters'!$C$4)^'MFSP Baseline'!X12)</f>
        <v>147152405.6269249</v>
      </c>
      <c r="Y17">
        <f>Y16/((1+'Study Parameters'!$C$4)^'MFSP Baseline'!Y12)</f>
        <v>136252227.43233788</v>
      </c>
      <c r="Z17">
        <f>Z16/((1+'Study Parameters'!$C$4)^'MFSP Baseline'!Z12)</f>
        <v>126159469.84475727</v>
      </c>
      <c r="AA17">
        <f>AA16/((1+'Study Parameters'!$C$4)^'MFSP Baseline'!AA12)</f>
        <v>116814323.9303308</v>
      </c>
      <c r="AB17">
        <f>AB16/((1+'Study Parameters'!$C$4)^'MFSP Baseline'!AB12)</f>
        <v>108161411.04660261</v>
      </c>
      <c r="AC17">
        <f>AC16/((1+'Study Parameters'!$C$4)^'MFSP Baseline'!AC12)</f>
        <v>100149454.67278019</v>
      </c>
      <c r="AD17">
        <f>AD16/((1+'Study Parameters'!$C$4)^'MFSP Baseline'!AD12)</f>
        <v>92730976.548870534</v>
      </c>
      <c r="AE17">
        <f>AE16/((1+'Study Parameters'!$C$4)^'MFSP Baseline'!AE12)</f>
        <v>85862015.323028266</v>
      </c>
      <c r="AF17">
        <f>AF16/((1+'Study Parameters'!$C$4)^'MFSP Baseline'!AF12)</f>
        <v>79501866.039840981</v>
      </c>
    </row>
    <row r="19" spans="1:32">
      <c r="A19" t="s">
        <v>149</v>
      </c>
      <c r="B19">
        <f>SUM(B15:AF15) / SUM(B17:AF17)</f>
        <v>1.8914706036926556</v>
      </c>
    </row>
    <row r="21" spans="1:32" s="24" customFormat="1"/>
    <row r="23" spans="1:32">
      <c r="A23" t="s">
        <v>151</v>
      </c>
    </row>
    <row r="24" spans="1:32">
      <c r="A24" t="s">
        <v>1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</row>
    <row r="25" spans="1:32">
      <c r="A25" t="s">
        <v>111</v>
      </c>
      <c r="B25">
        <v>0</v>
      </c>
      <c r="C25">
        <f xml:space="preserve"> 'Cost Components'!$H$43 * 10^6</f>
        <v>1687007237.9706109</v>
      </c>
      <c r="D25">
        <f xml:space="preserve"> 'Cost Components'!$H$43 * 10^6</f>
        <v>1687007237.9706109</v>
      </c>
      <c r="E25">
        <f xml:space="preserve"> 'Cost Components'!$H$43 * 10^6</f>
        <v>1687007237.9706109</v>
      </c>
      <c r="F25">
        <f xml:space="preserve"> 'Cost Components'!$H$43 * 10^6</f>
        <v>1687007237.9706109</v>
      </c>
      <c r="G25">
        <f xml:space="preserve"> 'Cost Components'!$H$43 * 10^6</f>
        <v>1687007237.9706109</v>
      </c>
      <c r="H25">
        <f xml:space="preserve"> 'Cost Components'!$H$43 * 10^6</f>
        <v>1687007237.9706109</v>
      </c>
      <c r="I25">
        <f xml:space="preserve"> 'Cost Components'!$H$43 * 10^6</f>
        <v>1687007237.9706109</v>
      </c>
      <c r="J25">
        <f xml:space="preserve"> 'Cost Components'!$H$43 * 10^6</f>
        <v>1687007237.9706109</v>
      </c>
      <c r="K25">
        <f xml:space="preserve"> 'Cost Components'!$H$43 * 10^6</f>
        <v>1687007237.9706109</v>
      </c>
      <c r="L25">
        <f xml:space="preserve"> 'Cost Components'!$H$43 * 10^6</f>
        <v>1687007237.9706109</v>
      </c>
      <c r="M25">
        <f xml:space="preserve"> 'Cost Components'!$H$43 * 10^6</f>
        <v>1687007237.9706109</v>
      </c>
      <c r="N25">
        <f xml:space="preserve"> 'Cost Components'!$H$43 * 10^6</f>
        <v>1687007237.9706109</v>
      </c>
      <c r="O25">
        <f xml:space="preserve"> 'Cost Components'!$H$43 * 10^6</f>
        <v>1687007237.9706109</v>
      </c>
      <c r="P25">
        <f xml:space="preserve"> 'Cost Components'!$H$43 * 10^6</f>
        <v>1687007237.9706109</v>
      </c>
      <c r="Q25">
        <f xml:space="preserve"> 'Cost Components'!$H$43 * 10^6</f>
        <v>1687007237.9706109</v>
      </c>
      <c r="R25">
        <f xml:space="preserve"> 'Cost Components'!$H$43 * 10^6</f>
        <v>1687007237.9706109</v>
      </c>
      <c r="S25">
        <f xml:space="preserve"> 'Cost Components'!$H$43 * 10^6</f>
        <v>1687007237.9706109</v>
      </c>
      <c r="T25">
        <f xml:space="preserve"> 'Cost Components'!$H$43 * 10^6</f>
        <v>1687007237.9706109</v>
      </c>
      <c r="U25">
        <f xml:space="preserve"> 'Cost Components'!$H$43 * 10^6</f>
        <v>1687007237.9706109</v>
      </c>
      <c r="V25">
        <f xml:space="preserve"> 'Cost Components'!$H$43 * 10^6</f>
        <v>1687007237.9706109</v>
      </c>
      <c r="W25">
        <f xml:space="preserve"> 'Cost Components'!$H$43 * 10^6</f>
        <v>1687007237.9706109</v>
      </c>
      <c r="X25">
        <f xml:space="preserve"> 'Cost Components'!$H$43 * 10^6</f>
        <v>1687007237.9706109</v>
      </c>
      <c r="Y25">
        <f xml:space="preserve"> 'Cost Components'!$H$43 * 10^6</f>
        <v>1687007237.9706109</v>
      </c>
      <c r="Z25">
        <f xml:space="preserve"> 'Cost Components'!$H$43 * 10^6</f>
        <v>1687007237.9706109</v>
      </c>
      <c r="AA25">
        <f xml:space="preserve"> 'Cost Components'!$H$43 * 10^6</f>
        <v>1687007237.9706109</v>
      </c>
      <c r="AB25">
        <f xml:space="preserve"> 'Cost Components'!$H$43 * 10^6</f>
        <v>1687007237.9706109</v>
      </c>
      <c r="AC25">
        <f xml:space="preserve"> 'Cost Components'!$H$43 * 10^6</f>
        <v>1687007237.9706109</v>
      </c>
      <c r="AD25">
        <f xml:space="preserve"> 'Cost Components'!$H$43 * 10^6</f>
        <v>1687007237.9706109</v>
      </c>
      <c r="AE25">
        <f xml:space="preserve"> 'Cost Components'!$H$43 * 10^6</f>
        <v>1687007237.9706109</v>
      </c>
      <c r="AF25">
        <f xml:space="preserve"> 'Cost Components'!$H$43 * 10^6</f>
        <v>1687007237.9706109</v>
      </c>
    </row>
    <row r="26" spans="1:32">
      <c r="A26" t="s">
        <v>146</v>
      </c>
      <c r="B26">
        <v>0</v>
      </c>
      <c r="C26">
        <f>'Cost Components'!$H$9</f>
        <v>440228759.86732149</v>
      </c>
      <c r="D26">
        <f>'Cost Components'!$H$9</f>
        <v>440228759.86732149</v>
      </c>
      <c r="E26">
        <f>'Cost Components'!$H$9</f>
        <v>440228759.86732149</v>
      </c>
      <c r="F26">
        <f>'Cost Components'!$H$9</f>
        <v>440228759.86732149</v>
      </c>
      <c r="G26">
        <f>'Cost Components'!$H$9</f>
        <v>440228759.86732149</v>
      </c>
      <c r="H26">
        <f>'Cost Components'!$H$9</f>
        <v>440228759.86732149</v>
      </c>
      <c r="I26">
        <f>'Cost Components'!$H$9</f>
        <v>440228759.86732149</v>
      </c>
      <c r="J26">
        <f>'Cost Components'!$H$9</f>
        <v>440228759.86732149</v>
      </c>
      <c r="K26">
        <f>'Cost Components'!$H$9</f>
        <v>440228759.86732149</v>
      </c>
      <c r="L26">
        <f>'Cost Components'!$H$9</f>
        <v>440228759.86732149</v>
      </c>
      <c r="M26">
        <f>'Cost Components'!$H$9</f>
        <v>440228759.86732149</v>
      </c>
      <c r="N26">
        <f>'Cost Components'!$H$9</f>
        <v>440228759.86732149</v>
      </c>
      <c r="O26">
        <f>'Cost Components'!$H$9</f>
        <v>440228759.86732149</v>
      </c>
      <c r="P26">
        <f>'Cost Components'!$H$9</f>
        <v>440228759.86732149</v>
      </c>
      <c r="Q26">
        <f>'Cost Components'!$H$9</f>
        <v>440228759.86732149</v>
      </c>
      <c r="R26">
        <f>'Cost Components'!$H$9</f>
        <v>440228759.86732149</v>
      </c>
      <c r="S26">
        <f>'Cost Components'!$H$9</f>
        <v>440228759.86732149</v>
      </c>
      <c r="T26">
        <f>'Cost Components'!$H$9</f>
        <v>440228759.86732149</v>
      </c>
      <c r="U26">
        <f>'Cost Components'!$H$9</f>
        <v>440228759.86732149</v>
      </c>
      <c r="V26">
        <f>'Cost Components'!$H$9</f>
        <v>440228759.86732149</v>
      </c>
      <c r="W26">
        <f>'Cost Components'!$H$9</f>
        <v>440228759.86732149</v>
      </c>
      <c r="X26">
        <f>'Cost Components'!$H$9</f>
        <v>440228759.86732149</v>
      </c>
      <c r="Y26">
        <f>'Cost Components'!$H$9</f>
        <v>440228759.86732149</v>
      </c>
      <c r="Z26">
        <f>'Cost Components'!$H$9</f>
        <v>440228759.86732149</v>
      </c>
      <c r="AA26">
        <f>'Cost Components'!$H$9</f>
        <v>440228759.86732149</v>
      </c>
      <c r="AB26">
        <f>'Cost Components'!$H$9</f>
        <v>440228759.86732149</v>
      </c>
      <c r="AC26">
        <f>'Cost Components'!$H$9</f>
        <v>440228759.86732149</v>
      </c>
      <c r="AD26">
        <f>'Cost Components'!$H$9</f>
        <v>440228759.86732149</v>
      </c>
      <c r="AE26">
        <f>'Cost Components'!$H$9</f>
        <v>440228759.86732149</v>
      </c>
      <c r="AF26">
        <f>'Cost Components'!$H$9</f>
        <v>440228759.86732149</v>
      </c>
    </row>
    <row r="27" spans="1:32">
      <c r="A27" t="s">
        <v>112</v>
      </c>
      <c r="B27">
        <f>B25/((1+'Study Parameters'!$C$4)^'MFSP Baseline'!B24)</f>
        <v>0</v>
      </c>
      <c r="C27">
        <f>C25/((1+'Study Parameters'!$C$4)^'MFSP Baseline'!C24) + C26</f>
        <v>2002272498.7289982</v>
      </c>
      <c r="D27">
        <f>D25/((1+'Study Parameters'!$C$4)^'MFSP Baseline'!D24) + D26</f>
        <v>1886565555.1096146</v>
      </c>
      <c r="E27">
        <f>E25/((1+'Study Parameters'!$C$4)^'MFSP Baseline'!E24) + E26</f>
        <v>1779429496.2027781</v>
      </c>
      <c r="F27">
        <f>F25/((1+'Study Parameters'!$C$4)^'MFSP Baseline'!F24) + F26</f>
        <v>1680229441.6594107</v>
      </c>
      <c r="G27">
        <f>G25/((1+'Study Parameters'!$C$4)^'MFSP Baseline'!G24) + G26</f>
        <v>1588377539.3044412</v>
      </c>
      <c r="H27">
        <f>H25/((1+'Study Parameters'!$C$4)^'MFSP Baseline'!H24) + H26</f>
        <v>1503329481.5683582</v>
      </c>
      <c r="I27">
        <f>I25/((1+'Study Parameters'!$C$4)^'MFSP Baseline'!I24) + I26</f>
        <v>1424581279.9608738</v>
      </c>
      <c r="J27">
        <f>J25/((1+'Study Parameters'!$C$4)^'MFSP Baseline'!J24) + J26</f>
        <v>1351666278.4724627</v>
      </c>
      <c r="K27">
        <f>K25/((1+'Study Parameters'!$C$4)^'MFSP Baseline'!K24) + K26</f>
        <v>1284152388.205415</v>
      </c>
      <c r="L27">
        <f>L25/((1+'Study Parameters'!$C$4)^'MFSP Baseline'!L24) + L26</f>
        <v>1221639526.8470378</v>
      </c>
      <c r="M27">
        <f>M25/((1+'Study Parameters'!$C$4)^'MFSP Baseline'!M24) + M26</f>
        <v>1163757247.8115032</v>
      </c>
      <c r="N27">
        <f>N25/((1+'Study Parameters'!$C$4)^'MFSP Baseline'!N24) + N26</f>
        <v>1110162545.000823</v>
      </c>
      <c r="O27">
        <f>O25/((1+'Study Parameters'!$C$4)^'MFSP Baseline'!O24) + O26</f>
        <v>1060537820.1761192</v>
      </c>
      <c r="P27">
        <f>P25/((1+'Study Parameters'!$C$4)^'MFSP Baseline'!P24) + P26</f>
        <v>1014589000.8939859</v>
      </c>
      <c r="Q27">
        <f>Q25/((1+'Study Parameters'!$C$4)^'MFSP Baseline'!Q24) + Q26</f>
        <v>972043797.85497379</v>
      </c>
      <c r="R27">
        <f>R25/((1+'Study Parameters'!$C$4)^'MFSP Baseline'!R24) + R26</f>
        <v>932650091.33736992</v>
      </c>
      <c r="S27">
        <f>S25/((1+'Study Parameters'!$C$4)^'MFSP Baseline'!S24) + S26</f>
        <v>896174437.15440333</v>
      </c>
      <c r="T27">
        <f>T25/((1+'Study Parameters'!$C$4)^'MFSP Baseline'!T24) + T26</f>
        <v>862400683.281286</v>
      </c>
      <c r="U27">
        <f>U25/((1+'Study Parameters'!$C$4)^'MFSP Baseline'!U24) + U26</f>
        <v>831128688.95432568</v>
      </c>
      <c r="V27">
        <f>V25/((1+'Study Parameters'!$C$4)^'MFSP Baseline'!V24) + V26</f>
        <v>802173138.65158463</v>
      </c>
      <c r="W27">
        <f>W25/((1+'Study Parameters'!$C$4)^'MFSP Baseline'!W24) + W26</f>
        <v>775362443.92682445</v>
      </c>
      <c r="X27">
        <f>X25/((1+'Study Parameters'!$C$4)^'MFSP Baseline'!X24) + X26</f>
        <v>750537726.58908343</v>
      </c>
      <c r="Y27">
        <f>Y25/((1+'Study Parameters'!$C$4)^'MFSP Baseline'!Y24) + Y26</f>
        <v>727551877.20228624</v>
      </c>
      <c r="Z27">
        <f>Z25/((1+'Study Parameters'!$C$4)^'MFSP Baseline'!Z24) + Z26</f>
        <v>706268683.3256222</v>
      </c>
      <c r="AA27">
        <f>AA25/((1+'Study Parameters'!$C$4)^'MFSP Baseline'!AA24) + AA26</f>
        <v>686562022.32871103</v>
      </c>
      <c r="AB27">
        <f>AB25/((1+'Study Parameters'!$C$4)^'MFSP Baseline'!AB24) + AB26</f>
        <v>668315113.99823773</v>
      </c>
      <c r="AC27">
        <f>AC25/((1+'Study Parameters'!$C$4)^'MFSP Baseline'!AC24) + AC26</f>
        <v>651419828.50705874</v>
      </c>
      <c r="AD27">
        <f>AD25/((1+'Study Parameters'!$C$4)^'MFSP Baseline'!AD24) + AD26</f>
        <v>635776045.64485598</v>
      </c>
      <c r="AE27">
        <f>AE25/((1+'Study Parameters'!$C$4)^'MFSP Baseline'!AE24) + AE26</f>
        <v>621291061.51318669</v>
      </c>
      <c r="AF27">
        <f>AF25/((1+'Study Parameters'!$C$4)^'MFSP Baseline'!AF24) + AF26</f>
        <v>607879039.16904855</v>
      </c>
    </row>
    <row r="28" spans="1:32">
      <c r="A28" t="s">
        <v>147</v>
      </c>
      <c r="B28">
        <v>0</v>
      </c>
      <c r="C28">
        <f>'Study Parameters'!$C$19</f>
        <v>800000000</v>
      </c>
      <c r="D28">
        <f>'Study Parameters'!$C$19</f>
        <v>800000000</v>
      </c>
      <c r="E28">
        <f>'Study Parameters'!$C$19</f>
        <v>800000000</v>
      </c>
      <c r="F28">
        <f>'Study Parameters'!$C$19</f>
        <v>800000000</v>
      </c>
      <c r="G28">
        <f>'Study Parameters'!$C$19</f>
        <v>800000000</v>
      </c>
      <c r="H28">
        <f>'Study Parameters'!$C$19</f>
        <v>800000000</v>
      </c>
      <c r="I28">
        <f>'Study Parameters'!$C$19</f>
        <v>800000000</v>
      </c>
      <c r="J28">
        <f>'Study Parameters'!$C$19</f>
        <v>800000000</v>
      </c>
      <c r="K28">
        <f>'Study Parameters'!$C$19</f>
        <v>800000000</v>
      </c>
      <c r="L28">
        <f>'Study Parameters'!$C$19</f>
        <v>800000000</v>
      </c>
      <c r="M28">
        <f>'Study Parameters'!$C$19</f>
        <v>800000000</v>
      </c>
      <c r="N28">
        <f>'Study Parameters'!$C$19</f>
        <v>800000000</v>
      </c>
      <c r="O28">
        <f>'Study Parameters'!$C$19</f>
        <v>800000000</v>
      </c>
      <c r="P28">
        <f>'Study Parameters'!$C$19</f>
        <v>800000000</v>
      </c>
      <c r="Q28">
        <f>'Study Parameters'!$C$19</f>
        <v>800000000</v>
      </c>
      <c r="R28">
        <f>'Study Parameters'!$C$19</f>
        <v>800000000</v>
      </c>
      <c r="S28">
        <f>'Study Parameters'!$C$19</f>
        <v>800000000</v>
      </c>
      <c r="T28">
        <f>'Study Parameters'!$C$19</f>
        <v>800000000</v>
      </c>
      <c r="U28">
        <f>'Study Parameters'!$C$19</f>
        <v>800000000</v>
      </c>
      <c r="V28">
        <f>'Study Parameters'!$C$19</f>
        <v>800000000</v>
      </c>
      <c r="W28">
        <f>'Study Parameters'!$C$19</f>
        <v>800000000</v>
      </c>
      <c r="X28">
        <f>'Study Parameters'!$C$19</f>
        <v>800000000</v>
      </c>
      <c r="Y28">
        <f>'Study Parameters'!$C$19</f>
        <v>800000000</v>
      </c>
      <c r="Z28">
        <f>'Study Parameters'!$C$19</f>
        <v>800000000</v>
      </c>
      <c r="AA28">
        <f>'Study Parameters'!$C$19</f>
        <v>800000000</v>
      </c>
      <c r="AB28">
        <f>'Study Parameters'!$C$19</f>
        <v>800000000</v>
      </c>
      <c r="AC28">
        <f>'Study Parameters'!$C$19</f>
        <v>800000000</v>
      </c>
      <c r="AD28">
        <f>'Study Parameters'!$C$19</f>
        <v>800000000</v>
      </c>
      <c r="AE28">
        <f>'Study Parameters'!$C$19</f>
        <v>800000000</v>
      </c>
      <c r="AF28">
        <f>'Study Parameters'!$C$19</f>
        <v>800000000</v>
      </c>
    </row>
    <row r="29" spans="1:32">
      <c r="A29" t="s">
        <v>148</v>
      </c>
      <c r="B29">
        <f>B28/((1+'Study Parameters'!$C$4)^'MFSP Baseline'!B24)</f>
        <v>0</v>
      </c>
      <c r="C29">
        <f>C28/((1+'Study Parameters'!$C$4)^'MFSP Baseline'!C24)</f>
        <v>740740740.74074066</v>
      </c>
      <c r="D29">
        <f>D28/((1+'Study Parameters'!$C$4)^'MFSP Baseline'!D24)</f>
        <v>685871056.24142659</v>
      </c>
      <c r="E29">
        <f>E28/((1+'Study Parameters'!$C$4)^'MFSP Baseline'!E24)</f>
        <v>635065792.81613564</v>
      </c>
      <c r="F29">
        <f>F28/((1+'Study Parameters'!$C$4)^'MFSP Baseline'!F24)</f>
        <v>588023882.23716259</v>
      </c>
      <c r="G29">
        <f>G28/((1+'Study Parameters'!$C$4)^'MFSP Baseline'!G24)</f>
        <v>544466557.62700236</v>
      </c>
      <c r="H29">
        <f>H28/((1+'Study Parameters'!$C$4)^'MFSP Baseline'!H24)</f>
        <v>504135701.50648367</v>
      </c>
      <c r="I29">
        <f>I28/((1+'Study Parameters'!$C$4)^'MFSP Baseline'!I24)</f>
        <v>466792316.20970708</v>
      </c>
      <c r="J29">
        <f>J28/((1+'Study Parameters'!$C$4)^'MFSP Baseline'!J24)</f>
        <v>432215107.60158062</v>
      </c>
      <c r="K29">
        <f>K28/((1+'Study Parameters'!$C$4)^'MFSP Baseline'!K24)</f>
        <v>400199173.70516723</v>
      </c>
      <c r="L29">
        <f>L28/((1+'Study Parameters'!$C$4)^'MFSP Baseline'!L24)</f>
        <v>370554790.46774739</v>
      </c>
      <c r="M29">
        <f>M28/((1+'Study Parameters'!$C$4)^'MFSP Baseline'!M24)</f>
        <v>343106287.47013646</v>
      </c>
      <c r="N29">
        <f>N28/((1+'Study Parameters'!$C$4)^'MFSP Baseline'!N24)</f>
        <v>317691006.91679299</v>
      </c>
      <c r="O29">
        <f>O28/((1+'Study Parameters'!$C$4)^'MFSP Baseline'!O24)</f>
        <v>294158339.73777133</v>
      </c>
      <c r="P29">
        <f>P28/((1+'Study Parameters'!$C$4)^'MFSP Baseline'!P24)</f>
        <v>272368833.09052896</v>
      </c>
      <c r="Q29">
        <f>Q28/((1+'Study Parameters'!$C$4)^'MFSP Baseline'!Q24)</f>
        <v>252193363.97271198</v>
      </c>
      <c r="R29">
        <f>R28/((1+'Study Parameters'!$C$4)^'MFSP Baseline'!R24)</f>
        <v>233512374.04880738</v>
      </c>
      <c r="S29">
        <f>S28/((1+'Study Parameters'!$C$4)^'MFSP Baseline'!S24)</f>
        <v>216215161.15630314</v>
      </c>
      <c r="T29">
        <f>T28/((1+'Study Parameters'!$C$4)^'MFSP Baseline'!T24)</f>
        <v>200199223.29287323</v>
      </c>
      <c r="U29">
        <f>U28/((1+'Study Parameters'!$C$4)^'MFSP Baseline'!U24)</f>
        <v>185369651.19710484</v>
      </c>
      <c r="V29">
        <f>V28/((1+'Study Parameters'!$C$4)^'MFSP Baseline'!V24)</f>
        <v>171638565.92324522</v>
      </c>
      <c r="W29">
        <f>W28/((1+'Study Parameters'!$C$4)^'MFSP Baseline'!W24)</f>
        <v>158924598.07707891</v>
      </c>
      <c r="X29">
        <f>X28/((1+'Study Parameters'!$C$4)^'MFSP Baseline'!X24)</f>
        <v>147152405.6269249</v>
      </c>
      <c r="Y29">
        <f>Y28/((1+'Study Parameters'!$C$4)^'MFSP Baseline'!Y24)</f>
        <v>136252227.43233788</v>
      </c>
      <c r="Z29">
        <f>Z28/((1+'Study Parameters'!$C$4)^'MFSP Baseline'!Z24)</f>
        <v>126159469.84475727</v>
      </c>
      <c r="AA29">
        <f>AA28/((1+'Study Parameters'!$C$4)^'MFSP Baseline'!AA24)</f>
        <v>116814323.9303308</v>
      </c>
      <c r="AB29">
        <f>AB28/((1+'Study Parameters'!$C$4)^'MFSP Baseline'!AB24)</f>
        <v>108161411.04660261</v>
      </c>
      <c r="AC29">
        <f>AC28/((1+'Study Parameters'!$C$4)^'MFSP Baseline'!AC24)</f>
        <v>100149454.67278019</v>
      </c>
      <c r="AD29">
        <f>AD28/((1+'Study Parameters'!$C$4)^'MFSP Baseline'!AD24)</f>
        <v>92730976.548870534</v>
      </c>
      <c r="AE29">
        <f>AE28/((1+'Study Parameters'!$C$4)^'MFSP Baseline'!AE24)</f>
        <v>85862015.323028266</v>
      </c>
      <c r="AF29">
        <f>AF28/((1+'Study Parameters'!$C$4)^'MFSP Baseline'!AF24)</f>
        <v>79501866.039840981</v>
      </c>
    </row>
    <row r="31" spans="1:32">
      <c r="A31" t="s">
        <v>149</v>
      </c>
      <c r="B31">
        <f>SUM(B27:AF27) / SUM(B29:AF29)</f>
        <v>3.5751737040486136</v>
      </c>
    </row>
    <row r="33" spans="1:32">
      <c r="A33" t="s">
        <v>152</v>
      </c>
    </row>
    <row r="35" spans="1:32">
      <c r="A35" t="s">
        <v>1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</row>
    <row r="36" spans="1:32">
      <c r="A36" t="s">
        <v>111</v>
      </c>
      <c r="B36">
        <v>0</v>
      </c>
      <c r="C36">
        <f>'Cost Components'!$H$52*10^6</f>
        <v>632060210.6372776</v>
      </c>
      <c r="D36">
        <f>'Cost Components'!$H$52*10^6</f>
        <v>632060210.6372776</v>
      </c>
      <c r="E36">
        <f>'Cost Components'!$H$52*10^6</f>
        <v>632060210.6372776</v>
      </c>
      <c r="F36">
        <f>'Cost Components'!$H$52*10^6</f>
        <v>632060210.6372776</v>
      </c>
      <c r="G36">
        <f>'Cost Components'!$H$52*10^6</f>
        <v>632060210.6372776</v>
      </c>
      <c r="H36">
        <f>'Cost Components'!$H$52*10^6</f>
        <v>632060210.6372776</v>
      </c>
      <c r="I36">
        <f>'Cost Components'!$H$52*10^6</f>
        <v>632060210.6372776</v>
      </c>
      <c r="J36">
        <f>'Cost Components'!$H$52*10^6</f>
        <v>632060210.6372776</v>
      </c>
      <c r="K36">
        <f>'Cost Components'!$H$52*10^6</f>
        <v>632060210.6372776</v>
      </c>
      <c r="L36">
        <f>'Cost Components'!$H$52*10^6</f>
        <v>632060210.6372776</v>
      </c>
      <c r="M36">
        <f>'Cost Components'!$H$52*10^6</f>
        <v>632060210.6372776</v>
      </c>
      <c r="N36">
        <f>'Cost Components'!$H$52*10^6</f>
        <v>632060210.6372776</v>
      </c>
      <c r="O36">
        <f>'Cost Components'!$H$52*10^6</f>
        <v>632060210.6372776</v>
      </c>
      <c r="P36">
        <f>'Cost Components'!$H$52*10^6</f>
        <v>632060210.6372776</v>
      </c>
      <c r="Q36">
        <f>'Cost Components'!$H$52*10^6</f>
        <v>632060210.6372776</v>
      </c>
      <c r="R36">
        <f>'Cost Components'!$H$52*10^6</f>
        <v>632060210.6372776</v>
      </c>
      <c r="S36">
        <f>'Cost Components'!$H$52*10^6</f>
        <v>632060210.6372776</v>
      </c>
      <c r="T36">
        <f>'Cost Components'!$H$52*10^6</f>
        <v>632060210.6372776</v>
      </c>
      <c r="U36">
        <f>'Cost Components'!$H$52*10^6</f>
        <v>632060210.6372776</v>
      </c>
      <c r="V36">
        <f>'Cost Components'!$H$52*10^6</f>
        <v>632060210.6372776</v>
      </c>
      <c r="W36">
        <f>'Cost Components'!$H$52*10^6</f>
        <v>632060210.6372776</v>
      </c>
      <c r="X36">
        <f>'Cost Components'!$H$52*10^6</f>
        <v>632060210.6372776</v>
      </c>
      <c r="Y36">
        <f>'Cost Components'!$H$52*10^6</f>
        <v>632060210.6372776</v>
      </c>
      <c r="Z36">
        <f>'Cost Components'!$H$52*10^6</f>
        <v>632060210.6372776</v>
      </c>
      <c r="AA36">
        <f>'Cost Components'!$H$52*10^6</f>
        <v>632060210.6372776</v>
      </c>
      <c r="AB36">
        <f>'Cost Components'!$H$52*10^6</f>
        <v>632060210.6372776</v>
      </c>
      <c r="AC36">
        <f>'Cost Components'!$H$52*10^6</f>
        <v>632060210.6372776</v>
      </c>
      <c r="AD36">
        <f>'Cost Components'!$H$52*10^6</f>
        <v>632060210.6372776</v>
      </c>
      <c r="AE36">
        <f>'Cost Components'!$H$52*10^6</f>
        <v>632060210.6372776</v>
      </c>
      <c r="AF36">
        <f>'Cost Components'!$H$52*10^6</f>
        <v>632060210.6372776</v>
      </c>
    </row>
    <row r="37" spans="1:32">
      <c r="A37" t="s">
        <v>146</v>
      </c>
      <c r="B37">
        <v>0</v>
      </c>
      <c r="C37">
        <f>'Cost Components'!$H$29</f>
        <v>334879423.87001657</v>
      </c>
      <c r="D37">
        <f>'Cost Components'!$H$29</f>
        <v>334879423.87001657</v>
      </c>
      <c r="E37">
        <f>'Cost Components'!$H$29</f>
        <v>334879423.87001657</v>
      </c>
      <c r="F37">
        <f>'Cost Components'!$H$29</f>
        <v>334879423.87001657</v>
      </c>
      <c r="G37">
        <f>'Cost Components'!$H$29</f>
        <v>334879423.87001657</v>
      </c>
      <c r="H37">
        <f>'Cost Components'!$H$29</f>
        <v>334879423.87001657</v>
      </c>
      <c r="I37">
        <f>'Cost Components'!$H$29</f>
        <v>334879423.87001657</v>
      </c>
      <c r="J37">
        <f>'Cost Components'!$H$29</f>
        <v>334879423.87001657</v>
      </c>
      <c r="K37">
        <f>'Cost Components'!$H$29</f>
        <v>334879423.87001657</v>
      </c>
      <c r="L37">
        <f>'Cost Components'!$H$29</f>
        <v>334879423.87001657</v>
      </c>
      <c r="M37">
        <f>'Cost Components'!$H$29</f>
        <v>334879423.87001657</v>
      </c>
      <c r="N37">
        <f>'Cost Components'!$H$29</f>
        <v>334879423.87001657</v>
      </c>
      <c r="O37">
        <f>'Cost Components'!$H$29</f>
        <v>334879423.87001657</v>
      </c>
      <c r="P37">
        <f>'Cost Components'!$H$29</f>
        <v>334879423.87001657</v>
      </c>
      <c r="Q37">
        <f>'Cost Components'!$H$29</f>
        <v>334879423.87001657</v>
      </c>
      <c r="R37">
        <f>'Cost Components'!$H$29</f>
        <v>334879423.87001657</v>
      </c>
      <c r="S37">
        <f>'Cost Components'!$H$29</f>
        <v>334879423.87001657</v>
      </c>
      <c r="T37">
        <f>'Cost Components'!$H$29</f>
        <v>334879423.87001657</v>
      </c>
      <c r="U37">
        <f>'Cost Components'!$H$29</f>
        <v>334879423.87001657</v>
      </c>
      <c r="V37">
        <f>'Cost Components'!$H$29</f>
        <v>334879423.87001657</v>
      </c>
      <c r="W37">
        <f>'Cost Components'!$H$29</f>
        <v>334879423.87001657</v>
      </c>
      <c r="X37">
        <f>'Cost Components'!$H$29</f>
        <v>334879423.87001657</v>
      </c>
      <c r="Y37">
        <f>'Cost Components'!$H$29</f>
        <v>334879423.87001657</v>
      </c>
      <c r="Z37">
        <f>'Cost Components'!$H$29</f>
        <v>334879423.87001657</v>
      </c>
      <c r="AA37">
        <f>'Cost Components'!$H$29</f>
        <v>334879423.87001657</v>
      </c>
      <c r="AB37">
        <f>'Cost Components'!$H$29</f>
        <v>334879423.87001657</v>
      </c>
      <c r="AC37">
        <f>'Cost Components'!$H$29</f>
        <v>334879423.87001657</v>
      </c>
      <c r="AD37">
        <f>'Cost Components'!$H$29</f>
        <v>334879423.87001657</v>
      </c>
      <c r="AE37">
        <f>'Cost Components'!$H$29</f>
        <v>334879423.87001657</v>
      </c>
      <c r="AF37">
        <f>'Cost Components'!$H$29</f>
        <v>334879423.87001657</v>
      </c>
    </row>
    <row r="38" spans="1:32">
      <c r="A38" t="s">
        <v>112</v>
      </c>
      <c r="B38">
        <f>B36/((1+'Study Parameters'!$C$4)^'MFSP Baseline'!B35)</f>
        <v>0</v>
      </c>
      <c r="C38">
        <f>C36/((1+'Study Parameters'!$C$4)^'MFSP Baseline'!C35)+C37</f>
        <v>920120359.64527357</v>
      </c>
      <c r="D38">
        <f>D36/((1+'Study Parameters'!$C$4)^'MFSP Baseline'!D35)+D37</f>
        <v>876769179.21747673</v>
      </c>
      <c r="E38">
        <f>E36/((1+'Study Parameters'!$C$4)^'MFSP Baseline'!E35)+E37</f>
        <v>836629197.33988714</v>
      </c>
      <c r="F38">
        <f>F36/((1+'Study Parameters'!$C$4)^'MFSP Baseline'!F35)+F37</f>
        <v>799462547.4532299</v>
      </c>
      <c r="G38">
        <f>G36/((1+'Study Parameters'!$C$4)^'MFSP Baseline'!G35)+G37</f>
        <v>765048982.74336231</v>
      </c>
      <c r="H38">
        <f>H36/((1+'Study Parameters'!$C$4)^'MFSP Baseline'!H35)+H37</f>
        <v>733184570.97496629</v>
      </c>
      <c r="I38">
        <f>I36/((1+'Study Parameters'!$C$4)^'MFSP Baseline'!I35)+I37</f>
        <v>703680486.00422931</v>
      </c>
      <c r="J38">
        <f>J36/((1+'Study Parameters'!$C$4)^'MFSP Baseline'!J35)+J37</f>
        <v>676361888.8091023</v>
      </c>
      <c r="K38">
        <f>K36/((1+'Study Parameters'!$C$4)^'MFSP Baseline'!K35)+K37</f>
        <v>651066891.40620708</v>
      </c>
      <c r="L38">
        <f>L36/((1+'Study Parameters'!$C$4)^'MFSP Baseline'!L35)+L37</f>
        <v>627645597.51463747</v>
      </c>
      <c r="M38">
        <f>M36/((1+'Study Parameters'!$C$4)^'MFSP Baseline'!M35)+M37</f>
        <v>605959214.28170252</v>
      </c>
      <c r="N38">
        <f>N36/((1+'Study Parameters'!$C$4)^'MFSP Baseline'!N35)+N37</f>
        <v>585879229.80676281</v>
      </c>
      <c r="O38">
        <f>O36/((1+'Study Parameters'!$C$4)^'MFSP Baseline'!O35)+O37</f>
        <v>567286651.58922601</v>
      </c>
      <c r="P38">
        <f>P36/((1+'Study Parameters'!$C$4)^'MFSP Baseline'!P35)+P37</f>
        <v>550071301.38780308</v>
      </c>
      <c r="Q38">
        <f>Q36/((1+'Study Parameters'!$C$4)^'MFSP Baseline'!Q35)+Q37</f>
        <v>534131162.31241155</v>
      </c>
      <c r="R38">
        <f>R36/((1+'Study Parameters'!$C$4)^'MFSP Baseline'!R35)+R37</f>
        <v>519371774.27964151</v>
      </c>
      <c r="S38">
        <f>S36/((1+'Study Parameters'!$C$4)^'MFSP Baseline'!S35)+S37</f>
        <v>505705674.24929893</v>
      </c>
      <c r="T38">
        <f>T36/((1+'Study Parameters'!$C$4)^'MFSP Baseline'!T35)+T37</f>
        <v>493051877.92490762</v>
      </c>
      <c r="U38">
        <f>U36/((1+'Study Parameters'!$C$4)^'MFSP Baseline'!U35)+U37</f>
        <v>481335399.84676754</v>
      </c>
      <c r="V38">
        <f>V36/((1+'Study Parameters'!$C$4)^'MFSP Baseline'!V35)+V37</f>
        <v>470486809.03367484</v>
      </c>
      <c r="W38">
        <f>W36/((1+'Study Parameters'!$C$4)^'MFSP Baseline'!W35)+W37</f>
        <v>460441817.54007053</v>
      </c>
      <c r="X38">
        <f>X36/((1+'Study Parameters'!$C$4)^'MFSP Baseline'!X35)+X37</f>
        <v>451140899.49043691</v>
      </c>
      <c r="Y38">
        <f>Y36/((1+'Study Parameters'!$C$4)^'MFSP Baseline'!Y35)+Y37</f>
        <v>442528938.33336872</v>
      </c>
      <c r="Z38">
        <f>Z36/((1+'Study Parameters'!$C$4)^'MFSP Baseline'!Z35)+Z37</f>
        <v>434554900.22497225</v>
      </c>
      <c r="AA38">
        <f>AA36/((1+'Study Parameters'!$C$4)^'MFSP Baseline'!AA35)+AA37</f>
        <v>427171531.60608667</v>
      </c>
      <c r="AB38">
        <f>AB36/((1+'Study Parameters'!$C$4)^'MFSP Baseline'!AB35)+AB37</f>
        <v>420335079.18119258</v>
      </c>
      <c r="AC38">
        <f>AC36/((1+'Study Parameters'!$C$4)^'MFSP Baseline'!AC35)+AC37</f>
        <v>414005030.639624</v>
      </c>
      <c r="AD38">
        <f>AD36/((1+'Study Parameters'!$C$4)^'MFSP Baseline'!AD35)+AD37</f>
        <v>408143874.58261603</v>
      </c>
      <c r="AE38">
        <f>AE36/((1+'Study Parameters'!$C$4)^'MFSP Baseline'!AE35)+AE37</f>
        <v>402716878.23353457</v>
      </c>
      <c r="AF38">
        <f>AF36/((1+'Study Parameters'!$C$4)^'MFSP Baseline'!AF35)+AF37</f>
        <v>397691881.61401474</v>
      </c>
    </row>
    <row r="39" spans="1:32">
      <c r="A39" t="s">
        <v>147</v>
      </c>
      <c r="B39">
        <v>0</v>
      </c>
      <c r="C39">
        <f>'Study Parameters'!$C$19</f>
        <v>800000000</v>
      </c>
      <c r="D39">
        <f>'Study Parameters'!$C$19</f>
        <v>800000000</v>
      </c>
      <c r="E39">
        <f>'Study Parameters'!$C$19</f>
        <v>800000000</v>
      </c>
      <c r="F39">
        <f>'Study Parameters'!$C$19</f>
        <v>800000000</v>
      </c>
      <c r="G39">
        <f>'Study Parameters'!$C$19</f>
        <v>800000000</v>
      </c>
      <c r="H39">
        <f>'Study Parameters'!$C$19</f>
        <v>800000000</v>
      </c>
      <c r="I39">
        <f>'Study Parameters'!$C$19</f>
        <v>800000000</v>
      </c>
      <c r="J39">
        <f>'Study Parameters'!$C$19</f>
        <v>800000000</v>
      </c>
      <c r="K39">
        <f>'Study Parameters'!$C$19</f>
        <v>800000000</v>
      </c>
      <c r="L39">
        <f>'Study Parameters'!$C$19</f>
        <v>800000000</v>
      </c>
      <c r="M39">
        <f>'Study Parameters'!$C$19</f>
        <v>800000000</v>
      </c>
      <c r="N39">
        <f>'Study Parameters'!$C$19</f>
        <v>800000000</v>
      </c>
      <c r="O39">
        <f>'Study Parameters'!$C$19</f>
        <v>800000000</v>
      </c>
      <c r="P39">
        <f>'Study Parameters'!$C$19</f>
        <v>800000000</v>
      </c>
      <c r="Q39">
        <f>'Study Parameters'!$C$19</f>
        <v>800000000</v>
      </c>
      <c r="R39">
        <f>'Study Parameters'!$C$19</f>
        <v>800000000</v>
      </c>
      <c r="S39">
        <f>'Study Parameters'!$C$19</f>
        <v>800000000</v>
      </c>
      <c r="T39">
        <f>'Study Parameters'!$C$19</f>
        <v>800000000</v>
      </c>
      <c r="U39">
        <f>'Study Parameters'!$C$19</f>
        <v>800000000</v>
      </c>
      <c r="V39">
        <f>'Study Parameters'!$C$19</f>
        <v>800000000</v>
      </c>
      <c r="W39">
        <f>'Study Parameters'!$C$19</f>
        <v>800000000</v>
      </c>
      <c r="X39">
        <f>'Study Parameters'!$C$19</f>
        <v>800000000</v>
      </c>
      <c r="Y39">
        <f>'Study Parameters'!$C$19</f>
        <v>800000000</v>
      </c>
      <c r="Z39">
        <f>'Study Parameters'!$C$19</f>
        <v>800000000</v>
      </c>
      <c r="AA39">
        <f>'Study Parameters'!$C$19</f>
        <v>800000000</v>
      </c>
      <c r="AB39">
        <f>'Study Parameters'!$C$19</f>
        <v>800000000</v>
      </c>
      <c r="AC39">
        <f>'Study Parameters'!$C$19</f>
        <v>800000000</v>
      </c>
      <c r="AD39">
        <f>'Study Parameters'!$C$19</f>
        <v>800000000</v>
      </c>
      <c r="AE39">
        <f>'Study Parameters'!$C$19</f>
        <v>800000000</v>
      </c>
      <c r="AF39">
        <f>'Study Parameters'!$C$19</f>
        <v>800000000</v>
      </c>
    </row>
    <row r="40" spans="1:32">
      <c r="A40" t="s">
        <v>148</v>
      </c>
      <c r="B40">
        <f>B39/((1+'Study Parameters'!$C$4)^'MFSP Baseline'!B35)</f>
        <v>0</v>
      </c>
      <c r="C40">
        <f>C39/((1+'Study Parameters'!$C$4)^'MFSP Baseline'!C35)</f>
        <v>740740740.74074066</v>
      </c>
      <c r="D40">
        <f>D39/((1+'Study Parameters'!$C$4)^'MFSP Baseline'!D35)</f>
        <v>685871056.24142659</v>
      </c>
      <c r="E40">
        <f>E39/((1+'Study Parameters'!$C$4)^'MFSP Baseline'!E35)</f>
        <v>635065792.81613564</v>
      </c>
      <c r="F40">
        <f>F39/((1+'Study Parameters'!$C$4)^'MFSP Baseline'!F35)</f>
        <v>588023882.23716259</v>
      </c>
      <c r="G40">
        <f>G39/((1+'Study Parameters'!$C$4)^'MFSP Baseline'!G35)</f>
        <v>544466557.62700236</v>
      </c>
      <c r="H40">
        <f>H39/((1+'Study Parameters'!$C$4)^'MFSP Baseline'!H35)</f>
        <v>504135701.50648367</v>
      </c>
      <c r="I40">
        <f>I39/((1+'Study Parameters'!$C$4)^'MFSP Baseline'!I35)</f>
        <v>466792316.20970708</v>
      </c>
      <c r="J40">
        <f>J39/((1+'Study Parameters'!$C$4)^'MFSP Baseline'!J35)</f>
        <v>432215107.60158062</v>
      </c>
      <c r="K40">
        <f>K39/((1+'Study Parameters'!$C$4)^'MFSP Baseline'!K35)</f>
        <v>400199173.70516723</v>
      </c>
      <c r="L40">
        <f>L39/((1+'Study Parameters'!$C$4)^'MFSP Baseline'!L35)</f>
        <v>370554790.46774739</v>
      </c>
      <c r="M40">
        <f>M39/((1+'Study Parameters'!$C$4)^'MFSP Baseline'!M35)</f>
        <v>343106287.47013646</v>
      </c>
      <c r="N40">
        <f>N39/((1+'Study Parameters'!$C$4)^'MFSP Baseline'!N35)</f>
        <v>317691006.91679299</v>
      </c>
      <c r="O40">
        <f>O39/((1+'Study Parameters'!$C$4)^'MFSP Baseline'!O35)</f>
        <v>294158339.73777133</v>
      </c>
      <c r="P40">
        <f>P39/((1+'Study Parameters'!$C$4)^'MFSP Baseline'!P35)</f>
        <v>272368833.09052896</v>
      </c>
      <c r="Q40">
        <f>Q39/((1+'Study Parameters'!$C$4)^'MFSP Baseline'!Q35)</f>
        <v>252193363.97271198</v>
      </c>
      <c r="R40">
        <f>R39/((1+'Study Parameters'!$C$4)^'MFSP Baseline'!R35)</f>
        <v>233512374.04880738</v>
      </c>
      <c r="S40">
        <f>S39/((1+'Study Parameters'!$C$4)^'MFSP Baseline'!S35)</f>
        <v>216215161.15630314</v>
      </c>
      <c r="T40">
        <f>T39/((1+'Study Parameters'!$C$4)^'MFSP Baseline'!T35)</f>
        <v>200199223.29287323</v>
      </c>
      <c r="U40">
        <f>U39/((1+'Study Parameters'!$C$4)^'MFSP Baseline'!U35)</f>
        <v>185369651.19710484</v>
      </c>
      <c r="V40">
        <f>V39/((1+'Study Parameters'!$C$4)^'MFSP Baseline'!V35)</f>
        <v>171638565.92324522</v>
      </c>
      <c r="W40">
        <f>W39/((1+'Study Parameters'!$C$4)^'MFSP Baseline'!W35)</f>
        <v>158924598.07707891</v>
      </c>
      <c r="X40">
        <f>X39/((1+'Study Parameters'!$C$4)^'MFSP Baseline'!X35)</f>
        <v>147152405.6269249</v>
      </c>
      <c r="Y40">
        <f>Y39/((1+'Study Parameters'!$C$4)^'MFSP Baseline'!Y35)</f>
        <v>136252227.43233788</v>
      </c>
      <c r="Z40">
        <f>Z39/((1+'Study Parameters'!$C$4)^'MFSP Baseline'!Z35)</f>
        <v>126159469.84475727</v>
      </c>
      <c r="AA40">
        <f>AA39/((1+'Study Parameters'!$C$4)^'MFSP Baseline'!AA35)</f>
        <v>116814323.9303308</v>
      </c>
      <c r="AB40">
        <f>AB39/((1+'Study Parameters'!$C$4)^'MFSP Baseline'!AB35)</f>
        <v>108161411.04660261</v>
      </c>
      <c r="AC40">
        <f>AC39/((1+'Study Parameters'!$C$4)^'MFSP Baseline'!AC35)</f>
        <v>100149454.67278019</v>
      </c>
      <c r="AD40">
        <f>AD39/((1+'Study Parameters'!$C$4)^'MFSP Baseline'!AD35)</f>
        <v>92730976.548870534</v>
      </c>
      <c r="AE40">
        <f>AE39/((1+'Study Parameters'!$C$4)^'MFSP Baseline'!AE35)</f>
        <v>85862015.323028266</v>
      </c>
      <c r="AF40">
        <f>AF39/((1+'Study Parameters'!$C$4)^'MFSP Baseline'!AF35)</f>
        <v>79501866.039840981</v>
      </c>
    </row>
    <row r="42" spans="1:32">
      <c r="A42" t="s">
        <v>149</v>
      </c>
      <c r="B42">
        <f>SUM(B38:AF38) / SUM(B40:AF40)</f>
        <v>1.905568252668423</v>
      </c>
    </row>
    <row r="44" spans="1:32" s="24" customFormat="1"/>
    <row r="46" spans="1:32">
      <c r="A46" t="s">
        <v>154</v>
      </c>
    </row>
    <row r="48" spans="1:32">
      <c r="A48" t="s">
        <v>1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  <c r="J48">
        <v>8</v>
      </c>
      <c r="K48">
        <v>9</v>
      </c>
      <c r="L48">
        <v>10</v>
      </c>
      <c r="M48">
        <v>11</v>
      </c>
      <c r="N48">
        <v>12</v>
      </c>
      <c r="O48">
        <v>13</v>
      </c>
      <c r="P48">
        <v>14</v>
      </c>
      <c r="Q48">
        <v>15</v>
      </c>
      <c r="R48">
        <v>16</v>
      </c>
      <c r="S48">
        <v>17</v>
      </c>
      <c r="T48">
        <v>18</v>
      </c>
      <c r="U48">
        <v>19</v>
      </c>
      <c r="V48">
        <v>20</v>
      </c>
      <c r="W48">
        <v>21</v>
      </c>
      <c r="X48">
        <v>22</v>
      </c>
      <c r="Y48">
        <v>23</v>
      </c>
      <c r="Z48">
        <v>24</v>
      </c>
      <c r="AA48">
        <v>25</v>
      </c>
      <c r="AB48">
        <v>26</v>
      </c>
      <c r="AC48">
        <v>27</v>
      </c>
      <c r="AD48">
        <v>28</v>
      </c>
      <c r="AE48">
        <v>29</v>
      </c>
      <c r="AF48">
        <v>30</v>
      </c>
    </row>
    <row r="49" spans="1:32">
      <c r="A49" t="s">
        <v>111</v>
      </c>
      <c r="B49">
        <v>0</v>
      </c>
      <c r="C49">
        <f>'Cost Components'!$N$43 * 10^6</f>
        <v>1700817237.9706109</v>
      </c>
      <c r="D49">
        <f>'Cost Components'!$N$43 * 10^6</f>
        <v>1700817237.9706109</v>
      </c>
      <c r="E49">
        <f>'Cost Components'!$N$43 * 10^6</f>
        <v>1700817237.9706109</v>
      </c>
      <c r="F49">
        <f>'Cost Components'!$N$43 * 10^6</f>
        <v>1700817237.9706109</v>
      </c>
      <c r="G49">
        <f>'Cost Components'!$N$43 * 10^6</f>
        <v>1700817237.9706109</v>
      </c>
      <c r="H49">
        <f>'Cost Components'!$N$43 * 10^6</f>
        <v>1700817237.9706109</v>
      </c>
      <c r="I49">
        <f>'Cost Components'!$N$43 * 10^6</f>
        <v>1700817237.9706109</v>
      </c>
      <c r="J49">
        <f>'Cost Components'!$N$43 * 10^6</f>
        <v>1700817237.9706109</v>
      </c>
      <c r="K49">
        <f>'Cost Components'!$N$43 * 10^6</f>
        <v>1700817237.9706109</v>
      </c>
      <c r="L49">
        <f>'Cost Components'!$N$43 * 10^6</f>
        <v>1700817237.9706109</v>
      </c>
      <c r="M49">
        <f>'Cost Components'!$N$43 * 10^6</f>
        <v>1700817237.9706109</v>
      </c>
      <c r="N49">
        <f>'Cost Components'!$N$43 * 10^6</f>
        <v>1700817237.9706109</v>
      </c>
      <c r="O49">
        <f>'Cost Components'!$N$43 * 10^6</f>
        <v>1700817237.9706109</v>
      </c>
      <c r="P49">
        <f>'Cost Components'!$N$43 * 10^6</f>
        <v>1700817237.9706109</v>
      </c>
      <c r="Q49">
        <f>'Cost Components'!$N$43 * 10^6</f>
        <v>1700817237.9706109</v>
      </c>
      <c r="R49">
        <f>'Cost Components'!$N$43 * 10^6</f>
        <v>1700817237.9706109</v>
      </c>
      <c r="S49">
        <f>'Cost Components'!$N$43 * 10^6</f>
        <v>1700817237.9706109</v>
      </c>
      <c r="T49">
        <f>'Cost Components'!$N$43 * 10^6</f>
        <v>1700817237.9706109</v>
      </c>
      <c r="U49">
        <f>'Cost Components'!$N$43 * 10^6</f>
        <v>1700817237.9706109</v>
      </c>
      <c r="V49">
        <f>'Cost Components'!$N$43 * 10^6</f>
        <v>1700817237.9706109</v>
      </c>
      <c r="W49">
        <f>'Cost Components'!$N$43 * 10^6</f>
        <v>1700817237.9706109</v>
      </c>
      <c r="X49">
        <f>'Cost Components'!$N$43 * 10^6</f>
        <v>1700817237.9706109</v>
      </c>
      <c r="Y49">
        <f>'Cost Components'!$N$43 * 10^6</f>
        <v>1700817237.9706109</v>
      </c>
      <c r="Z49">
        <f>'Cost Components'!$N$43 * 10^6</f>
        <v>1700817237.9706109</v>
      </c>
      <c r="AA49">
        <f>'Cost Components'!$N$43 * 10^6</f>
        <v>1700817237.9706109</v>
      </c>
      <c r="AB49">
        <f>'Cost Components'!$N$43 * 10^6</f>
        <v>1700817237.9706109</v>
      </c>
      <c r="AC49">
        <f>'Cost Components'!$N$43 * 10^6</f>
        <v>1700817237.9706109</v>
      </c>
      <c r="AD49">
        <f>'Cost Components'!$N$43 * 10^6</f>
        <v>1700817237.9706109</v>
      </c>
      <c r="AE49">
        <f>'Cost Components'!$N$43 * 10^6</f>
        <v>1700817237.9706109</v>
      </c>
      <c r="AF49">
        <f>'Cost Components'!$N$43 * 10^6</f>
        <v>1700817237.9706109</v>
      </c>
    </row>
    <row r="50" spans="1:32">
      <c r="A50" t="s">
        <v>146</v>
      </c>
      <c r="B50">
        <v>0</v>
      </c>
      <c r="C50">
        <f>'Cost Components'!$N$9</f>
        <v>568850883.41209173</v>
      </c>
      <c r="D50">
        <f>'Cost Components'!$N$9</f>
        <v>568850883.41209173</v>
      </c>
      <c r="E50">
        <f>'Cost Components'!$N$9</f>
        <v>568850883.41209173</v>
      </c>
      <c r="F50">
        <f>'Cost Components'!$N$9</f>
        <v>568850883.41209173</v>
      </c>
      <c r="G50">
        <f>'Cost Components'!$N$9</f>
        <v>568850883.41209173</v>
      </c>
      <c r="H50">
        <f>'Cost Components'!$N$9</f>
        <v>568850883.41209173</v>
      </c>
      <c r="I50">
        <f>'Cost Components'!$N$9</f>
        <v>568850883.41209173</v>
      </c>
      <c r="J50">
        <f>'Cost Components'!$N$9</f>
        <v>568850883.41209173</v>
      </c>
      <c r="K50">
        <f>'Cost Components'!$N$9</f>
        <v>568850883.41209173</v>
      </c>
      <c r="L50">
        <f>'Cost Components'!$N$9</f>
        <v>568850883.41209173</v>
      </c>
      <c r="M50">
        <f>'Cost Components'!$N$9</f>
        <v>568850883.41209173</v>
      </c>
      <c r="N50">
        <f>'Cost Components'!$N$9</f>
        <v>568850883.41209173</v>
      </c>
      <c r="O50">
        <f>'Cost Components'!$N$9</f>
        <v>568850883.41209173</v>
      </c>
      <c r="P50">
        <f>'Cost Components'!$N$9</f>
        <v>568850883.41209173</v>
      </c>
      <c r="Q50">
        <f>'Cost Components'!$N$9</f>
        <v>568850883.41209173</v>
      </c>
      <c r="R50">
        <f>'Cost Components'!$N$9</f>
        <v>568850883.41209173</v>
      </c>
      <c r="S50">
        <f>'Cost Components'!$N$9</f>
        <v>568850883.41209173</v>
      </c>
      <c r="T50">
        <f>'Cost Components'!$N$9</f>
        <v>568850883.41209173</v>
      </c>
      <c r="U50">
        <f>'Cost Components'!$N$9</f>
        <v>568850883.41209173</v>
      </c>
      <c r="V50">
        <f>'Cost Components'!$N$9</f>
        <v>568850883.41209173</v>
      </c>
      <c r="W50">
        <f>'Cost Components'!$N$9</f>
        <v>568850883.41209173</v>
      </c>
      <c r="X50">
        <f>'Cost Components'!$N$9</f>
        <v>568850883.41209173</v>
      </c>
      <c r="Y50">
        <f>'Cost Components'!$N$9</f>
        <v>568850883.41209173</v>
      </c>
      <c r="Z50">
        <f>'Cost Components'!$N$9</f>
        <v>568850883.41209173</v>
      </c>
      <c r="AA50">
        <f>'Cost Components'!$N$9</f>
        <v>568850883.41209173</v>
      </c>
      <c r="AB50">
        <f>'Cost Components'!$N$9</f>
        <v>568850883.41209173</v>
      </c>
      <c r="AC50">
        <f>'Cost Components'!$N$9</f>
        <v>568850883.41209173</v>
      </c>
      <c r="AD50">
        <f>'Cost Components'!$N$9</f>
        <v>568850883.41209173</v>
      </c>
      <c r="AE50">
        <f>'Cost Components'!$N$9</f>
        <v>568850883.41209173</v>
      </c>
      <c r="AF50">
        <f>'Cost Components'!$N$9</f>
        <v>568850883.41209173</v>
      </c>
    </row>
    <row r="51" spans="1:32">
      <c r="A51" t="s">
        <v>112</v>
      </c>
      <c r="B51">
        <v>0</v>
      </c>
      <c r="C51">
        <f>C49/((1+'Study Parameters'!$C$4)^'MFSP Baseline'!C48) + C50</f>
        <v>2143681659.3108053</v>
      </c>
      <c r="D51">
        <f>D49/((1+'Study Parameters'!$C$4)^'MFSP Baseline'!D48) + D50</f>
        <v>2027027527.7627525</v>
      </c>
      <c r="E51">
        <f>E49/((1+'Study Parameters'!$C$4)^'MFSP Baseline'!E48) + E50</f>
        <v>1919014442.9960368</v>
      </c>
      <c r="F51">
        <f>F49/((1+'Study Parameters'!$C$4)^'MFSP Baseline'!F48) + F50</f>
        <v>1819002327.4713001</v>
      </c>
      <c r="G51">
        <f>G49/((1+'Study Parameters'!$C$4)^'MFSP Baseline'!G48) + G50</f>
        <v>1726398516.8002477</v>
      </c>
      <c r="H51">
        <f>H49/((1+'Study Parameters'!$C$4)^'MFSP Baseline'!H48) + H50</f>
        <v>1640654247.6603842</v>
      </c>
      <c r="I51">
        <f>I49/((1+'Study Parameters'!$C$4)^'MFSP Baseline'!I48) + I50</f>
        <v>1561261405.8642142</v>
      </c>
      <c r="J51">
        <f>J49/((1+'Study Parameters'!$C$4)^'MFSP Baseline'!J48) + J50</f>
        <v>1487749515.3122051</v>
      </c>
      <c r="K51">
        <f>K49/((1+'Study Parameters'!$C$4)^'MFSP Baseline'!K48) + K50</f>
        <v>1419682949.9862709</v>
      </c>
      <c r="L51">
        <f>L49/((1+'Study Parameters'!$C$4)^'MFSP Baseline'!L48) + L50</f>
        <v>1356658352.4622574</v>
      </c>
      <c r="M51">
        <f>M49/((1+'Study Parameters'!$C$4)^'MFSP Baseline'!M48) + M50</f>
        <v>1298302243.6437268</v>
      </c>
      <c r="N51">
        <f>N49/((1+'Study Parameters'!$C$4)^'MFSP Baseline'!N48) + N50</f>
        <v>1244268809.5524945</v>
      </c>
      <c r="O51">
        <f>O49/((1+'Study Parameters'!$C$4)^'MFSP Baseline'!O48) + O50</f>
        <v>1194237852.0606127</v>
      </c>
      <c r="P51">
        <f>P49/((1+'Study Parameters'!$C$4)^'MFSP Baseline'!P48) + P50</f>
        <v>1147912891.4199815</v>
      </c>
      <c r="Q51">
        <f>Q49/((1+'Study Parameters'!$C$4)^'MFSP Baseline'!Q48) + Q50</f>
        <v>1105019409.3453228</v>
      </c>
      <c r="R51">
        <f>R49/((1+'Study Parameters'!$C$4)^'MFSP Baseline'!R48) + R50</f>
        <v>1065303222.2391577</v>
      </c>
      <c r="S51">
        <f>S49/((1+'Study Parameters'!$C$4)^'MFSP Baseline'!S48) + S50</f>
        <v>1028528974.9186342</v>
      </c>
      <c r="T51">
        <f>T49/((1+'Study Parameters'!$C$4)^'MFSP Baseline'!T48) + T50</f>
        <v>994478745.91814947</v>
      </c>
      <c r="U51">
        <f>U49/((1+'Study Parameters'!$C$4)^'MFSP Baseline'!U48) + U50</f>
        <v>962950756.10288596</v>
      </c>
      <c r="V51">
        <f>V49/((1+'Study Parameters'!$C$4)^'MFSP Baseline'!V48) + V50</f>
        <v>933758172.94060493</v>
      </c>
      <c r="W51">
        <f>W49/((1+'Study Parameters'!$C$4)^'MFSP Baseline'!W48) + W50</f>
        <v>906728003.3459003</v>
      </c>
      <c r="X51">
        <f>X49/((1+'Study Parameters'!$C$4)^'MFSP Baseline'!X48) + X50</f>
        <v>881700068.53598845</v>
      </c>
      <c r="Y51">
        <f>Y49/((1+'Study Parameters'!$C$4)^'MFSP Baseline'!Y48) + Y50</f>
        <v>858526054.82310724</v>
      </c>
      <c r="Z51">
        <f>Z49/((1+'Study Parameters'!$C$4)^'MFSP Baseline'!Z48) + Z50</f>
        <v>837068634.71858752</v>
      </c>
      <c r="AA51">
        <f>AA49/((1+'Study Parameters'!$C$4)^'MFSP Baseline'!AA48) + AA50</f>
        <v>817200653.14032853</v>
      </c>
      <c r="AB51">
        <f>AB49/((1+'Study Parameters'!$C$4)^'MFSP Baseline'!AB48) + AB50</f>
        <v>798804373.90119994</v>
      </c>
      <c r="AC51">
        <f>AC49/((1+'Study Parameters'!$C$4)^'MFSP Baseline'!AC48) + AC50</f>
        <v>781770782.01311779</v>
      </c>
      <c r="AD51">
        <f>AD49/((1+'Study Parameters'!$C$4)^'MFSP Baseline'!AD48) + AD50</f>
        <v>765998937.67230105</v>
      </c>
      <c r="AE51">
        <f>AE49/((1+'Study Parameters'!$C$4)^'MFSP Baseline'!AE48) + AE50</f>
        <v>751395378.09747076</v>
      </c>
      <c r="AF51">
        <f>AF49/((1+'Study Parameters'!$C$4)^'MFSP Baseline'!AF48) + AF50</f>
        <v>737873563.67633152</v>
      </c>
    </row>
    <row r="52" spans="1:32">
      <c r="A52" t="s">
        <v>147</v>
      </c>
      <c r="B52">
        <v>0</v>
      </c>
      <c r="C52">
        <f>'Study Parameters'!$C$19</f>
        <v>800000000</v>
      </c>
      <c r="D52">
        <f>'Study Parameters'!$C$19</f>
        <v>800000000</v>
      </c>
      <c r="E52">
        <f>'Study Parameters'!$C$19</f>
        <v>800000000</v>
      </c>
      <c r="F52">
        <f>'Study Parameters'!$C$19</f>
        <v>800000000</v>
      </c>
      <c r="G52">
        <f>'Study Parameters'!$C$19</f>
        <v>800000000</v>
      </c>
      <c r="H52">
        <f>'Study Parameters'!$C$19</f>
        <v>800000000</v>
      </c>
      <c r="I52">
        <f>'Study Parameters'!$C$19</f>
        <v>800000000</v>
      </c>
      <c r="J52">
        <f>'Study Parameters'!$C$19</f>
        <v>800000000</v>
      </c>
      <c r="K52">
        <f>'Study Parameters'!$C$19</f>
        <v>800000000</v>
      </c>
      <c r="L52">
        <f>'Study Parameters'!$C$19</f>
        <v>800000000</v>
      </c>
      <c r="M52">
        <f>'Study Parameters'!$C$19</f>
        <v>800000000</v>
      </c>
      <c r="N52">
        <f>'Study Parameters'!$C$19</f>
        <v>800000000</v>
      </c>
      <c r="O52">
        <f>'Study Parameters'!$C$19</f>
        <v>800000000</v>
      </c>
      <c r="P52">
        <f>'Study Parameters'!$C$19</f>
        <v>800000000</v>
      </c>
      <c r="Q52">
        <f>'Study Parameters'!$C$19</f>
        <v>800000000</v>
      </c>
      <c r="R52">
        <f>'Study Parameters'!$C$19</f>
        <v>800000000</v>
      </c>
      <c r="S52">
        <f>'Study Parameters'!$C$19</f>
        <v>800000000</v>
      </c>
      <c r="T52">
        <f>'Study Parameters'!$C$19</f>
        <v>800000000</v>
      </c>
      <c r="U52">
        <f>'Study Parameters'!$C$19</f>
        <v>800000000</v>
      </c>
      <c r="V52">
        <f>'Study Parameters'!$C$19</f>
        <v>800000000</v>
      </c>
      <c r="W52">
        <f>'Study Parameters'!$C$19</f>
        <v>800000000</v>
      </c>
      <c r="X52">
        <f>'Study Parameters'!$C$19</f>
        <v>800000000</v>
      </c>
      <c r="Y52">
        <f>'Study Parameters'!$C$19</f>
        <v>800000000</v>
      </c>
      <c r="Z52">
        <f>'Study Parameters'!$C$19</f>
        <v>800000000</v>
      </c>
      <c r="AA52">
        <f>'Study Parameters'!$C$19</f>
        <v>800000000</v>
      </c>
      <c r="AB52">
        <f>'Study Parameters'!$C$19</f>
        <v>800000000</v>
      </c>
      <c r="AC52">
        <f>'Study Parameters'!$C$19</f>
        <v>800000000</v>
      </c>
      <c r="AD52">
        <f>'Study Parameters'!$C$19</f>
        <v>800000000</v>
      </c>
      <c r="AE52">
        <f>'Study Parameters'!$C$19</f>
        <v>800000000</v>
      </c>
      <c r="AF52">
        <f>'Study Parameters'!$C$19</f>
        <v>800000000</v>
      </c>
    </row>
    <row r="53" spans="1:32">
      <c r="A53" t="s">
        <v>148</v>
      </c>
      <c r="B53">
        <v>0</v>
      </c>
      <c r="C53">
        <f>C52/((1+'Study Parameters'!$C$4)^'MFSP Baseline'!C48)</f>
        <v>740740740.74074066</v>
      </c>
      <c r="D53">
        <f>D52/((1+'Study Parameters'!$C$4)^'MFSP Baseline'!D48)</f>
        <v>685871056.24142659</v>
      </c>
      <c r="E53">
        <f>E52/((1+'Study Parameters'!$C$4)^'MFSP Baseline'!E48)</f>
        <v>635065792.81613564</v>
      </c>
      <c r="F53">
        <f>F52/((1+'Study Parameters'!$C$4)^'MFSP Baseline'!F48)</f>
        <v>588023882.23716259</v>
      </c>
      <c r="G53">
        <f>G52/((1+'Study Parameters'!$C$4)^'MFSP Baseline'!G48)</f>
        <v>544466557.62700236</v>
      </c>
      <c r="H53">
        <f>H52/((1+'Study Parameters'!$C$4)^'MFSP Baseline'!H48)</f>
        <v>504135701.50648367</v>
      </c>
      <c r="I53">
        <f>I52/((1+'Study Parameters'!$C$4)^'MFSP Baseline'!I48)</f>
        <v>466792316.20970708</v>
      </c>
      <c r="J53">
        <f>J52/((1+'Study Parameters'!$C$4)^'MFSP Baseline'!J48)</f>
        <v>432215107.60158062</v>
      </c>
      <c r="K53">
        <f>K52/((1+'Study Parameters'!$C$4)^'MFSP Baseline'!K48)</f>
        <v>400199173.70516723</v>
      </c>
      <c r="L53">
        <f>L52/((1+'Study Parameters'!$C$4)^'MFSP Baseline'!L48)</f>
        <v>370554790.46774739</v>
      </c>
      <c r="M53">
        <f>M52/((1+'Study Parameters'!$C$4)^'MFSP Baseline'!M48)</f>
        <v>343106287.47013646</v>
      </c>
      <c r="N53">
        <f>N52/((1+'Study Parameters'!$C$4)^'MFSP Baseline'!N48)</f>
        <v>317691006.91679299</v>
      </c>
      <c r="O53">
        <f>O52/((1+'Study Parameters'!$C$4)^'MFSP Baseline'!O48)</f>
        <v>294158339.73777133</v>
      </c>
      <c r="P53">
        <f>P52/((1+'Study Parameters'!$C$4)^'MFSP Baseline'!P48)</f>
        <v>272368833.09052896</v>
      </c>
      <c r="Q53">
        <f>Q52/((1+'Study Parameters'!$C$4)^'MFSP Baseline'!Q48)</f>
        <v>252193363.97271198</v>
      </c>
      <c r="R53">
        <f>R52/((1+'Study Parameters'!$C$4)^'MFSP Baseline'!R48)</f>
        <v>233512374.04880738</v>
      </c>
      <c r="S53">
        <f>S52/((1+'Study Parameters'!$C$4)^'MFSP Baseline'!S48)</f>
        <v>216215161.15630314</v>
      </c>
      <c r="T53">
        <f>T52/((1+'Study Parameters'!$C$4)^'MFSP Baseline'!T48)</f>
        <v>200199223.29287323</v>
      </c>
      <c r="U53">
        <f>U52/((1+'Study Parameters'!$C$4)^'MFSP Baseline'!U48)</f>
        <v>185369651.19710484</v>
      </c>
      <c r="V53">
        <f>V52/((1+'Study Parameters'!$C$4)^'MFSP Baseline'!V48)</f>
        <v>171638565.92324522</v>
      </c>
      <c r="W53">
        <f>W52/((1+'Study Parameters'!$C$4)^'MFSP Baseline'!W48)</f>
        <v>158924598.07707891</v>
      </c>
      <c r="X53">
        <f>X52/((1+'Study Parameters'!$C$4)^'MFSP Baseline'!X48)</f>
        <v>147152405.6269249</v>
      </c>
      <c r="Y53">
        <f>Y52/((1+'Study Parameters'!$C$4)^'MFSP Baseline'!Y48)</f>
        <v>136252227.43233788</v>
      </c>
      <c r="Z53">
        <f>Z52/((1+'Study Parameters'!$C$4)^'MFSP Baseline'!Z48)</f>
        <v>126159469.84475727</v>
      </c>
      <c r="AA53">
        <f>AA52/((1+'Study Parameters'!$C$4)^'MFSP Baseline'!AA48)</f>
        <v>116814323.9303308</v>
      </c>
      <c r="AB53">
        <f>AB52/((1+'Study Parameters'!$C$4)^'MFSP Baseline'!AB48)</f>
        <v>108161411.04660261</v>
      </c>
      <c r="AC53">
        <f>AC52/((1+'Study Parameters'!$C$4)^'MFSP Baseline'!AC48)</f>
        <v>100149454.67278019</v>
      </c>
      <c r="AD53">
        <f>AD52/((1+'Study Parameters'!$C$4)^'MFSP Baseline'!AD48)</f>
        <v>92730976.548870534</v>
      </c>
      <c r="AE53">
        <f>AE52/((1+'Study Parameters'!$C$4)^'MFSP Baseline'!AE48)</f>
        <v>85862015.323028266</v>
      </c>
      <c r="AF53">
        <f>AF52/((1+'Study Parameters'!$C$4)^'MFSP Baseline'!AF48)</f>
        <v>79501866.039840981</v>
      </c>
    </row>
    <row r="55" spans="1:32">
      <c r="A55" t="s">
        <v>149</v>
      </c>
      <c r="B55">
        <f>SUM(B51:AF51) / SUM(B53:AF53)</f>
        <v>4.0208801957224605</v>
      </c>
    </row>
    <row r="57" spans="1:32">
      <c r="A57" t="s">
        <v>152</v>
      </c>
    </row>
    <row r="58" spans="1:32">
      <c r="A58" t="s">
        <v>1</v>
      </c>
      <c r="B58">
        <v>0</v>
      </c>
      <c r="C58">
        <v>1</v>
      </c>
      <c r="D58">
        <v>2</v>
      </c>
      <c r="E58">
        <v>3</v>
      </c>
      <c r="F58">
        <v>4</v>
      </c>
      <c r="G58">
        <v>5</v>
      </c>
      <c r="H58">
        <v>6</v>
      </c>
      <c r="I58">
        <v>7</v>
      </c>
      <c r="J58">
        <v>8</v>
      </c>
      <c r="K58">
        <v>9</v>
      </c>
      <c r="L58">
        <v>10</v>
      </c>
      <c r="M58">
        <v>11</v>
      </c>
      <c r="N58">
        <v>12</v>
      </c>
      <c r="O58">
        <v>13</v>
      </c>
      <c r="P58">
        <v>14</v>
      </c>
      <c r="Q58">
        <v>15</v>
      </c>
      <c r="R58">
        <v>16</v>
      </c>
      <c r="S58">
        <v>17</v>
      </c>
      <c r="T58">
        <v>18</v>
      </c>
      <c r="U58">
        <v>19</v>
      </c>
      <c r="V58">
        <v>20</v>
      </c>
      <c r="W58">
        <v>21</v>
      </c>
      <c r="X58">
        <v>22</v>
      </c>
      <c r="Y58">
        <v>23</v>
      </c>
      <c r="Z58">
        <v>24</v>
      </c>
      <c r="AA58">
        <v>25</v>
      </c>
      <c r="AB58">
        <v>26</v>
      </c>
      <c r="AC58">
        <v>27</v>
      </c>
      <c r="AD58">
        <v>28</v>
      </c>
      <c r="AE58">
        <v>29</v>
      </c>
      <c r="AF58">
        <v>30</v>
      </c>
    </row>
    <row r="59" spans="1:32">
      <c r="A59" t="s">
        <v>111</v>
      </c>
      <c r="B59">
        <v>0</v>
      </c>
      <c r="C59">
        <f>'Cost Components'!$N$52*10^6</f>
        <v>629830210.6372776</v>
      </c>
      <c r="D59">
        <f>'Cost Components'!$N$52*10^6</f>
        <v>629830210.6372776</v>
      </c>
      <c r="E59">
        <f>'Cost Components'!$N$52*10^6</f>
        <v>629830210.6372776</v>
      </c>
      <c r="F59">
        <f>'Cost Components'!$N$52*10^6</f>
        <v>629830210.6372776</v>
      </c>
      <c r="G59">
        <f>'Cost Components'!$N$52*10^6</f>
        <v>629830210.6372776</v>
      </c>
      <c r="H59">
        <f>'Cost Components'!$N$52*10^6</f>
        <v>629830210.6372776</v>
      </c>
      <c r="I59">
        <f>'Cost Components'!$N$52*10^6</f>
        <v>629830210.6372776</v>
      </c>
      <c r="J59">
        <f>'Cost Components'!$N$52*10^6</f>
        <v>629830210.6372776</v>
      </c>
      <c r="K59">
        <f>'Cost Components'!$N$52*10^6</f>
        <v>629830210.6372776</v>
      </c>
      <c r="L59">
        <f>'Cost Components'!$N$52*10^6</f>
        <v>629830210.6372776</v>
      </c>
      <c r="M59">
        <f>'Cost Components'!$N$52*10^6</f>
        <v>629830210.6372776</v>
      </c>
      <c r="N59">
        <f>'Cost Components'!$N$52*10^6</f>
        <v>629830210.6372776</v>
      </c>
      <c r="O59">
        <f>'Cost Components'!$N$52*10^6</f>
        <v>629830210.6372776</v>
      </c>
      <c r="P59">
        <f>'Cost Components'!$N$52*10^6</f>
        <v>629830210.6372776</v>
      </c>
      <c r="Q59">
        <f>'Cost Components'!$N$52*10^6</f>
        <v>629830210.6372776</v>
      </c>
      <c r="R59">
        <f>'Cost Components'!$N$52*10^6</f>
        <v>629830210.6372776</v>
      </c>
      <c r="S59">
        <f>'Cost Components'!$N$52*10^6</f>
        <v>629830210.6372776</v>
      </c>
      <c r="T59">
        <f>'Cost Components'!$N$52*10^6</f>
        <v>629830210.6372776</v>
      </c>
      <c r="U59">
        <f>'Cost Components'!$N$52*10^6</f>
        <v>629830210.6372776</v>
      </c>
      <c r="V59">
        <f>'Cost Components'!$N$52*10^6</f>
        <v>629830210.6372776</v>
      </c>
      <c r="W59">
        <f>'Cost Components'!$N$52*10^6</f>
        <v>629830210.6372776</v>
      </c>
      <c r="X59">
        <f>'Cost Components'!$N$52*10^6</f>
        <v>629830210.6372776</v>
      </c>
      <c r="Y59">
        <f>'Cost Components'!$N$52*10^6</f>
        <v>629830210.6372776</v>
      </c>
      <c r="Z59">
        <f>'Cost Components'!$N$52*10^6</f>
        <v>629830210.6372776</v>
      </c>
      <c r="AA59">
        <f>'Cost Components'!$N$52*10^6</f>
        <v>629830210.6372776</v>
      </c>
      <c r="AB59">
        <f>'Cost Components'!$N$52*10^6</f>
        <v>629830210.6372776</v>
      </c>
      <c r="AC59">
        <f>'Cost Components'!$N$52*10^6</f>
        <v>629830210.6372776</v>
      </c>
      <c r="AD59">
        <f>'Cost Components'!$N$52*10^6</f>
        <v>629830210.6372776</v>
      </c>
      <c r="AE59">
        <f>'Cost Components'!$N$52*10^6</f>
        <v>629830210.6372776</v>
      </c>
      <c r="AF59">
        <f>'Cost Components'!$N$52*10^6</f>
        <v>629830210.6372776</v>
      </c>
    </row>
    <row r="60" spans="1:32">
      <c r="A60" t="s">
        <v>146</v>
      </c>
      <c r="B60">
        <v>0</v>
      </c>
      <c r="C60">
        <f>'Cost Components'!$N$29</f>
        <v>331059844.23436385</v>
      </c>
      <c r="D60">
        <f>'Cost Components'!$N$29</f>
        <v>331059844.23436385</v>
      </c>
      <c r="E60">
        <f>'Cost Components'!$N$29</f>
        <v>331059844.23436385</v>
      </c>
      <c r="F60">
        <f>'Cost Components'!$N$29</f>
        <v>331059844.23436385</v>
      </c>
      <c r="G60">
        <f>'Cost Components'!$N$29</f>
        <v>331059844.23436385</v>
      </c>
      <c r="H60">
        <f>'Cost Components'!$N$29</f>
        <v>331059844.23436385</v>
      </c>
      <c r="I60">
        <f>'Cost Components'!$N$29</f>
        <v>331059844.23436385</v>
      </c>
      <c r="J60">
        <f>'Cost Components'!$N$29</f>
        <v>331059844.23436385</v>
      </c>
      <c r="K60">
        <f>'Cost Components'!$N$29</f>
        <v>331059844.23436385</v>
      </c>
      <c r="L60">
        <f>'Cost Components'!$N$29</f>
        <v>331059844.23436385</v>
      </c>
      <c r="M60">
        <f>'Cost Components'!$N$29</f>
        <v>331059844.23436385</v>
      </c>
      <c r="N60">
        <f>'Cost Components'!$N$29</f>
        <v>331059844.23436385</v>
      </c>
      <c r="O60">
        <f>'Cost Components'!$N$29</f>
        <v>331059844.23436385</v>
      </c>
      <c r="P60">
        <f>'Cost Components'!$N$29</f>
        <v>331059844.23436385</v>
      </c>
      <c r="Q60">
        <f>'Cost Components'!$N$29</f>
        <v>331059844.23436385</v>
      </c>
      <c r="R60">
        <f>'Cost Components'!$N$29</f>
        <v>331059844.23436385</v>
      </c>
      <c r="S60">
        <f>'Cost Components'!$N$29</f>
        <v>331059844.23436385</v>
      </c>
      <c r="T60">
        <f>'Cost Components'!$N$29</f>
        <v>331059844.23436385</v>
      </c>
      <c r="U60">
        <f>'Cost Components'!$N$29</f>
        <v>331059844.23436385</v>
      </c>
      <c r="V60">
        <f>'Cost Components'!$N$29</f>
        <v>331059844.23436385</v>
      </c>
      <c r="W60">
        <f>'Cost Components'!$N$29</f>
        <v>331059844.23436385</v>
      </c>
      <c r="X60">
        <f>'Cost Components'!$N$29</f>
        <v>331059844.23436385</v>
      </c>
      <c r="Y60">
        <f>'Cost Components'!$N$29</f>
        <v>331059844.23436385</v>
      </c>
      <c r="Z60">
        <f>'Cost Components'!$N$29</f>
        <v>331059844.23436385</v>
      </c>
      <c r="AA60">
        <f>'Cost Components'!$N$29</f>
        <v>331059844.23436385</v>
      </c>
      <c r="AB60">
        <f>'Cost Components'!$N$29</f>
        <v>331059844.23436385</v>
      </c>
      <c r="AC60">
        <f>'Cost Components'!$N$29</f>
        <v>331059844.23436385</v>
      </c>
      <c r="AD60">
        <f>'Cost Components'!$N$29</f>
        <v>331059844.23436385</v>
      </c>
      <c r="AE60">
        <f>'Cost Components'!$N$29</f>
        <v>331059844.23436385</v>
      </c>
      <c r="AF60">
        <f>'Cost Components'!$N$29</f>
        <v>331059844.23436385</v>
      </c>
    </row>
    <row r="61" spans="1:32">
      <c r="A61" t="s">
        <v>112</v>
      </c>
      <c r="B61">
        <v>0</v>
      </c>
      <c r="C61">
        <f>C59/((1+'Study Parameters'!$C$4)^'MFSP Baseline'!C58) + C60</f>
        <v>914235965.1948061</v>
      </c>
      <c r="D61">
        <f>D59/((1+'Study Parameters'!$C$4)^'MFSP Baseline'!D58) + D60</f>
        <v>871037734.01255107</v>
      </c>
      <c r="E61">
        <f>E59/((1+'Study Parameters'!$C$4)^'MFSP Baseline'!E58) + E60</f>
        <v>831039371.80675936</v>
      </c>
      <c r="F61">
        <f>F59/((1+'Study Parameters'!$C$4)^'MFSP Baseline'!F58) + F60</f>
        <v>794003851.24584115</v>
      </c>
      <c r="G61">
        <f>G59/((1+'Study Parameters'!$C$4)^'MFSP Baseline'!G58) + G60</f>
        <v>759711702.57832432</v>
      </c>
      <c r="H61">
        <f>H59/((1+'Study Parameters'!$C$4)^'MFSP Baseline'!H58) + H60</f>
        <v>727959713.07136416</v>
      </c>
      <c r="I61">
        <f>I59/((1+'Study Parameters'!$C$4)^'MFSP Baseline'!I58) + I60</f>
        <v>698559722.78714204</v>
      </c>
      <c r="J61">
        <f>J59/((1+'Study Parameters'!$C$4)^'MFSP Baseline'!J58) + J60</f>
        <v>671337509.56101024</v>
      </c>
      <c r="K61">
        <f>K59/((1+'Study Parameters'!$C$4)^'MFSP Baseline'!K58) + K60</f>
        <v>646131756.57385123</v>
      </c>
      <c r="L61">
        <f>L59/((1+'Study Parameters'!$C$4)^'MFSP Baseline'!L58) + L60</f>
        <v>622793096.40055585</v>
      </c>
      <c r="M61">
        <f>M59/((1+'Study Parameters'!$C$4)^'MFSP Baseline'!M58) + M60</f>
        <v>601183225.8697269</v>
      </c>
      <c r="N61">
        <f>N59/((1+'Study Parameters'!$C$4)^'MFSP Baseline'!N58) + N60</f>
        <v>581174086.48932958</v>
      </c>
      <c r="O61">
        <f>O59/((1+'Study Parameters'!$C$4)^'MFSP Baseline'!O58) + O60</f>
        <v>562647105.58155429</v>
      </c>
      <c r="P61">
        <f>P59/((1+'Study Parameters'!$C$4)^'MFSP Baseline'!P58) + P60</f>
        <v>545492493.62991047</v>
      </c>
      <c r="Q61">
        <f>Q59/((1+'Study Parameters'!$C$4)^'MFSP Baseline'!Q58) + Q60</f>
        <v>529608593.67468488</v>
      </c>
      <c r="R61">
        <f>R59/((1+'Study Parameters'!$C$4)^'MFSP Baseline'!R58) + R60</f>
        <v>514901278.90132773</v>
      </c>
      <c r="S61">
        <f>S59/((1+'Study Parameters'!$C$4)^'MFSP Baseline'!S58) + S60</f>
        <v>501283394.85192299</v>
      </c>
      <c r="T61">
        <f>T59/((1+'Study Parameters'!$C$4)^'MFSP Baseline'!T58) + T60</f>
        <v>488674242.95432603</v>
      </c>
      <c r="U61">
        <f>U59/((1+'Study Parameters'!$C$4)^'MFSP Baseline'!U58) + U60</f>
        <v>476999102.3084029</v>
      </c>
      <c r="V61">
        <f>V59/((1+'Study Parameters'!$C$4)^'MFSP Baseline'!V58) + V60</f>
        <v>466188786.89551115</v>
      </c>
      <c r="W61">
        <f>W59/((1+'Study Parameters'!$C$4)^'MFSP Baseline'!W58) + W60</f>
        <v>456179235.58727801</v>
      </c>
      <c r="X61">
        <f>X59/((1+'Study Parameters'!$C$4)^'MFSP Baseline'!X58) + X60</f>
        <v>446911132.52409911</v>
      </c>
      <c r="Y61">
        <f>Y59/((1+'Study Parameters'!$C$4)^'MFSP Baseline'!Y58) + Y60</f>
        <v>438329555.61374837</v>
      </c>
      <c r="Z61">
        <f>Z59/((1+'Study Parameters'!$C$4)^'MFSP Baseline'!Z58) + Z60</f>
        <v>430383651.06712729</v>
      </c>
      <c r="AA61">
        <f>AA59/((1+'Study Parameters'!$C$4)^'MFSP Baseline'!AA58) + AA60</f>
        <v>423026332.04247814</v>
      </c>
      <c r="AB61">
        <f>AB59/((1+'Study Parameters'!$C$4)^'MFSP Baseline'!AB58) + AB60</f>
        <v>416213999.61224747</v>
      </c>
      <c r="AC61">
        <f>AC59/((1+'Study Parameters'!$C$4)^'MFSP Baseline'!AC58) + AC60</f>
        <v>409906284.39907086</v>
      </c>
      <c r="AD61">
        <f>AD59/((1+'Study Parameters'!$C$4)^'MFSP Baseline'!AD58) + AD60</f>
        <v>404065807.34983331</v>
      </c>
      <c r="AE61">
        <f>AE59/((1+'Study Parameters'!$C$4)^'MFSP Baseline'!AE58) + AE60</f>
        <v>398657958.23016894</v>
      </c>
      <c r="AF61">
        <f>AF59/((1+'Study Parameters'!$C$4)^'MFSP Baseline'!AF58) + AF60</f>
        <v>393650690.52677596</v>
      </c>
    </row>
    <row r="62" spans="1:32">
      <c r="A62" t="s">
        <v>147</v>
      </c>
      <c r="B62">
        <v>0</v>
      </c>
      <c r="C62">
        <f>'Study Parameters'!$C$19</f>
        <v>800000000</v>
      </c>
      <c r="D62">
        <f>'Study Parameters'!$C$19</f>
        <v>800000000</v>
      </c>
      <c r="E62">
        <f>'Study Parameters'!$C$19</f>
        <v>800000000</v>
      </c>
      <c r="F62">
        <f>'Study Parameters'!$C$19</f>
        <v>800000000</v>
      </c>
      <c r="G62">
        <f>'Study Parameters'!$C$19</f>
        <v>800000000</v>
      </c>
      <c r="H62">
        <f>'Study Parameters'!$C$19</f>
        <v>800000000</v>
      </c>
      <c r="I62">
        <f>'Study Parameters'!$C$19</f>
        <v>800000000</v>
      </c>
      <c r="J62">
        <f>'Study Parameters'!$C$19</f>
        <v>800000000</v>
      </c>
      <c r="K62">
        <f>'Study Parameters'!$C$19</f>
        <v>800000000</v>
      </c>
      <c r="L62">
        <f>'Study Parameters'!$C$19</f>
        <v>800000000</v>
      </c>
      <c r="M62">
        <f>'Study Parameters'!$C$19</f>
        <v>800000000</v>
      </c>
      <c r="N62">
        <f>'Study Parameters'!$C$19</f>
        <v>800000000</v>
      </c>
      <c r="O62">
        <f>'Study Parameters'!$C$19</f>
        <v>800000000</v>
      </c>
      <c r="P62">
        <f>'Study Parameters'!$C$19</f>
        <v>800000000</v>
      </c>
      <c r="Q62">
        <f>'Study Parameters'!$C$19</f>
        <v>800000000</v>
      </c>
      <c r="R62">
        <f>'Study Parameters'!$C$19</f>
        <v>800000000</v>
      </c>
      <c r="S62">
        <f>'Study Parameters'!$C$19</f>
        <v>800000000</v>
      </c>
      <c r="T62">
        <f>'Study Parameters'!$C$19</f>
        <v>800000000</v>
      </c>
      <c r="U62">
        <f>'Study Parameters'!$C$19</f>
        <v>800000000</v>
      </c>
      <c r="V62">
        <f>'Study Parameters'!$C$19</f>
        <v>800000000</v>
      </c>
      <c r="W62">
        <f>'Study Parameters'!$C$19</f>
        <v>800000000</v>
      </c>
      <c r="X62">
        <f>'Study Parameters'!$C$19</f>
        <v>800000000</v>
      </c>
      <c r="Y62">
        <f>'Study Parameters'!$C$19</f>
        <v>800000000</v>
      </c>
      <c r="Z62">
        <f>'Study Parameters'!$C$19</f>
        <v>800000000</v>
      </c>
      <c r="AA62">
        <f>'Study Parameters'!$C$19</f>
        <v>800000000</v>
      </c>
      <c r="AB62">
        <f>'Study Parameters'!$C$19</f>
        <v>800000000</v>
      </c>
      <c r="AC62">
        <f>'Study Parameters'!$C$19</f>
        <v>800000000</v>
      </c>
      <c r="AD62">
        <f>'Study Parameters'!$C$19</f>
        <v>800000000</v>
      </c>
      <c r="AE62">
        <f>'Study Parameters'!$C$19</f>
        <v>800000000</v>
      </c>
      <c r="AF62">
        <f>'Study Parameters'!$C$19</f>
        <v>800000000</v>
      </c>
    </row>
    <row r="63" spans="1:32">
      <c r="A63" t="s">
        <v>148</v>
      </c>
      <c r="B63">
        <v>0</v>
      </c>
      <c r="C63">
        <f>C62/((1+'Study Parameters'!$C$4)^'MFSP Baseline'!C58)</f>
        <v>740740740.74074066</v>
      </c>
      <c r="D63">
        <f>D62/((1+'Study Parameters'!$C$4)^'MFSP Baseline'!D58)</f>
        <v>685871056.24142659</v>
      </c>
      <c r="E63">
        <f>E62/((1+'Study Parameters'!$C$4)^'MFSP Baseline'!E58)</f>
        <v>635065792.81613564</v>
      </c>
      <c r="F63">
        <f>F62/((1+'Study Parameters'!$C$4)^'MFSP Baseline'!F58)</f>
        <v>588023882.23716259</v>
      </c>
      <c r="G63">
        <f>G62/((1+'Study Parameters'!$C$4)^'MFSP Baseline'!G58)</f>
        <v>544466557.62700236</v>
      </c>
      <c r="H63">
        <f>H62/((1+'Study Parameters'!$C$4)^'MFSP Baseline'!H58)</f>
        <v>504135701.50648367</v>
      </c>
      <c r="I63">
        <f>I62/((1+'Study Parameters'!$C$4)^'MFSP Baseline'!I58)</f>
        <v>466792316.20970708</v>
      </c>
      <c r="J63">
        <f>J62/((1+'Study Parameters'!$C$4)^'MFSP Baseline'!J58)</f>
        <v>432215107.60158062</v>
      </c>
      <c r="K63">
        <f>K62/((1+'Study Parameters'!$C$4)^'MFSP Baseline'!K58)</f>
        <v>400199173.70516723</v>
      </c>
      <c r="L63">
        <f>L62/((1+'Study Parameters'!$C$4)^'MFSP Baseline'!L58)</f>
        <v>370554790.46774739</v>
      </c>
      <c r="M63">
        <f>M62/((1+'Study Parameters'!$C$4)^'MFSP Baseline'!M58)</f>
        <v>343106287.47013646</v>
      </c>
      <c r="N63">
        <f>N62/((1+'Study Parameters'!$C$4)^'MFSP Baseline'!N58)</f>
        <v>317691006.91679299</v>
      </c>
      <c r="O63">
        <f>O62/((1+'Study Parameters'!$C$4)^'MFSP Baseline'!O58)</f>
        <v>294158339.73777133</v>
      </c>
      <c r="P63">
        <f>P62/((1+'Study Parameters'!$C$4)^'MFSP Baseline'!P58)</f>
        <v>272368833.09052896</v>
      </c>
      <c r="Q63">
        <f>Q62/((1+'Study Parameters'!$C$4)^'MFSP Baseline'!Q58)</f>
        <v>252193363.97271198</v>
      </c>
      <c r="R63">
        <f>R62/((1+'Study Parameters'!$C$4)^'MFSP Baseline'!R58)</f>
        <v>233512374.04880738</v>
      </c>
      <c r="S63">
        <f>S62/((1+'Study Parameters'!$C$4)^'MFSP Baseline'!S58)</f>
        <v>216215161.15630314</v>
      </c>
      <c r="T63">
        <f>T62/((1+'Study Parameters'!$C$4)^'MFSP Baseline'!T58)</f>
        <v>200199223.29287323</v>
      </c>
      <c r="U63">
        <f>U62/((1+'Study Parameters'!$C$4)^'MFSP Baseline'!U58)</f>
        <v>185369651.19710484</v>
      </c>
      <c r="V63">
        <f>V62/((1+'Study Parameters'!$C$4)^'MFSP Baseline'!V58)</f>
        <v>171638565.92324522</v>
      </c>
      <c r="W63">
        <f>W62/((1+'Study Parameters'!$C$4)^'MFSP Baseline'!W58)</f>
        <v>158924598.07707891</v>
      </c>
      <c r="X63">
        <f>X62/((1+'Study Parameters'!$C$4)^'MFSP Baseline'!X58)</f>
        <v>147152405.6269249</v>
      </c>
      <c r="Y63">
        <f>Y62/((1+'Study Parameters'!$C$4)^'MFSP Baseline'!Y58)</f>
        <v>136252227.43233788</v>
      </c>
      <c r="Z63">
        <f>Z62/((1+'Study Parameters'!$C$4)^'MFSP Baseline'!Z58)</f>
        <v>126159469.84475727</v>
      </c>
      <c r="AA63">
        <f>AA62/((1+'Study Parameters'!$C$4)^'MFSP Baseline'!AA58)</f>
        <v>116814323.9303308</v>
      </c>
      <c r="AB63">
        <f>AB62/((1+'Study Parameters'!$C$4)^'MFSP Baseline'!AB58)</f>
        <v>108161411.04660261</v>
      </c>
      <c r="AC63">
        <f>AC62/((1+'Study Parameters'!$C$4)^'MFSP Baseline'!AC58)</f>
        <v>100149454.67278019</v>
      </c>
      <c r="AD63">
        <f>AD62/((1+'Study Parameters'!$C$4)^'MFSP Baseline'!AD58)</f>
        <v>92730976.548870534</v>
      </c>
      <c r="AE63">
        <f>AE62/((1+'Study Parameters'!$C$4)^'MFSP Baseline'!AE58)</f>
        <v>85862015.323028266</v>
      </c>
      <c r="AF63">
        <f>AF62/((1+'Study Parameters'!$C$4)^'MFSP Baseline'!AF58)</f>
        <v>79501866.039840981</v>
      </c>
    </row>
    <row r="65" spans="1:2">
      <c r="A65" t="s">
        <v>149</v>
      </c>
      <c r="B65">
        <f>SUM(B61:AF61) / SUM(B63:AF63)</f>
        <v>1.8900576230814237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65"/>
  <sheetViews>
    <sheetView workbookViewId="0">
      <selection activeCell="C57" sqref="C57"/>
    </sheetView>
  </sheetViews>
  <sheetFormatPr defaultColWidth="11" defaultRowHeight="15.75"/>
  <cols>
    <col min="1" max="1" width="26.875" bestFit="1" customWidth="1"/>
    <col min="2" max="2" width="17.625" bestFit="1" customWidth="1"/>
    <col min="3" max="3" width="17.125" bestFit="1" customWidth="1"/>
  </cols>
  <sheetData>
    <row r="1" spans="1:32">
      <c r="A1" t="s">
        <v>144</v>
      </c>
    </row>
    <row r="2" spans="1:32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>
      <c r="A3" t="s">
        <v>111</v>
      </c>
      <c r="B3">
        <v>0</v>
      </c>
      <c r="C3">
        <f>'Cost Components'!$B$45 * 10^6</f>
        <v>4157942237.9706101</v>
      </c>
      <c r="D3">
        <f>'Cost Components'!$B$45 * 10^6</f>
        <v>4157942237.9706101</v>
      </c>
      <c r="E3">
        <f>'Cost Components'!$B$45 * 10^6</f>
        <v>4157942237.9706101</v>
      </c>
      <c r="F3">
        <f>'Cost Components'!$B$45 * 10^6</f>
        <v>4157942237.9706101</v>
      </c>
      <c r="G3">
        <f>'Cost Components'!$B$45 * 10^6</f>
        <v>4157942237.9706101</v>
      </c>
      <c r="H3">
        <f>'Cost Components'!$B$45 * 10^6</f>
        <v>4157942237.9706101</v>
      </c>
      <c r="I3">
        <f>'Cost Components'!$B$45 * 10^6</f>
        <v>4157942237.9706101</v>
      </c>
      <c r="J3">
        <f>'Cost Components'!$B$45 * 10^6</f>
        <v>4157942237.9706101</v>
      </c>
      <c r="K3">
        <f>'Cost Components'!$B$45 * 10^6</f>
        <v>4157942237.9706101</v>
      </c>
      <c r="L3">
        <f>'Cost Components'!$B$45 * 10^6</f>
        <v>4157942237.9706101</v>
      </c>
      <c r="M3">
        <f>'Cost Components'!$B$45 * 10^6</f>
        <v>4157942237.9706101</v>
      </c>
      <c r="N3">
        <f>'Cost Components'!$B$45 * 10^6</f>
        <v>4157942237.9706101</v>
      </c>
      <c r="O3">
        <f>'Cost Components'!$B$45 * 10^6</f>
        <v>4157942237.9706101</v>
      </c>
      <c r="P3">
        <f>'Cost Components'!$B$45 * 10^6</f>
        <v>4157942237.9706101</v>
      </c>
      <c r="Q3">
        <f>'Cost Components'!$B$45 * 10^6</f>
        <v>4157942237.9706101</v>
      </c>
      <c r="R3">
        <f>'Cost Components'!$B$45 * 10^6</f>
        <v>4157942237.9706101</v>
      </c>
      <c r="S3">
        <f>'Cost Components'!$B$45 * 10^6</f>
        <v>4157942237.9706101</v>
      </c>
      <c r="T3">
        <f>'Cost Components'!$B$45 * 10^6</f>
        <v>4157942237.9706101</v>
      </c>
      <c r="U3">
        <f>'Cost Components'!$B$45 * 10^6</f>
        <v>4157942237.9706101</v>
      </c>
      <c r="V3">
        <f>'Cost Components'!$B$45 * 10^6</f>
        <v>4157942237.9706101</v>
      </c>
      <c r="W3">
        <f>'Cost Components'!$B$45 * 10^6</f>
        <v>4157942237.9706101</v>
      </c>
      <c r="X3">
        <f>'Cost Components'!$B$45 * 10^6</f>
        <v>4157942237.9706101</v>
      </c>
      <c r="Y3">
        <f>'Cost Components'!$B$45 * 10^6</f>
        <v>4157942237.9706101</v>
      </c>
      <c r="Z3">
        <f>'Cost Components'!$B$45 * 10^6</f>
        <v>4157942237.9706101</v>
      </c>
      <c r="AA3">
        <f>'Cost Components'!$B$45 * 10^6</f>
        <v>4157942237.9706101</v>
      </c>
      <c r="AB3">
        <f>'Cost Components'!$B$45 * 10^6</f>
        <v>4157942237.9706101</v>
      </c>
      <c r="AC3">
        <f>'Cost Components'!$B$45 * 10^6</f>
        <v>4157942237.9706101</v>
      </c>
      <c r="AD3">
        <f>'Cost Components'!$B$45 * 10^6</f>
        <v>4157942237.9706101</v>
      </c>
      <c r="AE3">
        <f>'Cost Components'!$B$45 * 10^6</f>
        <v>4157942237.9706101</v>
      </c>
      <c r="AF3">
        <f>'Cost Components'!$B$45 * 10^6</f>
        <v>4157942237.9706101</v>
      </c>
    </row>
    <row r="4" spans="1:32">
      <c r="A4" t="s">
        <v>146</v>
      </c>
      <c r="B4">
        <v>0</v>
      </c>
      <c r="C4">
        <f>'Cost Components'!$B$9</f>
        <v>554283184.33657908</v>
      </c>
      <c r="D4">
        <f>'Cost Components'!$B$9</f>
        <v>554283184.33657908</v>
      </c>
      <c r="E4">
        <f>'Cost Components'!$B$9</f>
        <v>554283184.33657908</v>
      </c>
      <c r="F4">
        <f>'Cost Components'!$B$9</f>
        <v>554283184.33657908</v>
      </c>
      <c r="G4">
        <f>'Cost Components'!$B$9</f>
        <v>554283184.33657908</v>
      </c>
      <c r="H4">
        <f>'Cost Components'!$B$9</f>
        <v>554283184.33657908</v>
      </c>
      <c r="I4">
        <f>'Cost Components'!$B$9</f>
        <v>554283184.33657908</v>
      </c>
      <c r="J4">
        <f>'Cost Components'!$B$9</f>
        <v>554283184.33657908</v>
      </c>
      <c r="K4">
        <f>'Cost Components'!$B$9</f>
        <v>554283184.33657908</v>
      </c>
      <c r="L4">
        <f>'Cost Components'!$B$9</f>
        <v>554283184.33657908</v>
      </c>
      <c r="M4">
        <f>'Cost Components'!$B$9</f>
        <v>554283184.33657908</v>
      </c>
      <c r="N4">
        <f>'Cost Components'!$B$9</f>
        <v>554283184.33657908</v>
      </c>
      <c r="O4">
        <f>'Cost Components'!$B$9</f>
        <v>554283184.33657908</v>
      </c>
      <c r="P4">
        <f>'Cost Components'!$B$9</f>
        <v>554283184.33657908</v>
      </c>
      <c r="Q4">
        <f>'Cost Components'!$B$9</f>
        <v>554283184.33657908</v>
      </c>
      <c r="R4">
        <f>'Cost Components'!$B$9</f>
        <v>554283184.33657908</v>
      </c>
      <c r="S4">
        <f>'Cost Components'!$B$9</f>
        <v>554283184.33657908</v>
      </c>
      <c r="T4">
        <f>'Cost Components'!$B$9</f>
        <v>554283184.33657908</v>
      </c>
      <c r="U4">
        <f>'Cost Components'!$B$9</f>
        <v>554283184.33657908</v>
      </c>
      <c r="V4">
        <f>'Cost Components'!$B$9</f>
        <v>554283184.33657908</v>
      </c>
      <c r="W4">
        <f>'Cost Components'!$B$9</f>
        <v>554283184.33657908</v>
      </c>
      <c r="X4">
        <f>'Cost Components'!$B$9</f>
        <v>554283184.33657908</v>
      </c>
      <c r="Y4">
        <f>'Cost Components'!$B$9</f>
        <v>554283184.33657908</v>
      </c>
      <c r="Z4">
        <f>'Cost Components'!$B$9</f>
        <v>554283184.33657908</v>
      </c>
      <c r="AA4">
        <f>'Cost Components'!$B$9</f>
        <v>554283184.33657908</v>
      </c>
      <c r="AB4">
        <f>'Cost Components'!$B$9</f>
        <v>554283184.33657908</v>
      </c>
      <c r="AC4">
        <f>'Cost Components'!$B$9</f>
        <v>554283184.33657908</v>
      </c>
      <c r="AD4">
        <f>'Cost Components'!$B$9</f>
        <v>554283184.33657908</v>
      </c>
      <c r="AE4">
        <f>'Cost Components'!$B$9</f>
        <v>554283184.33657908</v>
      </c>
      <c r="AF4">
        <f>'Cost Components'!$B$9</f>
        <v>554283184.33657908</v>
      </c>
    </row>
    <row r="5" spans="1:32">
      <c r="A5" t="s">
        <v>112</v>
      </c>
      <c r="B5">
        <f>B3/((1+'Study Parameters'!$C$4)^'MFSP Baseline'!B2)</f>
        <v>0</v>
      </c>
      <c r="C5">
        <f>C3/((1+'Study Parameters'!$C$4)^'MFSP Baseline'!C2) + C4</f>
        <v>4404229700.9760323</v>
      </c>
      <c r="D5">
        <f>D3/((1+'Study Parameters'!$C$4)^'MFSP Baseline'!D2) + D4</f>
        <v>4119048477.5212584</v>
      </c>
      <c r="E5">
        <f>E3/((1+'Study Parameters'!$C$4)^'MFSP Baseline'!E2) + E4</f>
        <v>3854991789.137208</v>
      </c>
      <c r="F5">
        <f>F3/((1+'Study Parameters'!$C$4)^'MFSP Baseline'!F2) + F4</f>
        <v>3610494855.4482718</v>
      </c>
      <c r="G5">
        <f>G3/((1+'Study Parameters'!$C$4)^'MFSP Baseline'!G2) + G4</f>
        <v>3384108805.7362947</v>
      </c>
      <c r="H5">
        <f>H3/((1+'Study Parameters'!$C$4)^'MFSP Baseline'!H2) + H4</f>
        <v>3174492093.040019</v>
      </c>
      <c r="I5">
        <f>I3/((1+'Study Parameters'!$C$4)^'MFSP Baseline'!I2) + I4</f>
        <v>2980402544.2471714</v>
      </c>
      <c r="J5">
        <f>J3/((1+'Study Parameters'!$C$4)^'MFSP Baseline'!J2) + J4</f>
        <v>2800689999.0686092</v>
      </c>
      <c r="K5">
        <f>K3/((1+'Study Parameters'!$C$4)^'MFSP Baseline'!K2) + K4</f>
        <v>2634289494.273644</v>
      </c>
      <c r="L5">
        <f>L3/((1+'Study Parameters'!$C$4)^'MFSP Baseline'!L2) + L4</f>
        <v>2480214952.7968245</v>
      </c>
      <c r="M5">
        <f>M3/((1+'Study Parameters'!$C$4)^'MFSP Baseline'!M2) + M4</f>
        <v>2337553340.3182878</v>
      </c>
      <c r="N5">
        <f>N3/((1+'Study Parameters'!$C$4)^'MFSP Baseline'!N2) + N4</f>
        <v>2205459254.6900129</v>
      </c>
      <c r="O5">
        <f>O3/((1+'Study Parameters'!$C$4)^'MFSP Baseline'!O2) + O4</f>
        <v>2083149916.145314</v>
      </c>
      <c r="P5">
        <f>P3/((1+'Study Parameters'!$C$4)^'MFSP Baseline'!P2) + P4</f>
        <v>1969900528.6039259</v>
      </c>
      <c r="Q5">
        <f>Q3/((1+'Study Parameters'!$C$4)^'MFSP Baseline'!Q2) + Q4</f>
        <v>1865039984.5841224</v>
      </c>
      <c r="R5">
        <f>R3/((1+'Study Parameters'!$C$4)^'MFSP Baseline'!R2) + R4</f>
        <v>1767946888.2694895</v>
      </c>
      <c r="S5">
        <f>S3/((1+'Study Parameters'!$C$4)^'MFSP Baseline'!S2) + S4</f>
        <v>1678045873.163348</v>
      </c>
      <c r="T5">
        <f>T3/((1+'Study Parameters'!$C$4)^'MFSP Baseline'!T2) + T4</f>
        <v>1594804192.5095131</v>
      </c>
      <c r="U5">
        <f>U3/((1+'Study Parameters'!$C$4)^'MFSP Baseline'!U2) + U4</f>
        <v>1517728562.2744808</v>
      </c>
      <c r="V5">
        <f>V3/((1+'Study Parameters'!$C$4)^'MFSP Baseline'!V2) + V4</f>
        <v>1446362237.9827845</v>
      </c>
      <c r="W5">
        <f>W3/((1+'Study Parameters'!$C$4)^'MFSP Baseline'!W2) + W4</f>
        <v>1380282308.0830655</v>
      </c>
      <c r="X5">
        <f>X3/((1+'Study Parameters'!$C$4)^'MFSP Baseline'!X2) + X4</f>
        <v>1319097187.805548</v>
      </c>
      <c r="Y5">
        <f>Y3/((1+'Study Parameters'!$C$4)^'MFSP Baseline'!Y2) + Y4</f>
        <v>1262444298.6596985</v>
      </c>
      <c r="Z5">
        <f>Z3/((1+'Study Parameters'!$C$4)^'MFSP Baseline'!Z2) + Z4</f>
        <v>1209987919.8209488</v>
      </c>
      <c r="AA5">
        <f>AA3/((1+'Study Parameters'!$C$4)^'MFSP Baseline'!AA2) + AA4</f>
        <v>1161417198.6739583</v>
      </c>
      <c r="AB5">
        <f>AB3/((1+'Study Parameters'!$C$4)^'MFSP Baseline'!AB2) + AB4</f>
        <v>1116444308.7230415</v>
      </c>
      <c r="AC5">
        <f>AC3/((1+'Study Parameters'!$C$4)^'MFSP Baseline'!AC2) + AC4</f>
        <v>1074802743.9536738</v>
      </c>
      <c r="AD5">
        <f>AD3/((1+'Study Parameters'!$C$4)^'MFSP Baseline'!AD2) + AD4</f>
        <v>1036245739.5375928</v>
      </c>
      <c r="AE5">
        <f>AE3/((1+'Study Parameters'!$C$4)^'MFSP Baseline'!AE2) + AE4</f>
        <v>1000544809.5227028</v>
      </c>
      <c r="AF5">
        <f>AF3/((1+'Study Parameters'!$C$4)^'MFSP Baseline'!AF2) + AF4</f>
        <v>967488392.84224916</v>
      </c>
    </row>
    <row r="6" spans="1:32">
      <c r="A6" t="s">
        <v>147</v>
      </c>
      <c r="B6">
        <v>0</v>
      </c>
      <c r="C6">
        <f>'Study Parameters'!$C$19</f>
        <v>800000000</v>
      </c>
      <c r="D6">
        <f>'Study Parameters'!$C$19</f>
        <v>800000000</v>
      </c>
      <c r="E6">
        <f>'Study Parameters'!$C$19</f>
        <v>800000000</v>
      </c>
      <c r="F6">
        <f>'Study Parameters'!$C$19</f>
        <v>800000000</v>
      </c>
      <c r="G6">
        <f>'Study Parameters'!$C$19</f>
        <v>800000000</v>
      </c>
      <c r="H6">
        <f>'Study Parameters'!$C$19</f>
        <v>800000000</v>
      </c>
      <c r="I6">
        <f>'Study Parameters'!$C$19</f>
        <v>800000000</v>
      </c>
      <c r="J6">
        <f>'Study Parameters'!$C$19</f>
        <v>800000000</v>
      </c>
      <c r="K6">
        <f>'Study Parameters'!$C$19</f>
        <v>800000000</v>
      </c>
      <c r="L6">
        <f>'Study Parameters'!$C$19</f>
        <v>800000000</v>
      </c>
      <c r="M6">
        <f>'Study Parameters'!$C$19</f>
        <v>800000000</v>
      </c>
      <c r="N6">
        <f>'Study Parameters'!$C$19</f>
        <v>800000000</v>
      </c>
      <c r="O6">
        <f>'Study Parameters'!$C$19</f>
        <v>800000000</v>
      </c>
      <c r="P6">
        <f>'Study Parameters'!$C$19</f>
        <v>800000000</v>
      </c>
      <c r="Q6">
        <f>'Study Parameters'!$C$19</f>
        <v>800000000</v>
      </c>
      <c r="R6">
        <f>'Study Parameters'!$C$19</f>
        <v>800000000</v>
      </c>
      <c r="S6">
        <f>'Study Parameters'!$C$19</f>
        <v>800000000</v>
      </c>
      <c r="T6">
        <f>'Study Parameters'!$C$19</f>
        <v>800000000</v>
      </c>
      <c r="U6">
        <f>'Study Parameters'!$C$19</f>
        <v>800000000</v>
      </c>
      <c r="V6">
        <f>'Study Parameters'!$C$19</f>
        <v>800000000</v>
      </c>
      <c r="W6">
        <f>'Study Parameters'!$C$19</f>
        <v>800000000</v>
      </c>
      <c r="X6">
        <f>'Study Parameters'!$C$19</f>
        <v>800000000</v>
      </c>
      <c r="Y6">
        <f>'Study Parameters'!$C$19</f>
        <v>800000000</v>
      </c>
      <c r="Z6">
        <f>'Study Parameters'!$C$19</f>
        <v>800000000</v>
      </c>
      <c r="AA6">
        <f>'Study Parameters'!$C$19</f>
        <v>800000000</v>
      </c>
      <c r="AB6">
        <f>'Study Parameters'!$C$19</f>
        <v>800000000</v>
      </c>
      <c r="AC6">
        <f>'Study Parameters'!$C$19</f>
        <v>800000000</v>
      </c>
      <c r="AD6">
        <f>'Study Parameters'!$C$19</f>
        <v>800000000</v>
      </c>
      <c r="AE6">
        <f>'Study Parameters'!$C$19</f>
        <v>800000000</v>
      </c>
      <c r="AF6">
        <f>'Study Parameters'!$C$19</f>
        <v>800000000</v>
      </c>
    </row>
    <row r="7" spans="1:32">
      <c r="A7" t="s">
        <v>148</v>
      </c>
      <c r="B7">
        <f>B6/((1+'Study Parameters'!$C$4)^'MFSP Baseline'!B2)</f>
        <v>0</v>
      </c>
      <c r="C7">
        <f>C6/((1+'Study Parameters'!$C$4)^'MFSP Baseline'!C2)</f>
        <v>740740740.74074066</v>
      </c>
      <c r="D7">
        <f>D6/((1+'Study Parameters'!$C$4)^'MFSP Baseline'!D2)</f>
        <v>685871056.24142659</v>
      </c>
      <c r="E7">
        <f>E6/((1+'Study Parameters'!$C$4)^'MFSP Baseline'!E2)</f>
        <v>635065792.81613564</v>
      </c>
      <c r="F7">
        <f>F6/((1+'Study Parameters'!$C$4)^'MFSP Baseline'!F2)</f>
        <v>588023882.23716259</v>
      </c>
      <c r="G7">
        <f>G6/((1+'Study Parameters'!$C$4)^'MFSP Baseline'!G2)</f>
        <v>544466557.62700236</v>
      </c>
      <c r="H7">
        <f>H6/((1+'Study Parameters'!$C$4)^'MFSP Baseline'!H2)</f>
        <v>504135701.50648367</v>
      </c>
      <c r="I7">
        <f>I6/((1+'Study Parameters'!$C$4)^'MFSP Baseline'!I2)</f>
        <v>466792316.20970708</v>
      </c>
      <c r="J7">
        <f>J6/((1+'Study Parameters'!$C$4)^'MFSP Baseline'!J2)</f>
        <v>432215107.60158062</v>
      </c>
      <c r="K7">
        <f>K6/((1+'Study Parameters'!$C$4)^'MFSP Baseline'!K2)</f>
        <v>400199173.70516723</v>
      </c>
      <c r="L7">
        <f>L6/((1+'Study Parameters'!$C$4)^'MFSP Baseline'!L2)</f>
        <v>370554790.46774739</v>
      </c>
      <c r="M7">
        <f>M6/((1+'Study Parameters'!$C$4)^'MFSP Baseline'!M2)</f>
        <v>343106287.47013646</v>
      </c>
      <c r="N7">
        <f>N6/((1+'Study Parameters'!$C$4)^'MFSP Baseline'!N2)</f>
        <v>317691006.91679299</v>
      </c>
      <c r="O7">
        <f>O6/((1+'Study Parameters'!$C$4)^'MFSP Baseline'!O2)</f>
        <v>294158339.73777133</v>
      </c>
      <c r="P7">
        <f>P6/((1+'Study Parameters'!$C$4)^'MFSP Baseline'!P2)</f>
        <v>272368833.09052896</v>
      </c>
      <c r="Q7">
        <f>Q6/((1+'Study Parameters'!$C$4)^'MFSP Baseline'!Q2)</f>
        <v>252193363.97271198</v>
      </c>
      <c r="R7">
        <f>R6/((1+'Study Parameters'!$C$4)^'MFSP Baseline'!R2)</f>
        <v>233512374.04880738</v>
      </c>
      <c r="S7">
        <f>S6/((1+'Study Parameters'!$C$4)^'MFSP Baseline'!S2)</f>
        <v>216215161.15630314</v>
      </c>
      <c r="T7">
        <f>T6/((1+'Study Parameters'!$C$4)^'MFSP Baseline'!T2)</f>
        <v>200199223.29287323</v>
      </c>
      <c r="U7">
        <f>U6/((1+'Study Parameters'!$C$4)^'MFSP Baseline'!U2)</f>
        <v>185369651.19710484</v>
      </c>
      <c r="V7">
        <f>V6/((1+'Study Parameters'!$C$4)^'MFSP Baseline'!V2)</f>
        <v>171638565.92324522</v>
      </c>
      <c r="W7">
        <f>W6/((1+'Study Parameters'!$C$4)^'MFSP Baseline'!W2)</f>
        <v>158924598.07707891</v>
      </c>
      <c r="X7">
        <f>X6/((1+'Study Parameters'!$C$4)^'MFSP Baseline'!X2)</f>
        <v>147152405.6269249</v>
      </c>
      <c r="Y7">
        <f>Y6/((1+'Study Parameters'!$C$4)^'MFSP Baseline'!Y2)</f>
        <v>136252227.43233788</v>
      </c>
      <c r="Z7">
        <f>Z6/((1+'Study Parameters'!$C$4)^'MFSP Baseline'!Z2)</f>
        <v>126159469.84475727</v>
      </c>
      <c r="AA7">
        <f>AA6/((1+'Study Parameters'!$C$4)^'MFSP Baseline'!AA2)</f>
        <v>116814323.9303308</v>
      </c>
      <c r="AB7">
        <f>AB6/((1+'Study Parameters'!$C$4)^'MFSP Baseline'!AB2)</f>
        <v>108161411.04660261</v>
      </c>
      <c r="AC7">
        <f>AC6/((1+'Study Parameters'!$C$4)^'MFSP Baseline'!AC2)</f>
        <v>100149454.67278019</v>
      </c>
      <c r="AD7">
        <f>AD6/((1+'Study Parameters'!$C$4)^'MFSP Baseline'!AD2)</f>
        <v>92730976.548870534</v>
      </c>
      <c r="AE7">
        <f>AE6/((1+'Study Parameters'!$C$4)^'MFSP Baseline'!AE2)</f>
        <v>85862015.323028266</v>
      </c>
      <c r="AF7">
        <f>AF6/((1+'Study Parameters'!$C$4)^'MFSP Baseline'!AF2)</f>
        <v>79501866.039840981</v>
      </c>
    </row>
    <row r="9" spans="1:32">
      <c r="A9" t="s">
        <v>149</v>
      </c>
      <c r="B9">
        <f>SUM(B5:AF5) / SUM(B7:AF7)</f>
        <v>7.0437610212511137</v>
      </c>
    </row>
    <row r="11" spans="1:32">
      <c r="A11" t="s">
        <v>150</v>
      </c>
    </row>
    <row r="12" spans="1:32">
      <c r="A12" t="s">
        <v>1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11</v>
      </c>
      <c r="N12">
        <v>12</v>
      </c>
      <c r="O12">
        <v>13</v>
      </c>
      <c r="P12">
        <v>14</v>
      </c>
      <c r="Q12">
        <v>15</v>
      </c>
      <c r="R12">
        <v>16</v>
      </c>
      <c r="S12">
        <v>17</v>
      </c>
      <c r="T12">
        <v>18</v>
      </c>
      <c r="U12">
        <v>19</v>
      </c>
      <c r="V12">
        <v>20</v>
      </c>
      <c r="W12">
        <v>21</v>
      </c>
      <c r="X12">
        <v>22</v>
      </c>
      <c r="Y12">
        <v>23</v>
      </c>
      <c r="Z12">
        <v>24</v>
      </c>
      <c r="AA12">
        <v>25</v>
      </c>
      <c r="AB12">
        <v>26</v>
      </c>
      <c r="AC12">
        <v>27</v>
      </c>
      <c r="AD12">
        <v>28</v>
      </c>
      <c r="AE12">
        <v>29</v>
      </c>
      <c r="AF12">
        <v>30</v>
      </c>
    </row>
    <row r="13" spans="1:32">
      <c r="A13" t="s">
        <v>111</v>
      </c>
      <c r="B13">
        <v>0</v>
      </c>
      <c r="C13">
        <f>'Cost Components'!$B$54*10^6</f>
        <v>1346568210.6372774</v>
      </c>
      <c r="D13">
        <f>'Cost Components'!$B$54*10^6</f>
        <v>1346568210.6372774</v>
      </c>
      <c r="E13">
        <f>'Cost Components'!$B$54*10^6</f>
        <v>1346568210.6372774</v>
      </c>
      <c r="F13">
        <f>'Cost Components'!$B$54*10^6</f>
        <v>1346568210.6372774</v>
      </c>
      <c r="G13">
        <f>'Cost Components'!$B$54*10^6</f>
        <v>1346568210.6372774</v>
      </c>
      <c r="H13">
        <f>'Cost Components'!$B$54*10^6</f>
        <v>1346568210.6372774</v>
      </c>
      <c r="I13">
        <f>'Cost Components'!$B$54*10^6</f>
        <v>1346568210.6372774</v>
      </c>
      <c r="J13">
        <f>'Cost Components'!$B$54*10^6</f>
        <v>1346568210.6372774</v>
      </c>
      <c r="K13">
        <f>'Cost Components'!$B$54*10^6</f>
        <v>1346568210.6372774</v>
      </c>
      <c r="L13">
        <f>'Cost Components'!$B$54*10^6</f>
        <v>1346568210.6372774</v>
      </c>
      <c r="M13">
        <f>'Cost Components'!$B$54*10^6</f>
        <v>1346568210.6372774</v>
      </c>
      <c r="N13">
        <f>'Cost Components'!$B$54*10^6</f>
        <v>1346568210.6372774</v>
      </c>
      <c r="O13">
        <f>'Cost Components'!$B$54*10^6</f>
        <v>1346568210.6372774</v>
      </c>
      <c r="P13">
        <f>'Cost Components'!$B$54*10^6</f>
        <v>1346568210.6372774</v>
      </c>
      <c r="Q13">
        <f>'Cost Components'!$B$54*10^6</f>
        <v>1346568210.6372774</v>
      </c>
      <c r="R13">
        <f>'Cost Components'!$B$54*10^6</f>
        <v>1346568210.6372774</v>
      </c>
      <c r="S13">
        <f>'Cost Components'!$B$54*10^6</f>
        <v>1346568210.6372774</v>
      </c>
      <c r="T13">
        <f>'Cost Components'!$B$54*10^6</f>
        <v>1346568210.6372774</v>
      </c>
      <c r="U13">
        <f>'Cost Components'!$B$54*10^6</f>
        <v>1346568210.6372774</v>
      </c>
      <c r="V13">
        <f>'Cost Components'!$B$54*10^6</f>
        <v>1346568210.6372774</v>
      </c>
      <c r="W13">
        <f>'Cost Components'!$B$54*10^6</f>
        <v>1346568210.6372774</v>
      </c>
      <c r="X13">
        <f>'Cost Components'!$B$54*10^6</f>
        <v>1346568210.6372774</v>
      </c>
      <c r="Y13">
        <f>'Cost Components'!$B$54*10^6</f>
        <v>1346568210.6372774</v>
      </c>
      <c r="Z13">
        <f>'Cost Components'!$B$54*10^6</f>
        <v>1346568210.6372774</v>
      </c>
      <c r="AA13">
        <f>'Cost Components'!$B$54*10^6</f>
        <v>1346568210.6372774</v>
      </c>
      <c r="AB13">
        <f>'Cost Components'!$B$54*10^6</f>
        <v>1346568210.6372774</v>
      </c>
      <c r="AC13">
        <f>'Cost Components'!$B$54*10^6</f>
        <v>1346568210.6372774</v>
      </c>
      <c r="AD13">
        <f>'Cost Components'!$B$54*10^6</f>
        <v>1346568210.6372774</v>
      </c>
      <c r="AE13">
        <f>'Cost Components'!$B$54*10^6</f>
        <v>1346568210.6372774</v>
      </c>
      <c r="AF13">
        <f>'Cost Components'!$B$54*10^6</f>
        <v>1346568210.6372774</v>
      </c>
    </row>
    <row r="14" spans="1:32">
      <c r="A14" t="s">
        <v>146</v>
      </c>
      <c r="B14">
        <v>0</v>
      </c>
      <c r="C14">
        <f>'Cost Components'!$B$29</f>
        <v>331859291.13484931</v>
      </c>
      <c r="D14">
        <f>'Cost Components'!$B$29</f>
        <v>331859291.13484931</v>
      </c>
      <c r="E14">
        <f>'Cost Components'!$B$29</f>
        <v>331859291.13484931</v>
      </c>
      <c r="F14">
        <f>'Cost Components'!$B$29</f>
        <v>331859291.13484931</v>
      </c>
      <c r="G14">
        <f>'Cost Components'!$B$29</f>
        <v>331859291.13484931</v>
      </c>
      <c r="H14">
        <f>'Cost Components'!$B$29</f>
        <v>331859291.13484931</v>
      </c>
      <c r="I14">
        <f>'Cost Components'!$B$29</f>
        <v>331859291.13484931</v>
      </c>
      <c r="J14">
        <f>'Cost Components'!$B$29</f>
        <v>331859291.13484931</v>
      </c>
      <c r="K14">
        <f>'Cost Components'!$B$29</f>
        <v>331859291.13484931</v>
      </c>
      <c r="L14">
        <f>'Cost Components'!$B$29</f>
        <v>331859291.13484931</v>
      </c>
      <c r="M14">
        <f>'Cost Components'!$B$29</f>
        <v>331859291.13484931</v>
      </c>
      <c r="N14">
        <f>'Cost Components'!$B$29</f>
        <v>331859291.13484931</v>
      </c>
      <c r="O14">
        <f>'Cost Components'!$B$29</f>
        <v>331859291.13484931</v>
      </c>
      <c r="P14">
        <f>'Cost Components'!$B$29</f>
        <v>331859291.13484931</v>
      </c>
      <c r="Q14">
        <f>'Cost Components'!$B$29</f>
        <v>331859291.13484931</v>
      </c>
      <c r="R14">
        <f>'Cost Components'!$B$29</f>
        <v>331859291.13484931</v>
      </c>
      <c r="S14">
        <f>'Cost Components'!$B$29</f>
        <v>331859291.13484931</v>
      </c>
      <c r="T14">
        <f>'Cost Components'!$B$29</f>
        <v>331859291.13484931</v>
      </c>
      <c r="U14">
        <f>'Cost Components'!$B$29</f>
        <v>331859291.13484931</v>
      </c>
      <c r="V14">
        <f>'Cost Components'!$B$29</f>
        <v>331859291.13484931</v>
      </c>
      <c r="W14">
        <f>'Cost Components'!$B$29</f>
        <v>331859291.13484931</v>
      </c>
      <c r="X14">
        <f>'Cost Components'!$B$29</f>
        <v>331859291.13484931</v>
      </c>
      <c r="Y14">
        <f>'Cost Components'!$B$29</f>
        <v>331859291.13484931</v>
      </c>
      <c r="Z14">
        <f>'Cost Components'!$B$29</f>
        <v>331859291.13484931</v>
      </c>
      <c r="AA14">
        <f>'Cost Components'!$B$29</f>
        <v>331859291.13484931</v>
      </c>
      <c r="AB14">
        <f>'Cost Components'!$B$29</f>
        <v>331859291.13484931</v>
      </c>
      <c r="AC14">
        <f>'Cost Components'!$B$29</f>
        <v>331859291.13484931</v>
      </c>
      <c r="AD14">
        <f>'Cost Components'!$B$29</f>
        <v>331859291.13484931</v>
      </c>
      <c r="AE14">
        <f>'Cost Components'!$B$29</f>
        <v>331859291.13484931</v>
      </c>
      <c r="AF14">
        <f>'Cost Components'!$B$29</f>
        <v>331859291.13484931</v>
      </c>
    </row>
    <row r="15" spans="1:32">
      <c r="A15" t="s">
        <v>112</v>
      </c>
      <c r="B15">
        <v>0</v>
      </c>
      <c r="C15">
        <f>C13/((1+'Study Parameters'!$C$4)^'MFSP Baseline'!C12) +C14</f>
        <v>1578681708.3915875</v>
      </c>
      <c r="D15">
        <f>D13/((1+'Study Parameters'!$C$4)^'MFSP Baseline'!D12) +D14</f>
        <v>1486324492.2984958</v>
      </c>
      <c r="E15">
        <f>E13/((1+'Study Parameters'!$C$4)^'MFSP Baseline'!E12) +E14</f>
        <v>1400808551.471559</v>
      </c>
      <c r="F15">
        <f>F13/((1+'Study Parameters'!$C$4)^'MFSP Baseline'!F12) +F14</f>
        <v>1321627124.7799506</v>
      </c>
      <c r="G15">
        <f>G13/((1+'Study Parameters'!$C$4)^'MFSP Baseline'!G12) +G14</f>
        <v>1248310988.9543877</v>
      </c>
      <c r="H15">
        <f>H13/((1+'Study Parameters'!$C$4)^'MFSP Baseline'!H12) +H14</f>
        <v>1180425678.0047922</v>
      </c>
      <c r="I15">
        <f>I13/((1+'Study Parameters'!$C$4)^'MFSP Baseline'!I12) +I14</f>
        <v>1117568908.6070185</v>
      </c>
      <c r="J15">
        <f>J13/((1+'Study Parameters'!$C$4)^'MFSP Baseline'!J12) +J14</f>
        <v>1059368196.2016727</v>
      </c>
      <c r="K15">
        <f>K13/((1+'Study Parameters'!$C$4)^'MFSP Baseline'!K12) +K14</f>
        <v>1005478647.6782043</v>
      </c>
      <c r="L15">
        <f>L13/((1+'Study Parameters'!$C$4)^'MFSP Baseline'!L12) +L14</f>
        <v>955580917.56388164</v>
      </c>
      <c r="M15">
        <f>M13/((1+'Study Parameters'!$C$4)^'MFSP Baseline'!M12) +M14</f>
        <v>909379315.60617554</v>
      </c>
      <c r="N15">
        <f>N13/((1+'Study Parameters'!$C$4)^'MFSP Baseline'!N12) +N14</f>
        <v>866600054.53422546</v>
      </c>
      <c r="O15">
        <f>O13/((1+'Study Parameters'!$C$4)^'MFSP Baseline'!O12) +O14</f>
        <v>826989627.61575317</v>
      </c>
      <c r="P15">
        <f>P13/((1+'Study Parameters'!$C$4)^'MFSP Baseline'!P12) +P14</f>
        <v>790313306.39494538</v>
      </c>
      <c r="Q15">
        <f>Q13/((1+'Study Parameters'!$C$4)^'MFSP Baseline'!Q12) +Q14</f>
        <v>756353749.70901227</v>
      </c>
      <c r="R15">
        <f>R13/((1+'Study Parameters'!$C$4)^'MFSP Baseline'!R12) +R14</f>
        <v>724909715.74055576</v>
      </c>
      <c r="S15">
        <f>S13/((1+'Study Parameters'!$C$4)^'MFSP Baseline'!S12) +S14</f>
        <v>695794869.4734664</v>
      </c>
      <c r="T15">
        <f>T13/((1+'Study Parameters'!$C$4)^'MFSP Baseline'!T12) +T14</f>
        <v>668836678.4854207</v>
      </c>
      <c r="U15">
        <f>U13/((1+'Study Parameters'!$C$4)^'MFSP Baseline'!U12) +U14</f>
        <v>643875390.53352642</v>
      </c>
      <c r="V15">
        <f>V13/((1+'Study Parameters'!$C$4)^'MFSP Baseline'!V12) +V14</f>
        <v>620763086.87436521</v>
      </c>
      <c r="W15">
        <f>W13/((1+'Study Parameters'!$C$4)^'MFSP Baseline'!W12) +W14</f>
        <v>599362805.70847511</v>
      </c>
      <c r="X15">
        <f>X13/((1+'Study Parameters'!$C$4)^'MFSP Baseline'!X12) +X14</f>
        <v>579547730.55487323</v>
      </c>
      <c r="Y15">
        <f>Y13/((1+'Study Parameters'!$C$4)^'MFSP Baseline'!Y12) +Y14</f>
        <v>561200438.74598253</v>
      </c>
      <c r="Z15">
        <f>Z13/((1+'Study Parameters'!$C$4)^'MFSP Baseline'!Z12) +Z14</f>
        <v>544212205.58960223</v>
      </c>
      <c r="AA15">
        <f>AA13/((1+'Study Parameters'!$C$4)^'MFSP Baseline'!AA12) +AA14</f>
        <v>528482360.07443535</v>
      </c>
      <c r="AB15">
        <f>AB13/((1+'Study Parameters'!$C$4)^'MFSP Baseline'!AB12) +AB14</f>
        <v>513917688.30113268</v>
      </c>
      <c r="AC15">
        <f>AC13/((1+'Study Parameters'!$C$4)^'MFSP Baseline'!AC12) +AC14</f>
        <v>500431881.10363019</v>
      </c>
      <c r="AD15">
        <f>AD13/((1+'Study Parameters'!$C$4)^'MFSP Baseline'!AD12) +AD14</f>
        <v>487945022.58742422</v>
      </c>
      <c r="AE15">
        <f>AE13/((1+'Study Parameters'!$C$4)^'MFSP Baseline'!AE12) +AE14</f>
        <v>476383116.55390012</v>
      </c>
      <c r="AF15">
        <f>AF13/((1+'Study Parameters'!$C$4)^'MFSP Baseline'!AF12) +AF14</f>
        <v>465677648.00434083</v>
      </c>
    </row>
    <row r="16" spans="1:32">
      <c r="A16" t="s">
        <v>147</v>
      </c>
      <c r="B16">
        <v>0</v>
      </c>
      <c r="C16">
        <f>'Study Parameters'!$C$19</f>
        <v>800000000</v>
      </c>
      <c r="D16">
        <f>'Study Parameters'!$C$19</f>
        <v>800000000</v>
      </c>
      <c r="E16">
        <f>'Study Parameters'!$C$19</f>
        <v>800000000</v>
      </c>
      <c r="F16">
        <f>'Study Parameters'!$C$19</f>
        <v>800000000</v>
      </c>
      <c r="G16">
        <f>'Study Parameters'!$C$19</f>
        <v>800000000</v>
      </c>
      <c r="H16">
        <f>'Study Parameters'!$C$19</f>
        <v>800000000</v>
      </c>
      <c r="I16">
        <f>'Study Parameters'!$C$19</f>
        <v>800000000</v>
      </c>
      <c r="J16">
        <f>'Study Parameters'!$C$19</f>
        <v>800000000</v>
      </c>
      <c r="K16">
        <f>'Study Parameters'!$C$19</f>
        <v>800000000</v>
      </c>
      <c r="L16">
        <f>'Study Parameters'!$C$19</f>
        <v>800000000</v>
      </c>
      <c r="M16">
        <f>'Study Parameters'!$C$19</f>
        <v>800000000</v>
      </c>
      <c r="N16">
        <f>'Study Parameters'!$C$19</f>
        <v>800000000</v>
      </c>
      <c r="O16">
        <f>'Study Parameters'!$C$19</f>
        <v>800000000</v>
      </c>
      <c r="P16">
        <f>'Study Parameters'!$C$19</f>
        <v>800000000</v>
      </c>
      <c r="Q16">
        <f>'Study Parameters'!$C$19</f>
        <v>800000000</v>
      </c>
      <c r="R16">
        <f>'Study Parameters'!$C$19</f>
        <v>800000000</v>
      </c>
      <c r="S16">
        <f>'Study Parameters'!$C$19</f>
        <v>800000000</v>
      </c>
      <c r="T16">
        <f>'Study Parameters'!$C$19</f>
        <v>800000000</v>
      </c>
      <c r="U16">
        <f>'Study Parameters'!$C$19</f>
        <v>800000000</v>
      </c>
      <c r="V16">
        <f>'Study Parameters'!$C$19</f>
        <v>800000000</v>
      </c>
      <c r="W16">
        <f>'Study Parameters'!$C$19</f>
        <v>800000000</v>
      </c>
      <c r="X16">
        <f>'Study Parameters'!$C$19</f>
        <v>800000000</v>
      </c>
      <c r="Y16">
        <f>'Study Parameters'!$C$19</f>
        <v>800000000</v>
      </c>
      <c r="Z16">
        <f>'Study Parameters'!$C$19</f>
        <v>800000000</v>
      </c>
      <c r="AA16">
        <f>'Study Parameters'!$C$19</f>
        <v>800000000</v>
      </c>
      <c r="AB16">
        <f>'Study Parameters'!$C$19</f>
        <v>800000000</v>
      </c>
      <c r="AC16">
        <f>'Study Parameters'!$C$19</f>
        <v>800000000</v>
      </c>
      <c r="AD16">
        <f>'Study Parameters'!$C$19</f>
        <v>800000000</v>
      </c>
      <c r="AE16">
        <f>'Study Parameters'!$C$19</f>
        <v>800000000</v>
      </c>
      <c r="AF16">
        <f>'Study Parameters'!$C$19</f>
        <v>800000000</v>
      </c>
    </row>
    <row r="17" spans="1:32">
      <c r="A17" t="s">
        <v>148</v>
      </c>
      <c r="B17">
        <v>0</v>
      </c>
      <c r="C17">
        <f>C16/((1+'Study Parameters'!$C$4)^'MFSP Baseline'!C12)</f>
        <v>740740740.74074066</v>
      </c>
      <c r="D17">
        <f>D16/((1+'Study Parameters'!$C$4)^'MFSP Baseline'!D12)</f>
        <v>685871056.24142659</v>
      </c>
      <c r="E17">
        <f>E16/((1+'Study Parameters'!$C$4)^'MFSP Baseline'!E12)</f>
        <v>635065792.81613564</v>
      </c>
      <c r="F17">
        <f>F16/((1+'Study Parameters'!$C$4)^'MFSP Baseline'!F12)</f>
        <v>588023882.23716259</v>
      </c>
      <c r="G17">
        <f>G16/((1+'Study Parameters'!$C$4)^'MFSP Baseline'!G12)</f>
        <v>544466557.62700236</v>
      </c>
      <c r="H17">
        <f>H16/((1+'Study Parameters'!$C$4)^'MFSP Baseline'!H12)</f>
        <v>504135701.50648367</v>
      </c>
      <c r="I17">
        <f>I16/((1+'Study Parameters'!$C$4)^'MFSP Baseline'!I12)</f>
        <v>466792316.20970708</v>
      </c>
      <c r="J17">
        <f>J16/((1+'Study Parameters'!$C$4)^'MFSP Baseline'!J12)</f>
        <v>432215107.60158062</v>
      </c>
      <c r="K17">
        <f>K16/((1+'Study Parameters'!$C$4)^'MFSP Baseline'!K12)</f>
        <v>400199173.70516723</v>
      </c>
      <c r="L17">
        <f>L16/((1+'Study Parameters'!$C$4)^'MFSP Baseline'!L12)</f>
        <v>370554790.46774739</v>
      </c>
      <c r="M17">
        <f>M16/((1+'Study Parameters'!$C$4)^'MFSP Baseline'!M12)</f>
        <v>343106287.47013646</v>
      </c>
      <c r="N17">
        <f>N16/((1+'Study Parameters'!$C$4)^'MFSP Baseline'!N12)</f>
        <v>317691006.91679299</v>
      </c>
      <c r="O17">
        <f>O16/((1+'Study Parameters'!$C$4)^'MFSP Baseline'!O12)</f>
        <v>294158339.73777133</v>
      </c>
      <c r="P17">
        <f>P16/((1+'Study Parameters'!$C$4)^'MFSP Baseline'!P12)</f>
        <v>272368833.09052896</v>
      </c>
      <c r="Q17">
        <f>Q16/((1+'Study Parameters'!$C$4)^'MFSP Baseline'!Q12)</f>
        <v>252193363.97271198</v>
      </c>
      <c r="R17">
        <f>R16/((1+'Study Parameters'!$C$4)^'MFSP Baseline'!R12)</f>
        <v>233512374.04880738</v>
      </c>
      <c r="S17">
        <f>S16/((1+'Study Parameters'!$C$4)^'MFSP Baseline'!S12)</f>
        <v>216215161.15630314</v>
      </c>
      <c r="T17">
        <f>T16/((1+'Study Parameters'!$C$4)^'MFSP Baseline'!T12)</f>
        <v>200199223.29287323</v>
      </c>
      <c r="U17">
        <f>U16/((1+'Study Parameters'!$C$4)^'MFSP Baseline'!U12)</f>
        <v>185369651.19710484</v>
      </c>
      <c r="V17">
        <f>V16/((1+'Study Parameters'!$C$4)^'MFSP Baseline'!V12)</f>
        <v>171638565.92324522</v>
      </c>
      <c r="W17">
        <f>W16/((1+'Study Parameters'!$C$4)^'MFSP Baseline'!W12)</f>
        <v>158924598.07707891</v>
      </c>
      <c r="X17">
        <f>X16/((1+'Study Parameters'!$C$4)^'MFSP Baseline'!X12)</f>
        <v>147152405.6269249</v>
      </c>
      <c r="Y17">
        <f>Y16/((1+'Study Parameters'!$C$4)^'MFSP Baseline'!Y12)</f>
        <v>136252227.43233788</v>
      </c>
      <c r="Z17">
        <f>Z16/((1+'Study Parameters'!$C$4)^'MFSP Baseline'!Z12)</f>
        <v>126159469.84475727</v>
      </c>
      <c r="AA17">
        <f>AA16/((1+'Study Parameters'!$C$4)^'MFSP Baseline'!AA12)</f>
        <v>116814323.9303308</v>
      </c>
      <c r="AB17">
        <f>AB16/((1+'Study Parameters'!$C$4)^'MFSP Baseline'!AB12)</f>
        <v>108161411.04660261</v>
      </c>
      <c r="AC17">
        <f>AC16/((1+'Study Parameters'!$C$4)^'MFSP Baseline'!AC12)</f>
        <v>100149454.67278019</v>
      </c>
      <c r="AD17">
        <f>AD16/((1+'Study Parameters'!$C$4)^'MFSP Baseline'!AD12)</f>
        <v>92730976.548870534</v>
      </c>
      <c r="AE17">
        <f>AE16/((1+'Study Parameters'!$C$4)^'MFSP Baseline'!AE12)</f>
        <v>85862015.323028266</v>
      </c>
      <c r="AF17">
        <f>AF16/((1+'Study Parameters'!$C$4)^'MFSP Baseline'!AF12)</f>
        <v>79501866.039840981</v>
      </c>
    </row>
    <row r="19" spans="1:32">
      <c r="A19" t="s">
        <v>149</v>
      </c>
      <c r="B19">
        <f>SUM(B15:AF15) / SUM(B17:AF17)</f>
        <v>2.7886431036926567</v>
      </c>
    </row>
    <row r="21" spans="1:32" s="24" customFormat="1"/>
    <row r="23" spans="1:32">
      <c r="A23" t="s">
        <v>151</v>
      </c>
    </row>
    <row r="24" spans="1:32">
      <c r="A24" t="s">
        <v>1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</row>
    <row r="25" spans="1:32">
      <c r="A25" t="s">
        <v>111</v>
      </c>
      <c r="B25">
        <v>0</v>
      </c>
      <c r="C25">
        <f xml:space="preserve"> 'Cost Components'!$H$45 * 10^6</f>
        <v>4150052237.9706106</v>
      </c>
      <c r="D25">
        <f xml:space="preserve"> 'Cost Components'!$H$45 * 10^6</f>
        <v>4150052237.9706106</v>
      </c>
      <c r="E25">
        <f xml:space="preserve"> 'Cost Components'!$H$45 * 10^6</f>
        <v>4150052237.9706106</v>
      </c>
      <c r="F25">
        <f xml:space="preserve"> 'Cost Components'!$H$45 * 10^6</f>
        <v>4150052237.9706106</v>
      </c>
      <c r="G25">
        <f xml:space="preserve"> 'Cost Components'!$H$45 * 10^6</f>
        <v>4150052237.9706106</v>
      </c>
      <c r="H25">
        <f xml:space="preserve"> 'Cost Components'!$H$45 * 10^6</f>
        <v>4150052237.9706106</v>
      </c>
      <c r="I25">
        <f xml:space="preserve"> 'Cost Components'!$H$45 * 10^6</f>
        <v>4150052237.9706106</v>
      </c>
      <c r="J25">
        <f xml:space="preserve"> 'Cost Components'!$H$45 * 10^6</f>
        <v>4150052237.9706106</v>
      </c>
      <c r="K25">
        <f xml:space="preserve"> 'Cost Components'!$H$45 * 10^6</f>
        <v>4150052237.9706106</v>
      </c>
      <c r="L25">
        <f xml:space="preserve"> 'Cost Components'!$H$45 * 10^6</f>
        <v>4150052237.9706106</v>
      </c>
      <c r="M25">
        <f xml:space="preserve"> 'Cost Components'!$H$45 * 10^6</f>
        <v>4150052237.9706106</v>
      </c>
      <c r="N25">
        <f xml:space="preserve"> 'Cost Components'!$H$45 * 10^6</f>
        <v>4150052237.9706106</v>
      </c>
      <c r="O25">
        <f xml:space="preserve"> 'Cost Components'!$H$45 * 10^6</f>
        <v>4150052237.9706106</v>
      </c>
      <c r="P25">
        <f xml:space="preserve"> 'Cost Components'!$H$45 * 10^6</f>
        <v>4150052237.9706106</v>
      </c>
      <c r="Q25">
        <f xml:space="preserve"> 'Cost Components'!$H$45 * 10^6</f>
        <v>4150052237.9706106</v>
      </c>
      <c r="R25">
        <f xml:space="preserve"> 'Cost Components'!$H$45 * 10^6</f>
        <v>4150052237.9706106</v>
      </c>
      <c r="S25">
        <f xml:space="preserve"> 'Cost Components'!$H$45 * 10^6</f>
        <v>4150052237.9706106</v>
      </c>
      <c r="T25">
        <f xml:space="preserve"> 'Cost Components'!$H$45 * 10^6</f>
        <v>4150052237.9706106</v>
      </c>
      <c r="U25">
        <f xml:space="preserve"> 'Cost Components'!$H$45 * 10^6</f>
        <v>4150052237.9706106</v>
      </c>
      <c r="V25">
        <f xml:space="preserve"> 'Cost Components'!$H$45 * 10^6</f>
        <v>4150052237.9706106</v>
      </c>
      <c r="W25">
        <f xml:space="preserve"> 'Cost Components'!$H$45 * 10^6</f>
        <v>4150052237.9706106</v>
      </c>
      <c r="X25">
        <f xml:space="preserve"> 'Cost Components'!$H$45 * 10^6</f>
        <v>4150052237.9706106</v>
      </c>
      <c r="Y25">
        <f xml:space="preserve"> 'Cost Components'!$H$45 * 10^6</f>
        <v>4150052237.9706106</v>
      </c>
      <c r="Z25">
        <f xml:space="preserve"> 'Cost Components'!$H$45 * 10^6</f>
        <v>4150052237.9706106</v>
      </c>
      <c r="AA25">
        <f xml:space="preserve"> 'Cost Components'!$H$45 * 10^6</f>
        <v>4150052237.9706106</v>
      </c>
      <c r="AB25">
        <f xml:space="preserve"> 'Cost Components'!$H$45 * 10^6</f>
        <v>4150052237.9706106</v>
      </c>
      <c r="AC25">
        <f xml:space="preserve"> 'Cost Components'!$H$45 * 10^6</f>
        <v>4150052237.9706106</v>
      </c>
      <c r="AD25">
        <f xml:space="preserve"> 'Cost Components'!$H$45 * 10^6</f>
        <v>4150052237.9706106</v>
      </c>
      <c r="AE25">
        <f xml:space="preserve"> 'Cost Components'!$H$45 * 10^6</f>
        <v>4150052237.9706106</v>
      </c>
      <c r="AF25">
        <f xml:space="preserve"> 'Cost Components'!$H$45 * 10^6</f>
        <v>4150052237.9706106</v>
      </c>
    </row>
    <row r="26" spans="1:32">
      <c r="A26" t="s">
        <v>146</v>
      </c>
      <c r="B26">
        <v>0</v>
      </c>
      <c r="C26">
        <f>'Cost Components'!$H$9</f>
        <v>440228759.86732149</v>
      </c>
      <c r="D26">
        <f>'Cost Components'!$H$9</f>
        <v>440228759.86732149</v>
      </c>
      <c r="E26">
        <f>'Cost Components'!$H$9</f>
        <v>440228759.86732149</v>
      </c>
      <c r="F26">
        <f>'Cost Components'!$H$9</f>
        <v>440228759.86732149</v>
      </c>
      <c r="G26">
        <f>'Cost Components'!$H$9</f>
        <v>440228759.86732149</v>
      </c>
      <c r="H26">
        <f>'Cost Components'!$H$9</f>
        <v>440228759.86732149</v>
      </c>
      <c r="I26">
        <f>'Cost Components'!$H$9</f>
        <v>440228759.86732149</v>
      </c>
      <c r="J26">
        <f>'Cost Components'!$H$9</f>
        <v>440228759.86732149</v>
      </c>
      <c r="K26">
        <f>'Cost Components'!$H$9</f>
        <v>440228759.86732149</v>
      </c>
      <c r="L26">
        <f>'Cost Components'!$H$9</f>
        <v>440228759.86732149</v>
      </c>
      <c r="M26">
        <f>'Cost Components'!$H$9</f>
        <v>440228759.86732149</v>
      </c>
      <c r="N26">
        <f>'Cost Components'!$H$9</f>
        <v>440228759.86732149</v>
      </c>
      <c r="O26">
        <f>'Cost Components'!$H$9</f>
        <v>440228759.86732149</v>
      </c>
      <c r="P26">
        <f>'Cost Components'!$H$9</f>
        <v>440228759.86732149</v>
      </c>
      <c r="Q26">
        <f>'Cost Components'!$H$9</f>
        <v>440228759.86732149</v>
      </c>
      <c r="R26">
        <f>'Cost Components'!$H$9</f>
        <v>440228759.86732149</v>
      </c>
      <c r="S26">
        <f>'Cost Components'!$H$9</f>
        <v>440228759.86732149</v>
      </c>
      <c r="T26">
        <f>'Cost Components'!$H$9</f>
        <v>440228759.86732149</v>
      </c>
      <c r="U26">
        <f>'Cost Components'!$H$9</f>
        <v>440228759.86732149</v>
      </c>
      <c r="V26">
        <f>'Cost Components'!$H$9</f>
        <v>440228759.86732149</v>
      </c>
      <c r="W26">
        <f>'Cost Components'!$H$9</f>
        <v>440228759.86732149</v>
      </c>
      <c r="X26">
        <f>'Cost Components'!$H$9</f>
        <v>440228759.86732149</v>
      </c>
      <c r="Y26">
        <f>'Cost Components'!$H$9</f>
        <v>440228759.86732149</v>
      </c>
      <c r="Z26">
        <f>'Cost Components'!$H$9</f>
        <v>440228759.86732149</v>
      </c>
      <c r="AA26">
        <f>'Cost Components'!$H$9</f>
        <v>440228759.86732149</v>
      </c>
      <c r="AB26">
        <f>'Cost Components'!$H$9</f>
        <v>440228759.86732149</v>
      </c>
      <c r="AC26">
        <f>'Cost Components'!$H$9</f>
        <v>440228759.86732149</v>
      </c>
      <c r="AD26">
        <f>'Cost Components'!$H$9</f>
        <v>440228759.86732149</v>
      </c>
      <c r="AE26">
        <f>'Cost Components'!$H$9</f>
        <v>440228759.86732149</v>
      </c>
      <c r="AF26">
        <f>'Cost Components'!$H$9</f>
        <v>440228759.86732149</v>
      </c>
    </row>
    <row r="27" spans="1:32">
      <c r="A27" t="s">
        <v>112</v>
      </c>
      <c r="B27">
        <f>B25/((1+'Study Parameters'!$C$4)^'MFSP Baseline'!B24)</f>
        <v>0</v>
      </c>
      <c r="C27">
        <f>C25/((1+'Study Parameters'!$C$4)^'MFSP Baseline'!C24) + C26</f>
        <v>4282869720.95122</v>
      </c>
      <c r="D27">
        <f>D25/((1+'Study Parameters'!$C$4)^'MFSP Baseline'!D24) + D26</f>
        <v>3998229649.75982</v>
      </c>
      <c r="E27">
        <f>E25/((1+'Study Parameters'!$C$4)^'MFSP Baseline'!E24) + E26</f>
        <v>3734674028.2863016</v>
      </c>
      <c r="F27">
        <f>F25/((1+'Study Parameters'!$C$4)^'MFSP Baseline'!F24) + F26</f>
        <v>3490641045.4404507</v>
      </c>
      <c r="G27">
        <f>G25/((1+'Study Parameters'!$C$4)^'MFSP Baseline'!G24) + G26</f>
        <v>3264684579.8424411</v>
      </c>
      <c r="H27">
        <f>H25/((1+'Study Parameters'!$C$4)^'MFSP Baseline'!H24) + H26</f>
        <v>3055465630.2146544</v>
      </c>
      <c r="I27">
        <f>I25/((1+'Study Parameters'!$C$4)^'MFSP Baseline'!I24) + I26</f>
        <v>2861744380.5592961</v>
      </c>
      <c r="J27">
        <f>J25/((1+'Study Parameters'!$C$4)^'MFSP Baseline'!J24) + J26</f>
        <v>2682372853.1006312</v>
      </c>
      <c r="K27">
        <f>K25/((1+'Study Parameters'!$C$4)^'MFSP Baseline'!K24) + K26</f>
        <v>2516288105.4537191</v>
      </c>
      <c r="L27">
        <f>L25/((1+'Study Parameters'!$C$4)^'MFSP Baseline'!L24) + L26</f>
        <v>2362505931.7065787</v>
      </c>
      <c r="M27">
        <f>M25/((1+'Study Parameters'!$C$4)^'MFSP Baseline'!M24) + M26</f>
        <v>2220115030.0888557</v>
      </c>
      <c r="N27">
        <f>N25/((1+'Study Parameters'!$C$4)^'MFSP Baseline'!N24) + N26</f>
        <v>2088271602.6650386</v>
      </c>
      <c r="O27">
        <f>O25/((1+'Study Parameters'!$C$4)^'MFSP Baseline'!O24) + O26</f>
        <v>1966194355.0503929</v>
      </c>
      <c r="P27">
        <f>P25/((1+'Study Parameters'!$C$4)^'MFSP Baseline'!P24) + P26</f>
        <v>1853159866.5183132</v>
      </c>
      <c r="Q27">
        <f>Q25/((1+'Study Parameters'!$C$4)^'MFSP Baseline'!Q24) + Q26</f>
        <v>1748498303.0626841</v>
      </c>
      <c r="R27">
        <f>R25/((1+'Study Parameters'!$C$4)^'MFSP Baseline'!R24) + R26</f>
        <v>1651589448.0111759</v>
      </c>
      <c r="S27">
        <f>S25/((1+'Study Parameters'!$C$4)^'MFSP Baseline'!S24) + S26</f>
        <v>1561859026.6671865</v>
      </c>
      <c r="T27">
        <f>T25/((1+'Study Parameters'!$C$4)^'MFSP Baseline'!T24) + T26</f>
        <v>1478775303.2005298</v>
      </c>
      <c r="U27">
        <f>U25/((1+'Study Parameters'!$C$4)^'MFSP Baseline'!U24) + U26</f>
        <v>1401845929.6202922</v>
      </c>
      <c r="V27">
        <f>V25/((1+'Study Parameters'!$C$4)^'MFSP Baseline'!V24) + V26</f>
        <v>1330615028.157109</v>
      </c>
      <c r="W27">
        <f>W25/((1+'Study Parameters'!$C$4)^'MFSP Baseline'!W24) + W26</f>
        <v>1264660489.7652729</v>
      </c>
      <c r="X27">
        <f>X25/((1+'Study Parameters'!$C$4)^'MFSP Baseline'!X24) + X26</f>
        <v>1203591472.735795</v>
      </c>
      <c r="Y27">
        <f>Y25/((1+'Study Parameters'!$C$4)^'MFSP Baseline'!Y24) + Y26</f>
        <v>1147046086.5973895</v>
      </c>
      <c r="Z27">
        <f>Z25/((1+'Study Parameters'!$C$4)^'MFSP Baseline'!Z24) + Z26</f>
        <v>1094689247.5803475</v>
      </c>
      <c r="AA27">
        <f>AA25/((1+'Study Parameters'!$C$4)^'MFSP Baseline'!AA24) + AA26</f>
        <v>1046210692.934938</v>
      </c>
      <c r="AB27">
        <f>AB25/((1+'Study Parameters'!$C$4)^'MFSP Baseline'!AB24) + AB26</f>
        <v>1001323142.3373368</v>
      </c>
      <c r="AC27">
        <f>AC25/((1+'Study Parameters'!$C$4)^'MFSP Baseline'!AC24) + AC26</f>
        <v>959760595.48770595</v>
      </c>
      <c r="AD27">
        <f>AD25/((1+'Study Parameters'!$C$4)^'MFSP Baseline'!AD24) + AD26</f>
        <v>921276755.81212199</v>
      </c>
      <c r="AE27">
        <f>AE25/((1+'Study Parameters'!$C$4)^'MFSP Baseline'!AE24) + AE26</f>
        <v>885643570.92732191</v>
      </c>
      <c r="AF27">
        <f>AF25/((1+'Study Parameters'!$C$4)^'MFSP Baseline'!AF24) + AF26</f>
        <v>852649881.21917367</v>
      </c>
    </row>
    <row r="28" spans="1:32">
      <c r="A28" t="s">
        <v>147</v>
      </c>
      <c r="B28">
        <v>0</v>
      </c>
      <c r="C28">
        <f>'Study Parameters'!$C$19</f>
        <v>800000000</v>
      </c>
      <c r="D28">
        <f>'Study Parameters'!$C$19</f>
        <v>800000000</v>
      </c>
      <c r="E28">
        <f>'Study Parameters'!$C$19</f>
        <v>800000000</v>
      </c>
      <c r="F28">
        <f>'Study Parameters'!$C$19</f>
        <v>800000000</v>
      </c>
      <c r="G28">
        <f>'Study Parameters'!$C$19</f>
        <v>800000000</v>
      </c>
      <c r="H28">
        <f>'Study Parameters'!$C$19</f>
        <v>800000000</v>
      </c>
      <c r="I28">
        <f>'Study Parameters'!$C$19</f>
        <v>800000000</v>
      </c>
      <c r="J28">
        <f>'Study Parameters'!$C$19</f>
        <v>800000000</v>
      </c>
      <c r="K28">
        <f>'Study Parameters'!$C$19</f>
        <v>800000000</v>
      </c>
      <c r="L28">
        <f>'Study Parameters'!$C$19</f>
        <v>800000000</v>
      </c>
      <c r="M28">
        <f>'Study Parameters'!$C$19</f>
        <v>800000000</v>
      </c>
      <c r="N28">
        <f>'Study Parameters'!$C$19</f>
        <v>800000000</v>
      </c>
      <c r="O28">
        <f>'Study Parameters'!$C$19</f>
        <v>800000000</v>
      </c>
      <c r="P28">
        <f>'Study Parameters'!$C$19</f>
        <v>800000000</v>
      </c>
      <c r="Q28">
        <f>'Study Parameters'!$C$19</f>
        <v>800000000</v>
      </c>
      <c r="R28">
        <f>'Study Parameters'!$C$19</f>
        <v>800000000</v>
      </c>
      <c r="S28">
        <f>'Study Parameters'!$C$19</f>
        <v>800000000</v>
      </c>
      <c r="T28">
        <f>'Study Parameters'!$C$19</f>
        <v>800000000</v>
      </c>
      <c r="U28">
        <f>'Study Parameters'!$C$19</f>
        <v>800000000</v>
      </c>
      <c r="V28">
        <f>'Study Parameters'!$C$19</f>
        <v>800000000</v>
      </c>
      <c r="W28">
        <f>'Study Parameters'!$C$19</f>
        <v>800000000</v>
      </c>
      <c r="X28">
        <f>'Study Parameters'!$C$19</f>
        <v>800000000</v>
      </c>
      <c r="Y28">
        <f>'Study Parameters'!$C$19</f>
        <v>800000000</v>
      </c>
      <c r="Z28">
        <f>'Study Parameters'!$C$19</f>
        <v>800000000</v>
      </c>
      <c r="AA28">
        <f>'Study Parameters'!$C$19</f>
        <v>800000000</v>
      </c>
      <c r="AB28">
        <f>'Study Parameters'!$C$19</f>
        <v>800000000</v>
      </c>
      <c r="AC28">
        <f>'Study Parameters'!$C$19</f>
        <v>800000000</v>
      </c>
      <c r="AD28">
        <f>'Study Parameters'!$C$19</f>
        <v>800000000</v>
      </c>
      <c r="AE28">
        <f>'Study Parameters'!$C$19</f>
        <v>800000000</v>
      </c>
      <c r="AF28">
        <f>'Study Parameters'!$C$19</f>
        <v>800000000</v>
      </c>
    </row>
    <row r="29" spans="1:32">
      <c r="A29" t="s">
        <v>148</v>
      </c>
      <c r="B29">
        <f>B28/((1+'Study Parameters'!$C$4)^'MFSP Baseline'!B24)</f>
        <v>0</v>
      </c>
      <c r="C29">
        <f>C28/((1+'Study Parameters'!$C$4)^'MFSP Baseline'!C24)</f>
        <v>740740740.74074066</v>
      </c>
      <c r="D29">
        <f>D28/((1+'Study Parameters'!$C$4)^'MFSP Baseline'!D24)</f>
        <v>685871056.24142659</v>
      </c>
      <c r="E29">
        <f>E28/((1+'Study Parameters'!$C$4)^'MFSP Baseline'!E24)</f>
        <v>635065792.81613564</v>
      </c>
      <c r="F29">
        <f>F28/((1+'Study Parameters'!$C$4)^'MFSP Baseline'!F24)</f>
        <v>588023882.23716259</v>
      </c>
      <c r="G29">
        <f>G28/((1+'Study Parameters'!$C$4)^'MFSP Baseline'!G24)</f>
        <v>544466557.62700236</v>
      </c>
      <c r="H29">
        <f>H28/((1+'Study Parameters'!$C$4)^'MFSP Baseline'!H24)</f>
        <v>504135701.50648367</v>
      </c>
      <c r="I29">
        <f>I28/((1+'Study Parameters'!$C$4)^'MFSP Baseline'!I24)</f>
        <v>466792316.20970708</v>
      </c>
      <c r="J29">
        <f>J28/((1+'Study Parameters'!$C$4)^'MFSP Baseline'!J24)</f>
        <v>432215107.60158062</v>
      </c>
      <c r="K29">
        <f>K28/((1+'Study Parameters'!$C$4)^'MFSP Baseline'!K24)</f>
        <v>400199173.70516723</v>
      </c>
      <c r="L29">
        <f>L28/((1+'Study Parameters'!$C$4)^'MFSP Baseline'!L24)</f>
        <v>370554790.46774739</v>
      </c>
      <c r="M29">
        <f>M28/((1+'Study Parameters'!$C$4)^'MFSP Baseline'!M24)</f>
        <v>343106287.47013646</v>
      </c>
      <c r="N29">
        <f>N28/((1+'Study Parameters'!$C$4)^'MFSP Baseline'!N24)</f>
        <v>317691006.91679299</v>
      </c>
      <c r="O29">
        <f>O28/((1+'Study Parameters'!$C$4)^'MFSP Baseline'!O24)</f>
        <v>294158339.73777133</v>
      </c>
      <c r="P29">
        <f>P28/((1+'Study Parameters'!$C$4)^'MFSP Baseline'!P24)</f>
        <v>272368833.09052896</v>
      </c>
      <c r="Q29">
        <f>Q28/((1+'Study Parameters'!$C$4)^'MFSP Baseline'!Q24)</f>
        <v>252193363.97271198</v>
      </c>
      <c r="R29">
        <f>R28/((1+'Study Parameters'!$C$4)^'MFSP Baseline'!R24)</f>
        <v>233512374.04880738</v>
      </c>
      <c r="S29">
        <f>S28/((1+'Study Parameters'!$C$4)^'MFSP Baseline'!S24)</f>
        <v>216215161.15630314</v>
      </c>
      <c r="T29">
        <f>T28/((1+'Study Parameters'!$C$4)^'MFSP Baseline'!T24)</f>
        <v>200199223.29287323</v>
      </c>
      <c r="U29">
        <f>U28/((1+'Study Parameters'!$C$4)^'MFSP Baseline'!U24)</f>
        <v>185369651.19710484</v>
      </c>
      <c r="V29">
        <f>V28/((1+'Study Parameters'!$C$4)^'MFSP Baseline'!V24)</f>
        <v>171638565.92324522</v>
      </c>
      <c r="W29">
        <f>W28/((1+'Study Parameters'!$C$4)^'MFSP Baseline'!W24)</f>
        <v>158924598.07707891</v>
      </c>
      <c r="X29">
        <f>X28/((1+'Study Parameters'!$C$4)^'MFSP Baseline'!X24)</f>
        <v>147152405.6269249</v>
      </c>
      <c r="Y29">
        <f>Y28/((1+'Study Parameters'!$C$4)^'MFSP Baseline'!Y24)</f>
        <v>136252227.43233788</v>
      </c>
      <c r="Z29">
        <f>Z28/((1+'Study Parameters'!$C$4)^'MFSP Baseline'!Z24)</f>
        <v>126159469.84475727</v>
      </c>
      <c r="AA29">
        <f>AA28/((1+'Study Parameters'!$C$4)^'MFSP Baseline'!AA24)</f>
        <v>116814323.9303308</v>
      </c>
      <c r="AB29">
        <f>AB28/((1+'Study Parameters'!$C$4)^'MFSP Baseline'!AB24)</f>
        <v>108161411.04660261</v>
      </c>
      <c r="AC29">
        <f>AC28/((1+'Study Parameters'!$C$4)^'MFSP Baseline'!AC24)</f>
        <v>100149454.67278019</v>
      </c>
      <c r="AD29">
        <f>AD28/((1+'Study Parameters'!$C$4)^'MFSP Baseline'!AD24)</f>
        <v>92730976.548870534</v>
      </c>
      <c r="AE29">
        <f>AE28/((1+'Study Parameters'!$C$4)^'MFSP Baseline'!AE24)</f>
        <v>85862015.323028266</v>
      </c>
      <c r="AF29">
        <f>AF28/((1+'Study Parameters'!$C$4)^'MFSP Baseline'!AF24)</f>
        <v>79501866.039840981</v>
      </c>
    </row>
    <row r="31" spans="1:32">
      <c r="A31" t="s">
        <v>149</v>
      </c>
      <c r="B31">
        <f>SUM(B27:AF27) / SUM(B29:AF29)</f>
        <v>6.6539799540486122</v>
      </c>
    </row>
    <row r="33" spans="1:32">
      <c r="A33" t="s">
        <v>152</v>
      </c>
    </row>
    <row r="35" spans="1:32">
      <c r="A35" t="s">
        <v>1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</row>
    <row r="36" spans="1:32">
      <c r="A36" t="s">
        <v>111</v>
      </c>
      <c r="B36">
        <v>0</v>
      </c>
      <c r="C36">
        <f>'Cost Components'!$H$54*10^6</f>
        <v>1349798210.6372774</v>
      </c>
      <c r="D36">
        <f>'Cost Components'!$H$54*10^6</f>
        <v>1349798210.6372774</v>
      </c>
      <c r="E36">
        <f>'Cost Components'!$H$54*10^6</f>
        <v>1349798210.6372774</v>
      </c>
      <c r="F36">
        <f>'Cost Components'!$H$54*10^6</f>
        <v>1349798210.6372774</v>
      </c>
      <c r="G36">
        <f>'Cost Components'!$H$54*10^6</f>
        <v>1349798210.6372774</v>
      </c>
      <c r="H36">
        <f>'Cost Components'!$H$54*10^6</f>
        <v>1349798210.6372774</v>
      </c>
      <c r="I36">
        <f>'Cost Components'!$H$54*10^6</f>
        <v>1349798210.6372774</v>
      </c>
      <c r="J36">
        <f>'Cost Components'!$H$54*10^6</f>
        <v>1349798210.6372774</v>
      </c>
      <c r="K36">
        <f>'Cost Components'!$H$54*10^6</f>
        <v>1349798210.6372774</v>
      </c>
      <c r="L36">
        <f>'Cost Components'!$H$54*10^6</f>
        <v>1349798210.6372774</v>
      </c>
      <c r="M36">
        <f>'Cost Components'!$H$54*10^6</f>
        <v>1349798210.6372774</v>
      </c>
      <c r="N36">
        <f>'Cost Components'!$H$54*10^6</f>
        <v>1349798210.6372774</v>
      </c>
      <c r="O36">
        <f>'Cost Components'!$H$54*10^6</f>
        <v>1349798210.6372774</v>
      </c>
      <c r="P36">
        <f>'Cost Components'!$H$54*10^6</f>
        <v>1349798210.6372774</v>
      </c>
      <c r="Q36">
        <f>'Cost Components'!$H$54*10^6</f>
        <v>1349798210.6372774</v>
      </c>
      <c r="R36">
        <f>'Cost Components'!$H$54*10^6</f>
        <v>1349798210.6372774</v>
      </c>
      <c r="S36">
        <f>'Cost Components'!$H$54*10^6</f>
        <v>1349798210.6372774</v>
      </c>
      <c r="T36">
        <f>'Cost Components'!$H$54*10^6</f>
        <v>1349798210.6372774</v>
      </c>
      <c r="U36">
        <f>'Cost Components'!$H$54*10^6</f>
        <v>1349798210.6372774</v>
      </c>
      <c r="V36">
        <f>'Cost Components'!$H$54*10^6</f>
        <v>1349798210.6372774</v>
      </c>
      <c r="W36">
        <f>'Cost Components'!$H$54*10^6</f>
        <v>1349798210.6372774</v>
      </c>
      <c r="X36">
        <f>'Cost Components'!$H$54*10^6</f>
        <v>1349798210.6372774</v>
      </c>
      <c r="Y36">
        <f>'Cost Components'!$H$54*10^6</f>
        <v>1349798210.6372774</v>
      </c>
      <c r="Z36">
        <f>'Cost Components'!$H$54*10^6</f>
        <v>1349798210.6372774</v>
      </c>
      <c r="AA36">
        <f>'Cost Components'!$H$54*10^6</f>
        <v>1349798210.6372774</v>
      </c>
      <c r="AB36">
        <f>'Cost Components'!$H$54*10^6</f>
        <v>1349798210.6372774</v>
      </c>
      <c r="AC36">
        <f>'Cost Components'!$H$54*10^6</f>
        <v>1349798210.6372774</v>
      </c>
      <c r="AD36">
        <f>'Cost Components'!$H$54*10^6</f>
        <v>1349798210.6372774</v>
      </c>
      <c r="AE36">
        <f>'Cost Components'!$H$54*10^6</f>
        <v>1349798210.6372774</v>
      </c>
      <c r="AF36">
        <f>'Cost Components'!$H$54*10^6</f>
        <v>1349798210.6372774</v>
      </c>
    </row>
    <row r="37" spans="1:32">
      <c r="A37" t="s">
        <v>146</v>
      </c>
      <c r="B37">
        <v>0</v>
      </c>
      <c r="C37">
        <f>'Cost Components'!$H$29</f>
        <v>334879423.87001657</v>
      </c>
      <c r="D37">
        <f>'Cost Components'!$H$29</f>
        <v>334879423.87001657</v>
      </c>
      <c r="E37">
        <f>'Cost Components'!$H$29</f>
        <v>334879423.87001657</v>
      </c>
      <c r="F37">
        <f>'Cost Components'!$H$29</f>
        <v>334879423.87001657</v>
      </c>
      <c r="G37">
        <f>'Cost Components'!$H$29</f>
        <v>334879423.87001657</v>
      </c>
      <c r="H37">
        <f>'Cost Components'!$H$29</f>
        <v>334879423.87001657</v>
      </c>
      <c r="I37">
        <f>'Cost Components'!$H$29</f>
        <v>334879423.87001657</v>
      </c>
      <c r="J37">
        <f>'Cost Components'!$H$29</f>
        <v>334879423.87001657</v>
      </c>
      <c r="K37">
        <f>'Cost Components'!$H$29</f>
        <v>334879423.87001657</v>
      </c>
      <c r="L37">
        <f>'Cost Components'!$H$29</f>
        <v>334879423.87001657</v>
      </c>
      <c r="M37">
        <f>'Cost Components'!$H$29</f>
        <v>334879423.87001657</v>
      </c>
      <c r="N37">
        <f>'Cost Components'!$H$29</f>
        <v>334879423.87001657</v>
      </c>
      <c r="O37">
        <f>'Cost Components'!$H$29</f>
        <v>334879423.87001657</v>
      </c>
      <c r="P37">
        <f>'Cost Components'!$H$29</f>
        <v>334879423.87001657</v>
      </c>
      <c r="Q37">
        <f>'Cost Components'!$H$29</f>
        <v>334879423.87001657</v>
      </c>
      <c r="R37">
        <f>'Cost Components'!$H$29</f>
        <v>334879423.87001657</v>
      </c>
      <c r="S37">
        <f>'Cost Components'!$H$29</f>
        <v>334879423.87001657</v>
      </c>
      <c r="T37">
        <f>'Cost Components'!$H$29</f>
        <v>334879423.87001657</v>
      </c>
      <c r="U37">
        <f>'Cost Components'!$H$29</f>
        <v>334879423.87001657</v>
      </c>
      <c r="V37">
        <f>'Cost Components'!$H$29</f>
        <v>334879423.87001657</v>
      </c>
      <c r="W37">
        <f>'Cost Components'!$H$29</f>
        <v>334879423.87001657</v>
      </c>
      <c r="X37">
        <f>'Cost Components'!$H$29</f>
        <v>334879423.87001657</v>
      </c>
      <c r="Y37">
        <f>'Cost Components'!$H$29</f>
        <v>334879423.87001657</v>
      </c>
      <c r="Z37">
        <f>'Cost Components'!$H$29</f>
        <v>334879423.87001657</v>
      </c>
      <c r="AA37">
        <f>'Cost Components'!$H$29</f>
        <v>334879423.87001657</v>
      </c>
      <c r="AB37">
        <f>'Cost Components'!$H$29</f>
        <v>334879423.87001657</v>
      </c>
      <c r="AC37">
        <f>'Cost Components'!$H$29</f>
        <v>334879423.87001657</v>
      </c>
      <c r="AD37">
        <f>'Cost Components'!$H$29</f>
        <v>334879423.87001657</v>
      </c>
      <c r="AE37">
        <f>'Cost Components'!$H$29</f>
        <v>334879423.87001657</v>
      </c>
      <c r="AF37">
        <f>'Cost Components'!$H$29</f>
        <v>334879423.87001657</v>
      </c>
    </row>
    <row r="38" spans="1:32">
      <c r="A38" t="s">
        <v>112</v>
      </c>
      <c r="B38">
        <f>B36/((1+'Study Parameters'!$C$4)^'MFSP Baseline'!B35)</f>
        <v>0</v>
      </c>
      <c r="C38">
        <f>C36/((1+'Study Parameters'!$C$4)^'MFSP Baseline'!C35) + C37</f>
        <v>1584692581.8674955</v>
      </c>
      <c r="D38">
        <f>D36/((1+'Study Parameters'!$C$4)^'MFSP Baseline'!D35) + D37</f>
        <v>1492113829.4232378</v>
      </c>
      <c r="E38">
        <f>E36/((1+'Study Parameters'!$C$4)^'MFSP Baseline'!E35) + E37</f>
        <v>1406392762.3452215</v>
      </c>
      <c r="F38">
        <f>F36/((1+'Study Parameters'!$C$4)^'MFSP Baseline'!F35) + F37</f>
        <v>1327021403.9396505</v>
      </c>
      <c r="G38">
        <f>G36/((1+'Study Parameters'!$C$4)^'MFSP Baseline'!G35) + G37</f>
        <v>1253529405.4159741</v>
      </c>
      <c r="H38">
        <f>H36/((1+'Study Parameters'!$C$4)^'MFSP Baseline'!H35) + H37</f>
        <v>1185481258.6347919</v>
      </c>
      <c r="I38">
        <f>I36/((1+'Study Parameters'!$C$4)^'MFSP Baseline'!I35) + I37</f>
        <v>1122473715.3188825</v>
      </c>
      <c r="J38">
        <f>J36/((1+'Study Parameters'!$C$4)^'MFSP Baseline'!J35) + J37</f>
        <v>1064133397.4337814</v>
      </c>
      <c r="K38">
        <f>K36/((1+'Study Parameters'!$C$4)^'MFSP Baseline'!K35) + K37</f>
        <v>1010114584.5772061</v>
      </c>
      <c r="L38">
        <f>L36/((1+'Study Parameters'!$C$4)^'MFSP Baseline'!L35) + L37</f>
        <v>960097165.26556242</v>
      </c>
      <c r="M38">
        <f>M36/((1+'Study Parameters'!$C$4)^'MFSP Baseline'!M35) + M37</f>
        <v>913784739.97700346</v>
      </c>
      <c r="N38">
        <f>N36/((1+'Study Parameters'!$C$4)^'MFSP Baseline'!N35) + N37</f>
        <v>870902864.7098192</v>
      </c>
      <c r="O38">
        <f>O36/((1+'Study Parameters'!$C$4)^'MFSP Baseline'!O35) + O37</f>
        <v>831197424.64761162</v>
      </c>
      <c r="P38">
        <f>P36/((1+'Study Parameters'!$C$4)^'MFSP Baseline'!P35) + P37</f>
        <v>794433128.2937156</v>
      </c>
      <c r="Q38">
        <f>Q36/((1+'Study Parameters'!$C$4)^'MFSP Baseline'!Q35) + Q37</f>
        <v>760392113.15121937</v>
      </c>
      <c r="R38">
        <f>R36/((1+'Study Parameters'!$C$4)^'MFSP Baseline'!R35) + R37</f>
        <v>728872654.68594503</v>
      </c>
      <c r="S38">
        <f>S36/((1+'Study Parameters'!$C$4)^'MFSP Baseline'!S35) + S37</f>
        <v>699687970.92180228</v>
      </c>
      <c r="T38">
        <f>T36/((1+'Study Parameters'!$C$4)^'MFSP Baseline'!T35) + T37</f>
        <v>672665115.58463287</v>
      </c>
      <c r="U38">
        <f>U36/((1+'Study Parameters'!$C$4)^'MFSP Baseline'!U35) + U37</f>
        <v>647643953.23540199</v>
      </c>
      <c r="V38">
        <f>V36/((1+'Study Parameters'!$C$4)^'MFSP Baseline'!V35) + V37</f>
        <v>624476210.31944752</v>
      </c>
      <c r="W38">
        <f>W36/((1+'Study Parameters'!$C$4)^'MFSP Baseline'!W35) + W37</f>
        <v>603024596.50837862</v>
      </c>
      <c r="X38">
        <f>X36/((1+'Study Parameters'!$C$4)^'MFSP Baseline'!X35) + X37</f>
        <v>583161991.1277591</v>
      </c>
      <c r="Y38">
        <f>Y36/((1+'Study Parameters'!$C$4)^'MFSP Baseline'!Y35) + Y37</f>
        <v>564770689.84940779</v>
      </c>
      <c r="Z38">
        <f>Z36/((1+'Study Parameters'!$C$4)^'MFSP Baseline'!Z35) + Z37</f>
        <v>547741707.18426776</v>
      </c>
      <c r="AA38">
        <f>AA36/((1+'Study Parameters'!$C$4)^'MFSP Baseline'!AA35) + AA37</f>
        <v>531974130.64247131</v>
      </c>
      <c r="AB38">
        <f>AB36/((1+'Study Parameters'!$C$4)^'MFSP Baseline'!AB35) + AB37</f>
        <v>517374522.73340058</v>
      </c>
      <c r="AC38">
        <f>AC36/((1+'Study Parameters'!$C$4)^'MFSP Baseline'!AC35) + AC37</f>
        <v>503856367.26203883</v>
      </c>
      <c r="AD38">
        <f>AD36/((1+'Study Parameters'!$C$4)^'MFSP Baseline'!AD35) + AD37</f>
        <v>491339556.64040756</v>
      </c>
      <c r="AE38">
        <f>AE36/((1+'Study Parameters'!$C$4)^'MFSP Baseline'!AE35) + AE37</f>
        <v>479749917.17593414</v>
      </c>
      <c r="AF38">
        <f>AF36/((1+'Study Parameters'!$C$4)^'MFSP Baseline'!AF35) + AF37</f>
        <v>469018769.52364391</v>
      </c>
    </row>
    <row r="39" spans="1:32">
      <c r="A39" t="s">
        <v>147</v>
      </c>
      <c r="B39">
        <v>0</v>
      </c>
      <c r="C39">
        <f>'Study Parameters'!$C$19</f>
        <v>800000000</v>
      </c>
      <c r="D39">
        <f>'Study Parameters'!$C$19</f>
        <v>800000000</v>
      </c>
      <c r="E39">
        <f>'Study Parameters'!$C$19</f>
        <v>800000000</v>
      </c>
      <c r="F39">
        <f>'Study Parameters'!$C$19</f>
        <v>800000000</v>
      </c>
      <c r="G39">
        <f>'Study Parameters'!$C$19</f>
        <v>800000000</v>
      </c>
      <c r="H39">
        <f>'Study Parameters'!$C$19</f>
        <v>800000000</v>
      </c>
      <c r="I39">
        <f>'Study Parameters'!$C$19</f>
        <v>800000000</v>
      </c>
      <c r="J39">
        <f>'Study Parameters'!$C$19</f>
        <v>800000000</v>
      </c>
      <c r="K39">
        <f>'Study Parameters'!$C$19</f>
        <v>800000000</v>
      </c>
      <c r="L39">
        <f>'Study Parameters'!$C$19</f>
        <v>800000000</v>
      </c>
      <c r="M39">
        <f>'Study Parameters'!$C$19</f>
        <v>800000000</v>
      </c>
      <c r="N39">
        <f>'Study Parameters'!$C$19</f>
        <v>800000000</v>
      </c>
      <c r="O39">
        <f>'Study Parameters'!$C$19</f>
        <v>800000000</v>
      </c>
      <c r="P39">
        <f>'Study Parameters'!$C$19</f>
        <v>800000000</v>
      </c>
      <c r="Q39">
        <f>'Study Parameters'!$C$19</f>
        <v>800000000</v>
      </c>
      <c r="R39">
        <f>'Study Parameters'!$C$19</f>
        <v>800000000</v>
      </c>
      <c r="S39">
        <f>'Study Parameters'!$C$19</f>
        <v>800000000</v>
      </c>
      <c r="T39">
        <f>'Study Parameters'!$C$19</f>
        <v>800000000</v>
      </c>
      <c r="U39">
        <f>'Study Parameters'!$C$19</f>
        <v>800000000</v>
      </c>
      <c r="V39">
        <f>'Study Parameters'!$C$19</f>
        <v>800000000</v>
      </c>
      <c r="W39">
        <f>'Study Parameters'!$C$19</f>
        <v>800000000</v>
      </c>
      <c r="X39">
        <f>'Study Parameters'!$C$19</f>
        <v>800000000</v>
      </c>
      <c r="Y39">
        <f>'Study Parameters'!$C$19</f>
        <v>800000000</v>
      </c>
      <c r="Z39">
        <f>'Study Parameters'!$C$19</f>
        <v>800000000</v>
      </c>
      <c r="AA39">
        <f>'Study Parameters'!$C$19</f>
        <v>800000000</v>
      </c>
      <c r="AB39">
        <f>'Study Parameters'!$C$19</f>
        <v>800000000</v>
      </c>
      <c r="AC39">
        <f>'Study Parameters'!$C$19</f>
        <v>800000000</v>
      </c>
      <c r="AD39">
        <f>'Study Parameters'!$C$19</f>
        <v>800000000</v>
      </c>
      <c r="AE39">
        <f>'Study Parameters'!$C$19</f>
        <v>800000000</v>
      </c>
      <c r="AF39">
        <f>'Study Parameters'!$C$19</f>
        <v>800000000</v>
      </c>
    </row>
    <row r="40" spans="1:32">
      <c r="A40" t="s">
        <v>148</v>
      </c>
      <c r="B40">
        <f>B39/((1+'Study Parameters'!$C$4)^'MFSP Baseline'!B35)</f>
        <v>0</v>
      </c>
      <c r="C40">
        <f>C39/((1+'Study Parameters'!$C$4)^'MFSP Baseline'!C35)</f>
        <v>740740740.74074066</v>
      </c>
      <c r="D40">
        <f>D39/((1+'Study Parameters'!$C$4)^'MFSP Baseline'!D35)</f>
        <v>685871056.24142659</v>
      </c>
      <c r="E40">
        <f>E39/((1+'Study Parameters'!$C$4)^'MFSP Baseline'!E35)</f>
        <v>635065792.81613564</v>
      </c>
      <c r="F40">
        <f>F39/((1+'Study Parameters'!$C$4)^'MFSP Baseline'!F35)</f>
        <v>588023882.23716259</v>
      </c>
      <c r="G40">
        <f>G39/((1+'Study Parameters'!$C$4)^'MFSP Baseline'!G35)</f>
        <v>544466557.62700236</v>
      </c>
      <c r="H40">
        <f>H39/((1+'Study Parameters'!$C$4)^'MFSP Baseline'!H35)</f>
        <v>504135701.50648367</v>
      </c>
      <c r="I40">
        <f>I39/((1+'Study Parameters'!$C$4)^'MFSP Baseline'!I35)</f>
        <v>466792316.20970708</v>
      </c>
      <c r="J40">
        <f>J39/((1+'Study Parameters'!$C$4)^'MFSP Baseline'!J35)</f>
        <v>432215107.60158062</v>
      </c>
      <c r="K40">
        <f>K39/((1+'Study Parameters'!$C$4)^'MFSP Baseline'!K35)</f>
        <v>400199173.70516723</v>
      </c>
      <c r="L40">
        <f>L39/((1+'Study Parameters'!$C$4)^'MFSP Baseline'!L35)</f>
        <v>370554790.46774739</v>
      </c>
      <c r="M40">
        <f>M39/((1+'Study Parameters'!$C$4)^'MFSP Baseline'!M35)</f>
        <v>343106287.47013646</v>
      </c>
      <c r="N40">
        <f>N39/((1+'Study Parameters'!$C$4)^'MFSP Baseline'!N35)</f>
        <v>317691006.91679299</v>
      </c>
      <c r="O40">
        <f>O39/((1+'Study Parameters'!$C$4)^'MFSP Baseline'!O35)</f>
        <v>294158339.73777133</v>
      </c>
      <c r="P40">
        <f>P39/((1+'Study Parameters'!$C$4)^'MFSP Baseline'!P35)</f>
        <v>272368833.09052896</v>
      </c>
      <c r="Q40">
        <f>Q39/((1+'Study Parameters'!$C$4)^'MFSP Baseline'!Q35)</f>
        <v>252193363.97271198</v>
      </c>
      <c r="R40">
        <f>R39/((1+'Study Parameters'!$C$4)^'MFSP Baseline'!R35)</f>
        <v>233512374.04880738</v>
      </c>
      <c r="S40">
        <f>S39/((1+'Study Parameters'!$C$4)^'MFSP Baseline'!S35)</f>
        <v>216215161.15630314</v>
      </c>
      <c r="T40">
        <f>T39/((1+'Study Parameters'!$C$4)^'MFSP Baseline'!T35)</f>
        <v>200199223.29287323</v>
      </c>
      <c r="U40">
        <f>U39/((1+'Study Parameters'!$C$4)^'MFSP Baseline'!U35)</f>
        <v>185369651.19710484</v>
      </c>
      <c r="V40">
        <f>V39/((1+'Study Parameters'!$C$4)^'MFSP Baseline'!V35)</f>
        <v>171638565.92324522</v>
      </c>
      <c r="W40">
        <f>W39/((1+'Study Parameters'!$C$4)^'MFSP Baseline'!W35)</f>
        <v>158924598.07707891</v>
      </c>
      <c r="X40">
        <f>X39/((1+'Study Parameters'!$C$4)^'MFSP Baseline'!X35)</f>
        <v>147152405.6269249</v>
      </c>
      <c r="Y40">
        <f>Y39/((1+'Study Parameters'!$C$4)^'MFSP Baseline'!Y35)</f>
        <v>136252227.43233788</v>
      </c>
      <c r="Z40">
        <f>Z39/((1+'Study Parameters'!$C$4)^'MFSP Baseline'!Z35)</f>
        <v>126159469.84475727</v>
      </c>
      <c r="AA40">
        <f>AA39/((1+'Study Parameters'!$C$4)^'MFSP Baseline'!AA35)</f>
        <v>116814323.9303308</v>
      </c>
      <c r="AB40">
        <f>AB39/((1+'Study Parameters'!$C$4)^'MFSP Baseline'!AB35)</f>
        <v>108161411.04660261</v>
      </c>
      <c r="AC40">
        <f>AC39/((1+'Study Parameters'!$C$4)^'MFSP Baseline'!AC35)</f>
        <v>100149454.67278019</v>
      </c>
      <c r="AD40">
        <f>AD39/((1+'Study Parameters'!$C$4)^'MFSP Baseline'!AD35)</f>
        <v>92730976.548870534</v>
      </c>
      <c r="AE40">
        <f>AE39/((1+'Study Parameters'!$C$4)^'MFSP Baseline'!AE35)</f>
        <v>85862015.323028266</v>
      </c>
      <c r="AF40">
        <f>AF39/((1+'Study Parameters'!$C$4)^'MFSP Baseline'!AF35)</f>
        <v>79501866.039840981</v>
      </c>
    </row>
    <row r="42" spans="1:32">
      <c r="A42" t="s">
        <v>149</v>
      </c>
      <c r="B42">
        <f>SUM(B38:AF38) / SUM(B40:AF40)</f>
        <v>2.8027407526684223</v>
      </c>
    </row>
    <row r="44" spans="1:32" s="24" customFormat="1"/>
    <row r="46" spans="1:32">
      <c r="A46" t="s">
        <v>154</v>
      </c>
    </row>
    <row r="48" spans="1:32">
      <c r="A48" t="s">
        <v>1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  <c r="J48">
        <v>8</v>
      </c>
      <c r="K48">
        <v>9</v>
      </c>
      <c r="L48">
        <v>10</v>
      </c>
      <c r="M48">
        <v>11</v>
      </c>
      <c r="N48">
        <v>12</v>
      </c>
      <c r="O48">
        <v>13</v>
      </c>
      <c r="P48">
        <v>14</v>
      </c>
      <c r="Q48">
        <v>15</v>
      </c>
      <c r="R48">
        <v>16</v>
      </c>
      <c r="S48">
        <v>17</v>
      </c>
      <c r="T48">
        <v>18</v>
      </c>
      <c r="U48">
        <v>19</v>
      </c>
      <c r="V48">
        <v>20</v>
      </c>
      <c r="W48">
        <v>21</v>
      </c>
      <c r="X48">
        <v>22</v>
      </c>
      <c r="Y48">
        <v>23</v>
      </c>
      <c r="Z48">
        <v>24</v>
      </c>
      <c r="AA48">
        <v>25</v>
      </c>
      <c r="AB48">
        <v>26</v>
      </c>
      <c r="AC48">
        <v>27</v>
      </c>
      <c r="AD48">
        <v>28</v>
      </c>
      <c r="AE48">
        <v>29</v>
      </c>
      <c r="AF48">
        <v>30</v>
      </c>
    </row>
    <row r="49" spans="1:32">
      <c r="A49" t="s">
        <v>111</v>
      </c>
      <c r="B49">
        <v>0</v>
      </c>
      <c r="C49">
        <f>'Cost Components'!$N$45 * 10^6</f>
        <v>4163862237.9706101</v>
      </c>
      <c r="D49">
        <f>'Cost Components'!$N$45 * 10^6</f>
        <v>4163862237.9706101</v>
      </c>
      <c r="E49">
        <f>'Cost Components'!$N$45 * 10^6</f>
        <v>4163862237.9706101</v>
      </c>
      <c r="F49">
        <f>'Cost Components'!$N$45 * 10^6</f>
        <v>4163862237.9706101</v>
      </c>
      <c r="G49">
        <f>'Cost Components'!$N$45 * 10^6</f>
        <v>4163862237.9706101</v>
      </c>
      <c r="H49">
        <f>'Cost Components'!$N$45 * 10^6</f>
        <v>4163862237.9706101</v>
      </c>
      <c r="I49">
        <f>'Cost Components'!$N$45 * 10^6</f>
        <v>4163862237.9706101</v>
      </c>
      <c r="J49">
        <f>'Cost Components'!$N$45 * 10^6</f>
        <v>4163862237.9706101</v>
      </c>
      <c r="K49">
        <f>'Cost Components'!$N$45 * 10^6</f>
        <v>4163862237.9706101</v>
      </c>
      <c r="L49">
        <f>'Cost Components'!$N$45 * 10^6</f>
        <v>4163862237.9706101</v>
      </c>
      <c r="M49">
        <f>'Cost Components'!$N$45 * 10^6</f>
        <v>4163862237.9706101</v>
      </c>
      <c r="N49">
        <f>'Cost Components'!$N$45 * 10^6</f>
        <v>4163862237.9706101</v>
      </c>
      <c r="O49">
        <f>'Cost Components'!$N$45 * 10^6</f>
        <v>4163862237.9706101</v>
      </c>
      <c r="P49">
        <f>'Cost Components'!$N$45 * 10^6</f>
        <v>4163862237.9706101</v>
      </c>
      <c r="Q49">
        <f>'Cost Components'!$N$45 * 10^6</f>
        <v>4163862237.9706101</v>
      </c>
      <c r="R49">
        <f>'Cost Components'!$N$45 * 10^6</f>
        <v>4163862237.9706101</v>
      </c>
      <c r="S49">
        <f>'Cost Components'!$N$45 * 10^6</f>
        <v>4163862237.9706101</v>
      </c>
      <c r="T49">
        <f>'Cost Components'!$N$45 * 10^6</f>
        <v>4163862237.9706101</v>
      </c>
      <c r="U49">
        <f>'Cost Components'!$N$45 * 10^6</f>
        <v>4163862237.9706101</v>
      </c>
      <c r="V49">
        <f>'Cost Components'!$N$45 * 10^6</f>
        <v>4163862237.9706101</v>
      </c>
      <c r="W49">
        <f>'Cost Components'!$N$45 * 10^6</f>
        <v>4163862237.9706101</v>
      </c>
      <c r="X49">
        <f>'Cost Components'!$N$45 * 10^6</f>
        <v>4163862237.9706101</v>
      </c>
      <c r="Y49">
        <f>'Cost Components'!$N$45 * 10^6</f>
        <v>4163862237.9706101</v>
      </c>
      <c r="Z49">
        <f>'Cost Components'!$N$45 * 10^6</f>
        <v>4163862237.9706101</v>
      </c>
      <c r="AA49">
        <f>'Cost Components'!$N$45 * 10^6</f>
        <v>4163862237.9706101</v>
      </c>
      <c r="AB49">
        <f>'Cost Components'!$N$45 * 10^6</f>
        <v>4163862237.9706101</v>
      </c>
      <c r="AC49">
        <f>'Cost Components'!$N$45 * 10^6</f>
        <v>4163862237.9706101</v>
      </c>
      <c r="AD49">
        <f>'Cost Components'!$N$45 * 10^6</f>
        <v>4163862237.9706101</v>
      </c>
      <c r="AE49">
        <f>'Cost Components'!$N$45 * 10^6</f>
        <v>4163862237.9706101</v>
      </c>
      <c r="AF49">
        <f>'Cost Components'!$N$45 * 10^6</f>
        <v>4163862237.9706101</v>
      </c>
    </row>
    <row r="50" spans="1:32">
      <c r="A50" t="s">
        <v>146</v>
      </c>
      <c r="B50">
        <v>0</v>
      </c>
      <c r="C50">
        <f>'Cost Components'!$N$9</f>
        <v>568850883.41209173</v>
      </c>
      <c r="D50">
        <f>'Cost Components'!$N$9</f>
        <v>568850883.41209173</v>
      </c>
      <c r="E50">
        <f>'Cost Components'!$N$9</f>
        <v>568850883.41209173</v>
      </c>
      <c r="F50">
        <f>'Cost Components'!$N$9</f>
        <v>568850883.41209173</v>
      </c>
      <c r="G50">
        <f>'Cost Components'!$N$9</f>
        <v>568850883.41209173</v>
      </c>
      <c r="H50">
        <f>'Cost Components'!$N$9</f>
        <v>568850883.41209173</v>
      </c>
      <c r="I50">
        <f>'Cost Components'!$N$9</f>
        <v>568850883.41209173</v>
      </c>
      <c r="J50">
        <f>'Cost Components'!$N$9</f>
        <v>568850883.41209173</v>
      </c>
      <c r="K50">
        <f>'Cost Components'!$N$9</f>
        <v>568850883.41209173</v>
      </c>
      <c r="L50">
        <f>'Cost Components'!$N$9</f>
        <v>568850883.41209173</v>
      </c>
      <c r="M50">
        <f>'Cost Components'!$N$9</f>
        <v>568850883.41209173</v>
      </c>
      <c r="N50">
        <f>'Cost Components'!$N$9</f>
        <v>568850883.41209173</v>
      </c>
      <c r="O50">
        <f>'Cost Components'!$N$9</f>
        <v>568850883.41209173</v>
      </c>
      <c r="P50">
        <f>'Cost Components'!$N$9</f>
        <v>568850883.41209173</v>
      </c>
      <c r="Q50">
        <f>'Cost Components'!$N$9</f>
        <v>568850883.41209173</v>
      </c>
      <c r="R50">
        <f>'Cost Components'!$N$9</f>
        <v>568850883.41209173</v>
      </c>
      <c r="S50">
        <f>'Cost Components'!$N$9</f>
        <v>568850883.41209173</v>
      </c>
      <c r="T50">
        <f>'Cost Components'!$N$9</f>
        <v>568850883.41209173</v>
      </c>
      <c r="U50">
        <f>'Cost Components'!$N$9</f>
        <v>568850883.41209173</v>
      </c>
      <c r="V50">
        <f>'Cost Components'!$N$9</f>
        <v>568850883.41209173</v>
      </c>
      <c r="W50">
        <f>'Cost Components'!$N$9</f>
        <v>568850883.41209173</v>
      </c>
      <c r="X50">
        <f>'Cost Components'!$N$9</f>
        <v>568850883.41209173</v>
      </c>
      <c r="Y50">
        <f>'Cost Components'!$N$9</f>
        <v>568850883.41209173</v>
      </c>
      <c r="Z50">
        <f>'Cost Components'!$N$9</f>
        <v>568850883.41209173</v>
      </c>
      <c r="AA50">
        <f>'Cost Components'!$N$9</f>
        <v>568850883.41209173</v>
      </c>
      <c r="AB50">
        <f>'Cost Components'!$N$9</f>
        <v>568850883.41209173</v>
      </c>
      <c r="AC50">
        <f>'Cost Components'!$N$9</f>
        <v>568850883.41209173</v>
      </c>
      <c r="AD50">
        <f>'Cost Components'!$N$9</f>
        <v>568850883.41209173</v>
      </c>
      <c r="AE50">
        <f>'Cost Components'!$N$9</f>
        <v>568850883.41209173</v>
      </c>
      <c r="AF50">
        <f>'Cost Components'!$N$9</f>
        <v>568850883.41209173</v>
      </c>
    </row>
    <row r="51" spans="1:32">
      <c r="A51" t="s">
        <v>112</v>
      </c>
      <c r="B51">
        <v>0</v>
      </c>
      <c r="C51">
        <f>C49/((1+'Study Parameters'!$C$4)^'MFSP Baseline'!C48) + C50</f>
        <v>4424278881.5330267</v>
      </c>
      <c r="D51">
        <f>D49/((1+'Study Parameters'!$C$4)^'MFSP Baseline'!D48) + D50</f>
        <v>4138691622.4129577</v>
      </c>
      <c r="E51">
        <f>E49/((1+'Study Parameters'!$C$4)^'MFSP Baseline'!E48) + E50</f>
        <v>3874258975.0795598</v>
      </c>
      <c r="F51">
        <f>F49/((1+'Study Parameters'!$C$4)^'MFSP Baseline'!F48) + F50</f>
        <v>3629413931.2523398</v>
      </c>
      <c r="G51">
        <f>G49/((1+'Study Parameters'!$C$4)^'MFSP Baseline'!G48) + G50</f>
        <v>3402705557.3382473</v>
      </c>
      <c r="H51">
        <f>H49/((1+'Study Parameters'!$C$4)^'MFSP Baseline'!H48) + H50</f>
        <v>3192790396.3066797</v>
      </c>
      <c r="I51">
        <f>I49/((1+'Study Parameters'!$C$4)^'MFSP Baseline'!I48) + I50</f>
        <v>2998424506.462636</v>
      </c>
      <c r="J51">
        <f>J49/((1+'Study Parameters'!$C$4)^'MFSP Baseline'!J48) + J50</f>
        <v>2818456089.9403734</v>
      </c>
      <c r="K51">
        <f>K49/((1+'Study Parameters'!$C$4)^'MFSP Baseline'!K48) + K50</f>
        <v>2651818667.2345748</v>
      </c>
      <c r="L51">
        <f>L49/((1+'Study Parameters'!$C$4)^'MFSP Baseline'!L48) + L50</f>
        <v>2497524757.3217983</v>
      </c>
      <c r="M51">
        <f>M49/((1+'Study Parameters'!$C$4)^'MFSP Baseline'!M48) + M50</f>
        <v>2354660025.9210792</v>
      </c>
      <c r="N51">
        <f>N49/((1+'Study Parameters'!$C$4)^'MFSP Baseline'!N48) + N50</f>
        <v>2222377867.2167096</v>
      </c>
      <c r="O51">
        <f>O49/((1+'Study Parameters'!$C$4)^'MFSP Baseline'!O48) + O50</f>
        <v>2099894386.9348862</v>
      </c>
      <c r="P51">
        <f>P49/((1+'Study Parameters'!$C$4)^'MFSP Baseline'!P48) + P50</f>
        <v>1986483757.0443084</v>
      </c>
      <c r="Q51">
        <f>Q49/((1+'Study Parameters'!$C$4)^'MFSP Baseline'!Q48) + Q50</f>
        <v>1881473914.5530331</v>
      </c>
      <c r="R51">
        <f>R49/((1+'Study Parameters'!$C$4)^'MFSP Baseline'!R48) + R50</f>
        <v>1784242578.9129634</v>
      </c>
      <c r="S51">
        <f>S49/((1+'Study Parameters'!$C$4)^'MFSP Baseline'!S48) + S50</f>
        <v>1694213564.4314172</v>
      </c>
      <c r="T51">
        <f>T49/((1+'Study Parameters'!$C$4)^'MFSP Baseline'!T48) + T50</f>
        <v>1610853365.8373933</v>
      </c>
      <c r="U51">
        <f>U49/((1+'Study Parameters'!$C$4)^'MFSP Baseline'!U48) + U50</f>
        <v>1533667996.7688522</v>
      </c>
      <c r="V51">
        <f>V49/((1+'Study Parameters'!$C$4)^'MFSP Baseline'!V48) + V50</f>
        <v>1462200062.4461293</v>
      </c>
      <c r="W51">
        <f>W49/((1+'Study Parameters'!$C$4)^'MFSP Baseline'!W48) + W50</f>
        <v>1396026049.1843486</v>
      </c>
      <c r="X51">
        <f>X49/((1+'Study Parameters'!$C$4)^'MFSP Baseline'!X48) + X50</f>
        <v>1334753814.6826999</v>
      </c>
      <c r="Y51">
        <f>Y49/((1+'Study Parameters'!$C$4)^'MFSP Baseline'!Y48) + Y50</f>
        <v>1278020264.2182102</v>
      </c>
      <c r="Z51">
        <f>Z49/((1+'Study Parameters'!$C$4)^'MFSP Baseline'!Z48) + Z50</f>
        <v>1225489198.9733126</v>
      </c>
      <c r="AA51">
        <f>AA49/((1+'Study Parameters'!$C$4)^'MFSP Baseline'!AA48) + AA50</f>
        <v>1176849323.7465553</v>
      </c>
      <c r="AB51">
        <f>AB49/((1+'Study Parameters'!$C$4)^'MFSP Baseline'!AB48) + AB50</f>
        <v>1131812402.240299</v>
      </c>
      <c r="AC51">
        <f>AC49/((1+'Study Parameters'!$C$4)^'MFSP Baseline'!AC48) + AC50</f>
        <v>1090111548.9937651</v>
      </c>
      <c r="AD51">
        <f>AD49/((1+'Study Parameters'!$C$4)^'MFSP Baseline'!AD48) + AD50</f>
        <v>1051499647.8395671</v>
      </c>
      <c r="AE51">
        <f>AE49/((1+'Study Parameters'!$C$4)^'MFSP Baseline'!AE48) + AE50</f>
        <v>1015747887.5116059</v>
      </c>
      <c r="AF51">
        <f>AF49/((1+'Study Parameters'!$C$4)^'MFSP Baseline'!AF48) + AF50</f>
        <v>982644405.72645664</v>
      </c>
    </row>
    <row r="52" spans="1:32">
      <c r="A52" t="s">
        <v>147</v>
      </c>
      <c r="B52">
        <v>0</v>
      </c>
      <c r="C52">
        <f>'Study Parameters'!$C$19</f>
        <v>800000000</v>
      </c>
      <c r="D52">
        <f>'Study Parameters'!$C$19</f>
        <v>800000000</v>
      </c>
      <c r="E52">
        <f>'Study Parameters'!$C$19</f>
        <v>800000000</v>
      </c>
      <c r="F52">
        <f>'Study Parameters'!$C$19</f>
        <v>800000000</v>
      </c>
      <c r="G52">
        <f>'Study Parameters'!$C$19</f>
        <v>800000000</v>
      </c>
      <c r="H52">
        <f>'Study Parameters'!$C$19</f>
        <v>800000000</v>
      </c>
      <c r="I52">
        <f>'Study Parameters'!$C$19</f>
        <v>800000000</v>
      </c>
      <c r="J52">
        <f>'Study Parameters'!$C$19</f>
        <v>800000000</v>
      </c>
      <c r="K52">
        <f>'Study Parameters'!$C$19</f>
        <v>800000000</v>
      </c>
      <c r="L52">
        <f>'Study Parameters'!$C$19</f>
        <v>800000000</v>
      </c>
      <c r="M52">
        <f>'Study Parameters'!$C$19</f>
        <v>800000000</v>
      </c>
      <c r="N52">
        <f>'Study Parameters'!$C$19</f>
        <v>800000000</v>
      </c>
      <c r="O52">
        <f>'Study Parameters'!$C$19</f>
        <v>800000000</v>
      </c>
      <c r="P52">
        <f>'Study Parameters'!$C$19</f>
        <v>800000000</v>
      </c>
      <c r="Q52">
        <f>'Study Parameters'!$C$19</f>
        <v>800000000</v>
      </c>
      <c r="R52">
        <f>'Study Parameters'!$C$19</f>
        <v>800000000</v>
      </c>
      <c r="S52">
        <f>'Study Parameters'!$C$19</f>
        <v>800000000</v>
      </c>
      <c r="T52">
        <f>'Study Parameters'!$C$19</f>
        <v>800000000</v>
      </c>
      <c r="U52">
        <f>'Study Parameters'!$C$19</f>
        <v>800000000</v>
      </c>
      <c r="V52">
        <f>'Study Parameters'!$C$19</f>
        <v>800000000</v>
      </c>
      <c r="W52">
        <f>'Study Parameters'!$C$19</f>
        <v>800000000</v>
      </c>
      <c r="X52">
        <f>'Study Parameters'!$C$19</f>
        <v>800000000</v>
      </c>
      <c r="Y52">
        <f>'Study Parameters'!$C$19</f>
        <v>800000000</v>
      </c>
      <c r="Z52">
        <f>'Study Parameters'!$C$19</f>
        <v>800000000</v>
      </c>
      <c r="AA52">
        <f>'Study Parameters'!$C$19</f>
        <v>800000000</v>
      </c>
      <c r="AB52">
        <f>'Study Parameters'!$C$19</f>
        <v>800000000</v>
      </c>
      <c r="AC52">
        <f>'Study Parameters'!$C$19</f>
        <v>800000000</v>
      </c>
      <c r="AD52">
        <f>'Study Parameters'!$C$19</f>
        <v>800000000</v>
      </c>
      <c r="AE52">
        <f>'Study Parameters'!$C$19</f>
        <v>800000000</v>
      </c>
      <c r="AF52">
        <f>'Study Parameters'!$C$19</f>
        <v>800000000</v>
      </c>
    </row>
    <row r="53" spans="1:32">
      <c r="A53" t="s">
        <v>148</v>
      </c>
      <c r="B53">
        <v>0</v>
      </c>
      <c r="C53">
        <f>C52/((1+'Study Parameters'!$C$4)^'MFSP Baseline'!C48)</f>
        <v>740740740.74074066</v>
      </c>
      <c r="D53">
        <f>D52/((1+'Study Parameters'!$C$4)^'MFSP Baseline'!D48)</f>
        <v>685871056.24142659</v>
      </c>
      <c r="E53">
        <f>E52/((1+'Study Parameters'!$C$4)^'MFSP Baseline'!E48)</f>
        <v>635065792.81613564</v>
      </c>
      <c r="F53">
        <f>F52/((1+'Study Parameters'!$C$4)^'MFSP Baseline'!F48)</f>
        <v>588023882.23716259</v>
      </c>
      <c r="G53">
        <f>G52/((1+'Study Parameters'!$C$4)^'MFSP Baseline'!G48)</f>
        <v>544466557.62700236</v>
      </c>
      <c r="H53">
        <f>H52/((1+'Study Parameters'!$C$4)^'MFSP Baseline'!H48)</f>
        <v>504135701.50648367</v>
      </c>
      <c r="I53">
        <f>I52/((1+'Study Parameters'!$C$4)^'MFSP Baseline'!I48)</f>
        <v>466792316.20970708</v>
      </c>
      <c r="J53">
        <f>J52/((1+'Study Parameters'!$C$4)^'MFSP Baseline'!J48)</f>
        <v>432215107.60158062</v>
      </c>
      <c r="K53">
        <f>K52/((1+'Study Parameters'!$C$4)^'MFSP Baseline'!K48)</f>
        <v>400199173.70516723</v>
      </c>
      <c r="L53">
        <f>L52/((1+'Study Parameters'!$C$4)^'MFSP Baseline'!L48)</f>
        <v>370554790.46774739</v>
      </c>
      <c r="M53">
        <f>M52/((1+'Study Parameters'!$C$4)^'MFSP Baseline'!M48)</f>
        <v>343106287.47013646</v>
      </c>
      <c r="N53">
        <f>N52/((1+'Study Parameters'!$C$4)^'MFSP Baseline'!N48)</f>
        <v>317691006.91679299</v>
      </c>
      <c r="O53">
        <f>O52/((1+'Study Parameters'!$C$4)^'MFSP Baseline'!O48)</f>
        <v>294158339.73777133</v>
      </c>
      <c r="P53">
        <f>P52/((1+'Study Parameters'!$C$4)^'MFSP Baseline'!P48)</f>
        <v>272368833.09052896</v>
      </c>
      <c r="Q53">
        <f>Q52/((1+'Study Parameters'!$C$4)^'MFSP Baseline'!Q48)</f>
        <v>252193363.97271198</v>
      </c>
      <c r="R53">
        <f>R52/((1+'Study Parameters'!$C$4)^'MFSP Baseline'!R48)</f>
        <v>233512374.04880738</v>
      </c>
      <c r="S53">
        <f>S52/((1+'Study Parameters'!$C$4)^'MFSP Baseline'!S48)</f>
        <v>216215161.15630314</v>
      </c>
      <c r="T53">
        <f>T52/((1+'Study Parameters'!$C$4)^'MFSP Baseline'!T48)</f>
        <v>200199223.29287323</v>
      </c>
      <c r="U53">
        <f>U52/((1+'Study Parameters'!$C$4)^'MFSP Baseline'!U48)</f>
        <v>185369651.19710484</v>
      </c>
      <c r="V53">
        <f>V52/((1+'Study Parameters'!$C$4)^'MFSP Baseline'!V48)</f>
        <v>171638565.92324522</v>
      </c>
      <c r="W53">
        <f>W52/((1+'Study Parameters'!$C$4)^'MFSP Baseline'!W48)</f>
        <v>158924598.07707891</v>
      </c>
      <c r="X53">
        <f>X52/((1+'Study Parameters'!$C$4)^'MFSP Baseline'!X48)</f>
        <v>147152405.6269249</v>
      </c>
      <c r="Y53">
        <f>Y52/((1+'Study Parameters'!$C$4)^'MFSP Baseline'!Y48)</f>
        <v>136252227.43233788</v>
      </c>
      <c r="Z53">
        <f>Z52/((1+'Study Parameters'!$C$4)^'MFSP Baseline'!Z48)</f>
        <v>126159469.84475727</v>
      </c>
      <c r="AA53">
        <f>AA52/((1+'Study Parameters'!$C$4)^'MFSP Baseline'!AA48)</f>
        <v>116814323.9303308</v>
      </c>
      <c r="AB53">
        <f>AB52/((1+'Study Parameters'!$C$4)^'MFSP Baseline'!AB48)</f>
        <v>108161411.04660261</v>
      </c>
      <c r="AC53">
        <f>AC52/((1+'Study Parameters'!$C$4)^'MFSP Baseline'!AC48)</f>
        <v>100149454.67278019</v>
      </c>
      <c r="AD53">
        <f>AD52/((1+'Study Parameters'!$C$4)^'MFSP Baseline'!AD48)</f>
        <v>92730976.548870534</v>
      </c>
      <c r="AE53">
        <f>AE52/((1+'Study Parameters'!$C$4)^'MFSP Baseline'!AE48)</f>
        <v>85862015.323028266</v>
      </c>
      <c r="AF53">
        <f>AF52/((1+'Study Parameters'!$C$4)^'MFSP Baseline'!AF48)</f>
        <v>79501866.039840981</v>
      </c>
    </row>
    <row r="55" spans="1:32">
      <c r="A55" t="s">
        <v>149</v>
      </c>
      <c r="B55">
        <f>SUM(B51:AF51) / SUM(B53:AF53)</f>
        <v>7.0996864457224591</v>
      </c>
    </row>
    <row r="57" spans="1:32">
      <c r="A57" t="s">
        <v>152</v>
      </c>
    </row>
    <row r="58" spans="1:32">
      <c r="A58" t="s">
        <v>1</v>
      </c>
      <c r="B58">
        <v>0</v>
      </c>
      <c r="C58">
        <v>1</v>
      </c>
      <c r="D58">
        <v>2</v>
      </c>
      <c r="E58">
        <v>3</v>
      </c>
      <c r="F58">
        <v>4</v>
      </c>
      <c r="G58">
        <v>5</v>
      </c>
      <c r="H58">
        <v>6</v>
      </c>
      <c r="I58">
        <v>7</v>
      </c>
      <c r="J58">
        <v>8</v>
      </c>
      <c r="K58">
        <v>9</v>
      </c>
      <c r="L58">
        <v>10</v>
      </c>
      <c r="M58">
        <v>11</v>
      </c>
      <c r="N58">
        <v>12</v>
      </c>
      <c r="O58">
        <v>13</v>
      </c>
      <c r="P58">
        <v>14</v>
      </c>
      <c r="Q58">
        <v>15</v>
      </c>
      <c r="R58">
        <v>16</v>
      </c>
      <c r="S58">
        <v>17</v>
      </c>
      <c r="T58">
        <v>18</v>
      </c>
      <c r="U58">
        <v>19</v>
      </c>
      <c r="V58">
        <v>20</v>
      </c>
      <c r="W58">
        <v>21</v>
      </c>
      <c r="X58">
        <v>22</v>
      </c>
      <c r="Y58">
        <v>23</v>
      </c>
      <c r="Z58">
        <v>24</v>
      </c>
      <c r="AA58">
        <v>25</v>
      </c>
      <c r="AB58">
        <v>26</v>
      </c>
      <c r="AC58">
        <v>27</v>
      </c>
      <c r="AD58">
        <v>28</v>
      </c>
      <c r="AE58">
        <v>29</v>
      </c>
      <c r="AF58">
        <v>30</v>
      </c>
    </row>
    <row r="59" spans="1:32">
      <c r="A59" t="s">
        <v>111</v>
      </c>
      <c r="B59">
        <v>0</v>
      </c>
      <c r="C59">
        <f>'Cost Components'!$N$54*10^6</f>
        <v>1347568210.6372774</v>
      </c>
      <c r="D59">
        <f>'Cost Components'!$N$54*10^6</f>
        <v>1347568210.6372774</v>
      </c>
      <c r="E59">
        <f>'Cost Components'!$N$54*10^6</f>
        <v>1347568210.6372774</v>
      </c>
      <c r="F59">
        <f>'Cost Components'!$N$54*10^6</f>
        <v>1347568210.6372774</v>
      </c>
      <c r="G59">
        <f>'Cost Components'!$N$54*10^6</f>
        <v>1347568210.6372774</v>
      </c>
      <c r="H59">
        <f>'Cost Components'!$N$54*10^6</f>
        <v>1347568210.6372774</v>
      </c>
      <c r="I59">
        <f>'Cost Components'!$N$54*10^6</f>
        <v>1347568210.6372774</v>
      </c>
      <c r="J59">
        <f>'Cost Components'!$N$54*10^6</f>
        <v>1347568210.6372774</v>
      </c>
      <c r="K59">
        <f>'Cost Components'!$N$54*10^6</f>
        <v>1347568210.6372774</v>
      </c>
      <c r="L59">
        <f>'Cost Components'!$N$54*10^6</f>
        <v>1347568210.6372774</v>
      </c>
      <c r="M59">
        <f>'Cost Components'!$N$54*10^6</f>
        <v>1347568210.6372774</v>
      </c>
      <c r="N59">
        <f>'Cost Components'!$N$54*10^6</f>
        <v>1347568210.6372774</v>
      </c>
      <c r="O59">
        <f>'Cost Components'!$N$54*10^6</f>
        <v>1347568210.6372774</v>
      </c>
      <c r="P59">
        <f>'Cost Components'!$N$54*10^6</f>
        <v>1347568210.6372774</v>
      </c>
      <c r="Q59">
        <f>'Cost Components'!$N$54*10^6</f>
        <v>1347568210.6372774</v>
      </c>
      <c r="R59">
        <f>'Cost Components'!$N$54*10^6</f>
        <v>1347568210.6372774</v>
      </c>
      <c r="S59">
        <f>'Cost Components'!$N$54*10^6</f>
        <v>1347568210.6372774</v>
      </c>
      <c r="T59">
        <f>'Cost Components'!$N$54*10^6</f>
        <v>1347568210.6372774</v>
      </c>
      <c r="U59">
        <f>'Cost Components'!$N$54*10^6</f>
        <v>1347568210.6372774</v>
      </c>
      <c r="V59">
        <f>'Cost Components'!$N$54*10^6</f>
        <v>1347568210.6372774</v>
      </c>
      <c r="W59">
        <f>'Cost Components'!$N$54*10^6</f>
        <v>1347568210.6372774</v>
      </c>
      <c r="X59">
        <f>'Cost Components'!$N$54*10^6</f>
        <v>1347568210.6372774</v>
      </c>
      <c r="Y59">
        <f>'Cost Components'!$N$54*10^6</f>
        <v>1347568210.6372774</v>
      </c>
      <c r="Z59">
        <f>'Cost Components'!$N$54*10^6</f>
        <v>1347568210.6372774</v>
      </c>
      <c r="AA59">
        <f>'Cost Components'!$N$54*10^6</f>
        <v>1347568210.6372774</v>
      </c>
      <c r="AB59">
        <f>'Cost Components'!$N$54*10^6</f>
        <v>1347568210.6372774</v>
      </c>
      <c r="AC59">
        <f>'Cost Components'!$N$54*10^6</f>
        <v>1347568210.6372774</v>
      </c>
      <c r="AD59">
        <f>'Cost Components'!$N$54*10^6</f>
        <v>1347568210.6372774</v>
      </c>
      <c r="AE59">
        <f>'Cost Components'!$N$54*10^6</f>
        <v>1347568210.6372774</v>
      </c>
      <c r="AF59">
        <f>'Cost Components'!$N$54*10^6</f>
        <v>1347568210.6372774</v>
      </c>
    </row>
    <row r="60" spans="1:32">
      <c r="A60" t="s">
        <v>146</v>
      </c>
      <c r="B60">
        <v>0</v>
      </c>
      <c r="C60">
        <f>'Cost Components'!$N$29</f>
        <v>331059844.23436385</v>
      </c>
      <c r="D60">
        <f>'Cost Components'!$N$29</f>
        <v>331059844.23436385</v>
      </c>
      <c r="E60">
        <f>'Cost Components'!$N$29</f>
        <v>331059844.23436385</v>
      </c>
      <c r="F60">
        <f>'Cost Components'!$N$29</f>
        <v>331059844.23436385</v>
      </c>
      <c r="G60">
        <f>'Cost Components'!$N$29</f>
        <v>331059844.23436385</v>
      </c>
      <c r="H60">
        <f>'Cost Components'!$N$29</f>
        <v>331059844.23436385</v>
      </c>
      <c r="I60">
        <f>'Cost Components'!$N$29</f>
        <v>331059844.23436385</v>
      </c>
      <c r="J60">
        <f>'Cost Components'!$N$29</f>
        <v>331059844.23436385</v>
      </c>
      <c r="K60">
        <f>'Cost Components'!$N$29</f>
        <v>331059844.23436385</v>
      </c>
      <c r="L60">
        <f>'Cost Components'!$N$29</f>
        <v>331059844.23436385</v>
      </c>
      <c r="M60">
        <f>'Cost Components'!$N$29</f>
        <v>331059844.23436385</v>
      </c>
      <c r="N60">
        <f>'Cost Components'!$N$29</f>
        <v>331059844.23436385</v>
      </c>
      <c r="O60">
        <f>'Cost Components'!$N$29</f>
        <v>331059844.23436385</v>
      </c>
      <c r="P60">
        <f>'Cost Components'!$N$29</f>
        <v>331059844.23436385</v>
      </c>
      <c r="Q60">
        <f>'Cost Components'!$N$29</f>
        <v>331059844.23436385</v>
      </c>
      <c r="R60">
        <f>'Cost Components'!$N$29</f>
        <v>331059844.23436385</v>
      </c>
      <c r="S60">
        <f>'Cost Components'!$N$29</f>
        <v>331059844.23436385</v>
      </c>
      <c r="T60">
        <f>'Cost Components'!$N$29</f>
        <v>331059844.23436385</v>
      </c>
      <c r="U60">
        <f>'Cost Components'!$N$29</f>
        <v>331059844.23436385</v>
      </c>
      <c r="V60">
        <f>'Cost Components'!$N$29</f>
        <v>331059844.23436385</v>
      </c>
      <c r="W60">
        <f>'Cost Components'!$N$29</f>
        <v>331059844.23436385</v>
      </c>
      <c r="X60">
        <f>'Cost Components'!$N$29</f>
        <v>331059844.23436385</v>
      </c>
      <c r="Y60">
        <f>'Cost Components'!$N$29</f>
        <v>331059844.23436385</v>
      </c>
      <c r="Z60">
        <f>'Cost Components'!$N$29</f>
        <v>331059844.23436385</v>
      </c>
      <c r="AA60">
        <f>'Cost Components'!$N$29</f>
        <v>331059844.23436385</v>
      </c>
      <c r="AB60">
        <f>'Cost Components'!$N$29</f>
        <v>331059844.23436385</v>
      </c>
      <c r="AC60">
        <f>'Cost Components'!$N$29</f>
        <v>331059844.23436385</v>
      </c>
      <c r="AD60">
        <f>'Cost Components'!$N$29</f>
        <v>331059844.23436385</v>
      </c>
      <c r="AE60">
        <f>'Cost Components'!$N$29</f>
        <v>331059844.23436385</v>
      </c>
      <c r="AF60">
        <f>'Cost Components'!$N$29</f>
        <v>331059844.23436385</v>
      </c>
    </row>
    <row r="61" spans="1:32">
      <c r="A61" t="s">
        <v>112</v>
      </c>
      <c r="B61">
        <v>0</v>
      </c>
      <c r="C61">
        <f>C59/((1+'Study Parameters'!$C$4)^'MFSP Baseline'!C58) + C60</f>
        <v>1578808187.417028</v>
      </c>
      <c r="D61">
        <f>D59/((1+'Study Parameters'!$C$4)^'MFSP Baseline'!D58) + D60</f>
        <v>1486382384.218312</v>
      </c>
      <c r="E61">
        <f>E59/((1+'Study Parameters'!$C$4)^'MFSP Baseline'!E58) + E60</f>
        <v>1400802936.8120937</v>
      </c>
      <c r="F61">
        <f>F59/((1+'Study Parameters'!$C$4)^'MFSP Baseline'!F58) + F60</f>
        <v>1321562707.7322617</v>
      </c>
      <c r="G61">
        <f>G59/((1+'Study Parameters'!$C$4)^'MFSP Baseline'!G58) + G60</f>
        <v>1248192125.250936</v>
      </c>
      <c r="H61">
        <f>H59/((1+'Study Parameters'!$C$4)^'MFSP Baseline'!H58) + H60</f>
        <v>1180256400.7311897</v>
      </c>
      <c r="I61">
        <f>I59/((1+'Study Parameters'!$C$4)^'MFSP Baseline'!I58) + I60</f>
        <v>1117352952.1017952</v>
      </c>
      <c r="J61">
        <f>J59/((1+'Study Parameters'!$C$4)^'MFSP Baseline'!J58) + J60</f>
        <v>1059109018.1856892</v>
      </c>
      <c r="K61">
        <f>K59/((1+'Study Parameters'!$C$4)^'MFSP Baseline'!K58) + K60</f>
        <v>1005179449.7448502</v>
      </c>
      <c r="L61">
        <f>L59/((1+'Study Parameters'!$C$4)^'MFSP Baseline'!L58) + L60</f>
        <v>955244664.15148091</v>
      </c>
      <c r="M61">
        <f>M59/((1+'Study Parameters'!$C$4)^'MFSP Baseline'!M58) + M60</f>
        <v>909008751.56502771</v>
      </c>
      <c r="N61">
        <f>N59/((1+'Study Parameters'!$C$4)^'MFSP Baseline'!N58) + N60</f>
        <v>866197721.39238596</v>
      </c>
      <c r="O61">
        <f>O59/((1+'Study Parameters'!$C$4)^'MFSP Baseline'!O58) + O60</f>
        <v>826557878.63993979</v>
      </c>
      <c r="P61">
        <f>P59/((1+'Study Parameters'!$C$4)^'MFSP Baseline'!P58) + P60</f>
        <v>789854320.53582311</v>
      </c>
      <c r="Q61">
        <f>Q59/((1+'Study Parameters'!$C$4)^'MFSP Baseline'!Q58) + Q60</f>
        <v>755869544.5134927</v>
      </c>
      <c r="R61">
        <f>R59/((1+'Study Parameters'!$C$4)^'MFSP Baseline'!R58) + R60</f>
        <v>724402159.30763125</v>
      </c>
      <c r="S61">
        <f>S59/((1+'Study Parameters'!$C$4)^'MFSP Baseline'!S58) + S60</f>
        <v>695265691.52442622</v>
      </c>
      <c r="T61">
        <f>T59/((1+'Study Parameters'!$C$4)^'MFSP Baseline'!T58) + T60</f>
        <v>668287480.61405134</v>
      </c>
      <c r="U61">
        <f>U59/((1+'Study Parameters'!$C$4)^'MFSP Baseline'!U58) + U60</f>
        <v>643307655.69703734</v>
      </c>
      <c r="V61">
        <f>V59/((1+'Study Parameters'!$C$4)^'MFSP Baseline'!V58) + V60</f>
        <v>620178188.18128371</v>
      </c>
      <c r="W61">
        <f>W59/((1+'Study Parameters'!$C$4)^'MFSP Baseline'!W58) + W60</f>
        <v>598762014.55558598</v>
      </c>
      <c r="X61">
        <f>X59/((1+'Study Parameters'!$C$4)^'MFSP Baseline'!X58) + X60</f>
        <v>578932224.1614213</v>
      </c>
      <c r="Y61">
        <f>Y59/((1+'Study Parameters'!$C$4)^'MFSP Baseline'!Y58) + Y60</f>
        <v>560571307.12978745</v>
      </c>
      <c r="Z61">
        <f>Z59/((1+'Study Parameters'!$C$4)^'MFSP Baseline'!Z58) + Z60</f>
        <v>543570458.02642274</v>
      </c>
      <c r="AA61">
        <f>AA59/((1+'Study Parameters'!$C$4)^'MFSP Baseline'!AA58) + AA60</f>
        <v>527828931.07886279</v>
      </c>
      <c r="AB61">
        <f>AB59/((1+'Study Parameters'!$C$4)^'MFSP Baseline'!AB58) + AB60</f>
        <v>513253443.16445553</v>
      </c>
      <c r="AC61">
        <f>AC59/((1+'Study Parameters'!$C$4)^'MFSP Baseline'!AC58) + AC60</f>
        <v>499757621.02148575</v>
      </c>
      <c r="AD61">
        <f>AD59/((1+'Study Parameters'!$C$4)^'MFSP Baseline'!AD58) + AD60</f>
        <v>487261489.40762484</v>
      </c>
      <c r="AE61">
        <f>AE59/((1+'Study Parameters'!$C$4)^'MFSP Baseline'!AE58) + AE60</f>
        <v>475690997.17256844</v>
      </c>
      <c r="AF61">
        <f>AF59/((1+'Study Parameters'!$C$4)^'MFSP Baseline'!AF58) + AF60</f>
        <v>464977578.43640518</v>
      </c>
    </row>
    <row r="62" spans="1:32">
      <c r="A62" t="s">
        <v>147</v>
      </c>
      <c r="B62">
        <v>0</v>
      </c>
      <c r="C62">
        <f>'Study Parameters'!$C$19</f>
        <v>800000000</v>
      </c>
      <c r="D62">
        <f>'Study Parameters'!$C$19</f>
        <v>800000000</v>
      </c>
      <c r="E62">
        <f>'Study Parameters'!$C$19</f>
        <v>800000000</v>
      </c>
      <c r="F62">
        <f>'Study Parameters'!$C$19</f>
        <v>800000000</v>
      </c>
      <c r="G62">
        <f>'Study Parameters'!$C$19</f>
        <v>800000000</v>
      </c>
      <c r="H62">
        <f>'Study Parameters'!$C$19</f>
        <v>800000000</v>
      </c>
      <c r="I62">
        <f>'Study Parameters'!$C$19</f>
        <v>800000000</v>
      </c>
      <c r="J62">
        <f>'Study Parameters'!$C$19</f>
        <v>800000000</v>
      </c>
      <c r="K62">
        <f>'Study Parameters'!$C$19</f>
        <v>800000000</v>
      </c>
      <c r="L62">
        <f>'Study Parameters'!$C$19</f>
        <v>800000000</v>
      </c>
      <c r="M62">
        <f>'Study Parameters'!$C$19</f>
        <v>800000000</v>
      </c>
      <c r="N62">
        <f>'Study Parameters'!$C$19</f>
        <v>800000000</v>
      </c>
      <c r="O62">
        <f>'Study Parameters'!$C$19</f>
        <v>800000000</v>
      </c>
      <c r="P62">
        <f>'Study Parameters'!$C$19</f>
        <v>800000000</v>
      </c>
      <c r="Q62">
        <f>'Study Parameters'!$C$19</f>
        <v>800000000</v>
      </c>
      <c r="R62">
        <f>'Study Parameters'!$C$19</f>
        <v>800000000</v>
      </c>
      <c r="S62">
        <f>'Study Parameters'!$C$19</f>
        <v>800000000</v>
      </c>
      <c r="T62">
        <f>'Study Parameters'!$C$19</f>
        <v>800000000</v>
      </c>
      <c r="U62">
        <f>'Study Parameters'!$C$19</f>
        <v>800000000</v>
      </c>
      <c r="V62">
        <f>'Study Parameters'!$C$19</f>
        <v>800000000</v>
      </c>
      <c r="W62">
        <f>'Study Parameters'!$C$19</f>
        <v>800000000</v>
      </c>
      <c r="X62">
        <f>'Study Parameters'!$C$19</f>
        <v>800000000</v>
      </c>
      <c r="Y62">
        <f>'Study Parameters'!$C$19</f>
        <v>800000000</v>
      </c>
      <c r="Z62">
        <f>'Study Parameters'!$C$19</f>
        <v>800000000</v>
      </c>
      <c r="AA62">
        <f>'Study Parameters'!$C$19</f>
        <v>800000000</v>
      </c>
      <c r="AB62">
        <f>'Study Parameters'!$C$19</f>
        <v>800000000</v>
      </c>
      <c r="AC62">
        <f>'Study Parameters'!$C$19</f>
        <v>800000000</v>
      </c>
      <c r="AD62">
        <f>'Study Parameters'!$C$19</f>
        <v>800000000</v>
      </c>
      <c r="AE62">
        <f>'Study Parameters'!$C$19</f>
        <v>800000000</v>
      </c>
      <c r="AF62">
        <f>'Study Parameters'!$C$19</f>
        <v>800000000</v>
      </c>
    </row>
    <row r="63" spans="1:32">
      <c r="A63" t="s">
        <v>148</v>
      </c>
      <c r="B63">
        <v>0</v>
      </c>
      <c r="C63">
        <f>C62/((1+'Study Parameters'!$C$4)^'MFSP Baseline'!C58)</f>
        <v>740740740.74074066</v>
      </c>
      <c r="D63">
        <f>D62/((1+'Study Parameters'!$C$4)^'MFSP Baseline'!D58)</f>
        <v>685871056.24142659</v>
      </c>
      <c r="E63">
        <f>E62/((1+'Study Parameters'!$C$4)^'MFSP Baseline'!E58)</f>
        <v>635065792.81613564</v>
      </c>
      <c r="F63">
        <f>F62/((1+'Study Parameters'!$C$4)^'MFSP Baseline'!F58)</f>
        <v>588023882.23716259</v>
      </c>
      <c r="G63">
        <f>G62/((1+'Study Parameters'!$C$4)^'MFSP Baseline'!G58)</f>
        <v>544466557.62700236</v>
      </c>
      <c r="H63">
        <f>H62/((1+'Study Parameters'!$C$4)^'MFSP Baseline'!H58)</f>
        <v>504135701.50648367</v>
      </c>
      <c r="I63">
        <f>I62/((1+'Study Parameters'!$C$4)^'MFSP Baseline'!I58)</f>
        <v>466792316.20970708</v>
      </c>
      <c r="J63">
        <f>J62/((1+'Study Parameters'!$C$4)^'MFSP Baseline'!J58)</f>
        <v>432215107.60158062</v>
      </c>
      <c r="K63">
        <f>K62/((1+'Study Parameters'!$C$4)^'MFSP Baseline'!K58)</f>
        <v>400199173.70516723</v>
      </c>
      <c r="L63">
        <f>L62/((1+'Study Parameters'!$C$4)^'MFSP Baseline'!L58)</f>
        <v>370554790.46774739</v>
      </c>
      <c r="M63">
        <f>M62/((1+'Study Parameters'!$C$4)^'MFSP Baseline'!M58)</f>
        <v>343106287.47013646</v>
      </c>
      <c r="N63">
        <f>N62/((1+'Study Parameters'!$C$4)^'MFSP Baseline'!N58)</f>
        <v>317691006.91679299</v>
      </c>
      <c r="O63">
        <f>O62/((1+'Study Parameters'!$C$4)^'MFSP Baseline'!O58)</f>
        <v>294158339.73777133</v>
      </c>
      <c r="P63">
        <f>P62/((1+'Study Parameters'!$C$4)^'MFSP Baseline'!P58)</f>
        <v>272368833.09052896</v>
      </c>
      <c r="Q63">
        <f>Q62/((1+'Study Parameters'!$C$4)^'MFSP Baseline'!Q58)</f>
        <v>252193363.97271198</v>
      </c>
      <c r="R63">
        <f>R62/((1+'Study Parameters'!$C$4)^'MFSP Baseline'!R58)</f>
        <v>233512374.04880738</v>
      </c>
      <c r="S63">
        <f>S62/((1+'Study Parameters'!$C$4)^'MFSP Baseline'!S58)</f>
        <v>216215161.15630314</v>
      </c>
      <c r="T63">
        <f>T62/((1+'Study Parameters'!$C$4)^'MFSP Baseline'!T58)</f>
        <v>200199223.29287323</v>
      </c>
      <c r="U63">
        <f>U62/((1+'Study Parameters'!$C$4)^'MFSP Baseline'!U58)</f>
        <v>185369651.19710484</v>
      </c>
      <c r="V63">
        <f>V62/((1+'Study Parameters'!$C$4)^'MFSP Baseline'!V58)</f>
        <v>171638565.92324522</v>
      </c>
      <c r="W63">
        <f>W62/((1+'Study Parameters'!$C$4)^'MFSP Baseline'!W58)</f>
        <v>158924598.07707891</v>
      </c>
      <c r="X63">
        <f>X62/((1+'Study Parameters'!$C$4)^'MFSP Baseline'!X58)</f>
        <v>147152405.6269249</v>
      </c>
      <c r="Y63">
        <f>Y62/((1+'Study Parameters'!$C$4)^'MFSP Baseline'!Y58)</f>
        <v>136252227.43233788</v>
      </c>
      <c r="Z63">
        <f>Z62/((1+'Study Parameters'!$C$4)^'MFSP Baseline'!Z58)</f>
        <v>126159469.84475727</v>
      </c>
      <c r="AA63">
        <f>AA62/((1+'Study Parameters'!$C$4)^'MFSP Baseline'!AA58)</f>
        <v>116814323.9303308</v>
      </c>
      <c r="AB63">
        <f>AB62/((1+'Study Parameters'!$C$4)^'MFSP Baseline'!AB58)</f>
        <v>108161411.04660261</v>
      </c>
      <c r="AC63">
        <f>AC62/((1+'Study Parameters'!$C$4)^'MFSP Baseline'!AC58)</f>
        <v>100149454.67278019</v>
      </c>
      <c r="AD63">
        <f>AD62/((1+'Study Parameters'!$C$4)^'MFSP Baseline'!AD58)</f>
        <v>92730976.548870534</v>
      </c>
      <c r="AE63">
        <f>AE62/((1+'Study Parameters'!$C$4)^'MFSP Baseline'!AE58)</f>
        <v>85862015.323028266</v>
      </c>
      <c r="AF63">
        <f>AF62/((1+'Study Parameters'!$C$4)^'MFSP Baseline'!AF58)</f>
        <v>79501866.039840981</v>
      </c>
    </row>
    <row r="65" spans="1:2">
      <c r="A65" t="s">
        <v>149</v>
      </c>
      <c r="B65">
        <f>SUM(B61:AF61) / SUM(B63:AF63)</f>
        <v>2.7872301230814234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71"/>
  <sheetViews>
    <sheetView topLeftCell="A63" workbookViewId="0">
      <selection activeCell="C75" sqref="C75"/>
    </sheetView>
  </sheetViews>
  <sheetFormatPr defaultColWidth="11" defaultRowHeight="15.75"/>
  <cols>
    <col min="1" max="1" width="26.875" bestFit="1" customWidth="1"/>
    <col min="2" max="2" width="17.625" bestFit="1" customWidth="1"/>
    <col min="3" max="3" width="17.125" bestFit="1" customWidth="1"/>
  </cols>
  <sheetData>
    <row r="1" spans="1:32">
      <c r="A1" t="s">
        <v>144</v>
      </c>
    </row>
    <row r="2" spans="1:32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>
      <c r="A3" t="s">
        <v>111</v>
      </c>
      <c r="B3">
        <v>0</v>
      </c>
      <c r="C3">
        <f>'Cost Components'!$B$45 * 10^6</f>
        <v>4157942237.9706101</v>
      </c>
      <c r="D3">
        <f>'Cost Components'!$B$45 * 10^6</f>
        <v>4157942237.9706101</v>
      </c>
      <c r="E3">
        <f>'Cost Components'!$B$45 * 10^6</f>
        <v>4157942237.9706101</v>
      </c>
      <c r="F3">
        <f>'Cost Components'!$B$45 * 10^6</f>
        <v>4157942237.9706101</v>
      </c>
      <c r="G3">
        <f>'Cost Components'!$B$45 * 10^6</f>
        <v>4157942237.9706101</v>
      </c>
      <c r="H3">
        <f>'Cost Components'!$B$45 * 10^6</f>
        <v>4157942237.9706101</v>
      </c>
      <c r="I3">
        <f>'Cost Components'!$B$45 * 10^6</f>
        <v>4157942237.9706101</v>
      </c>
      <c r="J3">
        <f>'Cost Components'!$B$45 * 10^6</f>
        <v>4157942237.9706101</v>
      </c>
      <c r="K3">
        <f>'Cost Components'!$B$45 * 10^6</f>
        <v>4157942237.9706101</v>
      </c>
      <c r="L3">
        <f>'Cost Components'!$B$45 * 10^6</f>
        <v>4157942237.9706101</v>
      </c>
      <c r="M3">
        <f>'Cost Components'!$B$45 * 10^6</f>
        <v>4157942237.9706101</v>
      </c>
      <c r="N3">
        <f>'Cost Components'!$B$45 * 10^6</f>
        <v>4157942237.9706101</v>
      </c>
      <c r="O3">
        <f>'Cost Components'!$B$45 * 10^6</f>
        <v>4157942237.9706101</v>
      </c>
      <c r="P3">
        <f>'Cost Components'!$B$45 * 10^6</f>
        <v>4157942237.9706101</v>
      </c>
      <c r="Q3">
        <f>'Cost Components'!$B$45 * 10^6</f>
        <v>4157942237.9706101</v>
      </c>
      <c r="R3">
        <f>'Cost Components'!$B$45 * 10^6</f>
        <v>4157942237.9706101</v>
      </c>
      <c r="S3">
        <f>'Cost Components'!$B$45 * 10^6</f>
        <v>4157942237.9706101</v>
      </c>
      <c r="T3">
        <f>'Cost Components'!$B$45 * 10^6</f>
        <v>4157942237.9706101</v>
      </c>
      <c r="U3">
        <f>'Cost Components'!$B$45 * 10^6</f>
        <v>4157942237.9706101</v>
      </c>
      <c r="V3">
        <f>'Cost Components'!$B$45 * 10^6</f>
        <v>4157942237.9706101</v>
      </c>
      <c r="W3">
        <f>'Cost Components'!$B$45 * 10^6</f>
        <v>4157942237.9706101</v>
      </c>
      <c r="X3">
        <f>'Cost Components'!$B$45 * 10^6</f>
        <v>4157942237.9706101</v>
      </c>
      <c r="Y3">
        <f>'Cost Components'!$B$45 * 10^6</f>
        <v>4157942237.9706101</v>
      </c>
      <c r="Z3">
        <f>'Cost Components'!$B$45 * 10^6</f>
        <v>4157942237.9706101</v>
      </c>
      <c r="AA3">
        <f>'Cost Components'!$B$45 * 10^6</f>
        <v>4157942237.9706101</v>
      </c>
      <c r="AB3">
        <f>'Cost Components'!$B$45 * 10^6</f>
        <v>4157942237.9706101</v>
      </c>
      <c r="AC3">
        <f>'Cost Components'!$B$45 * 10^6</f>
        <v>4157942237.9706101</v>
      </c>
      <c r="AD3">
        <f>'Cost Components'!$B$45 * 10^6</f>
        <v>4157942237.9706101</v>
      </c>
      <c r="AE3">
        <f>'Cost Components'!$B$45 * 10^6</f>
        <v>4157942237.9706101</v>
      </c>
      <c r="AF3">
        <f>'Cost Components'!$B$45 * 10^6</f>
        <v>4157942237.9706101</v>
      </c>
    </row>
    <row r="4" spans="1:32">
      <c r="A4" t="s">
        <v>146</v>
      </c>
      <c r="B4">
        <v>0</v>
      </c>
      <c r="C4">
        <f xml:space="preserve"> 'Cost Components'!$B$47</f>
        <v>502859157.90933394</v>
      </c>
      <c r="D4">
        <f xml:space="preserve"> 'Cost Components'!$B$47</f>
        <v>502859157.90933394</v>
      </c>
      <c r="E4">
        <f xml:space="preserve"> 'Cost Components'!$B$47</f>
        <v>502859157.90933394</v>
      </c>
      <c r="F4">
        <f xml:space="preserve"> 'Cost Components'!$B$47</f>
        <v>502859157.90933394</v>
      </c>
      <c r="G4">
        <f xml:space="preserve"> 'Cost Components'!$B$47</f>
        <v>502859157.90933394</v>
      </c>
      <c r="H4">
        <f xml:space="preserve"> 'Cost Components'!$B$47</f>
        <v>502859157.90933394</v>
      </c>
      <c r="I4">
        <f xml:space="preserve"> 'Cost Components'!$B$47</f>
        <v>502859157.90933394</v>
      </c>
      <c r="J4">
        <f xml:space="preserve"> 'Cost Components'!$B$47</f>
        <v>502859157.90933394</v>
      </c>
      <c r="K4">
        <f xml:space="preserve"> 'Cost Components'!$B$47</f>
        <v>502859157.90933394</v>
      </c>
      <c r="L4">
        <f xml:space="preserve"> 'Cost Components'!$B$47</f>
        <v>502859157.90933394</v>
      </c>
      <c r="M4">
        <f xml:space="preserve"> 'Cost Components'!$B$47</f>
        <v>502859157.90933394</v>
      </c>
      <c r="N4">
        <f xml:space="preserve"> 'Cost Components'!$B$47</f>
        <v>502859157.90933394</v>
      </c>
      <c r="O4">
        <f xml:space="preserve"> 'Cost Components'!$B$47</f>
        <v>502859157.90933394</v>
      </c>
      <c r="P4">
        <f xml:space="preserve"> 'Cost Components'!$B$47</f>
        <v>502859157.90933394</v>
      </c>
      <c r="Q4">
        <f xml:space="preserve"> 'Cost Components'!$B$47</f>
        <v>502859157.90933394</v>
      </c>
      <c r="R4">
        <f xml:space="preserve"> 'Cost Components'!$B$47</f>
        <v>502859157.90933394</v>
      </c>
      <c r="S4">
        <f xml:space="preserve"> 'Cost Components'!$B$47</f>
        <v>502859157.90933394</v>
      </c>
      <c r="T4">
        <f xml:space="preserve"> 'Cost Components'!$B$47</f>
        <v>502859157.90933394</v>
      </c>
      <c r="U4">
        <f xml:space="preserve"> 'Cost Components'!$B$47</f>
        <v>502859157.90933394</v>
      </c>
      <c r="V4">
        <f xml:space="preserve"> 'Cost Components'!$B$47</f>
        <v>502859157.90933394</v>
      </c>
      <c r="W4">
        <f xml:space="preserve"> 'Cost Components'!$B$47</f>
        <v>502859157.90933394</v>
      </c>
      <c r="X4">
        <f xml:space="preserve"> 'Cost Components'!$B$47</f>
        <v>502859157.90933394</v>
      </c>
      <c r="Y4">
        <f xml:space="preserve"> 'Cost Components'!$B$47</f>
        <v>502859157.90933394</v>
      </c>
      <c r="Z4">
        <f xml:space="preserve"> 'Cost Components'!$B$47</f>
        <v>502859157.90933394</v>
      </c>
      <c r="AA4">
        <f xml:space="preserve"> 'Cost Components'!$B$47</f>
        <v>502859157.90933394</v>
      </c>
      <c r="AB4">
        <f xml:space="preserve"> 'Cost Components'!$B$47</f>
        <v>502859157.90933394</v>
      </c>
      <c r="AC4">
        <f xml:space="preserve"> 'Cost Components'!$B$47</f>
        <v>502859157.90933394</v>
      </c>
      <c r="AD4">
        <f xml:space="preserve"> 'Cost Components'!$B$47</f>
        <v>502859157.90933394</v>
      </c>
      <c r="AE4">
        <f xml:space="preserve"> 'Cost Components'!$B$47</f>
        <v>502859157.90933394</v>
      </c>
      <c r="AF4">
        <f xml:space="preserve"> 'Cost Components'!$B$47</f>
        <v>502859157.90933394</v>
      </c>
    </row>
    <row r="5" spans="1:32">
      <c r="A5" t="s">
        <v>112</v>
      </c>
      <c r="B5">
        <f>B3/((1+'Study Parameters'!$C$4)^'MFSP Baseline'!B2)</f>
        <v>0</v>
      </c>
      <c r="C5">
        <f>C3/((1+'Cost Components'!$B$46)^'MFSP Baseline'!C2)+C4</f>
        <v>4388786483.1155119</v>
      </c>
      <c r="D5">
        <f>D3/((1+'Cost Components'!$B$46)^'MFSP Baseline'!D2)+D4</f>
        <v>4134566938.4758549</v>
      </c>
      <c r="E5">
        <f>E3/((1+'Cost Components'!$B$46)^'MFSP Baseline'!E2)+E4</f>
        <v>3896978578.9995403</v>
      </c>
      <c r="F5">
        <f>F3/((1+'Cost Components'!$B$46)^'MFSP Baseline'!F2)+F4</f>
        <v>3674933383.2272844</v>
      </c>
      <c r="G5">
        <f>G3/((1+'Cost Components'!$B$46)^'MFSP Baseline'!G2)+G4</f>
        <v>3467414508.6737728</v>
      </c>
      <c r="H5">
        <f>H3/((1+'Cost Components'!$B$46)^'MFSP Baseline'!H2)+H4</f>
        <v>3273471635.2592773</v>
      </c>
      <c r="I5">
        <f>I3/((1+'Cost Components'!$B$46)^'MFSP Baseline'!I2)+I4</f>
        <v>3092216613.3765707</v>
      </c>
      <c r="J5">
        <f>J3/((1+'Cost Components'!$B$46)^'MFSP Baseline'!J2)+J4</f>
        <v>2922819396.6637611</v>
      </c>
      <c r="K5">
        <f>K3/((1+'Cost Components'!$B$46)^'MFSP Baseline'!K2)+K4</f>
        <v>2764504240.8573961</v>
      </c>
      <c r="L5">
        <f>L3/((1+'Cost Components'!$B$46)^'MFSP Baseline'!L2)+L4</f>
        <v>2616546151.318738</v>
      </c>
      <c r="M5">
        <f>M3/((1+'Cost Components'!$B$46)^'MFSP Baseline'!M2)+M4</f>
        <v>2478267562.9648514</v>
      </c>
      <c r="N5">
        <f>N3/((1+'Cost Components'!$B$46)^'MFSP Baseline'!N2)+N4</f>
        <v>2349035237.4004722</v>
      </c>
      <c r="O5">
        <f>O3/((1+'Cost Components'!$B$46)^'MFSP Baseline'!O2)+O4</f>
        <v>2228257363.0412388</v>
      </c>
      <c r="P5">
        <f>P3/((1+'Cost Components'!$B$46)^'MFSP Baseline'!P2)+P4</f>
        <v>2115380844.9484973</v>
      </c>
      <c r="Q5">
        <f>Q3/((1+'Cost Components'!$B$46)^'MFSP Baseline'!Q2)+Q4</f>
        <v>2009888771.9646266</v>
      </c>
      <c r="R5">
        <f>R3/((1+'Cost Components'!$B$46)^'MFSP Baseline'!R2)+R4</f>
        <v>1911298049.5497947</v>
      </c>
      <c r="S5">
        <f>S3/((1+'Cost Components'!$B$46)^'MFSP Baseline'!S2)+S4</f>
        <v>1819157187.4798579</v>
      </c>
      <c r="T5">
        <f>T3/((1+'Cost Components'!$B$46)^'MFSP Baseline'!T2)+T4</f>
        <v>1733044232.2743096</v>
      </c>
      <c r="U5">
        <f>U3/((1+'Cost Components'!$B$46)^'MFSP Baseline'!U2)+U4</f>
        <v>1652564834.8859465</v>
      </c>
      <c r="V5">
        <f>V3/((1+'Cost Components'!$B$46)^'MFSP Baseline'!V2)+V4</f>
        <v>1577350444.8033645</v>
      </c>
      <c r="W5">
        <f>W3/((1+'Cost Components'!$B$46)^'MFSP Baseline'!W2)+W4</f>
        <v>1507056622.2962785</v>
      </c>
      <c r="X5">
        <f>X3/((1+'Cost Components'!$B$46)^'MFSP Baseline'!X2)+X4</f>
        <v>1441361461.0747027</v>
      </c>
      <c r="Y5">
        <f>Y3/((1+'Cost Components'!$B$46)^'MFSP Baseline'!Y2)+Y4</f>
        <v>1379964114.1386504</v>
      </c>
      <c r="Z5">
        <f>Z3/((1+'Cost Components'!$B$46)^'MFSP Baseline'!Z2)+Z4</f>
        <v>1322583416.0675735</v>
      </c>
      <c r="AA5">
        <f>AA3/((1+'Cost Components'!$B$46)^'MFSP Baseline'!AA2)+AA4</f>
        <v>1268956595.4403992</v>
      </c>
      <c r="AB5">
        <f>AB3/((1+'Cost Components'!$B$46)^'MFSP Baseline'!AB2)+AB4</f>
        <v>1218838071.4897685</v>
      </c>
      <c r="AC5">
        <f>AC3/((1+'Cost Components'!$B$46)^'MFSP Baseline'!AC2)+AC4</f>
        <v>1171998329.4798336</v>
      </c>
      <c r="AD5">
        <f>AD3/((1+'Cost Components'!$B$46)^'MFSP Baseline'!AD2)+AD4</f>
        <v>1128222869.6574645</v>
      </c>
      <c r="AE5">
        <f>AE3/((1+'Cost Components'!$B$46)^'MFSP Baseline'!AE2)+AE4</f>
        <v>1087311224.9636617</v>
      </c>
      <c r="AF5">
        <f>AF3/((1+'Cost Components'!$B$46)^'MFSP Baseline'!AF2)+AF4</f>
        <v>1049076043.0068364</v>
      </c>
    </row>
    <row r="6" spans="1:32">
      <c r="A6" t="s">
        <v>147</v>
      </c>
      <c r="B6">
        <v>0</v>
      </c>
      <c r="C6">
        <f>'Study Parameters'!$C$19</f>
        <v>800000000</v>
      </c>
      <c r="D6">
        <f>'Study Parameters'!$C$19</f>
        <v>800000000</v>
      </c>
      <c r="E6">
        <f>'Study Parameters'!$C$19</f>
        <v>800000000</v>
      </c>
      <c r="F6">
        <f>'Study Parameters'!$C$19</f>
        <v>800000000</v>
      </c>
      <c r="G6">
        <f>'Study Parameters'!$C$19</f>
        <v>800000000</v>
      </c>
      <c r="H6">
        <f>'Study Parameters'!$C$19</f>
        <v>800000000</v>
      </c>
      <c r="I6">
        <f>'Study Parameters'!$C$19</f>
        <v>800000000</v>
      </c>
      <c r="J6">
        <f>'Study Parameters'!$C$19</f>
        <v>800000000</v>
      </c>
      <c r="K6">
        <f>'Study Parameters'!$C$19</f>
        <v>800000000</v>
      </c>
      <c r="L6">
        <f>'Study Parameters'!$C$19</f>
        <v>800000000</v>
      </c>
      <c r="M6">
        <f>'Study Parameters'!$C$19</f>
        <v>800000000</v>
      </c>
      <c r="N6">
        <f>'Study Parameters'!$C$19</f>
        <v>800000000</v>
      </c>
      <c r="O6">
        <f>'Study Parameters'!$C$19</f>
        <v>800000000</v>
      </c>
      <c r="P6">
        <f>'Study Parameters'!$C$19</f>
        <v>800000000</v>
      </c>
      <c r="Q6">
        <f>'Study Parameters'!$C$19</f>
        <v>800000000</v>
      </c>
      <c r="R6">
        <f>'Study Parameters'!$C$19</f>
        <v>800000000</v>
      </c>
      <c r="S6">
        <f>'Study Parameters'!$C$19</f>
        <v>800000000</v>
      </c>
      <c r="T6">
        <f>'Study Parameters'!$C$19</f>
        <v>800000000</v>
      </c>
      <c r="U6">
        <f>'Study Parameters'!$C$19</f>
        <v>800000000</v>
      </c>
      <c r="V6">
        <f>'Study Parameters'!$C$19</f>
        <v>800000000</v>
      </c>
      <c r="W6">
        <f>'Study Parameters'!$C$19</f>
        <v>800000000</v>
      </c>
      <c r="X6">
        <f>'Study Parameters'!$C$19</f>
        <v>800000000</v>
      </c>
      <c r="Y6">
        <f>'Study Parameters'!$C$19</f>
        <v>800000000</v>
      </c>
      <c r="Z6">
        <f>'Study Parameters'!$C$19</f>
        <v>800000000</v>
      </c>
      <c r="AA6">
        <f>'Study Parameters'!$C$19</f>
        <v>800000000</v>
      </c>
      <c r="AB6">
        <f>'Study Parameters'!$C$19</f>
        <v>800000000</v>
      </c>
      <c r="AC6">
        <f>'Study Parameters'!$C$19</f>
        <v>800000000</v>
      </c>
      <c r="AD6">
        <f>'Study Parameters'!$C$19</f>
        <v>800000000</v>
      </c>
      <c r="AE6">
        <f>'Study Parameters'!$C$19</f>
        <v>800000000</v>
      </c>
      <c r="AF6">
        <f>'Study Parameters'!$C$19</f>
        <v>800000000</v>
      </c>
    </row>
    <row r="7" spans="1:32">
      <c r="A7" t="s">
        <v>148</v>
      </c>
      <c r="B7">
        <f>B6/((1+'Study Parameters'!$C$4)^'MFSP Baseline'!B2)</f>
        <v>0</v>
      </c>
      <c r="C7">
        <f>C6/((1+'Cost Components'!$B$46)^'MFSP Baseline'!C2)</f>
        <v>747663551.40186906</v>
      </c>
      <c r="D7">
        <f>D6/((1+'Cost Components'!$B$46)^'MFSP Baseline'!D2)</f>
        <v>698750982.61856925</v>
      </c>
      <c r="E7">
        <f>E6/((1+'Cost Components'!$B$46)^'MFSP Baseline'!E2)</f>
        <v>653038301.51268148</v>
      </c>
      <c r="F7">
        <f>F6/((1+'Cost Components'!$B$46)^'MFSP Baseline'!F2)</f>
        <v>610316169.63802016</v>
      </c>
      <c r="G7">
        <f>G6/((1+'Cost Components'!$B$46)^'MFSP Baseline'!G2)</f>
        <v>570388943.58693469</v>
      </c>
      <c r="H7">
        <f>H6/((1+'Cost Components'!$B$46)^'MFSP Baseline'!H2)</f>
        <v>533073779.05321002</v>
      </c>
      <c r="I7">
        <f>I6/((1+'Cost Components'!$B$46)^'MFSP Baseline'!I2)</f>
        <v>498199793.50767291</v>
      </c>
      <c r="J7">
        <f>J6/((1+'Cost Components'!$B$46)^'MFSP Baseline'!J2)</f>
        <v>465607283.65203077</v>
      </c>
      <c r="K7">
        <f>K6/((1+'Cost Components'!$B$46)^'MFSP Baseline'!K2)</f>
        <v>435146994.06731838</v>
      </c>
      <c r="L7">
        <f>L6/((1+'Cost Components'!$B$46)^'MFSP Baseline'!L2)</f>
        <v>406679433.70777422</v>
      </c>
      <c r="M7">
        <f>M6/((1+'Cost Components'!$B$46)^'MFSP Baseline'!M2)</f>
        <v>380074237.11006933</v>
      </c>
      <c r="N7">
        <f>N6/((1+'Cost Components'!$B$46)^'MFSP Baseline'!N2)</f>
        <v>355209567.39258826</v>
      </c>
      <c r="O7">
        <f>O6/((1+'Cost Components'!$B$46)^'MFSP Baseline'!O2)</f>
        <v>331971558.31083012</v>
      </c>
      <c r="P7">
        <f>P6/((1+'Cost Components'!$B$46)^'MFSP Baseline'!P2)</f>
        <v>310253792.81385994</v>
      </c>
      <c r="Q7">
        <f>Q6/((1+'Cost Components'!$B$46)^'MFSP Baseline'!Q2)</f>
        <v>289956815.71388775</v>
      </c>
      <c r="R7">
        <f>R6/((1+'Cost Components'!$B$46)^'MFSP Baseline'!R2)</f>
        <v>270987678.23727828</v>
      </c>
      <c r="S7">
        <f>S6/((1+'Cost Components'!$B$46)^'MFSP Baseline'!S2)</f>
        <v>253259512.37128812</v>
      </c>
      <c r="T7">
        <f>T6/((1+'Cost Components'!$B$46)^'MFSP Baseline'!T2)</f>
        <v>236691133.0572786</v>
      </c>
      <c r="U7">
        <f>U6/((1+'Cost Components'!$B$46)^'MFSP Baseline'!U2)</f>
        <v>221206666.40867159</v>
      </c>
      <c r="V7">
        <f>V6/((1+'Cost Components'!$B$46)^'MFSP Baseline'!V2)</f>
        <v>206735202.25109497</v>
      </c>
      <c r="W7">
        <f>W6/((1+'Cost Components'!$B$46)^'MFSP Baseline'!W2)</f>
        <v>193210469.39354667</v>
      </c>
      <c r="X7">
        <f>X6/((1+'Cost Components'!$B$46)^'MFSP Baseline'!X2)</f>
        <v>180570532.14350158</v>
      </c>
      <c r="Y7">
        <f>Y6/((1+'Cost Components'!$B$46)^'MFSP Baseline'!Y2)</f>
        <v>168757506.67616969</v>
      </c>
      <c r="Z7">
        <f>Z6/((1+'Cost Components'!$B$46)^'MFSP Baseline'!Z2)</f>
        <v>157717295.9590371</v>
      </c>
      <c r="AA7">
        <f>AA6/((1+'Cost Components'!$B$46)^'MFSP Baseline'!AA2)</f>
        <v>147399342.01779166</v>
      </c>
      <c r="AB7">
        <f>AB6/((1+'Cost Components'!$B$46)^'MFSP Baseline'!AB2)</f>
        <v>137756394.40915111</v>
      </c>
      <c r="AC7">
        <f>AC6/((1+'Cost Components'!$B$46)^'MFSP Baseline'!AC2)</f>
        <v>128744293.8403281</v>
      </c>
      <c r="AD7">
        <f>AD6/((1+'Cost Components'!$B$46)^'MFSP Baseline'!AD2)</f>
        <v>120321769.9442319</v>
      </c>
      <c r="AE7">
        <f>AE6/((1+'Cost Components'!$B$46)^'MFSP Baseline'!AE2)</f>
        <v>112450252.28432886</v>
      </c>
      <c r="AF7">
        <f>AF6/((1+'Cost Components'!$B$46)^'MFSP Baseline'!AF2)</f>
        <v>105093693.72367184</v>
      </c>
    </row>
    <row r="9" spans="1:32">
      <c r="A9" t="s">
        <v>149</v>
      </c>
      <c r="B9">
        <f>SUM(B5:AF5) / SUM(B7:AF7)</f>
        <v>6.7170632102834826</v>
      </c>
    </row>
    <row r="11" spans="1:32">
      <c r="A11" t="s">
        <v>150</v>
      </c>
    </row>
    <row r="12" spans="1:32">
      <c r="A12" t="s">
        <v>1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11</v>
      </c>
      <c r="N12">
        <v>12</v>
      </c>
      <c r="O12">
        <v>13</v>
      </c>
      <c r="P12">
        <v>14</v>
      </c>
      <c r="Q12">
        <v>15</v>
      </c>
      <c r="R12">
        <v>16</v>
      </c>
      <c r="S12">
        <v>17</v>
      </c>
      <c r="T12">
        <v>18</v>
      </c>
      <c r="U12">
        <v>19</v>
      </c>
      <c r="V12">
        <v>20</v>
      </c>
      <c r="W12">
        <v>21</v>
      </c>
      <c r="X12">
        <v>22</v>
      </c>
      <c r="Y12">
        <v>23</v>
      </c>
      <c r="Z12">
        <v>24</v>
      </c>
      <c r="AA12">
        <v>25</v>
      </c>
      <c r="AB12">
        <v>26</v>
      </c>
      <c r="AC12">
        <v>27</v>
      </c>
      <c r="AD12">
        <v>28</v>
      </c>
      <c r="AE12">
        <v>29</v>
      </c>
      <c r="AF12">
        <v>30</v>
      </c>
    </row>
    <row r="13" spans="1:32">
      <c r="A13" t="s">
        <v>111</v>
      </c>
      <c r="B13">
        <v>0</v>
      </c>
      <c r="C13">
        <f>'Cost Components'!$B$54*10^6</f>
        <v>1346568210.6372774</v>
      </c>
      <c r="D13">
        <f>'Cost Components'!$B$54*10^6</f>
        <v>1346568210.6372774</v>
      </c>
      <c r="E13">
        <f>'Cost Components'!$B$54*10^6</f>
        <v>1346568210.6372774</v>
      </c>
      <c r="F13">
        <f>'Cost Components'!$B$54*10^6</f>
        <v>1346568210.6372774</v>
      </c>
      <c r="G13">
        <f>'Cost Components'!$B$54*10^6</f>
        <v>1346568210.6372774</v>
      </c>
      <c r="H13">
        <f>'Cost Components'!$B$54*10^6</f>
        <v>1346568210.6372774</v>
      </c>
      <c r="I13">
        <f>'Cost Components'!$B$54*10^6</f>
        <v>1346568210.6372774</v>
      </c>
      <c r="J13">
        <f>'Cost Components'!$B$54*10^6</f>
        <v>1346568210.6372774</v>
      </c>
      <c r="K13">
        <f>'Cost Components'!$B$54*10^6</f>
        <v>1346568210.6372774</v>
      </c>
      <c r="L13">
        <f>'Cost Components'!$B$54*10^6</f>
        <v>1346568210.6372774</v>
      </c>
      <c r="M13">
        <f>'Cost Components'!$B$54*10^6</f>
        <v>1346568210.6372774</v>
      </c>
      <c r="N13">
        <f>'Cost Components'!$B$54*10^6</f>
        <v>1346568210.6372774</v>
      </c>
      <c r="O13">
        <f>'Cost Components'!$B$54*10^6</f>
        <v>1346568210.6372774</v>
      </c>
      <c r="P13">
        <f>'Cost Components'!$B$54*10^6</f>
        <v>1346568210.6372774</v>
      </c>
      <c r="Q13">
        <f>'Cost Components'!$B$54*10^6</f>
        <v>1346568210.6372774</v>
      </c>
      <c r="R13">
        <f>'Cost Components'!$B$54*10^6</f>
        <v>1346568210.6372774</v>
      </c>
      <c r="S13">
        <f>'Cost Components'!$B$54*10^6</f>
        <v>1346568210.6372774</v>
      </c>
      <c r="T13">
        <f>'Cost Components'!$B$54*10^6</f>
        <v>1346568210.6372774</v>
      </c>
      <c r="U13">
        <f>'Cost Components'!$B$54*10^6</f>
        <v>1346568210.6372774</v>
      </c>
      <c r="V13">
        <f>'Cost Components'!$B$54*10^6</f>
        <v>1346568210.6372774</v>
      </c>
      <c r="W13">
        <f>'Cost Components'!$B$54*10^6</f>
        <v>1346568210.6372774</v>
      </c>
      <c r="X13">
        <f>'Cost Components'!$B$54*10^6</f>
        <v>1346568210.6372774</v>
      </c>
      <c r="Y13">
        <f>'Cost Components'!$B$54*10^6</f>
        <v>1346568210.6372774</v>
      </c>
      <c r="Z13">
        <f>'Cost Components'!$B$54*10^6</f>
        <v>1346568210.6372774</v>
      </c>
      <c r="AA13">
        <f>'Cost Components'!$B$54*10^6</f>
        <v>1346568210.6372774</v>
      </c>
      <c r="AB13">
        <f>'Cost Components'!$B$54*10^6</f>
        <v>1346568210.6372774</v>
      </c>
      <c r="AC13">
        <f>'Cost Components'!$B$54*10^6</f>
        <v>1346568210.6372774</v>
      </c>
      <c r="AD13">
        <f>'Cost Components'!$B$54*10^6</f>
        <v>1346568210.6372774</v>
      </c>
      <c r="AE13">
        <f>'Cost Components'!$B$54*10^6</f>
        <v>1346568210.6372774</v>
      </c>
      <c r="AF13">
        <f>'Cost Components'!$B$54*10^6</f>
        <v>1346568210.6372774</v>
      </c>
    </row>
    <row r="14" spans="1:32">
      <c r="A14" t="s">
        <v>146</v>
      </c>
      <c r="B14">
        <v>0</v>
      </c>
      <c r="C14">
        <f>'Cost Components'!$B$56</f>
        <v>301070803.51751143</v>
      </c>
      <c r="D14">
        <f>'Cost Components'!$B$56</f>
        <v>301070803.51751143</v>
      </c>
      <c r="E14">
        <f>'Cost Components'!$B$56</f>
        <v>301070803.51751143</v>
      </c>
      <c r="F14">
        <f>'Cost Components'!$B$56</f>
        <v>301070803.51751143</v>
      </c>
      <c r="G14">
        <f>'Cost Components'!$B$56</f>
        <v>301070803.51751143</v>
      </c>
      <c r="H14">
        <f>'Cost Components'!$B$56</f>
        <v>301070803.51751143</v>
      </c>
      <c r="I14">
        <f>'Cost Components'!$B$56</f>
        <v>301070803.51751143</v>
      </c>
      <c r="J14">
        <f>'Cost Components'!$B$56</f>
        <v>301070803.51751143</v>
      </c>
      <c r="K14">
        <f>'Cost Components'!$B$56</f>
        <v>301070803.51751143</v>
      </c>
      <c r="L14">
        <f>'Cost Components'!$B$56</f>
        <v>301070803.51751143</v>
      </c>
      <c r="M14">
        <f>'Cost Components'!$B$56</f>
        <v>301070803.51751143</v>
      </c>
      <c r="N14">
        <f>'Cost Components'!$B$56</f>
        <v>301070803.51751143</v>
      </c>
      <c r="O14">
        <f>'Cost Components'!$B$56</f>
        <v>301070803.51751143</v>
      </c>
      <c r="P14">
        <f>'Cost Components'!$B$56</f>
        <v>301070803.51751143</v>
      </c>
      <c r="Q14">
        <f>'Cost Components'!$B$56</f>
        <v>301070803.51751143</v>
      </c>
      <c r="R14">
        <f>'Cost Components'!$B$56</f>
        <v>301070803.51751143</v>
      </c>
      <c r="S14">
        <f>'Cost Components'!$B$56</f>
        <v>301070803.51751143</v>
      </c>
      <c r="T14">
        <f>'Cost Components'!$B$56</f>
        <v>301070803.51751143</v>
      </c>
      <c r="U14">
        <f>'Cost Components'!$B$56</f>
        <v>301070803.51751143</v>
      </c>
      <c r="V14">
        <f>'Cost Components'!$B$56</f>
        <v>301070803.51751143</v>
      </c>
      <c r="W14">
        <f>'Cost Components'!$B$56</f>
        <v>301070803.51751143</v>
      </c>
      <c r="X14">
        <f>'Cost Components'!$B$56</f>
        <v>301070803.51751143</v>
      </c>
      <c r="Y14">
        <f>'Cost Components'!$B$56</f>
        <v>301070803.51751143</v>
      </c>
      <c r="Z14">
        <f>'Cost Components'!$B$56</f>
        <v>301070803.51751143</v>
      </c>
      <c r="AA14">
        <f>'Cost Components'!$B$56</f>
        <v>301070803.51751143</v>
      </c>
      <c r="AB14">
        <f>'Cost Components'!$B$56</f>
        <v>301070803.51751143</v>
      </c>
      <c r="AC14">
        <f>'Cost Components'!$B$56</f>
        <v>301070803.51751143</v>
      </c>
      <c r="AD14">
        <f>'Cost Components'!$B$56</f>
        <v>301070803.51751143</v>
      </c>
      <c r="AE14">
        <f>'Cost Components'!$B$56</f>
        <v>301070803.51751143</v>
      </c>
      <c r="AF14">
        <f>'Cost Components'!$B$56</f>
        <v>301070803.51751143</v>
      </c>
    </row>
    <row r="15" spans="1:32">
      <c r="A15" t="s">
        <v>112</v>
      </c>
      <c r="B15">
        <v>0</v>
      </c>
      <c r="C15">
        <f>C13/((1+'Cost Components'!$B$55)^'MFSP Baseline'!C12) + C14</f>
        <v>1559545766.7299201</v>
      </c>
      <c r="D15">
        <f>D13/((1+'Cost Components'!$B$55)^'MFSP Baseline'!D12) + D14</f>
        <v>1477215628.9496691</v>
      </c>
      <c r="E15">
        <f>E13/((1+'Cost Components'!$B$55)^'MFSP Baseline'!E12) + E14</f>
        <v>1400271574.9494343</v>
      </c>
      <c r="F15">
        <f>F13/((1+'Cost Components'!$B$55)^'MFSP Baseline'!F12) + F14</f>
        <v>1328361244.1080937</v>
      </c>
      <c r="G15">
        <f>G13/((1+'Cost Components'!$B$55)^'MFSP Baseline'!G12) + G14</f>
        <v>1261155327.4339435</v>
      </c>
      <c r="H15">
        <f>H13/((1+'Cost Components'!$B$55)^'MFSP Baseline'!H12) + H14</f>
        <v>1198346059.5141768</v>
      </c>
      <c r="I15">
        <f>I13/((1+'Cost Components'!$B$55)^'MFSP Baseline'!I12) + I14</f>
        <v>1139645809.1218717</v>
      </c>
      <c r="J15">
        <f>J13/((1+'Cost Components'!$B$55)^'MFSP Baseline'!J12) + J14</f>
        <v>1084785762.0262592</v>
      </c>
      <c r="K15">
        <f>K13/((1+'Cost Components'!$B$55)^'MFSP Baseline'!K12) + K14</f>
        <v>1033514689.9742851</v>
      </c>
      <c r="L15">
        <f>L13/((1+'Cost Components'!$B$55)^'MFSP Baseline'!L12) + L14</f>
        <v>985597800.20608497</v>
      </c>
      <c r="M15">
        <f>M13/((1+'Cost Components'!$B$55)^'MFSP Baseline'!M12) + M14</f>
        <v>940815660.23580432</v>
      </c>
      <c r="N15">
        <f>N13/((1+'Cost Components'!$B$55)^'MFSP Baseline'!N12) + N14</f>
        <v>898963192.97386003</v>
      </c>
      <c r="O15">
        <f>O13/((1+'Cost Components'!$B$55)^'MFSP Baseline'!O12) + O14</f>
        <v>859848737.58886528</v>
      </c>
      <c r="P15">
        <f>P13/((1+'Cost Components'!$B$55)^'MFSP Baseline'!P12) + P14</f>
        <v>823293171.80849636</v>
      </c>
      <c r="Q15">
        <f>Q13/((1+'Cost Components'!$B$55)^'MFSP Baseline'!Q12) + Q14</f>
        <v>789129091.63992715</v>
      </c>
      <c r="R15">
        <f>R13/((1+'Cost Components'!$B$55)^'MFSP Baseline'!R12) + R14</f>
        <v>757200044.75341403</v>
      </c>
      <c r="S15">
        <f>S13/((1+'Cost Components'!$B$55)^'MFSP Baseline'!S12) + S14</f>
        <v>727359814.01835501</v>
      </c>
      <c r="T15">
        <f>T13/((1+'Cost Components'!$B$55)^'MFSP Baseline'!T12) + T14</f>
        <v>699471747.91082311</v>
      </c>
      <c r="U15">
        <f>U13/((1+'Cost Components'!$B$55)^'MFSP Baseline'!U12) + U14</f>
        <v>673408134.72621393</v>
      </c>
      <c r="V15">
        <f>V13/((1+'Cost Components'!$B$55)^'MFSP Baseline'!V12) + V14</f>
        <v>649049617.73125219</v>
      </c>
      <c r="W15">
        <f>W13/((1+'Cost Components'!$B$55)^'MFSP Baseline'!W12) + W14</f>
        <v>626284648.57708216</v>
      </c>
      <c r="X15">
        <f>X13/((1+'Cost Components'!$B$55)^'MFSP Baseline'!X12) + X14</f>
        <v>605008976.47038126</v>
      </c>
      <c r="Y15">
        <f>Y13/((1+'Cost Components'!$B$55)^'MFSP Baseline'!Y12) + Y14</f>
        <v>585125170.76318419</v>
      </c>
      <c r="Z15">
        <f>Z13/((1+'Cost Components'!$B$55)^'MFSP Baseline'!Z12) + Z14</f>
        <v>566542174.77514958</v>
      </c>
      <c r="AA15">
        <f>AA13/((1+'Cost Components'!$B$55)^'MFSP Baseline'!AA12) + AA14</f>
        <v>549174888.80502367</v>
      </c>
      <c r="AB15">
        <f>AB13/((1+'Cost Components'!$B$55)^'MFSP Baseline'!AB12) + AB14</f>
        <v>532943780.42172849</v>
      </c>
      <c r="AC15">
        <f>AC13/((1+'Cost Components'!$B$55)^'MFSP Baseline'!AC12) + AC14</f>
        <v>517774520.2504245</v>
      </c>
      <c r="AD15">
        <f>AD13/((1+'Cost Components'!$B$55)^'MFSP Baseline'!AD12) + AD14</f>
        <v>503597641.5856545</v>
      </c>
      <c r="AE15">
        <f>AE13/((1+'Cost Components'!$B$55)^'MFSP Baseline'!AE12) + AE14</f>
        <v>490348222.27278531</v>
      </c>
      <c r="AF15">
        <f>AF13/((1+'Cost Components'!$B$55)^'MFSP Baseline'!AF12) + AF14</f>
        <v>477965587.40094501</v>
      </c>
    </row>
    <row r="16" spans="1:32">
      <c r="A16" t="s">
        <v>147</v>
      </c>
      <c r="B16">
        <v>0</v>
      </c>
      <c r="C16">
        <f>'Study Parameters'!$C$19</f>
        <v>800000000</v>
      </c>
      <c r="D16">
        <f>'Study Parameters'!$C$19</f>
        <v>800000000</v>
      </c>
      <c r="E16">
        <f>'Study Parameters'!$C$19</f>
        <v>800000000</v>
      </c>
      <c r="F16">
        <f>'Study Parameters'!$C$19</f>
        <v>800000000</v>
      </c>
      <c r="G16">
        <f>'Study Parameters'!$C$19</f>
        <v>800000000</v>
      </c>
      <c r="H16">
        <f>'Study Parameters'!$C$19</f>
        <v>800000000</v>
      </c>
      <c r="I16">
        <f>'Study Parameters'!$C$19</f>
        <v>800000000</v>
      </c>
      <c r="J16">
        <f>'Study Parameters'!$C$19</f>
        <v>800000000</v>
      </c>
      <c r="K16">
        <f>'Study Parameters'!$C$19</f>
        <v>800000000</v>
      </c>
      <c r="L16">
        <f>'Study Parameters'!$C$19</f>
        <v>800000000</v>
      </c>
      <c r="M16">
        <f>'Study Parameters'!$C$19</f>
        <v>800000000</v>
      </c>
      <c r="N16">
        <f>'Study Parameters'!$C$19</f>
        <v>800000000</v>
      </c>
      <c r="O16">
        <f>'Study Parameters'!$C$19</f>
        <v>800000000</v>
      </c>
      <c r="P16">
        <f>'Study Parameters'!$C$19</f>
        <v>800000000</v>
      </c>
      <c r="Q16">
        <f>'Study Parameters'!$C$19</f>
        <v>800000000</v>
      </c>
      <c r="R16">
        <f>'Study Parameters'!$C$19</f>
        <v>800000000</v>
      </c>
      <c r="S16">
        <f>'Study Parameters'!$C$19</f>
        <v>800000000</v>
      </c>
      <c r="T16">
        <f>'Study Parameters'!$C$19</f>
        <v>800000000</v>
      </c>
      <c r="U16">
        <f>'Study Parameters'!$C$19</f>
        <v>800000000</v>
      </c>
      <c r="V16">
        <f>'Study Parameters'!$C$19</f>
        <v>800000000</v>
      </c>
      <c r="W16">
        <f>'Study Parameters'!$C$19</f>
        <v>800000000</v>
      </c>
      <c r="X16">
        <f>'Study Parameters'!$C$19</f>
        <v>800000000</v>
      </c>
      <c r="Y16">
        <f>'Study Parameters'!$C$19</f>
        <v>800000000</v>
      </c>
      <c r="Z16">
        <f>'Study Parameters'!$C$19</f>
        <v>800000000</v>
      </c>
      <c r="AA16">
        <f>'Study Parameters'!$C$19</f>
        <v>800000000</v>
      </c>
      <c r="AB16">
        <f>'Study Parameters'!$C$19</f>
        <v>800000000</v>
      </c>
      <c r="AC16">
        <f>'Study Parameters'!$C$19</f>
        <v>800000000</v>
      </c>
      <c r="AD16">
        <f>'Study Parameters'!$C$19</f>
        <v>800000000</v>
      </c>
      <c r="AE16">
        <f>'Study Parameters'!$C$19</f>
        <v>800000000</v>
      </c>
      <c r="AF16">
        <f>'Study Parameters'!$C$19</f>
        <v>800000000</v>
      </c>
    </row>
    <row r="17" spans="1:32">
      <c r="A17" t="s">
        <v>148</v>
      </c>
      <c r="B17">
        <v>0</v>
      </c>
      <c r="C17">
        <f>C16/((1+'Cost Components'!$B$55)^'MFSP Baseline'!C12)</f>
        <v>747663551.40186906</v>
      </c>
      <c r="D17">
        <f>D16/((1+'Cost Components'!$B$55)^'MFSP Baseline'!D12)</f>
        <v>698750982.61856925</v>
      </c>
      <c r="E17">
        <f>E16/((1+'Cost Components'!$B$55)^'MFSP Baseline'!E12)</f>
        <v>653038301.51268148</v>
      </c>
      <c r="F17">
        <f>F16/((1+'Cost Components'!$B$55)^'MFSP Baseline'!F12)</f>
        <v>610316169.63802016</v>
      </c>
      <c r="G17">
        <f>G16/((1+'Cost Components'!$B$55)^'MFSP Baseline'!G12)</f>
        <v>570388943.58693469</v>
      </c>
      <c r="H17">
        <f>H16/((1+'Cost Components'!$B$55)^'MFSP Baseline'!H12)</f>
        <v>533073779.05321002</v>
      </c>
      <c r="I17">
        <f>I16/((1+'Cost Components'!$B$55)^'MFSP Baseline'!I12)</f>
        <v>498199793.50767291</v>
      </c>
      <c r="J17">
        <f>J16/((1+'Cost Components'!$B$55)^'MFSP Baseline'!J12)</f>
        <v>465607283.65203077</v>
      </c>
      <c r="K17">
        <f>K16/((1+'Cost Components'!$B$55)^'MFSP Baseline'!K12)</f>
        <v>435146994.06731838</v>
      </c>
      <c r="L17">
        <f>L16/((1+'Cost Components'!$B$55)^'MFSP Baseline'!L12)</f>
        <v>406679433.70777422</v>
      </c>
      <c r="M17">
        <f>M16/((1+'Cost Components'!$B$55)^'MFSP Baseline'!M12)</f>
        <v>380074237.11006933</v>
      </c>
      <c r="N17">
        <f>N16/((1+'Cost Components'!$B$55)^'MFSP Baseline'!N12)</f>
        <v>355209567.39258826</v>
      </c>
      <c r="O17">
        <f>O16/((1+'Cost Components'!$B$55)^'MFSP Baseline'!O12)</f>
        <v>331971558.31083012</v>
      </c>
      <c r="P17">
        <f>P16/((1+'Cost Components'!$B$55)^'MFSP Baseline'!P12)</f>
        <v>310253792.81385994</v>
      </c>
      <c r="Q17">
        <f>Q16/((1+'Cost Components'!$B$55)^'MFSP Baseline'!Q12)</f>
        <v>289956815.71388775</v>
      </c>
      <c r="R17">
        <f>R16/((1+'Cost Components'!$B$55)^'MFSP Baseline'!R12)</f>
        <v>270987678.23727828</v>
      </c>
      <c r="S17">
        <f>S16/((1+'Cost Components'!$B$55)^'MFSP Baseline'!S12)</f>
        <v>253259512.37128812</v>
      </c>
      <c r="T17">
        <f>T16/((1+'Cost Components'!$B$55)^'MFSP Baseline'!T12)</f>
        <v>236691133.0572786</v>
      </c>
      <c r="U17">
        <f>U16/((1+'Cost Components'!$B$55)^'MFSP Baseline'!U12)</f>
        <v>221206666.40867159</v>
      </c>
      <c r="V17">
        <f>V16/((1+'Cost Components'!$B$55)^'MFSP Baseline'!V12)</f>
        <v>206735202.25109497</v>
      </c>
      <c r="W17">
        <f>W16/((1+'Cost Components'!$B$55)^'MFSP Baseline'!W12)</f>
        <v>193210469.39354667</v>
      </c>
      <c r="X17">
        <f>X16/((1+'Cost Components'!$B$55)^'MFSP Baseline'!X12)</f>
        <v>180570532.14350158</v>
      </c>
      <c r="Y17">
        <f>Y16/((1+'Cost Components'!$B$55)^'MFSP Baseline'!Y12)</f>
        <v>168757506.67616969</v>
      </c>
      <c r="Z17">
        <f>Z16/((1+'Cost Components'!$B$55)^'MFSP Baseline'!Z12)</f>
        <v>157717295.9590371</v>
      </c>
      <c r="AA17">
        <f>AA16/((1+'Cost Components'!$B$55)^'MFSP Baseline'!AA12)</f>
        <v>147399342.01779166</v>
      </c>
      <c r="AB17">
        <f>AB16/((1+'Cost Components'!$B$55)^'MFSP Baseline'!AB12)</f>
        <v>137756394.40915111</v>
      </c>
      <c r="AC17">
        <f>AC16/((1+'Cost Components'!$B$55)^'MFSP Baseline'!AC12)</f>
        <v>128744293.8403281</v>
      </c>
      <c r="AD17">
        <f>AD16/((1+'Cost Components'!$B$55)^'MFSP Baseline'!AD12)</f>
        <v>120321769.9442319</v>
      </c>
      <c r="AE17">
        <f>AE16/((1+'Cost Components'!$B$55)^'MFSP Baseline'!AE12)</f>
        <v>112450252.28432886</v>
      </c>
      <c r="AF17">
        <f>AF16/((1+'Cost Components'!$B$55)^'MFSP Baseline'!AF12)</f>
        <v>105093693.72367184</v>
      </c>
    </row>
    <row r="19" spans="1:32">
      <c r="A19" t="s">
        <v>149</v>
      </c>
      <c r="B19">
        <f>SUM(B15:AF15) / SUM(B17:AF17)</f>
        <v>2.5930432604594715</v>
      </c>
    </row>
    <row r="21" spans="1:32" s="24" customFormat="1"/>
    <row r="23" spans="1:32">
      <c r="A23" t="s">
        <v>151</v>
      </c>
    </row>
    <row r="24" spans="1:32">
      <c r="A24" t="s">
        <v>1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</row>
    <row r="25" spans="1:32">
      <c r="A25" t="s">
        <v>111</v>
      </c>
      <c r="B25">
        <v>0</v>
      </c>
      <c r="C25">
        <f xml:space="preserve"> 'Cost Components'!$H$45 * 10^6</f>
        <v>4150052237.9706106</v>
      </c>
      <c r="D25">
        <f xml:space="preserve"> 'Cost Components'!$H$45 * 10^6</f>
        <v>4150052237.9706106</v>
      </c>
      <c r="E25">
        <f xml:space="preserve"> 'Cost Components'!$H$45 * 10^6</f>
        <v>4150052237.9706106</v>
      </c>
      <c r="F25">
        <f xml:space="preserve"> 'Cost Components'!$H$45 * 10^6</f>
        <v>4150052237.9706106</v>
      </c>
      <c r="G25">
        <f xml:space="preserve"> 'Cost Components'!$H$45 * 10^6</f>
        <v>4150052237.9706106</v>
      </c>
      <c r="H25">
        <f xml:space="preserve"> 'Cost Components'!$H$45 * 10^6</f>
        <v>4150052237.9706106</v>
      </c>
      <c r="I25">
        <f xml:space="preserve"> 'Cost Components'!$H$45 * 10^6</f>
        <v>4150052237.9706106</v>
      </c>
      <c r="J25">
        <f xml:space="preserve"> 'Cost Components'!$H$45 * 10^6</f>
        <v>4150052237.9706106</v>
      </c>
      <c r="K25">
        <f xml:space="preserve"> 'Cost Components'!$H$45 * 10^6</f>
        <v>4150052237.9706106</v>
      </c>
      <c r="L25">
        <f xml:space="preserve"> 'Cost Components'!$H$45 * 10^6</f>
        <v>4150052237.9706106</v>
      </c>
      <c r="M25">
        <f xml:space="preserve"> 'Cost Components'!$H$45 * 10^6</f>
        <v>4150052237.9706106</v>
      </c>
      <c r="N25">
        <f xml:space="preserve"> 'Cost Components'!$H$45 * 10^6</f>
        <v>4150052237.9706106</v>
      </c>
      <c r="O25">
        <f xml:space="preserve"> 'Cost Components'!$H$45 * 10^6</f>
        <v>4150052237.9706106</v>
      </c>
      <c r="P25">
        <f xml:space="preserve"> 'Cost Components'!$H$45 * 10^6</f>
        <v>4150052237.9706106</v>
      </c>
      <c r="Q25">
        <f xml:space="preserve"> 'Cost Components'!$H$45 * 10^6</f>
        <v>4150052237.9706106</v>
      </c>
      <c r="R25">
        <f xml:space="preserve"> 'Cost Components'!$H$45 * 10^6</f>
        <v>4150052237.9706106</v>
      </c>
      <c r="S25">
        <f xml:space="preserve"> 'Cost Components'!$H$45 * 10^6</f>
        <v>4150052237.9706106</v>
      </c>
      <c r="T25">
        <f xml:space="preserve"> 'Cost Components'!$H$45 * 10^6</f>
        <v>4150052237.9706106</v>
      </c>
      <c r="U25">
        <f xml:space="preserve"> 'Cost Components'!$H$45 * 10^6</f>
        <v>4150052237.9706106</v>
      </c>
      <c r="V25">
        <f xml:space="preserve"> 'Cost Components'!$H$45 * 10^6</f>
        <v>4150052237.9706106</v>
      </c>
      <c r="W25">
        <f xml:space="preserve"> 'Cost Components'!$H$45 * 10^6</f>
        <v>4150052237.9706106</v>
      </c>
      <c r="X25">
        <f xml:space="preserve"> 'Cost Components'!$H$45 * 10^6</f>
        <v>4150052237.9706106</v>
      </c>
      <c r="Y25">
        <f xml:space="preserve"> 'Cost Components'!$H$45 * 10^6</f>
        <v>4150052237.9706106</v>
      </c>
      <c r="Z25">
        <f xml:space="preserve"> 'Cost Components'!$H$45 * 10^6</f>
        <v>4150052237.9706106</v>
      </c>
      <c r="AA25">
        <f xml:space="preserve"> 'Cost Components'!$H$45 * 10^6</f>
        <v>4150052237.9706106</v>
      </c>
      <c r="AB25">
        <f xml:space="preserve"> 'Cost Components'!$H$45 * 10^6</f>
        <v>4150052237.9706106</v>
      </c>
      <c r="AC25">
        <f xml:space="preserve"> 'Cost Components'!$H$45 * 10^6</f>
        <v>4150052237.9706106</v>
      </c>
      <c r="AD25">
        <f xml:space="preserve"> 'Cost Components'!$H$45 * 10^6</f>
        <v>4150052237.9706106</v>
      </c>
      <c r="AE25">
        <f xml:space="preserve"> 'Cost Components'!$H$45 * 10^6</f>
        <v>4150052237.9706106</v>
      </c>
      <c r="AF25">
        <f xml:space="preserve"> 'Cost Components'!$H$45 * 10^6</f>
        <v>4150052237.9706106</v>
      </c>
    </row>
    <row r="26" spans="1:32">
      <c r="A26" t="s">
        <v>146</v>
      </c>
      <c r="B26">
        <v>0</v>
      </c>
      <c r="C26">
        <f>'Cost Components'!$H$47</f>
        <v>399386215.80106711</v>
      </c>
      <c r="D26">
        <f>'Cost Components'!$H$47</f>
        <v>399386215.80106711</v>
      </c>
      <c r="E26">
        <f>'Cost Components'!$H$47</f>
        <v>399386215.80106711</v>
      </c>
      <c r="F26">
        <f>'Cost Components'!$H$47</f>
        <v>399386215.80106711</v>
      </c>
      <c r="G26">
        <f>'Cost Components'!$H$47</f>
        <v>399386215.80106711</v>
      </c>
      <c r="H26">
        <f>'Cost Components'!$H$47</f>
        <v>399386215.80106711</v>
      </c>
      <c r="I26">
        <f>'Cost Components'!$H$47</f>
        <v>399386215.80106711</v>
      </c>
      <c r="J26">
        <f>'Cost Components'!$H$47</f>
        <v>399386215.80106711</v>
      </c>
      <c r="K26">
        <f>'Cost Components'!$H$47</f>
        <v>399386215.80106711</v>
      </c>
      <c r="L26">
        <f>'Cost Components'!$H$47</f>
        <v>399386215.80106711</v>
      </c>
      <c r="M26">
        <f>'Cost Components'!$H$47</f>
        <v>399386215.80106711</v>
      </c>
      <c r="N26">
        <f>'Cost Components'!$H$47</f>
        <v>399386215.80106711</v>
      </c>
      <c r="O26">
        <f>'Cost Components'!$H$47</f>
        <v>399386215.80106711</v>
      </c>
      <c r="P26">
        <f>'Cost Components'!$H$47</f>
        <v>399386215.80106711</v>
      </c>
      <c r="Q26">
        <f>'Cost Components'!$H$47</f>
        <v>399386215.80106711</v>
      </c>
      <c r="R26">
        <f>'Cost Components'!$H$47</f>
        <v>399386215.80106711</v>
      </c>
      <c r="S26">
        <f>'Cost Components'!$H$47</f>
        <v>399386215.80106711</v>
      </c>
      <c r="T26">
        <f>'Cost Components'!$H$47</f>
        <v>399386215.80106711</v>
      </c>
      <c r="U26">
        <f>'Cost Components'!$H$47</f>
        <v>399386215.80106711</v>
      </c>
      <c r="V26">
        <f>'Cost Components'!$H$47</f>
        <v>399386215.80106711</v>
      </c>
      <c r="W26">
        <f>'Cost Components'!$H$47</f>
        <v>399386215.80106711</v>
      </c>
      <c r="X26">
        <f>'Cost Components'!$H$47</f>
        <v>399386215.80106711</v>
      </c>
      <c r="Y26">
        <f>'Cost Components'!$H$47</f>
        <v>399386215.80106711</v>
      </c>
      <c r="Z26">
        <f>'Cost Components'!$H$47</f>
        <v>399386215.80106711</v>
      </c>
      <c r="AA26">
        <f>'Cost Components'!$H$47</f>
        <v>399386215.80106711</v>
      </c>
      <c r="AB26">
        <f>'Cost Components'!$H$47</f>
        <v>399386215.80106711</v>
      </c>
      <c r="AC26">
        <f>'Cost Components'!$H$47</f>
        <v>399386215.80106711</v>
      </c>
      <c r="AD26">
        <f>'Cost Components'!$H$47</f>
        <v>399386215.80106711</v>
      </c>
      <c r="AE26">
        <f>'Cost Components'!$H$47</f>
        <v>399386215.80106711</v>
      </c>
      <c r="AF26">
        <f>'Cost Components'!$H$47</f>
        <v>399386215.80106711</v>
      </c>
    </row>
    <row r="27" spans="1:32">
      <c r="A27" t="s">
        <v>112</v>
      </c>
      <c r="B27">
        <f>B25/((1+'Study Parameters'!$C$4)^'MFSP Baseline'!B24)</f>
        <v>0</v>
      </c>
      <c r="C27">
        <f>C25/((1+'Cost Components'!$H$46)^'MFSP Baseline'!C24) + C26</f>
        <v>4277939709.2315445</v>
      </c>
      <c r="D27">
        <f>D25/((1+'Cost Components'!$H$46)^'MFSP Baseline'!D24) + D26</f>
        <v>4024202564.8015127</v>
      </c>
      <c r="E27">
        <f>E25/((1+'Cost Components'!$H$46)^'MFSP Baseline'!E24) + E26</f>
        <v>3787065046.6426048</v>
      </c>
      <c r="F27">
        <f>F25/((1+'Cost Components'!$H$46)^'MFSP Baseline'!F24) + F26</f>
        <v>3565441197.8959627</v>
      </c>
      <c r="G27">
        <f>G25/((1+'Cost Components'!$H$46)^'MFSP Baseline'!G24) + G26</f>
        <v>3358316105.6093807</v>
      </c>
      <c r="H27">
        <f>H25/((1+'Cost Components'!$H$46)^'MFSP Baseline'!H24) + H26</f>
        <v>3164741253.0050983</v>
      </c>
      <c r="I27">
        <f>I25/((1+'Cost Components'!$H$46)^'MFSP Baseline'!I24) + I26</f>
        <v>2983830175.8048344</v>
      </c>
      <c r="J27">
        <f>J25/((1+'Cost Components'!$H$46)^'MFSP Baseline'!J24) + J26</f>
        <v>2814754402.7204762</v>
      </c>
      <c r="K27">
        <f>K25/((1+'Cost Components'!$H$46)^'MFSP Baseline'!K24) + K26</f>
        <v>2656739661.5201406</v>
      </c>
      <c r="L27">
        <f>L25/((1+'Cost Components'!$H$46)^'MFSP Baseline'!L24) + L26</f>
        <v>2509062333.2955284</v>
      </c>
      <c r="M27">
        <f>M25/((1+'Cost Components'!$H$46)^'MFSP Baseline'!M24) + M26</f>
        <v>2371046138.6930866</v>
      </c>
      <c r="N27">
        <f>N25/((1+'Cost Components'!$H$46)^'MFSP Baseline'!N24) + N26</f>
        <v>2242059040.9337959</v>
      </c>
      <c r="O27">
        <f>O25/((1+'Cost Components'!$H$46)^'MFSP Baseline'!O24) + O26</f>
        <v>2121510351.4391315</v>
      </c>
      <c r="P27">
        <f>P25/((1+'Cost Components'!$H$46)^'MFSP Baseline'!P24) + P26</f>
        <v>2008848024.808604</v>
      </c>
      <c r="Q27">
        <f>Q25/((1+'Cost Components'!$H$46)^'MFSP Baseline'!Q24) + Q26</f>
        <v>1903556130.7613819</v>
      </c>
      <c r="R27">
        <f>R25/((1+'Cost Components'!$H$46)^'MFSP Baseline'!R24) + R26</f>
        <v>1805152491.4649127</v>
      </c>
      <c r="S27">
        <f>S25/((1+'Cost Components'!$H$46)^'MFSP Baseline'!S24) + S26</f>
        <v>1713186473.4308293</v>
      </c>
      <c r="T27">
        <f>T25/((1+'Cost Components'!$H$46)^'MFSP Baseline'!T24) + T26</f>
        <v>1627236923.8662655</v>
      </c>
      <c r="U27">
        <f>U25/((1+'Cost Components'!$H$46)^'MFSP Baseline'!U24) + U26</f>
        <v>1546910242.0302243</v>
      </c>
      <c r="V27">
        <f>V25/((1+'Cost Components'!$H$46)^'MFSP Baseline'!V24) + V26</f>
        <v>1471838576.7628965</v>
      </c>
      <c r="W27">
        <f>W25/((1+'Cost Components'!$H$46)^'MFSP Baseline'!W24) + W26</f>
        <v>1401678141.9336178</v>
      </c>
      <c r="X27">
        <f>X25/((1+'Cost Components'!$H$46)^'MFSP Baseline'!X24) + X26</f>
        <v>1336107642.0931706</v>
      </c>
      <c r="Y27">
        <f>Y25/((1+'Cost Components'!$H$46)^'MFSP Baseline'!Y24) + Y26</f>
        <v>1274826801.12079</v>
      </c>
      <c r="Z27">
        <f>Z25/((1+'Cost Components'!$H$46)^'MFSP Baseline'!Z24) + Z26</f>
        <v>1217554987.1279109</v>
      </c>
      <c r="AA27">
        <f>AA25/((1+'Cost Components'!$H$46)^'MFSP Baseline'!AA24) + AA26</f>
        <v>1164029927.3214817</v>
      </c>
      <c r="AB27">
        <f>AB25/((1+'Cost Components'!$H$46)^'MFSP Baseline'!AB24) + AB26</f>
        <v>1114006506.9416418</v>
      </c>
      <c r="AC27">
        <f>AC25/((1+'Cost Components'!$H$46)^'MFSP Baseline'!AC24) + AC26</f>
        <v>1067255646.7735665</v>
      </c>
      <c r="AD27">
        <f>AD25/((1+'Cost Components'!$H$46)^'MFSP Baseline'!AD24) + AD26</f>
        <v>1023563254.0931227</v>
      </c>
      <c r="AE27">
        <f>AE25/((1+'Cost Components'!$H$46)^'MFSP Baseline'!AE24) + AE26</f>
        <v>982729242.24224067</v>
      </c>
      <c r="AF27">
        <f>AF25/((1+'Cost Components'!$H$46)^'MFSP Baseline'!AF24) + AF26</f>
        <v>944566614.34421992</v>
      </c>
    </row>
    <row r="28" spans="1:32">
      <c r="A28" t="s">
        <v>147</v>
      </c>
      <c r="B28">
        <v>0</v>
      </c>
      <c r="C28">
        <f>'Study Parameters'!$C$19</f>
        <v>800000000</v>
      </c>
      <c r="D28">
        <f>'Study Parameters'!$C$19</f>
        <v>800000000</v>
      </c>
      <c r="E28">
        <f>'Study Parameters'!$C$19</f>
        <v>800000000</v>
      </c>
      <c r="F28">
        <f>'Study Parameters'!$C$19</f>
        <v>800000000</v>
      </c>
      <c r="G28">
        <f>'Study Parameters'!$C$19</f>
        <v>800000000</v>
      </c>
      <c r="H28">
        <f>'Study Parameters'!$C$19</f>
        <v>800000000</v>
      </c>
      <c r="I28">
        <f>'Study Parameters'!$C$19</f>
        <v>800000000</v>
      </c>
      <c r="J28">
        <f>'Study Parameters'!$C$19</f>
        <v>800000000</v>
      </c>
      <c r="K28">
        <f>'Study Parameters'!$C$19</f>
        <v>800000000</v>
      </c>
      <c r="L28">
        <f>'Study Parameters'!$C$19</f>
        <v>800000000</v>
      </c>
      <c r="M28">
        <f>'Study Parameters'!$C$19</f>
        <v>800000000</v>
      </c>
      <c r="N28">
        <f>'Study Parameters'!$C$19</f>
        <v>800000000</v>
      </c>
      <c r="O28">
        <f>'Study Parameters'!$C$19</f>
        <v>800000000</v>
      </c>
      <c r="P28">
        <f>'Study Parameters'!$C$19</f>
        <v>800000000</v>
      </c>
      <c r="Q28">
        <f>'Study Parameters'!$C$19</f>
        <v>800000000</v>
      </c>
      <c r="R28">
        <f>'Study Parameters'!$C$19</f>
        <v>800000000</v>
      </c>
      <c r="S28">
        <f>'Study Parameters'!$C$19</f>
        <v>800000000</v>
      </c>
      <c r="T28">
        <f>'Study Parameters'!$C$19</f>
        <v>800000000</v>
      </c>
      <c r="U28">
        <f>'Study Parameters'!$C$19</f>
        <v>800000000</v>
      </c>
      <c r="V28">
        <f>'Study Parameters'!$C$19</f>
        <v>800000000</v>
      </c>
      <c r="W28">
        <f>'Study Parameters'!$C$19</f>
        <v>800000000</v>
      </c>
      <c r="X28">
        <f>'Study Parameters'!$C$19</f>
        <v>800000000</v>
      </c>
      <c r="Y28">
        <f>'Study Parameters'!$C$19</f>
        <v>800000000</v>
      </c>
      <c r="Z28">
        <f>'Study Parameters'!$C$19</f>
        <v>800000000</v>
      </c>
      <c r="AA28">
        <f>'Study Parameters'!$C$19</f>
        <v>800000000</v>
      </c>
      <c r="AB28">
        <f>'Study Parameters'!$C$19</f>
        <v>800000000</v>
      </c>
      <c r="AC28">
        <f>'Study Parameters'!$C$19</f>
        <v>800000000</v>
      </c>
      <c r="AD28">
        <f>'Study Parameters'!$C$19</f>
        <v>800000000</v>
      </c>
      <c r="AE28">
        <f>'Study Parameters'!$C$19</f>
        <v>800000000</v>
      </c>
      <c r="AF28">
        <f>'Study Parameters'!$C$19</f>
        <v>800000000</v>
      </c>
    </row>
    <row r="29" spans="1:32">
      <c r="A29" t="s">
        <v>148</v>
      </c>
      <c r="B29">
        <f>B28/((1+'Study Parameters'!$C$4)^'MFSP Baseline'!B24)</f>
        <v>0</v>
      </c>
      <c r="C29">
        <f>C28/((1+'Cost Components'!$H$46)^'MFSP Baseline'!C24)</f>
        <v>747663551.40186906</v>
      </c>
      <c r="D29">
        <f>D28/((1+'Cost Components'!$H$46)^'MFSP Baseline'!D24)</f>
        <v>698750982.61856925</v>
      </c>
      <c r="E29">
        <f>E28/((1+'Cost Components'!$H$46)^'MFSP Baseline'!E24)</f>
        <v>653038301.51268148</v>
      </c>
      <c r="F29">
        <f>F28/((1+'Cost Components'!$H$46)^'MFSP Baseline'!F24)</f>
        <v>610316169.63802016</v>
      </c>
      <c r="G29">
        <f>G28/((1+'Cost Components'!$H$46)^'MFSP Baseline'!G24)</f>
        <v>570388943.58693469</v>
      </c>
      <c r="H29">
        <f>H28/((1+'Cost Components'!$H$46)^'MFSP Baseline'!H24)</f>
        <v>533073779.05321002</v>
      </c>
      <c r="I29">
        <f>I28/((1+'Cost Components'!$H$46)^'MFSP Baseline'!I24)</f>
        <v>498199793.50767291</v>
      </c>
      <c r="J29">
        <f>J28/((1+'Cost Components'!$H$46)^'MFSP Baseline'!J24)</f>
        <v>465607283.65203077</v>
      </c>
      <c r="K29">
        <f>K28/((1+'Cost Components'!$H$46)^'MFSP Baseline'!K24)</f>
        <v>435146994.06731838</v>
      </c>
      <c r="L29">
        <f>L28/((1+'Cost Components'!$H$46)^'MFSP Baseline'!L24)</f>
        <v>406679433.70777422</v>
      </c>
      <c r="M29">
        <f>M28/((1+'Cost Components'!$H$46)^'MFSP Baseline'!M24)</f>
        <v>380074237.11006933</v>
      </c>
      <c r="N29">
        <f>N28/((1+'Cost Components'!$H$46)^'MFSP Baseline'!N24)</f>
        <v>355209567.39258826</v>
      </c>
      <c r="O29">
        <f>O28/((1+'Cost Components'!$H$46)^'MFSP Baseline'!O24)</f>
        <v>331971558.31083012</v>
      </c>
      <c r="P29">
        <f>P28/((1+'Cost Components'!$H$46)^'MFSP Baseline'!P24)</f>
        <v>310253792.81385994</v>
      </c>
      <c r="Q29">
        <f>Q28/((1+'Cost Components'!$H$46)^'MFSP Baseline'!Q24)</f>
        <v>289956815.71388775</v>
      </c>
      <c r="R29">
        <f>R28/((1+'Cost Components'!$H$46)^'MFSP Baseline'!R24)</f>
        <v>270987678.23727828</v>
      </c>
      <c r="S29">
        <f>S28/((1+'Cost Components'!$H$46)^'MFSP Baseline'!S24)</f>
        <v>253259512.37128812</v>
      </c>
      <c r="T29">
        <f>T28/((1+'Cost Components'!$H$46)^'MFSP Baseline'!T24)</f>
        <v>236691133.0572786</v>
      </c>
      <c r="U29">
        <f>U28/((1+'Cost Components'!$H$46)^'MFSP Baseline'!U24)</f>
        <v>221206666.40867159</v>
      </c>
      <c r="V29">
        <f>V28/((1+'Cost Components'!$H$46)^'MFSP Baseline'!V24)</f>
        <v>206735202.25109497</v>
      </c>
      <c r="W29">
        <f>W28/((1+'Cost Components'!$H$46)^'MFSP Baseline'!W24)</f>
        <v>193210469.39354667</v>
      </c>
      <c r="X29">
        <f>X28/((1+'Cost Components'!$H$46)^'MFSP Baseline'!X24)</f>
        <v>180570532.14350158</v>
      </c>
      <c r="Y29">
        <f>Y28/((1+'Cost Components'!$H$46)^'MFSP Baseline'!Y24)</f>
        <v>168757506.67616969</v>
      </c>
      <c r="Z29">
        <f>Z28/((1+'Cost Components'!$H$46)^'MFSP Baseline'!Z24)</f>
        <v>157717295.9590371</v>
      </c>
      <c r="AA29">
        <f>AA28/((1+'Cost Components'!$H$46)^'MFSP Baseline'!AA24)</f>
        <v>147399342.01779166</v>
      </c>
      <c r="AB29">
        <f>AB28/((1+'Cost Components'!$H$46)^'MFSP Baseline'!AB24)</f>
        <v>137756394.40915111</v>
      </c>
      <c r="AC29">
        <f>AC28/((1+'Cost Components'!$H$46)^'MFSP Baseline'!AC24)</f>
        <v>128744293.8403281</v>
      </c>
      <c r="AD29">
        <f>AD28/((1+'Cost Components'!$H$46)^'MFSP Baseline'!AD24)</f>
        <v>120321769.9442319</v>
      </c>
      <c r="AE29">
        <f>AE28/((1+'Cost Components'!$H$46)^'MFSP Baseline'!AE24)</f>
        <v>112450252.28432886</v>
      </c>
      <c r="AF29">
        <f>AF28/((1+'Cost Components'!$H$46)^'MFSP Baseline'!AF24)</f>
        <v>105093693.72367184</v>
      </c>
    </row>
    <row r="31" spans="1:32">
      <c r="A31" t="s">
        <v>149</v>
      </c>
      <c r="B31">
        <f>SUM(B27:AF27) / SUM(B29:AF29)</f>
        <v>6.3945065003377843</v>
      </c>
    </row>
    <row r="33" spans="1:32">
      <c r="A33" t="s">
        <v>152</v>
      </c>
    </row>
    <row r="35" spans="1:32">
      <c r="A35" t="s">
        <v>1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</row>
    <row r="36" spans="1:32">
      <c r="A36" t="s">
        <v>111</v>
      </c>
      <c r="B36">
        <v>0</v>
      </c>
      <c r="C36">
        <f>'Cost Components'!$H$54*10^6</f>
        <v>1349798210.6372774</v>
      </c>
      <c r="D36">
        <f>'Cost Components'!$H$54*10^6</f>
        <v>1349798210.6372774</v>
      </c>
      <c r="E36">
        <f>'Cost Components'!$H$54*10^6</f>
        <v>1349798210.6372774</v>
      </c>
      <c r="F36">
        <f>'Cost Components'!$H$54*10^6</f>
        <v>1349798210.6372774</v>
      </c>
      <c r="G36">
        <f>'Cost Components'!$H$54*10^6</f>
        <v>1349798210.6372774</v>
      </c>
      <c r="H36">
        <f>'Cost Components'!$H$54*10^6</f>
        <v>1349798210.6372774</v>
      </c>
      <c r="I36">
        <f>'Cost Components'!$H$54*10^6</f>
        <v>1349798210.6372774</v>
      </c>
      <c r="J36">
        <f>'Cost Components'!$H$54*10^6</f>
        <v>1349798210.6372774</v>
      </c>
      <c r="K36">
        <f>'Cost Components'!$H$54*10^6</f>
        <v>1349798210.6372774</v>
      </c>
      <c r="L36">
        <f>'Cost Components'!$H$54*10^6</f>
        <v>1349798210.6372774</v>
      </c>
      <c r="M36">
        <f>'Cost Components'!$H$54*10^6</f>
        <v>1349798210.6372774</v>
      </c>
      <c r="N36">
        <f>'Cost Components'!$H$54*10^6</f>
        <v>1349798210.6372774</v>
      </c>
      <c r="O36">
        <f>'Cost Components'!$H$54*10^6</f>
        <v>1349798210.6372774</v>
      </c>
      <c r="P36">
        <f>'Cost Components'!$H$54*10^6</f>
        <v>1349798210.6372774</v>
      </c>
      <c r="Q36">
        <f>'Cost Components'!$H$54*10^6</f>
        <v>1349798210.6372774</v>
      </c>
      <c r="R36">
        <f>'Cost Components'!$H$54*10^6</f>
        <v>1349798210.6372774</v>
      </c>
      <c r="S36">
        <f>'Cost Components'!$H$54*10^6</f>
        <v>1349798210.6372774</v>
      </c>
      <c r="T36">
        <f>'Cost Components'!$H$54*10^6</f>
        <v>1349798210.6372774</v>
      </c>
      <c r="U36">
        <f>'Cost Components'!$H$54*10^6</f>
        <v>1349798210.6372774</v>
      </c>
      <c r="V36">
        <f>'Cost Components'!$H$54*10^6</f>
        <v>1349798210.6372774</v>
      </c>
      <c r="W36">
        <f>'Cost Components'!$H$54*10^6</f>
        <v>1349798210.6372774</v>
      </c>
      <c r="X36">
        <f>'Cost Components'!$H$54*10^6</f>
        <v>1349798210.6372774</v>
      </c>
      <c r="Y36">
        <f>'Cost Components'!$H$54*10^6</f>
        <v>1349798210.6372774</v>
      </c>
      <c r="Z36">
        <f>'Cost Components'!$H$54*10^6</f>
        <v>1349798210.6372774</v>
      </c>
      <c r="AA36">
        <f>'Cost Components'!$H$54*10^6</f>
        <v>1349798210.6372774</v>
      </c>
      <c r="AB36">
        <f>'Cost Components'!$H$54*10^6</f>
        <v>1349798210.6372774</v>
      </c>
      <c r="AC36">
        <f>'Cost Components'!$H$54*10^6</f>
        <v>1349798210.6372774</v>
      </c>
      <c r="AD36">
        <f>'Cost Components'!$H$54*10^6</f>
        <v>1349798210.6372774</v>
      </c>
      <c r="AE36">
        <f>'Cost Components'!$H$54*10^6</f>
        <v>1349798210.6372774</v>
      </c>
      <c r="AF36">
        <f>'Cost Components'!$H$54*10^6</f>
        <v>1349798210.6372774</v>
      </c>
    </row>
    <row r="37" spans="1:32">
      <c r="A37" t="s">
        <v>146</v>
      </c>
      <c r="B37">
        <v>0</v>
      </c>
      <c r="C37">
        <f>'Cost Components'!$H$56</f>
        <v>303810741.23688918</v>
      </c>
      <c r="D37">
        <f>'Cost Components'!$H$56</f>
        <v>303810741.23688918</v>
      </c>
      <c r="E37">
        <f>'Cost Components'!$H$56</f>
        <v>303810741.23688918</v>
      </c>
      <c r="F37">
        <f>'Cost Components'!$H$56</f>
        <v>303810741.23688918</v>
      </c>
      <c r="G37">
        <f>'Cost Components'!$H$56</f>
        <v>303810741.23688918</v>
      </c>
      <c r="H37">
        <f>'Cost Components'!$H$56</f>
        <v>303810741.23688918</v>
      </c>
      <c r="I37">
        <f>'Cost Components'!$H$56</f>
        <v>303810741.23688918</v>
      </c>
      <c r="J37">
        <f>'Cost Components'!$H$56</f>
        <v>303810741.23688918</v>
      </c>
      <c r="K37">
        <f>'Cost Components'!$H$56</f>
        <v>303810741.23688918</v>
      </c>
      <c r="L37">
        <f>'Cost Components'!$H$56</f>
        <v>303810741.23688918</v>
      </c>
      <c r="M37">
        <f>'Cost Components'!$H$56</f>
        <v>303810741.23688918</v>
      </c>
      <c r="N37">
        <f>'Cost Components'!$H$56</f>
        <v>303810741.23688918</v>
      </c>
      <c r="O37">
        <f>'Cost Components'!$H$56</f>
        <v>303810741.23688918</v>
      </c>
      <c r="P37">
        <f>'Cost Components'!$H$56</f>
        <v>303810741.23688918</v>
      </c>
      <c r="Q37">
        <f>'Cost Components'!$H$56</f>
        <v>303810741.23688918</v>
      </c>
      <c r="R37">
        <f>'Cost Components'!$H$56</f>
        <v>303810741.23688918</v>
      </c>
      <c r="S37">
        <f>'Cost Components'!$H$56</f>
        <v>303810741.23688918</v>
      </c>
      <c r="T37">
        <f>'Cost Components'!$H$56</f>
        <v>303810741.23688918</v>
      </c>
      <c r="U37">
        <f>'Cost Components'!$H$56</f>
        <v>303810741.23688918</v>
      </c>
      <c r="V37">
        <f>'Cost Components'!$H$56</f>
        <v>303810741.23688918</v>
      </c>
      <c r="W37">
        <f>'Cost Components'!$H$56</f>
        <v>303810741.23688918</v>
      </c>
      <c r="X37">
        <f>'Cost Components'!$H$56</f>
        <v>303810741.23688918</v>
      </c>
      <c r="Y37">
        <f>'Cost Components'!$H$56</f>
        <v>303810741.23688918</v>
      </c>
      <c r="Z37">
        <f>'Cost Components'!$H$56</f>
        <v>303810741.23688918</v>
      </c>
      <c r="AA37">
        <f>'Cost Components'!$H$56</f>
        <v>303810741.23688918</v>
      </c>
      <c r="AB37">
        <f>'Cost Components'!$H$56</f>
        <v>303810741.23688918</v>
      </c>
      <c r="AC37">
        <f>'Cost Components'!$H$56</f>
        <v>303810741.23688918</v>
      </c>
      <c r="AD37">
        <f>'Cost Components'!$H$56</f>
        <v>303810741.23688918</v>
      </c>
      <c r="AE37">
        <f>'Cost Components'!$H$56</f>
        <v>303810741.23688918</v>
      </c>
      <c r="AF37">
        <f>'Cost Components'!$H$56</f>
        <v>303810741.23688918</v>
      </c>
    </row>
    <row r="38" spans="1:32">
      <c r="A38" t="s">
        <v>112</v>
      </c>
      <c r="B38">
        <f>B36/((1+'Study Parameters'!$C$4)^'MFSP Baseline'!B35)</f>
        <v>0</v>
      </c>
      <c r="C38">
        <f>C36/((1+'Cost Components'!$H$55)^'MFSP Baseline'!C35) + C37</f>
        <v>1565304396.0380828</v>
      </c>
      <c r="D38">
        <f>D36/((1+'Cost Components'!$H$55)^'MFSP Baseline'!D35) + D37</f>
        <v>1482776773.7613692</v>
      </c>
      <c r="E38">
        <f>E36/((1+'Cost Components'!$H$55)^'MFSP Baseline'!E35) + E37</f>
        <v>1405648154.8111696</v>
      </c>
      <c r="F38">
        <f>F36/((1+'Cost Components'!$H$55)^'MFSP Baseline'!F35) + F37</f>
        <v>1333565333.362385</v>
      </c>
      <c r="G38">
        <f>G36/((1+'Cost Components'!$H$55)^'MFSP Baseline'!G35) + G37</f>
        <v>1266198210.5130534</v>
      </c>
      <c r="H38">
        <f>H36/((1+'Cost Components'!$H$55)^'MFSP Baseline'!H35) + H37</f>
        <v>1203238282.616482</v>
      </c>
      <c r="I38">
        <f>I36/((1+'Cost Components'!$H$55)^'MFSP Baseline'!I35) + I37</f>
        <v>1144397228.5075366</v>
      </c>
      <c r="J38">
        <f>J36/((1+'Cost Components'!$H$55)^'MFSP Baseline'!J35) + J37</f>
        <v>1089405589.1533821</v>
      </c>
      <c r="K38">
        <f>K36/((1+'Cost Components'!$H$55)^'MFSP Baseline'!K35) + K37</f>
        <v>1038011533.6822095</v>
      </c>
      <c r="L38">
        <f>L36/((1+'Cost Components'!$H$55)^'MFSP Baseline'!L35) + L37</f>
        <v>989979706.13905787</v>
      </c>
      <c r="M38">
        <f>M36/((1+'Cost Components'!$H$55)^'MFSP Baseline'!M35) + M37</f>
        <v>945090147.68751407</v>
      </c>
      <c r="N38">
        <f>N36/((1+'Cost Components'!$H$55)^'MFSP Baseline'!N35) + N37</f>
        <v>903137289.32158542</v>
      </c>
      <c r="O38">
        <f>O36/((1+'Cost Components'!$H$55)^'MFSP Baseline'!O35) + O37</f>
        <v>863929010.4749229</v>
      </c>
      <c r="P38">
        <f>P36/((1+'Cost Components'!$H$55)^'MFSP Baseline'!P35) + P37</f>
        <v>827285759.21636009</v>
      </c>
      <c r="Q38">
        <f>Q36/((1+'Cost Components'!$H$55)^'MFSP Baseline'!Q35) + Q37</f>
        <v>793039730.00274968</v>
      </c>
      <c r="R38">
        <f>R36/((1+'Cost Components'!$H$55)^'MFSP Baseline'!R35) + R37</f>
        <v>761034095.22367477</v>
      </c>
      <c r="S38">
        <f>S36/((1+'Cost Components'!$H$55)^'MFSP Baseline'!S35) + S37</f>
        <v>731122287.01893187</v>
      </c>
      <c r="T38">
        <f>T36/((1+'Cost Components'!$H$55)^'MFSP Baseline'!T35) + T37</f>
        <v>703167326.0799197</v>
      </c>
      <c r="U38">
        <f>U36/((1+'Cost Components'!$H$55)^'MFSP Baseline'!U35) + U37</f>
        <v>677041194.36121678</v>
      </c>
      <c r="V38">
        <f>V36/((1+'Cost Components'!$H$55)^'MFSP Baseline'!V35) + V37</f>
        <v>652624248.82971871</v>
      </c>
      <c r="W38">
        <f>W36/((1+'Cost Components'!$H$55)^'MFSP Baseline'!W35) + W37</f>
        <v>629804673.56663632</v>
      </c>
      <c r="X38">
        <f>X36/((1+'Cost Components'!$H$55)^'MFSP Baseline'!X35) + X37</f>
        <v>608477967.71328843</v>
      </c>
      <c r="Y38">
        <f>Y36/((1+'Cost Components'!$H$55)^'MFSP Baseline'!Y35) + Y37</f>
        <v>588546466.91576695</v>
      </c>
      <c r="Z38">
        <f>Z36/((1+'Cost Components'!$H$55)^'MFSP Baseline'!Z35) + Z37</f>
        <v>569918896.07696187</v>
      </c>
      <c r="AA38">
        <f>AA36/((1+'Cost Components'!$H$55)^'MFSP Baseline'!AA35) + AA37</f>
        <v>552509951.36779821</v>
      </c>
      <c r="AB38">
        <f>AB36/((1+'Cost Components'!$H$55)^'MFSP Baseline'!AB35) + AB37</f>
        <v>536239909.58353317</v>
      </c>
      <c r="AC38">
        <f>AC36/((1+'Cost Components'!$H$55)^'MFSP Baseline'!AC35) + AC37</f>
        <v>521034263.05618262</v>
      </c>
      <c r="AD38">
        <f>AD36/((1+'Cost Components'!$H$55)^'MFSP Baseline'!AD35) + AD37</f>
        <v>506823378.45118213</v>
      </c>
      <c r="AE38">
        <f>AE36/((1+'Cost Components'!$H$55)^'MFSP Baseline'!AE35) + AE37</f>
        <v>493542177.88576108</v>
      </c>
      <c r="AF38">
        <f>AF36/((1+'Cost Components'!$H$55)^'MFSP Baseline'!AF35) + AF37</f>
        <v>481129840.90873206</v>
      </c>
    </row>
    <row r="39" spans="1:32">
      <c r="A39" t="s">
        <v>147</v>
      </c>
      <c r="B39">
        <v>0</v>
      </c>
      <c r="C39">
        <f>'Study Parameters'!$C$19</f>
        <v>800000000</v>
      </c>
      <c r="D39">
        <f>'Study Parameters'!$C$19</f>
        <v>800000000</v>
      </c>
      <c r="E39">
        <f>'Study Parameters'!$C$19</f>
        <v>800000000</v>
      </c>
      <c r="F39">
        <f>'Study Parameters'!$C$19</f>
        <v>800000000</v>
      </c>
      <c r="G39">
        <f>'Study Parameters'!$C$19</f>
        <v>800000000</v>
      </c>
      <c r="H39">
        <f>'Study Parameters'!$C$19</f>
        <v>800000000</v>
      </c>
      <c r="I39">
        <f>'Study Parameters'!$C$19</f>
        <v>800000000</v>
      </c>
      <c r="J39">
        <f>'Study Parameters'!$C$19</f>
        <v>800000000</v>
      </c>
      <c r="K39">
        <f>'Study Parameters'!$C$19</f>
        <v>800000000</v>
      </c>
      <c r="L39">
        <f>'Study Parameters'!$C$19</f>
        <v>800000000</v>
      </c>
      <c r="M39">
        <f>'Study Parameters'!$C$19</f>
        <v>800000000</v>
      </c>
      <c r="N39">
        <f>'Study Parameters'!$C$19</f>
        <v>800000000</v>
      </c>
      <c r="O39">
        <f>'Study Parameters'!$C$19</f>
        <v>800000000</v>
      </c>
      <c r="P39">
        <f>'Study Parameters'!$C$19</f>
        <v>800000000</v>
      </c>
      <c r="Q39">
        <f>'Study Parameters'!$C$19</f>
        <v>800000000</v>
      </c>
      <c r="R39">
        <f>'Study Parameters'!$C$19</f>
        <v>800000000</v>
      </c>
      <c r="S39">
        <f>'Study Parameters'!$C$19</f>
        <v>800000000</v>
      </c>
      <c r="T39">
        <f>'Study Parameters'!$C$19</f>
        <v>800000000</v>
      </c>
      <c r="U39">
        <f>'Study Parameters'!$C$19</f>
        <v>800000000</v>
      </c>
      <c r="V39">
        <f>'Study Parameters'!$C$19</f>
        <v>800000000</v>
      </c>
      <c r="W39">
        <f>'Study Parameters'!$C$19</f>
        <v>800000000</v>
      </c>
      <c r="X39">
        <f>'Study Parameters'!$C$19</f>
        <v>800000000</v>
      </c>
      <c r="Y39">
        <f>'Study Parameters'!$C$19</f>
        <v>800000000</v>
      </c>
      <c r="Z39">
        <f>'Study Parameters'!$C$19</f>
        <v>800000000</v>
      </c>
      <c r="AA39">
        <f>'Study Parameters'!$C$19</f>
        <v>800000000</v>
      </c>
      <c r="AB39">
        <f>'Study Parameters'!$C$19</f>
        <v>800000000</v>
      </c>
      <c r="AC39">
        <f>'Study Parameters'!$C$19</f>
        <v>800000000</v>
      </c>
      <c r="AD39">
        <f>'Study Parameters'!$C$19</f>
        <v>800000000</v>
      </c>
      <c r="AE39">
        <f>'Study Parameters'!$C$19</f>
        <v>800000000</v>
      </c>
      <c r="AF39">
        <f>'Study Parameters'!$C$19</f>
        <v>800000000</v>
      </c>
    </row>
    <row r="40" spans="1:32">
      <c r="A40" t="s">
        <v>148</v>
      </c>
      <c r="B40">
        <f>B39/((1+'Study Parameters'!$C$4)^'MFSP Baseline'!B35)</f>
        <v>0</v>
      </c>
      <c r="C40">
        <f>C39/((1+'Cost Components'!$H$55)^'MFSP Baseline'!C35)</f>
        <v>747663551.40186906</v>
      </c>
      <c r="D40">
        <f>D39/((1+'Cost Components'!$H$55)^'MFSP Baseline'!D35)</f>
        <v>698750982.61856925</v>
      </c>
      <c r="E40">
        <f>E39/((1+'Cost Components'!$H$55)^'MFSP Baseline'!E35)</f>
        <v>653038301.51268148</v>
      </c>
      <c r="F40">
        <f>F39/((1+'Cost Components'!$H$55)^'MFSP Baseline'!F35)</f>
        <v>610316169.63802016</v>
      </c>
      <c r="G40">
        <f>G39/((1+'Cost Components'!$H$55)^'MFSP Baseline'!G35)</f>
        <v>570388943.58693469</v>
      </c>
      <c r="H40">
        <f>H39/((1+'Cost Components'!$H$55)^'MFSP Baseline'!H35)</f>
        <v>533073779.05321002</v>
      </c>
      <c r="I40">
        <f>I39/((1+'Cost Components'!$H$55)^'MFSP Baseline'!I35)</f>
        <v>498199793.50767291</v>
      </c>
      <c r="J40">
        <f>J39/((1+'Cost Components'!$H$55)^'MFSP Baseline'!J35)</f>
        <v>465607283.65203077</v>
      </c>
      <c r="K40">
        <f>K39/((1+'Cost Components'!$H$55)^'MFSP Baseline'!K35)</f>
        <v>435146994.06731838</v>
      </c>
      <c r="L40">
        <f>L39/((1+'Cost Components'!$H$55)^'MFSP Baseline'!L35)</f>
        <v>406679433.70777422</v>
      </c>
      <c r="M40">
        <f>M39/((1+'Cost Components'!$H$55)^'MFSP Baseline'!M35)</f>
        <v>380074237.11006933</v>
      </c>
      <c r="N40">
        <f>N39/((1+'Cost Components'!$H$55)^'MFSP Baseline'!N35)</f>
        <v>355209567.39258826</v>
      </c>
      <c r="O40">
        <f>O39/((1+'Cost Components'!$H$55)^'MFSP Baseline'!O35)</f>
        <v>331971558.31083012</v>
      </c>
      <c r="P40">
        <f>P39/((1+'Cost Components'!$H$55)^'MFSP Baseline'!P35)</f>
        <v>310253792.81385994</v>
      </c>
      <c r="Q40">
        <f>Q39/((1+'Cost Components'!$H$55)^'MFSP Baseline'!Q35)</f>
        <v>289956815.71388775</v>
      </c>
      <c r="R40">
        <f>R39/((1+'Cost Components'!$H$55)^'MFSP Baseline'!R35)</f>
        <v>270987678.23727828</v>
      </c>
      <c r="S40">
        <f>S39/((1+'Cost Components'!$H$55)^'MFSP Baseline'!S35)</f>
        <v>253259512.37128812</v>
      </c>
      <c r="T40">
        <f>T39/((1+'Cost Components'!$H$55)^'MFSP Baseline'!T35)</f>
        <v>236691133.0572786</v>
      </c>
      <c r="U40">
        <f>U39/((1+'Cost Components'!$H$55)^'MFSP Baseline'!U35)</f>
        <v>221206666.40867159</v>
      </c>
      <c r="V40">
        <f>V39/((1+'Cost Components'!$H$55)^'MFSP Baseline'!V35)</f>
        <v>206735202.25109497</v>
      </c>
      <c r="W40">
        <f>W39/((1+'Cost Components'!$H$55)^'MFSP Baseline'!W35)</f>
        <v>193210469.39354667</v>
      </c>
      <c r="X40">
        <f>X39/((1+'Cost Components'!$H$55)^'MFSP Baseline'!X35)</f>
        <v>180570532.14350158</v>
      </c>
      <c r="Y40">
        <f>Y39/((1+'Cost Components'!$H$55)^'MFSP Baseline'!Y35)</f>
        <v>168757506.67616969</v>
      </c>
      <c r="Z40">
        <f>Z39/((1+'Cost Components'!$H$55)^'MFSP Baseline'!Z35)</f>
        <v>157717295.9590371</v>
      </c>
      <c r="AA40">
        <f>AA39/((1+'Cost Components'!$H$55)^'MFSP Baseline'!AA35)</f>
        <v>147399342.01779166</v>
      </c>
      <c r="AB40">
        <f>AB39/((1+'Cost Components'!$H$55)^'MFSP Baseline'!AB35)</f>
        <v>137756394.40915111</v>
      </c>
      <c r="AC40">
        <f>AC39/((1+'Cost Components'!$H$55)^'MFSP Baseline'!AC35)</f>
        <v>128744293.8403281</v>
      </c>
      <c r="AD40">
        <f>AD39/((1+'Cost Components'!$H$55)^'MFSP Baseline'!AD35)</f>
        <v>120321769.9442319</v>
      </c>
      <c r="AE40">
        <f>AE39/((1+'Cost Components'!$H$55)^'MFSP Baseline'!AE35)</f>
        <v>112450252.28432886</v>
      </c>
      <c r="AF40">
        <f>AF39/((1+'Cost Components'!$H$55)^'MFSP Baseline'!AF35)</f>
        <v>105093693.72367184</v>
      </c>
    </row>
    <row r="42" spans="1:32">
      <c r="A42" t="s">
        <v>149</v>
      </c>
      <c r="B42">
        <f>SUM(B38:AF38) / SUM(B40:AF40)</f>
        <v>2.6053608252088116</v>
      </c>
    </row>
    <row r="44" spans="1:32" s="24" customFormat="1"/>
    <row r="46" spans="1:32">
      <c r="A46" t="s">
        <v>154</v>
      </c>
    </row>
    <row r="48" spans="1:32">
      <c r="A48" t="s">
        <v>1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  <c r="J48">
        <v>8</v>
      </c>
      <c r="K48">
        <v>9</v>
      </c>
      <c r="L48">
        <v>10</v>
      </c>
      <c r="M48">
        <v>11</v>
      </c>
      <c r="N48">
        <v>12</v>
      </c>
      <c r="O48">
        <v>13</v>
      </c>
      <c r="P48">
        <v>14</v>
      </c>
      <c r="Q48">
        <v>15</v>
      </c>
      <c r="R48">
        <v>16</v>
      </c>
      <c r="S48">
        <v>17</v>
      </c>
      <c r="T48">
        <v>18</v>
      </c>
      <c r="U48">
        <v>19</v>
      </c>
      <c r="V48">
        <v>20</v>
      </c>
      <c r="W48">
        <v>21</v>
      </c>
      <c r="X48">
        <v>22</v>
      </c>
      <c r="Y48">
        <v>23</v>
      </c>
      <c r="Z48">
        <v>24</v>
      </c>
      <c r="AA48">
        <v>25</v>
      </c>
      <c r="AB48">
        <v>26</v>
      </c>
      <c r="AC48">
        <v>27</v>
      </c>
      <c r="AD48">
        <v>28</v>
      </c>
      <c r="AE48">
        <v>29</v>
      </c>
      <c r="AF48">
        <v>30</v>
      </c>
    </row>
    <row r="49" spans="1:32">
      <c r="A49" t="s">
        <v>111</v>
      </c>
      <c r="B49">
        <v>0</v>
      </c>
      <c r="C49">
        <f xml:space="preserve"> 'Cost Components'!$N$45 * 10^6</f>
        <v>4163862237.9706101</v>
      </c>
      <c r="D49">
        <f xml:space="preserve"> 'Cost Components'!$N$45 * 10^6</f>
        <v>4163862237.9706101</v>
      </c>
      <c r="E49">
        <f xml:space="preserve"> 'Cost Components'!$N$45 * 10^6</f>
        <v>4163862237.9706101</v>
      </c>
      <c r="F49">
        <f xml:space="preserve"> 'Cost Components'!$N$45 * 10^6</f>
        <v>4163862237.9706101</v>
      </c>
      <c r="G49">
        <f xml:space="preserve"> 'Cost Components'!$N$45 * 10^6</f>
        <v>4163862237.9706101</v>
      </c>
      <c r="H49">
        <f xml:space="preserve"> 'Cost Components'!$N$45 * 10^6</f>
        <v>4163862237.9706101</v>
      </c>
      <c r="I49">
        <f xml:space="preserve"> 'Cost Components'!$N$45 * 10^6</f>
        <v>4163862237.9706101</v>
      </c>
      <c r="J49">
        <f xml:space="preserve"> 'Cost Components'!$N$45 * 10^6</f>
        <v>4163862237.9706101</v>
      </c>
      <c r="K49">
        <f xml:space="preserve"> 'Cost Components'!$N$45 * 10^6</f>
        <v>4163862237.9706101</v>
      </c>
      <c r="L49">
        <f xml:space="preserve"> 'Cost Components'!$N$45 * 10^6</f>
        <v>4163862237.9706101</v>
      </c>
      <c r="M49">
        <f xml:space="preserve"> 'Cost Components'!$N$45 * 10^6</f>
        <v>4163862237.9706101</v>
      </c>
      <c r="N49">
        <f xml:space="preserve"> 'Cost Components'!$N$45 * 10^6</f>
        <v>4163862237.9706101</v>
      </c>
      <c r="O49">
        <f xml:space="preserve"> 'Cost Components'!$N$45 * 10^6</f>
        <v>4163862237.9706101</v>
      </c>
      <c r="P49">
        <f xml:space="preserve"> 'Cost Components'!$N$45 * 10^6</f>
        <v>4163862237.9706101</v>
      </c>
      <c r="Q49">
        <f xml:space="preserve"> 'Cost Components'!$N$45 * 10^6</f>
        <v>4163862237.9706101</v>
      </c>
      <c r="R49">
        <f xml:space="preserve"> 'Cost Components'!$N$45 * 10^6</f>
        <v>4163862237.9706101</v>
      </c>
      <c r="S49">
        <f xml:space="preserve"> 'Cost Components'!$N$45 * 10^6</f>
        <v>4163862237.9706101</v>
      </c>
      <c r="T49">
        <f xml:space="preserve"> 'Cost Components'!$N$45 * 10^6</f>
        <v>4163862237.9706101</v>
      </c>
      <c r="U49">
        <f xml:space="preserve"> 'Cost Components'!$N$45 * 10^6</f>
        <v>4163862237.9706101</v>
      </c>
      <c r="V49">
        <f xml:space="preserve"> 'Cost Components'!$N$45 * 10^6</f>
        <v>4163862237.9706101</v>
      </c>
      <c r="W49">
        <f xml:space="preserve"> 'Cost Components'!$N$45 * 10^6</f>
        <v>4163862237.9706101</v>
      </c>
      <c r="X49">
        <f xml:space="preserve"> 'Cost Components'!$N$45 * 10^6</f>
        <v>4163862237.9706101</v>
      </c>
      <c r="Y49">
        <f xml:space="preserve"> 'Cost Components'!$N$45 * 10^6</f>
        <v>4163862237.9706101</v>
      </c>
      <c r="Z49">
        <f xml:space="preserve"> 'Cost Components'!$N$45 * 10^6</f>
        <v>4163862237.9706101</v>
      </c>
      <c r="AA49">
        <f xml:space="preserve"> 'Cost Components'!$N$45 * 10^6</f>
        <v>4163862237.9706101</v>
      </c>
      <c r="AB49">
        <f xml:space="preserve"> 'Cost Components'!$N$45 * 10^6</f>
        <v>4163862237.9706101</v>
      </c>
      <c r="AC49">
        <f xml:space="preserve"> 'Cost Components'!$N$45 * 10^6</f>
        <v>4163862237.9706101</v>
      </c>
      <c r="AD49">
        <f xml:space="preserve"> 'Cost Components'!$N$45 * 10^6</f>
        <v>4163862237.9706101</v>
      </c>
      <c r="AE49">
        <f xml:space="preserve"> 'Cost Components'!$N$45 * 10^6</f>
        <v>4163862237.9706101</v>
      </c>
      <c r="AF49">
        <f xml:space="preserve"> 'Cost Components'!$N$45 * 10^6</f>
        <v>4163862237.9706101</v>
      </c>
    </row>
    <row r="50" spans="1:32">
      <c r="A50" t="s">
        <v>146</v>
      </c>
      <c r="B50">
        <v>0</v>
      </c>
      <c r="C50">
        <f>'Cost Components'!$N$47</f>
        <v>516075328.08515614</v>
      </c>
      <c r="D50">
        <f>'Cost Components'!$N$47</f>
        <v>516075328.08515614</v>
      </c>
      <c r="E50">
        <f>'Cost Components'!$N$47</f>
        <v>516075328.08515614</v>
      </c>
      <c r="F50">
        <f>'Cost Components'!$N$47</f>
        <v>516075328.08515614</v>
      </c>
      <c r="G50">
        <f>'Cost Components'!$N$47</f>
        <v>516075328.08515614</v>
      </c>
      <c r="H50">
        <f>'Cost Components'!$N$47</f>
        <v>516075328.08515614</v>
      </c>
      <c r="I50">
        <f>'Cost Components'!$N$47</f>
        <v>516075328.08515614</v>
      </c>
      <c r="J50">
        <f>'Cost Components'!$N$47</f>
        <v>516075328.08515614</v>
      </c>
      <c r="K50">
        <f>'Cost Components'!$N$47</f>
        <v>516075328.08515614</v>
      </c>
      <c r="L50">
        <f>'Cost Components'!$N$47</f>
        <v>516075328.08515614</v>
      </c>
      <c r="M50">
        <f>'Cost Components'!$N$47</f>
        <v>516075328.08515614</v>
      </c>
      <c r="N50">
        <f>'Cost Components'!$N$47</f>
        <v>516075328.08515614</v>
      </c>
      <c r="O50">
        <f>'Cost Components'!$N$47</f>
        <v>516075328.08515614</v>
      </c>
      <c r="P50">
        <f>'Cost Components'!$N$47</f>
        <v>516075328.08515614</v>
      </c>
      <c r="Q50">
        <f>'Cost Components'!$N$47</f>
        <v>516075328.08515614</v>
      </c>
      <c r="R50">
        <f>'Cost Components'!$N$47</f>
        <v>516075328.08515614</v>
      </c>
      <c r="S50">
        <f>'Cost Components'!$N$47</f>
        <v>516075328.08515614</v>
      </c>
      <c r="T50">
        <f>'Cost Components'!$N$47</f>
        <v>516075328.08515614</v>
      </c>
      <c r="U50">
        <f>'Cost Components'!$N$47</f>
        <v>516075328.08515614</v>
      </c>
      <c r="V50">
        <f>'Cost Components'!$N$47</f>
        <v>516075328.08515614</v>
      </c>
      <c r="W50">
        <f>'Cost Components'!$N$47</f>
        <v>516075328.08515614</v>
      </c>
      <c r="X50">
        <f>'Cost Components'!$N$47</f>
        <v>516075328.08515614</v>
      </c>
      <c r="Y50">
        <f>'Cost Components'!$N$47</f>
        <v>516075328.08515614</v>
      </c>
      <c r="Z50">
        <f>'Cost Components'!$N$47</f>
        <v>516075328.08515614</v>
      </c>
      <c r="AA50">
        <f>'Cost Components'!$N$47</f>
        <v>516075328.08515614</v>
      </c>
      <c r="AB50">
        <f>'Cost Components'!$N$47</f>
        <v>516075328.08515614</v>
      </c>
      <c r="AC50">
        <f>'Cost Components'!$N$47</f>
        <v>516075328.08515614</v>
      </c>
      <c r="AD50">
        <f>'Cost Components'!$N$47</f>
        <v>516075328.08515614</v>
      </c>
      <c r="AE50">
        <f>'Cost Components'!$N$47</f>
        <v>516075328.08515614</v>
      </c>
      <c r="AF50">
        <f>'Cost Components'!$N$47</f>
        <v>516075328.08515614</v>
      </c>
    </row>
    <row r="51" spans="1:32">
      <c r="A51" t="s">
        <v>112</v>
      </c>
      <c r="B51">
        <v>0</v>
      </c>
      <c r="C51">
        <f>C49/((1+'Cost Components'!$N$46)^'MFSP Baseline'!C48) + C50</f>
        <v>4407535363.5717077</v>
      </c>
      <c r="D51">
        <f>D49/((1+'Cost Components'!$N$46)^'MFSP Baseline'!D48) + D50</f>
        <v>4152953865.9230547</v>
      </c>
      <c r="E51">
        <f>E49/((1+'Cost Components'!$N$46)^'MFSP Baseline'!E48) + E50</f>
        <v>3915027232.6065564</v>
      </c>
      <c r="F51">
        <f>F49/((1+'Cost Components'!$N$46)^'MFSP Baseline'!F48) + F50</f>
        <v>3692665893.0584273</v>
      </c>
      <c r="G51">
        <f>G49/((1+'Cost Components'!$N$46)^'MFSP Baseline'!G48) + G50</f>
        <v>3484851557.0321383</v>
      </c>
      <c r="H51">
        <f>H49/((1+'Cost Components'!$N$46)^'MFSP Baseline'!H48) + H50</f>
        <v>3290632551.4000931</v>
      </c>
      <c r="I51">
        <f>I49/((1+'Cost Components'!$N$46)^'MFSP Baseline'!I48) + I50</f>
        <v>3109119462.0243492</v>
      </c>
      <c r="J51">
        <f>J49/((1+'Cost Components'!$N$46)^'MFSP Baseline'!J48) + J50</f>
        <v>2939481060.7386079</v>
      </c>
      <c r="K51">
        <f>K49/((1+'Cost Components'!$N$46)^'MFSP Baseline'!K48) + K50</f>
        <v>2780940498.7893162</v>
      </c>
      <c r="L51">
        <f>L49/((1+'Cost Components'!$N$46)^'MFSP Baseline'!L48) + L50</f>
        <v>2632771749.3039975</v>
      </c>
      <c r="M51">
        <f>M49/((1+'Cost Components'!$N$46)^'MFSP Baseline'!M48) + M50</f>
        <v>2494296282.4952879</v>
      </c>
      <c r="N51">
        <f>N49/((1+'Cost Components'!$N$46)^'MFSP Baseline'!N48) + N50</f>
        <v>2364879958.3749995</v>
      </c>
      <c r="O51">
        <f>O49/((1+'Cost Components'!$N$46)^'MFSP Baseline'!O48) + O50</f>
        <v>2243930122.7485609</v>
      </c>
      <c r="P51">
        <f>P49/((1+'Cost Components'!$N$46)^'MFSP Baseline'!P48) + P50</f>
        <v>2130892893.1911421</v>
      </c>
      <c r="Q51">
        <f>Q49/((1+'Cost Components'!$N$46)^'MFSP Baseline'!Q48) + Q50</f>
        <v>2025250622.5767317</v>
      </c>
      <c r="R51">
        <f>R49/((1+'Cost Components'!$N$46)^'MFSP Baseline'!R48) + R50</f>
        <v>1926519528.5445728</v>
      </c>
      <c r="S51">
        <f>S49/((1+'Cost Components'!$N$46)^'MFSP Baseline'!S48) + S50</f>
        <v>1834247478.0472276</v>
      </c>
      <c r="T51">
        <f>T49/((1+'Cost Components'!$N$46)^'MFSP Baseline'!T48) + T50</f>
        <v>1748011916.8347557</v>
      </c>
      <c r="U51">
        <f>U49/((1+'Cost Components'!$N$46)^'MFSP Baseline'!U48) + U50</f>
        <v>1667417934.393193</v>
      </c>
      <c r="V51">
        <f>V49/((1+'Cost Components'!$N$46)^'MFSP Baseline'!V48) + V50</f>
        <v>1592096455.4758449</v>
      </c>
      <c r="W51">
        <f>W49/((1+'Cost Components'!$N$46)^'MFSP Baseline'!W48) + W50</f>
        <v>1521702549.9456129</v>
      </c>
      <c r="X51">
        <f>X49/((1+'Cost Components'!$N$46)^'MFSP Baseline'!X48) + X50</f>
        <v>1455913853.1883867</v>
      </c>
      <c r="Y51">
        <f>Y49/((1+'Cost Components'!$N$46)^'MFSP Baseline'!Y48) + Y50</f>
        <v>1394429089.8638763</v>
      </c>
      <c r="Z51">
        <f>Z49/((1+'Cost Components'!$N$46)^'MFSP Baseline'!Z48) + Z50</f>
        <v>1336966694.2334926</v>
      </c>
      <c r="AA51">
        <f>AA49/((1+'Cost Components'!$N$46)^'MFSP Baseline'!AA48) + AA50</f>
        <v>1283263520.7471528</v>
      </c>
      <c r="AB51">
        <f>AB49/((1+'Cost Components'!$N$46)^'MFSP Baseline'!AB48) + AB50</f>
        <v>1233073638.9842186</v>
      </c>
      <c r="AC51">
        <f>AC49/((1+'Cost Components'!$N$46)^'MFSP Baseline'!AC48) + AC50</f>
        <v>1186167207.4300742</v>
      </c>
      <c r="AD51">
        <f>AD49/((1+'Cost Components'!$N$46)^'MFSP Baseline'!AD48) + AD50</f>
        <v>1142329420.9308741</v>
      </c>
      <c r="AE51">
        <f>AE49/((1+'Cost Components'!$N$46)^'MFSP Baseline'!AE48) + AE50</f>
        <v>1101359527.0063877</v>
      </c>
      <c r="AF51">
        <f>AF49/((1+'Cost Components'!$N$46)^'MFSP Baseline'!AF48) + AF50</f>
        <v>1063069906.5162139</v>
      </c>
    </row>
    <row r="52" spans="1:32">
      <c r="A52" t="s">
        <v>147</v>
      </c>
      <c r="B52">
        <v>0</v>
      </c>
      <c r="C52">
        <f>'Study Parameters'!$C$19</f>
        <v>800000000</v>
      </c>
      <c r="D52">
        <f>'Study Parameters'!$C$19</f>
        <v>800000000</v>
      </c>
      <c r="E52">
        <f>'Study Parameters'!$C$19</f>
        <v>800000000</v>
      </c>
      <c r="F52">
        <f>'Study Parameters'!$C$19</f>
        <v>800000000</v>
      </c>
      <c r="G52">
        <f>'Study Parameters'!$C$19</f>
        <v>800000000</v>
      </c>
      <c r="H52">
        <f>'Study Parameters'!$C$19</f>
        <v>800000000</v>
      </c>
      <c r="I52">
        <f>'Study Parameters'!$C$19</f>
        <v>800000000</v>
      </c>
      <c r="J52">
        <f>'Study Parameters'!$C$19</f>
        <v>800000000</v>
      </c>
      <c r="K52">
        <f>'Study Parameters'!$C$19</f>
        <v>800000000</v>
      </c>
      <c r="L52">
        <f>'Study Parameters'!$C$19</f>
        <v>800000000</v>
      </c>
      <c r="M52">
        <f>'Study Parameters'!$C$19</f>
        <v>800000000</v>
      </c>
      <c r="N52">
        <f>'Study Parameters'!$C$19</f>
        <v>800000000</v>
      </c>
      <c r="O52">
        <f>'Study Parameters'!$C$19</f>
        <v>800000000</v>
      </c>
      <c r="P52">
        <f>'Study Parameters'!$C$19</f>
        <v>800000000</v>
      </c>
      <c r="Q52">
        <f>'Study Parameters'!$C$19</f>
        <v>800000000</v>
      </c>
      <c r="R52">
        <f>'Study Parameters'!$C$19</f>
        <v>800000000</v>
      </c>
      <c r="S52">
        <f>'Study Parameters'!$C$19</f>
        <v>800000000</v>
      </c>
      <c r="T52">
        <f>'Study Parameters'!$C$19</f>
        <v>800000000</v>
      </c>
      <c r="U52">
        <f>'Study Parameters'!$C$19</f>
        <v>800000000</v>
      </c>
      <c r="V52">
        <f>'Study Parameters'!$C$19</f>
        <v>800000000</v>
      </c>
      <c r="W52">
        <f>'Study Parameters'!$C$19</f>
        <v>800000000</v>
      </c>
      <c r="X52">
        <f>'Study Parameters'!$C$19</f>
        <v>800000000</v>
      </c>
      <c r="Y52">
        <f>'Study Parameters'!$C$19</f>
        <v>800000000</v>
      </c>
      <c r="Z52">
        <f>'Study Parameters'!$C$19</f>
        <v>800000000</v>
      </c>
      <c r="AA52">
        <f>'Study Parameters'!$C$19</f>
        <v>800000000</v>
      </c>
      <c r="AB52">
        <f>'Study Parameters'!$C$19</f>
        <v>800000000</v>
      </c>
      <c r="AC52">
        <f>'Study Parameters'!$C$19</f>
        <v>800000000</v>
      </c>
      <c r="AD52">
        <f>'Study Parameters'!$C$19</f>
        <v>800000000</v>
      </c>
      <c r="AE52">
        <f>'Study Parameters'!$C$19</f>
        <v>800000000</v>
      </c>
      <c r="AF52">
        <f>'Study Parameters'!$C$19</f>
        <v>800000000</v>
      </c>
    </row>
    <row r="53" spans="1:32">
      <c r="A53" t="s">
        <v>148</v>
      </c>
      <c r="B53">
        <v>0</v>
      </c>
      <c r="C53">
        <f>C52/((1+'Cost Components'!$N$46)^'MFSP Baseline'!C48)</f>
        <v>747663551.40186906</v>
      </c>
      <c r="D53">
        <f>D52/((1+'Cost Components'!$N$46)^'MFSP Baseline'!D48)</f>
        <v>698750982.61856925</v>
      </c>
      <c r="E53">
        <f>E52/((1+'Cost Components'!$N$46)^'MFSP Baseline'!E48)</f>
        <v>653038301.51268148</v>
      </c>
      <c r="F53">
        <f>F52/((1+'Cost Components'!$N$46)^'MFSP Baseline'!F48)</f>
        <v>610316169.63802016</v>
      </c>
      <c r="G53">
        <f>G52/((1+'Cost Components'!$N$46)^'MFSP Baseline'!G48)</f>
        <v>570388943.58693469</v>
      </c>
      <c r="H53">
        <f>H52/((1+'Cost Components'!$N$46)^'MFSP Baseline'!H48)</f>
        <v>533073779.05321002</v>
      </c>
      <c r="I53">
        <f>I52/((1+'Cost Components'!$N$46)^'MFSP Baseline'!I48)</f>
        <v>498199793.50767291</v>
      </c>
      <c r="J53">
        <f>J52/((1+'Cost Components'!$N$46)^'MFSP Baseline'!J48)</f>
        <v>465607283.65203077</v>
      </c>
      <c r="K53">
        <f>K52/((1+'Cost Components'!$N$46)^'MFSP Baseline'!K48)</f>
        <v>435146994.06731838</v>
      </c>
      <c r="L53">
        <f>L52/((1+'Cost Components'!$N$46)^'MFSP Baseline'!L48)</f>
        <v>406679433.70777422</v>
      </c>
      <c r="M53">
        <f>M52/((1+'Cost Components'!$N$46)^'MFSP Baseline'!M48)</f>
        <v>380074237.11006933</v>
      </c>
      <c r="N53">
        <f>N52/((1+'Cost Components'!$N$46)^'MFSP Baseline'!N48)</f>
        <v>355209567.39258826</v>
      </c>
      <c r="O53">
        <f>O52/((1+'Cost Components'!$N$46)^'MFSP Baseline'!O48)</f>
        <v>331971558.31083012</v>
      </c>
      <c r="P53">
        <f>P52/((1+'Cost Components'!$N$46)^'MFSP Baseline'!P48)</f>
        <v>310253792.81385994</v>
      </c>
      <c r="Q53">
        <f>Q52/((1+'Cost Components'!$N$46)^'MFSP Baseline'!Q48)</f>
        <v>289956815.71388775</v>
      </c>
      <c r="R53">
        <f>R52/((1+'Cost Components'!$N$46)^'MFSP Baseline'!R48)</f>
        <v>270987678.23727828</v>
      </c>
      <c r="S53">
        <f>S52/((1+'Cost Components'!$N$46)^'MFSP Baseline'!S48)</f>
        <v>253259512.37128812</v>
      </c>
      <c r="T53">
        <f>T52/((1+'Cost Components'!$N$46)^'MFSP Baseline'!T48)</f>
        <v>236691133.0572786</v>
      </c>
      <c r="U53">
        <f>U52/((1+'Cost Components'!$N$46)^'MFSP Baseline'!U48)</f>
        <v>221206666.40867159</v>
      </c>
      <c r="V53">
        <f>V52/((1+'Cost Components'!$N$46)^'MFSP Baseline'!V48)</f>
        <v>206735202.25109497</v>
      </c>
      <c r="W53">
        <f>W52/((1+'Cost Components'!$N$46)^'MFSP Baseline'!W48)</f>
        <v>193210469.39354667</v>
      </c>
      <c r="X53">
        <f>X52/((1+'Cost Components'!$N$46)^'MFSP Baseline'!X48)</f>
        <v>180570532.14350158</v>
      </c>
      <c r="Y53">
        <f>Y52/((1+'Cost Components'!$N$46)^'MFSP Baseline'!Y48)</f>
        <v>168757506.67616969</v>
      </c>
      <c r="Z53">
        <f>Z52/((1+'Cost Components'!$N$46)^'MFSP Baseline'!Z48)</f>
        <v>157717295.9590371</v>
      </c>
      <c r="AA53">
        <f>AA52/((1+'Cost Components'!$N$46)^'MFSP Baseline'!AA48)</f>
        <v>147399342.01779166</v>
      </c>
      <c r="AB53">
        <f>AB52/((1+'Cost Components'!$N$46)^'MFSP Baseline'!AB48)</f>
        <v>137756394.40915111</v>
      </c>
      <c r="AC53">
        <f>AC52/((1+'Cost Components'!$N$46)^'MFSP Baseline'!AC48)</f>
        <v>128744293.8403281</v>
      </c>
      <c r="AD53">
        <f>AD52/((1+'Cost Components'!$N$46)^'MFSP Baseline'!AD48)</f>
        <v>120321769.9442319</v>
      </c>
      <c r="AE53">
        <f>AE52/((1+'Cost Components'!$N$46)^'MFSP Baseline'!AE48)</f>
        <v>112450252.28432886</v>
      </c>
      <c r="AF53">
        <f>AF52/((1+'Cost Components'!$N$46)^'MFSP Baseline'!AF48)</f>
        <v>105093693.72367184</v>
      </c>
    </row>
    <row r="55" spans="1:32">
      <c r="A55" t="s">
        <v>149</v>
      </c>
      <c r="B55">
        <f>SUM(B51:AF51) / SUM(B53:AF53)</f>
        <v>6.7644023461332434</v>
      </c>
    </row>
    <row r="57" spans="1:32">
      <c r="A57" t="s">
        <v>152</v>
      </c>
    </row>
    <row r="58" spans="1:32">
      <c r="A58" t="s">
        <v>1</v>
      </c>
      <c r="B58">
        <v>0</v>
      </c>
      <c r="C58">
        <v>1</v>
      </c>
      <c r="D58">
        <v>2</v>
      </c>
      <c r="E58">
        <v>3</v>
      </c>
      <c r="F58">
        <v>4</v>
      </c>
      <c r="G58">
        <v>5</v>
      </c>
      <c r="H58">
        <v>6</v>
      </c>
      <c r="I58">
        <v>7</v>
      </c>
      <c r="J58">
        <v>8</v>
      </c>
      <c r="K58">
        <v>9</v>
      </c>
      <c r="L58">
        <v>10</v>
      </c>
      <c r="M58">
        <v>11</v>
      </c>
      <c r="N58">
        <v>12</v>
      </c>
      <c r="O58">
        <v>13</v>
      </c>
      <c r="P58">
        <v>14</v>
      </c>
      <c r="Q58">
        <v>15</v>
      </c>
      <c r="R58">
        <v>16</v>
      </c>
      <c r="S58">
        <v>17</v>
      </c>
      <c r="T58">
        <v>18</v>
      </c>
      <c r="U58">
        <v>19</v>
      </c>
      <c r="V58">
        <v>20</v>
      </c>
      <c r="W58">
        <v>21</v>
      </c>
      <c r="X58">
        <v>22</v>
      </c>
      <c r="Y58">
        <v>23</v>
      </c>
      <c r="Z58">
        <v>24</v>
      </c>
      <c r="AA58">
        <v>25</v>
      </c>
      <c r="AB58">
        <v>26</v>
      </c>
      <c r="AC58">
        <v>27</v>
      </c>
      <c r="AD58">
        <v>28</v>
      </c>
      <c r="AE58">
        <v>29</v>
      </c>
      <c r="AF58">
        <v>30</v>
      </c>
    </row>
    <row r="59" spans="1:32">
      <c r="A59" t="s">
        <v>111</v>
      </c>
      <c r="B59">
        <v>0</v>
      </c>
      <c r="C59">
        <f>'Cost Components'!$N$54*10^6</f>
        <v>1347568210.6372774</v>
      </c>
      <c r="D59">
        <f>'Cost Components'!$N$54*10^6</f>
        <v>1347568210.6372774</v>
      </c>
      <c r="E59">
        <f>'Cost Components'!$N$54*10^6</f>
        <v>1347568210.6372774</v>
      </c>
      <c r="F59">
        <f>'Cost Components'!$N$54*10^6</f>
        <v>1347568210.6372774</v>
      </c>
      <c r="G59">
        <f>'Cost Components'!$N$54*10^6</f>
        <v>1347568210.6372774</v>
      </c>
      <c r="H59">
        <f>'Cost Components'!$N$54*10^6</f>
        <v>1347568210.6372774</v>
      </c>
      <c r="I59">
        <f>'Cost Components'!$N$54*10^6</f>
        <v>1347568210.6372774</v>
      </c>
      <c r="J59">
        <f>'Cost Components'!$N$54*10^6</f>
        <v>1347568210.6372774</v>
      </c>
      <c r="K59">
        <f>'Cost Components'!$N$54*10^6</f>
        <v>1347568210.6372774</v>
      </c>
      <c r="L59">
        <f>'Cost Components'!$N$54*10^6</f>
        <v>1347568210.6372774</v>
      </c>
      <c r="M59">
        <f>'Cost Components'!$N$54*10^6</f>
        <v>1347568210.6372774</v>
      </c>
      <c r="N59">
        <f>'Cost Components'!$N$54*10^6</f>
        <v>1347568210.6372774</v>
      </c>
      <c r="O59">
        <f>'Cost Components'!$N$54*10^6</f>
        <v>1347568210.6372774</v>
      </c>
      <c r="P59">
        <f>'Cost Components'!$N$54*10^6</f>
        <v>1347568210.6372774</v>
      </c>
      <c r="Q59">
        <f>'Cost Components'!$N$54*10^6</f>
        <v>1347568210.6372774</v>
      </c>
      <c r="R59">
        <f>'Cost Components'!$N$54*10^6</f>
        <v>1347568210.6372774</v>
      </c>
      <c r="S59">
        <f>'Cost Components'!$N$54*10^6</f>
        <v>1347568210.6372774</v>
      </c>
      <c r="T59">
        <f>'Cost Components'!$N$54*10^6</f>
        <v>1347568210.6372774</v>
      </c>
      <c r="U59">
        <f>'Cost Components'!$N$54*10^6</f>
        <v>1347568210.6372774</v>
      </c>
      <c r="V59">
        <f>'Cost Components'!$N$54*10^6</f>
        <v>1347568210.6372774</v>
      </c>
      <c r="W59">
        <f>'Cost Components'!$N$54*10^6</f>
        <v>1347568210.6372774</v>
      </c>
      <c r="X59">
        <f>'Cost Components'!$N$54*10^6</f>
        <v>1347568210.6372774</v>
      </c>
      <c r="Y59">
        <f>'Cost Components'!$N$54*10^6</f>
        <v>1347568210.6372774</v>
      </c>
      <c r="Z59">
        <f>'Cost Components'!$N$54*10^6</f>
        <v>1347568210.6372774</v>
      </c>
      <c r="AA59">
        <f>'Cost Components'!$N$54*10^6</f>
        <v>1347568210.6372774</v>
      </c>
      <c r="AB59">
        <f>'Cost Components'!$N$54*10^6</f>
        <v>1347568210.6372774</v>
      </c>
      <c r="AC59">
        <f>'Cost Components'!$N$54*10^6</f>
        <v>1347568210.6372774</v>
      </c>
      <c r="AD59">
        <f>'Cost Components'!$N$54*10^6</f>
        <v>1347568210.6372774</v>
      </c>
      <c r="AE59">
        <f>'Cost Components'!$N$54*10^6</f>
        <v>1347568210.6372774</v>
      </c>
      <c r="AF59">
        <f>'Cost Components'!$N$54*10^6</f>
        <v>1347568210.6372774</v>
      </c>
    </row>
    <row r="60" spans="1:32">
      <c r="A60" t="s">
        <v>146</v>
      </c>
      <c r="B60">
        <v>0</v>
      </c>
      <c r="C60">
        <f>'Cost Components'!$N$56</f>
        <v>300345525.88591146</v>
      </c>
      <c r="D60">
        <f>'Cost Components'!$N$56</f>
        <v>300345525.88591146</v>
      </c>
      <c r="E60">
        <f>'Cost Components'!$N$56</f>
        <v>300345525.88591146</v>
      </c>
      <c r="F60">
        <f>'Cost Components'!$N$56</f>
        <v>300345525.88591146</v>
      </c>
      <c r="G60">
        <f>'Cost Components'!$N$56</f>
        <v>300345525.88591146</v>
      </c>
      <c r="H60">
        <f>'Cost Components'!$N$56</f>
        <v>300345525.88591146</v>
      </c>
      <c r="I60">
        <f>'Cost Components'!$N$56</f>
        <v>300345525.88591146</v>
      </c>
      <c r="J60">
        <f>'Cost Components'!$N$56</f>
        <v>300345525.88591146</v>
      </c>
      <c r="K60">
        <f>'Cost Components'!$N$56</f>
        <v>300345525.88591146</v>
      </c>
      <c r="L60">
        <f>'Cost Components'!$N$56</f>
        <v>300345525.88591146</v>
      </c>
      <c r="M60">
        <f>'Cost Components'!$N$56</f>
        <v>300345525.88591146</v>
      </c>
      <c r="N60">
        <f>'Cost Components'!$N$56</f>
        <v>300345525.88591146</v>
      </c>
      <c r="O60">
        <f>'Cost Components'!$N$56</f>
        <v>300345525.88591146</v>
      </c>
      <c r="P60">
        <f>'Cost Components'!$N$56</f>
        <v>300345525.88591146</v>
      </c>
      <c r="Q60">
        <f>'Cost Components'!$N$56</f>
        <v>300345525.88591146</v>
      </c>
      <c r="R60">
        <f>'Cost Components'!$N$56</f>
        <v>300345525.88591146</v>
      </c>
      <c r="S60">
        <f>'Cost Components'!$N$56</f>
        <v>300345525.88591146</v>
      </c>
      <c r="T60">
        <f>'Cost Components'!$N$56</f>
        <v>300345525.88591146</v>
      </c>
      <c r="U60">
        <f>'Cost Components'!$N$56</f>
        <v>300345525.88591146</v>
      </c>
      <c r="V60">
        <f>'Cost Components'!$N$56</f>
        <v>300345525.88591146</v>
      </c>
      <c r="W60">
        <f>'Cost Components'!$N$56</f>
        <v>300345525.88591146</v>
      </c>
      <c r="X60">
        <f>'Cost Components'!$N$56</f>
        <v>300345525.88591146</v>
      </c>
      <c r="Y60">
        <f>'Cost Components'!$N$56</f>
        <v>300345525.88591146</v>
      </c>
      <c r="Z60">
        <f>'Cost Components'!$N$56</f>
        <v>300345525.88591146</v>
      </c>
      <c r="AA60">
        <f>'Cost Components'!$N$56</f>
        <v>300345525.88591146</v>
      </c>
      <c r="AB60">
        <f>'Cost Components'!$N$56</f>
        <v>300345525.88591146</v>
      </c>
      <c r="AC60">
        <f>'Cost Components'!$N$56</f>
        <v>300345525.88591146</v>
      </c>
      <c r="AD60">
        <f>'Cost Components'!$N$56</f>
        <v>300345525.88591146</v>
      </c>
      <c r="AE60">
        <f>'Cost Components'!$N$56</f>
        <v>300345525.88591146</v>
      </c>
      <c r="AF60">
        <f>'Cost Components'!$N$56</f>
        <v>300345525.88591146</v>
      </c>
    </row>
    <row r="61" spans="1:32">
      <c r="A61" t="s">
        <v>112</v>
      </c>
      <c r="B61">
        <v>0</v>
      </c>
      <c r="C61">
        <f>C59/((1+'Cost Components'!$N$55)^'MFSP Baseline'!C58) + C60</f>
        <v>1559755068.5375724</v>
      </c>
      <c r="D61">
        <f>D59/((1+'Cost Components'!$N$55)^'MFSP Baseline'!D58) + D60</f>
        <v>1477363790.0463424</v>
      </c>
      <c r="E61">
        <f>E59/((1+'Cost Components'!$N$55)^'MFSP Baseline'!E58) + E60</f>
        <v>1400362595.1947253</v>
      </c>
      <c r="F61">
        <f>F59/((1+'Cost Components'!$N$55)^'MFSP Baseline'!F58) + F60</f>
        <v>1328398861.6885414</v>
      </c>
      <c r="G61">
        <f>G59/((1+'Cost Components'!$N$55)^'MFSP Baseline'!G58) + G60</f>
        <v>1261143035.9818273</v>
      </c>
      <c r="H61">
        <f>H59/((1+'Cost Components'!$N$55)^'MFSP Baseline'!H58) + H60</f>
        <v>1198287124.1063933</v>
      </c>
      <c r="I61">
        <f>I59/((1+'Cost Components'!$N$55)^'MFSP Baseline'!I58) + I60</f>
        <v>1139543281.2321563</v>
      </c>
      <c r="J61">
        <f>J59/((1+'Cost Components'!$N$55)^'MFSP Baseline'!J58) + J60</f>
        <v>1084642493.4992244</v>
      </c>
      <c r="K61">
        <f>K59/((1+'Cost Components'!$N$55)^'MFSP Baseline'!K58) + K60</f>
        <v>1033333346.0852692</v>
      </c>
      <c r="L61">
        <f>L59/((1+'Cost Components'!$N$55)^'MFSP Baseline'!L58) + L60</f>
        <v>985380871.86661971</v>
      </c>
      <c r="M61">
        <f>M59/((1+'Cost Components'!$N$55)^'MFSP Baseline'!M58) + M60</f>
        <v>940565475.40059197</v>
      </c>
      <c r="N61">
        <f>N59/((1+'Cost Components'!$N$55)^'MFSP Baseline'!N58) + N60</f>
        <v>898681927.3015008</v>
      </c>
      <c r="O61">
        <f>O59/((1+'Cost Components'!$N$55)^'MFSP Baseline'!O58) + O60</f>
        <v>859538424.40515387</v>
      </c>
      <c r="P61">
        <f>P59/((1+'Cost Components'!$N$55)^'MFSP Baseline'!P58) + P60</f>
        <v>822955711.41791368</v>
      </c>
      <c r="Q61">
        <f>Q59/((1+'Cost Components'!$N$55)^'MFSP Baseline'!Q58) + Q60</f>
        <v>788766260.0279696</v>
      </c>
      <c r="R61">
        <f>R59/((1+'Cost Components'!$N$55)^'MFSP Baseline'!R58) + R60</f>
        <v>756813501.71961069</v>
      </c>
      <c r="S61">
        <f>S59/((1+'Cost Components'!$N$55)^'MFSP Baseline'!S58) + S60</f>
        <v>726951110.77721918</v>
      </c>
      <c r="T61">
        <f>T59/((1+'Cost Components'!$N$55)^'MFSP Baseline'!T58) + T60</f>
        <v>699042334.19554472</v>
      </c>
      <c r="U61">
        <f>U59/((1+'Cost Components'!$N$55)^'MFSP Baseline'!U58) + U60</f>
        <v>672959365.42762482</v>
      </c>
      <c r="V61">
        <f>V59/((1+'Cost Components'!$N$55)^'MFSP Baseline'!V58) + V60</f>
        <v>648582759.10246611</v>
      </c>
      <c r="W61">
        <f>W59/((1+'Cost Components'!$N$55)^'MFSP Baseline'!W58) + W60</f>
        <v>625800884.03222418</v>
      </c>
      <c r="X61">
        <f>X59/((1+'Cost Components'!$N$55)^'MFSP Baseline'!X58) + X60</f>
        <v>604509412.00396073</v>
      </c>
      <c r="Y61">
        <f>Y59/((1+'Cost Components'!$N$55)^'MFSP Baseline'!Y58) + Y60</f>
        <v>584610840.01492941</v>
      </c>
      <c r="Z61">
        <f>Z59/((1+'Cost Components'!$N$55)^'MFSP Baseline'!Z58) + Z60</f>
        <v>566014043.76349831</v>
      </c>
      <c r="AA61">
        <f>AA59/((1+'Cost Components'!$N$55)^'MFSP Baseline'!AA58) + AA60</f>
        <v>548633860.35094595</v>
      </c>
      <c r="AB61">
        <f>AB59/((1+'Cost Components'!$N$55)^'MFSP Baseline'!AB58) + AB60</f>
        <v>532390698.28313994</v>
      </c>
      <c r="AC61">
        <f>AC59/((1+'Cost Components'!$N$55)^'MFSP Baseline'!AC58) + AC60</f>
        <v>517210172.98612499</v>
      </c>
      <c r="AD61">
        <f>AD59/((1+'Cost Components'!$N$55)^'MFSP Baseline'!AD58) + AD60</f>
        <v>503022766.16648483</v>
      </c>
      <c r="AE61">
        <f>AE59/((1+'Cost Components'!$N$55)^'MFSP Baseline'!AE58) + AE60</f>
        <v>489763507.45654082</v>
      </c>
      <c r="AF61">
        <f>AF59/((1+'Cost Components'!$N$55)^'MFSP Baseline'!AF58) + AF60</f>
        <v>477371676.88649964</v>
      </c>
    </row>
    <row r="62" spans="1:32">
      <c r="A62" t="s">
        <v>147</v>
      </c>
      <c r="B62">
        <v>0</v>
      </c>
      <c r="C62">
        <f>'Study Parameters'!$C$19</f>
        <v>800000000</v>
      </c>
      <c r="D62">
        <f>'Study Parameters'!$C$19</f>
        <v>800000000</v>
      </c>
      <c r="E62">
        <f>'Study Parameters'!$C$19</f>
        <v>800000000</v>
      </c>
      <c r="F62">
        <f>'Study Parameters'!$C$19</f>
        <v>800000000</v>
      </c>
      <c r="G62">
        <f>'Study Parameters'!$C$19</f>
        <v>800000000</v>
      </c>
      <c r="H62">
        <f>'Study Parameters'!$C$19</f>
        <v>800000000</v>
      </c>
      <c r="I62">
        <f>'Study Parameters'!$C$19</f>
        <v>800000000</v>
      </c>
      <c r="J62">
        <f>'Study Parameters'!$C$19</f>
        <v>800000000</v>
      </c>
      <c r="K62">
        <f>'Study Parameters'!$C$19</f>
        <v>800000000</v>
      </c>
      <c r="L62">
        <f>'Study Parameters'!$C$19</f>
        <v>800000000</v>
      </c>
      <c r="M62">
        <f>'Study Parameters'!$C$19</f>
        <v>800000000</v>
      </c>
      <c r="N62">
        <f>'Study Parameters'!$C$19</f>
        <v>800000000</v>
      </c>
      <c r="O62">
        <f>'Study Parameters'!$C$19</f>
        <v>800000000</v>
      </c>
      <c r="P62">
        <f>'Study Parameters'!$C$19</f>
        <v>800000000</v>
      </c>
      <c r="Q62">
        <f>'Study Parameters'!$C$19</f>
        <v>800000000</v>
      </c>
      <c r="R62">
        <f>'Study Parameters'!$C$19</f>
        <v>800000000</v>
      </c>
      <c r="S62">
        <f>'Study Parameters'!$C$19</f>
        <v>800000000</v>
      </c>
      <c r="T62">
        <f>'Study Parameters'!$C$19</f>
        <v>800000000</v>
      </c>
      <c r="U62">
        <f>'Study Parameters'!$C$19</f>
        <v>800000000</v>
      </c>
      <c r="V62">
        <f>'Study Parameters'!$C$19</f>
        <v>800000000</v>
      </c>
      <c r="W62">
        <f>'Study Parameters'!$C$19</f>
        <v>800000000</v>
      </c>
      <c r="X62">
        <f>'Study Parameters'!$C$19</f>
        <v>800000000</v>
      </c>
      <c r="Y62">
        <f>'Study Parameters'!$C$19</f>
        <v>800000000</v>
      </c>
      <c r="Z62">
        <f>'Study Parameters'!$C$19</f>
        <v>800000000</v>
      </c>
      <c r="AA62">
        <f>'Study Parameters'!$C$19</f>
        <v>800000000</v>
      </c>
      <c r="AB62">
        <f>'Study Parameters'!$C$19</f>
        <v>800000000</v>
      </c>
      <c r="AC62">
        <f>'Study Parameters'!$C$19</f>
        <v>800000000</v>
      </c>
      <c r="AD62">
        <f>'Study Parameters'!$C$19</f>
        <v>800000000</v>
      </c>
      <c r="AE62">
        <f>'Study Parameters'!$C$19</f>
        <v>800000000</v>
      </c>
      <c r="AF62">
        <f>'Study Parameters'!$C$19</f>
        <v>800000000</v>
      </c>
    </row>
    <row r="63" spans="1:32">
      <c r="A63" t="s">
        <v>148</v>
      </c>
      <c r="B63">
        <v>0</v>
      </c>
      <c r="C63">
        <f>C62/((1+'Cost Components'!$N$55)^'MFSP Baseline'!C58)</f>
        <v>747663551.40186906</v>
      </c>
      <c r="D63">
        <f>D62/((1+'Cost Components'!$N$55)^'MFSP Baseline'!D58)</f>
        <v>698750982.61856925</v>
      </c>
      <c r="E63">
        <f>E62/((1+'Cost Components'!$N$55)^'MFSP Baseline'!E58)</f>
        <v>653038301.51268148</v>
      </c>
      <c r="F63">
        <f>F62/((1+'Cost Components'!$N$55)^'MFSP Baseline'!F58)</f>
        <v>610316169.63802016</v>
      </c>
      <c r="G63">
        <f>G62/((1+'Cost Components'!$N$55)^'MFSP Baseline'!G58)</f>
        <v>570388943.58693469</v>
      </c>
      <c r="H63">
        <f>H62/((1+'Cost Components'!$N$55)^'MFSP Baseline'!H58)</f>
        <v>533073779.05321002</v>
      </c>
      <c r="I63">
        <f>I62/((1+'Cost Components'!$N$55)^'MFSP Baseline'!I58)</f>
        <v>498199793.50767291</v>
      </c>
      <c r="J63">
        <f>J62/((1+'Cost Components'!$N$55)^'MFSP Baseline'!J58)</f>
        <v>465607283.65203077</v>
      </c>
      <c r="K63">
        <f>K62/((1+'Cost Components'!$N$55)^'MFSP Baseline'!K58)</f>
        <v>435146994.06731838</v>
      </c>
      <c r="L63">
        <f>L62/((1+'Cost Components'!$N$55)^'MFSP Baseline'!L58)</f>
        <v>406679433.70777422</v>
      </c>
      <c r="M63">
        <f>M62/((1+'Cost Components'!$N$55)^'MFSP Baseline'!M58)</f>
        <v>380074237.11006933</v>
      </c>
      <c r="N63">
        <f>N62/((1+'Cost Components'!$N$55)^'MFSP Baseline'!N58)</f>
        <v>355209567.39258826</v>
      </c>
      <c r="O63">
        <f>O62/((1+'Cost Components'!$N$55)^'MFSP Baseline'!O58)</f>
        <v>331971558.31083012</v>
      </c>
      <c r="P63">
        <f>P62/((1+'Cost Components'!$N$55)^'MFSP Baseline'!P58)</f>
        <v>310253792.81385994</v>
      </c>
      <c r="Q63">
        <f>Q62/((1+'Cost Components'!$N$55)^'MFSP Baseline'!Q58)</f>
        <v>289956815.71388775</v>
      </c>
      <c r="R63">
        <f>R62/((1+'Cost Components'!$N$55)^'MFSP Baseline'!R58)</f>
        <v>270987678.23727828</v>
      </c>
      <c r="S63">
        <f>S62/((1+'Cost Components'!$N$55)^'MFSP Baseline'!S58)</f>
        <v>253259512.37128812</v>
      </c>
      <c r="T63">
        <f>T62/((1+'Cost Components'!$N$55)^'MFSP Baseline'!T58)</f>
        <v>236691133.0572786</v>
      </c>
      <c r="U63">
        <f>U62/((1+'Cost Components'!$N$55)^'MFSP Baseline'!U58)</f>
        <v>221206666.40867159</v>
      </c>
      <c r="V63">
        <f>V62/((1+'Cost Components'!$N$55)^'MFSP Baseline'!V58)</f>
        <v>206735202.25109497</v>
      </c>
      <c r="W63">
        <f>W62/((1+'Cost Components'!$N$55)^'MFSP Baseline'!W58)</f>
        <v>193210469.39354667</v>
      </c>
      <c r="X63">
        <f>X62/((1+'Cost Components'!$N$55)^'MFSP Baseline'!X58)</f>
        <v>180570532.14350158</v>
      </c>
      <c r="Y63">
        <f>Y62/((1+'Cost Components'!$N$55)^'MFSP Baseline'!Y58)</f>
        <v>168757506.67616969</v>
      </c>
      <c r="Z63">
        <f>Z62/((1+'Cost Components'!$N$55)^'MFSP Baseline'!Z58)</f>
        <v>157717295.9590371</v>
      </c>
      <c r="AA63">
        <f>AA62/((1+'Cost Components'!$N$55)^'MFSP Baseline'!AA58)</f>
        <v>147399342.01779166</v>
      </c>
      <c r="AB63">
        <f>AB62/((1+'Cost Components'!$N$55)^'MFSP Baseline'!AB58)</f>
        <v>137756394.40915111</v>
      </c>
      <c r="AC63">
        <f>AC62/((1+'Cost Components'!$N$55)^'MFSP Baseline'!AC58)</f>
        <v>128744293.8403281</v>
      </c>
      <c r="AD63">
        <f>AD62/((1+'Cost Components'!$N$55)^'MFSP Baseline'!AD58)</f>
        <v>120321769.9442319</v>
      </c>
      <c r="AE63">
        <f>AE62/((1+'Cost Components'!$N$55)^'MFSP Baseline'!AE58)</f>
        <v>112450252.28432886</v>
      </c>
      <c r="AF63">
        <f>AF62/((1+'Cost Components'!$N$55)^'MFSP Baseline'!AF58)</f>
        <v>105093693.72367184</v>
      </c>
    </row>
    <row r="65" spans="1:32">
      <c r="A65" t="s">
        <v>149</v>
      </c>
      <c r="B65">
        <f>SUM(B61:AF61) / SUM(B63:AF63)</f>
        <v>2.5921014786140577</v>
      </c>
    </row>
    <row r="71" spans="1:3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BC8F-95DE-8D40-846F-5575FFAD0FB7}">
  <dimension ref="A1:AF24"/>
  <sheetViews>
    <sheetView workbookViewId="0">
      <selection activeCell="A12" sqref="A12"/>
    </sheetView>
  </sheetViews>
  <sheetFormatPr defaultColWidth="11" defaultRowHeight="15.75"/>
  <cols>
    <col min="1" max="1" width="13.625" bestFit="1" customWidth="1"/>
    <col min="2" max="2" width="12.125" bestFit="1" customWidth="1"/>
    <col min="3" max="3" width="11.125" bestFit="1" customWidth="1"/>
  </cols>
  <sheetData>
    <row r="1" spans="1:32">
      <c r="A1" s="35" t="s">
        <v>1</v>
      </c>
      <c r="B1" s="35">
        <v>0</v>
      </c>
      <c r="C1" s="35">
        <v>1</v>
      </c>
      <c r="D1" s="35">
        <v>2</v>
      </c>
      <c r="E1" s="35">
        <v>3</v>
      </c>
      <c r="F1" s="35">
        <v>4</v>
      </c>
      <c r="G1" s="35">
        <v>5</v>
      </c>
      <c r="H1" s="35">
        <v>6</v>
      </c>
      <c r="I1" s="35">
        <v>7</v>
      </c>
      <c r="J1" s="35">
        <v>8</v>
      </c>
      <c r="K1" s="35">
        <v>9</v>
      </c>
      <c r="L1" s="35">
        <v>10</v>
      </c>
      <c r="M1" s="35">
        <v>11</v>
      </c>
      <c r="N1" s="35">
        <v>12</v>
      </c>
      <c r="O1" s="35">
        <v>13</v>
      </c>
      <c r="P1" s="35">
        <v>14</v>
      </c>
      <c r="Q1" s="35">
        <v>15</v>
      </c>
      <c r="R1" s="35">
        <v>16</v>
      </c>
      <c r="S1" s="35">
        <v>17</v>
      </c>
      <c r="T1" s="35">
        <v>18</v>
      </c>
      <c r="U1" s="35">
        <v>19</v>
      </c>
      <c r="V1" s="35">
        <v>20</v>
      </c>
      <c r="W1" s="35">
        <v>21</v>
      </c>
      <c r="X1" s="35">
        <v>22</v>
      </c>
      <c r="Y1" s="35">
        <v>23</v>
      </c>
      <c r="Z1" s="35">
        <v>24</v>
      </c>
      <c r="AA1" s="35">
        <v>25</v>
      </c>
      <c r="AB1" s="35">
        <v>26</v>
      </c>
      <c r="AC1" s="35">
        <v>27</v>
      </c>
      <c r="AD1" s="35">
        <v>28</v>
      </c>
      <c r="AE1" s="35">
        <v>29</v>
      </c>
      <c r="AF1" s="35">
        <v>30</v>
      </c>
    </row>
    <row r="2" spans="1:32" s="3" customFormat="1">
      <c r="A2" s="2" t="s">
        <v>155</v>
      </c>
    </row>
    <row r="3" spans="1:32">
      <c r="A3" t="s">
        <v>156</v>
      </c>
      <c r="B3">
        <v>0</v>
      </c>
      <c r="C3">
        <f>('Cost Components'!$B$44 * 10^6) / (1+'Cost Components'!$B$55) ^'Cost Breakdown'!C1</f>
        <v>2670633644.8598123</v>
      </c>
      <c r="D3">
        <f>('Cost Components'!$B$44 * 10^6) / (1+'Cost Components'!$B$55) ^'Cost Breakdown'!D1</f>
        <v>2495919294.261507</v>
      </c>
      <c r="E3">
        <f>('Cost Components'!$B$44 * 10^6) / (1+'Cost Components'!$B$55) ^'Cost Breakdown'!E1</f>
        <v>2332634854.4500065</v>
      </c>
      <c r="F3">
        <f>('Cost Components'!$B$44 * 10^6) / (1+'Cost Components'!$B$55) ^'Cost Breakdown'!F1</f>
        <v>2180032574.2523427</v>
      </c>
      <c r="G3">
        <f>('Cost Components'!$B$44 * 10^6) / (1+'Cost Components'!$B$55) ^'Cost Breakdown'!G1</f>
        <v>2037413620.7965817</v>
      </c>
      <c r="H3">
        <f>('Cost Components'!$B$44 * 10^6) / (1+'Cost Components'!$B$55) ^'Cost Breakdown'!H1</f>
        <v>1904124879.2491419</v>
      </c>
      <c r="I3">
        <f>('Cost Components'!$B$44 * 10^6) / (1+'Cost Components'!$B$55) ^'Cost Breakdown'!I1</f>
        <v>1779555961.9150858</v>
      </c>
      <c r="J3">
        <f>('Cost Components'!$B$44 * 10^6) / (1+'Cost Components'!$B$55) ^'Cost Breakdown'!J1</f>
        <v>1663136413.0047531</v>
      </c>
      <c r="K3">
        <f>('Cost Components'!$B$44 * 10^6) / (1+'Cost Components'!$B$55) ^'Cost Breakdown'!K1</f>
        <v>1554333096.2661242</v>
      </c>
      <c r="L3">
        <f>('Cost Components'!$B$44 * 10^6) / (1+'Cost Components'!$B$55) ^'Cost Breakdown'!L1</f>
        <v>1452647753.5197425</v>
      </c>
      <c r="M3">
        <f>('Cost Components'!$B$44 * 10^6) / (1+'Cost Components'!$B$55) ^'Cost Breakdown'!M1</f>
        <v>1357614722.9156468</v>
      </c>
      <c r="N3">
        <f>('Cost Components'!$B$44 * 10^6) / (1+'Cost Components'!$B$55) ^'Cost Breakdown'!N1</f>
        <v>1268798806.4632215</v>
      </c>
      <c r="O3">
        <f>('Cost Components'!$B$44 * 10^6) / (1+'Cost Components'!$B$55) ^'Cost Breakdown'!O1</f>
        <v>1185793277.0684314</v>
      </c>
      <c r="P3">
        <f>('Cost Components'!$B$44 * 10^6) / (1+'Cost Components'!$B$55) ^'Cost Breakdown'!P1</f>
        <v>1108218015.9518051</v>
      </c>
      <c r="Q3">
        <f>('Cost Components'!$B$44 * 10^6) / (1+'Cost Components'!$B$55) ^'Cost Breakdown'!Q1</f>
        <v>1035717771.9175746</v>
      </c>
      <c r="R3">
        <f>('Cost Components'!$B$44 * 10^6) / (1+'Cost Components'!$B$55) ^'Cost Breakdown'!R1</f>
        <v>967960534.50240636</v>
      </c>
      <c r="S3">
        <f>('Cost Components'!$B$44 * 10^6) / (1+'Cost Components'!$B$55) ^'Cost Breakdown'!S1</f>
        <v>904636013.55365086</v>
      </c>
      <c r="T3">
        <f>('Cost Components'!$B$44 * 10^6) / (1+'Cost Components'!$B$55) ^'Cost Breakdown'!T1</f>
        <v>845454218.27444005</v>
      </c>
      <c r="U3">
        <f>('Cost Components'!$B$44 * 10^6) / (1+'Cost Components'!$B$55) ^'Cost Breakdown'!U1</f>
        <v>790144129.22844851</v>
      </c>
      <c r="V3">
        <f>('Cost Components'!$B$44 * 10^6) / (1+'Cost Components'!$B$55) ^'Cost Breakdown'!V1</f>
        <v>738452457.22284913</v>
      </c>
      <c r="W3">
        <f>('Cost Components'!$B$44 * 10^6) / (1+'Cost Components'!$B$55) ^'Cost Breakdown'!W1</f>
        <v>690142483.3858403</v>
      </c>
      <c r="X3">
        <f>('Cost Components'!$B$44 * 10^6) / (1+'Cost Components'!$B$55) ^'Cost Breakdown'!X1</f>
        <v>644992975.1269536</v>
      </c>
      <c r="Y3">
        <f>('Cost Components'!$B$44 * 10^6) / (1+'Cost Components'!$B$55) ^'Cost Breakdown'!Y1</f>
        <v>602797173.01584446</v>
      </c>
      <c r="Z3">
        <f>('Cost Components'!$B$44 * 10^6) / (1+'Cost Components'!$B$55) ^'Cost Breakdown'!Z1</f>
        <v>563361843.94004154</v>
      </c>
      <c r="AA3">
        <f>('Cost Components'!$B$44 * 10^6) / (1+'Cost Components'!$B$55) ^'Cost Breakdown'!AA1</f>
        <v>526506396.20564622</v>
      </c>
      <c r="AB3">
        <f>('Cost Components'!$B$44 * 10^6) / (1+'Cost Components'!$B$55) ^'Cost Breakdown'!AB1</f>
        <v>492062052.5286414</v>
      </c>
      <c r="AC3">
        <f>('Cost Components'!$B$44 * 10^6) / (1+'Cost Components'!$B$55) ^'Cost Breakdown'!AC1</f>
        <v>459871077.12957132</v>
      </c>
      <c r="AD3">
        <f>('Cost Components'!$B$44 * 10^6) / (1+'Cost Components'!$B$55) ^'Cost Breakdown'!AD1</f>
        <v>429786053.39212281</v>
      </c>
      <c r="AE3">
        <f>('Cost Components'!$B$44 * 10^6) / (1+'Cost Components'!$B$55) ^'Cost Breakdown'!AE1</f>
        <v>401669208.77768481</v>
      </c>
      <c r="AF3">
        <f>('Cost Components'!$B$44 * 10^6) / (1+'Cost Components'!$B$55) ^'Cost Breakdown'!AF1</f>
        <v>375391783.90437835</v>
      </c>
    </row>
    <row r="4" spans="1:32">
      <c r="A4" t="s">
        <v>101</v>
      </c>
      <c r="B4">
        <v>0</v>
      </c>
      <c r="C4">
        <f>('Cost Components'!$B$42 * 10^6) / (1+'Cost Components'!$B$46) ^ 'Cost Breakdown'!C1</f>
        <v>1145077512.7725856</v>
      </c>
      <c r="D4">
        <f>('Cost Components'!$B$42 * 10^6) / (1+'Cost Components'!$B$46) ^ 'Cost Breakdown'!D1</f>
        <v>1070165899.7874633</v>
      </c>
      <c r="E4">
        <f>('Cost Components'!$B$42 * 10^6) / (1+'Cost Components'!$B$46) ^ 'Cost Breakdown'!E1</f>
        <v>1000155046.5303395</v>
      </c>
      <c r="F4">
        <f>('Cost Components'!$B$42 * 10^6) / (1+'Cost Components'!$B$46) ^ 'Cost Breakdown'!F1</f>
        <v>934724342.55171919</v>
      </c>
      <c r="G4">
        <f>('Cost Components'!$B$42 * 10^6) / (1+'Cost Components'!$B$46) ^ 'Cost Breakdown'!G1</f>
        <v>873574151.91749454</v>
      </c>
      <c r="H4">
        <f>('Cost Components'!$B$42 * 10^6) / (1+'Cost Components'!$B$46) ^ 'Cost Breakdown'!H1</f>
        <v>816424441.04438746</v>
      </c>
      <c r="I4">
        <f>('Cost Components'!$B$42 * 10^6) / (1+'Cost Components'!$B$46) ^ 'Cost Breakdown'!I1</f>
        <v>763013496.30316579</v>
      </c>
      <c r="J4">
        <f>('Cost Components'!$B$42 * 10^6) / (1+'Cost Components'!$B$46) ^ 'Cost Breakdown'!J1</f>
        <v>713096725.51697743</v>
      </c>
      <c r="K4">
        <f>('Cost Components'!$B$42 * 10^6) / (1+'Cost Components'!$B$46) ^ 'Cost Breakdown'!K1</f>
        <v>666445537.86633396</v>
      </c>
      <c r="L4">
        <f>('Cost Components'!$B$42 * 10^6) / (1+'Cost Components'!$B$46) ^ 'Cost Breakdown'!L1</f>
        <v>622846297.0713402</v>
      </c>
      <c r="M4">
        <f>('Cost Components'!$B$42 * 10^6) / (1+'Cost Components'!$B$46) ^ 'Cost Breakdown'!M1</f>
        <v>582099343.05732715</v>
      </c>
      <c r="N4">
        <f>('Cost Components'!$B$42 * 10^6) / (1+'Cost Components'!$B$46) ^ 'Cost Breakdown'!N1</f>
        <v>544018077.62367034</v>
      </c>
      <c r="O4">
        <f>('Cost Components'!$B$42 * 10^6) / (1+'Cost Components'!$B$46) ^ 'Cost Breakdown'!O1</f>
        <v>508428109.92866385</v>
      </c>
      <c r="P4">
        <f>('Cost Components'!$B$42 * 10^6) / (1+'Cost Components'!$B$46) ^ 'Cost Breakdown'!P1</f>
        <v>475166457.87725598</v>
      </c>
      <c r="Q4">
        <f>('Cost Components'!$B$42 * 10^6) / (1+'Cost Components'!$B$46) ^ 'Cost Breakdown'!Q1</f>
        <v>444080801.75444478</v>
      </c>
      <c r="R4">
        <f>('Cost Components'!$B$42 * 10^6) / (1+'Cost Components'!$B$46) ^ 'Cost Breakdown'!R1</f>
        <v>415028786.68639702</v>
      </c>
      <c r="S4">
        <f>('Cost Components'!$B$42 * 10^6) / (1+'Cost Components'!$B$46) ^ 'Cost Breakdown'!S1</f>
        <v>387877370.73495048</v>
      </c>
      <c r="T4">
        <f>('Cost Components'!$B$42 * 10^6) / (1+'Cost Components'!$B$46) ^ 'Cost Breakdown'!T1</f>
        <v>362502215.64014065</v>
      </c>
      <c r="U4">
        <f>('Cost Components'!$B$42 * 10^6) / (1+'Cost Components'!$B$46) ^ 'Cost Breakdown'!U1</f>
        <v>338787117.42069215</v>
      </c>
      <c r="V4">
        <f>('Cost Components'!$B$42 * 10^6) / (1+'Cost Components'!$B$46) ^ 'Cost Breakdown'!V1</f>
        <v>316623474.22494596</v>
      </c>
      <c r="W4">
        <f>('Cost Components'!$B$42 * 10^6) / (1+'Cost Components'!$B$46) ^ 'Cost Breakdown'!W1</f>
        <v>295909788.99527657</v>
      </c>
      <c r="X4">
        <f>('Cost Components'!$B$42 * 10^6) / (1+'Cost Components'!$B$46) ^ 'Cost Breakdown'!X1</f>
        <v>276551204.66848278</v>
      </c>
      <c r="Y4">
        <f>('Cost Components'!$B$42 * 10^6) / (1+'Cost Components'!$B$46) ^ 'Cost Breakdown'!Y1</f>
        <v>258459069.78362879</v>
      </c>
      <c r="Z4">
        <f>('Cost Components'!$B$42 * 10^6) / (1+'Cost Components'!$B$46) ^ 'Cost Breakdown'!Z1</f>
        <v>241550532.50806427</v>
      </c>
      <c r="AA4">
        <f>('Cost Components'!$B$42 * 10^6) / (1+'Cost Components'!$B$46) ^ 'Cost Breakdown'!AA1</f>
        <v>225748161.22248995</v>
      </c>
      <c r="AB4">
        <f>('Cost Components'!$B$42 * 10^6) / (1+'Cost Components'!$B$46) ^ 'Cost Breakdown'!AB1</f>
        <v>210979589.92756072</v>
      </c>
      <c r="AC4">
        <f>('Cost Components'!$B$42 * 10^6) / (1+'Cost Components'!$B$46) ^ 'Cost Breakdown'!AC1</f>
        <v>197177186.84818757</v>
      </c>
      <c r="AD4">
        <f>('Cost Components'!$B$42 * 10^6) / (1+'Cost Components'!$B$46) ^ 'Cost Breakdown'!AD1</f>
        <v>184277744.71793234</v>
      </c>
      <c r="AE4">
        <f>('Cost Components'!$B$42 * 10^6) / (1+'Cost Components'!$B$46) ^ 'Cost Breakdown'!AE1</f>
        <v>172222191.3251704</v>
      </c>
      <c r="AF4">
        <f>('Cost Components'!$B$42 * 10^6) / (1+'Cost Components'!$B$46) ^ 'Cost Breakdown'!AF1</f>
        <v>160955318.99548635</v>
      </c>
    </row>
    <row r="5" spans="1:32">
      <c r="A5" t="s">
        <v>87</v>
      </c>
      <c r="B5">
        <f>'Cost Components'!$B$9</f>
        <v>554283184.33657908</v>
      </c>
      <c r="C5">
        <f>'Cost Components'!$B$9</f>
        <v>554283184.33657908</v>
      </c>
      <c r="D5">
        <f>'Cost Components'!$B$9</f>
        <v>554283184.33657908</v>
      </c>
      <c r="E5">
        <f>'Cost Components'!$B$9</f>
        <v>554283184.33657908</v>
      </c>
      <c r="F5">
        <f>'Cost Components'!$B$9</f>
        <v>554283184.33657908</v>
      </c>
      <c r="G5">
        <f>'Cost Components'!$B$9</f>
        <v>554283184.33657908</v>
      </c>
      <c r="H5">
        <f>'Cost Components'!$B$9</f>
        <v>554283184.33657908</v>
      </c>
      <c r="I5">
        <f>'Cost Components'!$B$9</f>
        <v>554283184.33657908</v>
      </c>
      <c r="J5">
        <f>'Cost Components'!$B$9</f>
        <v>554283184.33657908</v>
      </c>
      <c r="K5">
        <f>'Cost Components'!$B$9</f>
        <v>554283184.33657908</v>
      </c>
      <c r="L5">
        <f>'Cost Components'!$B$9</f>
        <v>554283184.33657908</v>
      </c>
      <c r="M5">
        <f>'Cost Components'!$B$9</f>
        <v>554283184.33657908</v>
      </c>
      <c r="N5">
        <f>'Cost Components'!$B$9</f>
        <v>554283184.33657908</v>
      </c>
      <c r="O5">
        <f>'Cost Components'!$B$9</f>
        <v>554283184.33657908</v>
      </c>
      <c r="P5">
        <f>'Cost Components'!$B$9</f>
        <v>554283184.33657908</v>
      </c>
      <c r="Q5">
        <f>'Cost Components'!$B$9</f>
        <v>554283184.33657908</v>
      </c>
      <c r="R5">
        <f>'Cost Components'!$B$9</f>
        <v>554283184.33657908</v>
      </c>
      <c r="S5">
        <f>'Cost Components'!$B$9</f>
        <v>554283184.33657908</v>
      </c>
      <c r="T5">
        <f>'Cost Components'!$B$9</f>
        <v>554283184.33657908</v>
      </c>
      <c r="U5">
        <f>'Cost Components'!$B$9</f>
        <v>554283184.33657908</v>
      </c>
      <c r="V5">
        <f>'Cost Components'!$B$9</f>
        <v>554283184.33657908</v>
      </c>
      <c r="W5">
        <f>'Cost Components'!$B$9</f>
        <v>554283184.33657908</v>
      </c>
      <c r="X5">
        <f>'Cost Components'!$B$9</f>
        <v>554283184.33657908</v>
      </c>
      <c r="Y5">
        <f>'Cost Components'!$B$9</f>
        <v>554283184.33657908</v>
      </c>
      <c r="Z5">
        <f>'Cost Components'!$B$9</f>
        <v>554283184.33657908</v>
      </c>
      <c r="AA5">
        <f>'Cost Components'!$B$9</f>
        <v>554283184.33657908</v>
      </c>
      <c r="AB5">
        <f>'Cost Components'!$B$9</f>
        <v>554283184.33657908</v>
      </c>
      <c r="AC5">
        <f>'Cost Components'!$B$9</f>
        <v>554283184.33657908</v>
      </c>
      <c r="AD5">
        <f>'Cost Components'!$B$9</f>
        <v>554283184.33657908</v>
      </c>
      <c r="AE5">
        <f>'Cost Components'!$B$9</f>
        <v>554283184.33657908</v>
      </c>
      <c r="AF5">
        <f>'Cost Components'!$B$9</f>
        <v>554283184.33657908</v>
      </c>
    </row>
    <row r="6" spans="1:32">
      <c r="A6" t="s">
        <v>157</v>
      </c>
      <c r="B6">
        <v>0</v>
      </c>
      <c r="C6">
        <f>('Cost Components'!$B$18-'Cost Components'!$B$17-'Cost Components'!$B$16) * 10^6</f>
        <v>75131299.303944394</v>
      </c>
      <c r="D6">
        <f>('Cost Components'!$B$18-'Cost Components'!$B$17-'Cost Components'!$B$16) * 10^6</f>
        <v>75131299.303944394</v>
      </c>
      <c r="E6">
        <f>('Cost Components'!$B$18-'Cost Components'!$B$17-'Cost Components'!$B$16) * 10^6</f>
        <v>75131299.303944394</v>
      </c>
      <c r="F6">
        <f>('Cost Components'!$B$18-'Cost Components'!$B$17-'Cost Components'!$B$16) * 10^6</f>
        <v>75131299.303944394</v>
      </c>
      <c r="G6">
        <f>('Cost Components'!$B$18-'Cost Components'!$B$17-'Cost Components'!$B$16) * 10^6</f>
        <v>75131299.303944394</v>
      </c>
      <c r="H6">
        <f>('Cost Components'!$B$18-'Cost Components'!$B$17-'Cost Components'!$B$16) * 10^6</f>
        <v>75131299.303944394</v>
      </c>
      <c r="I6">
        <f>('Cost Components'!$B$18-'Cost Components'!$B$17-'Cost Components'!$B$16) * 10^6</f>
        <v>75131299.303944394</v>
      </c>
      <c r="J6">
        <f>('Cost Components'!$B$18-'Cost Components'!$B$17-'Cost Components'!$B$16) * 10^6</f>
        <v>75131299.303944394</v>
      </c>
      <c r="K6">
        <f>('Cost Components'!$B$18-'Cost Components'!$B$17-'Cost Components'!$B$16) * 10^6</f>
        <v>75131299.303944394</v>
      </c>
      <c r="L6">
        <f>('Cost Components'!$B$18-'Cost Components'!$B$17-'Cost Components'!$B$16) * 10^6</f>
        <v>75131299.303944394</v>
      </c>
      <c r="M6">
        <f>('Cost Components'!$B$18-'Cost Components'!$B$17-'Cost Components'!$B$16) * 10^6</f>
        <v>75131299.303944394</v>
      </c>
      <c r="N6">
        <f>('Cost Components'!$B$18-'Cost Components'!$B$17-'Cost Components'!$B$16) * 10^6</f>
        <v>75131299.303944394</v>
      </c>
      <c r="O6">
        <f>('Cost Components'!$B$18-'Cost Components'!$B$17-'Cost Components'!$B$16) * 10^6</f>
        <v>75131299.303944394</v>
      </c>
      <c r="P6">
        <f>('Cost Components'!$B$18-'Cost Components'!$B$17-'Cost Components'!$B$16) * 10^6</f>
        <v>75131299.303944394</v>
      </c>
      <c r="Q6">
        <f>('Cost Components'!$B$18-'Cost Components'!$B$17-'Cost Components'!$B$16) * 10^6</f>
        <v>75131299.303944394</v>
      </c>
      <c r="R6">
        <f>('Cost Components'!$B$18-'Cost Components'!$B$17-'Cost Components'!$B$16) * 10^6</f>
        <v>75131299.303944394</v>
      </c>
      <c r="S6">
        <f>('Cost Components'!$B$18-'Cost Components'!$B$17-'Cost Components'!$B$16) * 10^6</f>
        <v>75131299.303944394</v>
      </c>
      <c r="T6">
        <f>('Cost Components'!$B$18-'Cost Components'!$B$17-'Cost Components'!$B$16) * 10^6</f>
        <v>75131299.303944394</v>
      </c>
      <c r="U6">
        <f>('Cost Components'!$B$18-'Cost Components'!$B$17-'Cost Components'!$B$16) * 10^6</f>
        <v>75131299.303944394</v>
      </c>
      <c r="V6">
        <f>('Cost Components'!$B$18-'Cost Components'!$B$17-'Cost Components'!$B$16) * 10^6</f>
        <v>75131299.303944394</v>
      </c>
      <c r="W6">
        <f>('Cost Components'!$B$18-'Cost Components'!$B$17-'Cost Components'!$B$16) * 10^6</f>
        <v>75131299.303944394</v>
      </c>
      <c r="X6">
        <f>('Cost Components'!$B$18-'Cost Components'!$B$17-'Cost Components'!$B$16) * 10^6</f>
        <v>75131299.303944394</v>
      </c>
      <c r="Y6">
        <f>('Cost Components'!$B$18-'Cost Components'!$B$17-'Cost Components'!$B$16) * 10^6</f>
        <v>75131299.303944394</v>
      </c>
      <c r="Z6">
        <f>('Cost Components'!$B$18-'Cost Components'!$B$17-'Cost Components'!$B$16) * 10^6</f>
        <v>75131299.303944394</v>
      </c>
      <c r="AA6">
        <f>('Cost Components'!$B$18-'Cost Components'!$B$17-'Cost Components'!$B$16) * 10^6</f>
        <v>75131299.303944394</v>
      </c>
      <c r="AB6">
        <f>('Cost Components'!$B$18-'Cost Components'!$B$17-'Cost Components'!$B$16) * 10^6</f>
        <v>75131299.303944394</v>
      </c>
      <c r="AC6">
        <f>('Cost Components'!$B$18-'Cost Components'!$B$17-'Cost Components'!$B$16) * 10^6</f>
        <v>75131299.303944394</v>
      </c>
      <c r="AD6">
        <f>('Cost Components'!$B$18-'Cost Components'!$B$17-'Cost Components'!$B$16) * 10^6</f>
        <v>75131299.303944394</v>
      </c>
      <c r="AE6">
        <f>('Cost Components'!$B$18-'Cost Components'!$B$17-'Cost Components'!$B$16) * 10^6</f>
        <v>75131299.303944394</v>
      </c>
      <c r="AF6">
        <f>('Cost Components'!$B$18-'Cost Components'!$B$17-'Cost Components'!$B$16) * 10^6</f>
        <v>75131299.303944394</v>
      </c>
    </row>
    <row r="8" spans="1:32">
      <c r="A8" t="s">
        <v>158</v>
      </c>
    </row>
    <row r="9" spans="1:32">
      <c r="A9" t="s">
        <v>156</v>
      </c>
      <c r="B9" s="36">
        <f>SUM(B3:AF3) / SUM($B$3:$AF$6)</f>
        <v>0.50584246583653325</v>
      </c>
    </row>
    <row r="10" spans="1:32">
      <c r="A10" t="s">
        <v>101</v>
      </c>
      <c r="B10" s="36">
        <f t="shared" ref="B10:B11" si="0">SUM(B4:AF4) / SUM($B$3:$AF$6)</f>
        <v>0.21688816575410674</v>
      </c>
    </row>
    <row r="11" spans="1:32">
      <c r="A11" t="s">
        <v>87</v>
      </c>
      <c r="B11" s="36">
        <f t="shared" si="0"/>
        <v>0.24511639654309289</v>
      </c>
    </row>
    <row r="12" spans="1:32">
      <c r="A12" t="s">
        <v>157</v>
      </c>
      <c r="B12" s="36">
        <f>SUM(B6:AF6) / SUM($B$3:$AF$6)</f>
        <v>3.2152971866267976E-2</v>
      </c>
    </row>
    <row r="14" spans="1:32" s="2" customFormat="1">
      <c r="A14" s="2" t="s">
        <v>159</v>
      </c>
    </row>
    <row r="15" spans="1:32">
      <c r="A15" t="s">
        <v>156</v>
      </c>
      <c r="B15">
        <v>0</v>
      </c>
      <c r="C15">
        <f>('Cost Components'!$B$53 * 10^6) / (1+'Cost Components'!$B$55) ^'Cost Breakdown'!C13</f>
        <v>1069919999.9999999</v>
      </c>
      <c r="D15">
        <f>('Cost Components'!$B$53 * 10^6) / (1+'Cost Components'!$B$55) ^'Cost Breakdown'!D13</f>
        <v>1069919999.9999999</v>
      </c>
      <c r="E15">
        <f>('Cost Components'!$B$53 * 10^6) / (1+'Cost Components'!$B$55) ^'Cost Breakdown'!E13</f>
        <v>1069919999.9999999</v>
      </c>
      <c r="F15">
        <f>('Cost Components'!$B$53 * 10^6) / (1+'Cost Components'!$B$55) ^'Cost Breakdown'!F13</f>
        <v>1069919999.9999999</v>
      </c>
      <c r="G15">
        <f>('Cost Components'!$B$53 * 10^6) / (1+'Cost Components'!$B$55) ^'Cost Breakdown'!G13</f>
        <v>1069919999.9999999</v>
      </c>
      <c r="H15">
        <f>('Cost Components'!$B$53 * 10^6) / (1+'Cost Components'!$B$55) ^'Cost Breakdown'!H13</f>
        <v>1069919999.9999999</v>
      </c>
      <c r="I15">
        <f>('Cost Components'!$B$53 * 10^6) / (1+'Cost Components'!$B$55) ^'Cost Breakdown'!I13</f>
        <v>1069919999.9999999</v>
      </c>
      <c r="J15">
        <f>('Cost Components'!$B$53 * 10^6) / (1+'Cost Components'!$B$55) ^'Cost Breakdown'!J13</f>
        <v>1069919999.9999999</v>
      </c>
      <c r="K15">
        <f>('Cost Components'!$B$53 * 10^6) / (1+'Cost Components'!$B$55) ^'Cost Breakdown'!K13</f>
        <v>1069919999.9999999</v>
      </c>
      <c r="L15">
        <f>('Cost Components'!$B$53 * 10^6) / (1+'Cost Components'!$B$55) ^'Cost Breakdown'!L13</f>
        <v>1069919999.9999999</v>
      </c>
      <c r="M15">
        <f>('Cost Components'!$B$53 * 10^6) / (1+'Cost Components'!$B$55) ^'Cost Breakdown'!M13</f>
        <v>1069919999.9999999</v>
      </c>
      <c r="N15">
        <f>('Cost Components'!$B$53 * 10^6) / (1+'Cost Components'!$B$55) ^'Cost Breakdown'!N13</f>
        <v>1069919999.9999999</v>
      </c>
      <c r="O15">
        <f>('Cost Components'!$B$53 * 10^6) / (1+'Cost Components'!$B$55) ^'Cost Breakdown'!O13</f>
        <v>1069919999.9999999</v>
      </c>
      <c r="P15">
        <f>('Cost Components'!$B$53 * 10^6) / (1+'Cost Components'!$B$55) ^'Cost Breakdown'!P13</f>
        <v>1069919999.9999999</v>
      </c>
      <c r="Q15">
        <f>('Cost Components'!$B$53 * 10^6) / (1+'Cost Components'!$B$55) ^'Cost Breakdown'!Q13</f>
        <v>1069919999.9999999</v>
      </c>
      <c r="R15">
        <f>('Cost Components'!$B$53 * 10^6) / (1+'Cost Components'!$B$55) ^'Cost Breakdown'!R13</f>
        <v>1069919999.9999999</v>
      </c>
      <c r="S15">
        <f>('Cost Components'!$B$53 * 10^6) / (1+'Cost Components'!$B$55) ^'Cost Breakdown'!S13</f>
        <v>1069919999.9999999</v>
      </c>
      <c r="T15">
        <f>('Cost Components'!$B$53 * 10^6) / (1+'Cost Components'!$B$55) ^'Cost Breakdown'!T13</f>
        <v>1069919999.9999999</v>
      </c>
      <c r="U15">
        <f>('Cost Components'!$B$53 * 10^6) / (1+'Cost Components'!$B$55) ^'Cost Breakdown'!U13</f>
        <v>1069919999.9999999</v>
      </c>
      <c r="V15">
        <f>('Cost Components'!$B$53 * 10^6) / (1+'Cost Components'!$B$55) ^'Cost Breakdown'!V13</f>
        <v>1069919999.9999999</v>
      </c>
      <c r="W15">
        <f>('Cost Components'!$B$53 * 10^6) / (1+'Cost Components'!$B$55) ^'Cost Breakdown'!W13</f>
        <v>1069919999.9999999</v>
      </c>
      <c r="X15">
        <f>('Cost Components'!$B$53 * 10^6) / (1+'Cost Components'!$B$55) ^'Cost Breakdown'!X13</f>
        <v>1069919999.9999999</v>
      </c>
      <c r="Y15">
        <f>('Cost Components'!$B$53 * 10^6) / (1+'Cost Components'!$B$55) ^'Cost Breakdown'!Y13</f>
        <v>1069919999.9999999</v>
      </c>
      <c r="Z15">
        <f>('Cost Components'!$B$53 * 10^6) / (1+'Cost Components'!$B$55) ^'Cost Breakdown'!Z13</f>
        <v>1069919999.9999999</v>
      </c>
      <c r="AA15">
        <f>('Cost Components'!$B$53 * 10^6) / (1+'Cost Components'!$B$55) ^'Cost Breakdown'!AA13</f>
        <v>1069919999.9999999</v>
      </c>
      <c r="AB15">
        <f>('Cost Components'!$B$53 * 10^6) / (1+'Cost Components'!$B$55) ^'Cost Breakdown'!AB13</f>
        <v>1069919999.9999999</v>
      </c>
      <c r="AC15">
        <f>('Cost Components'!$B$53 * 10^6) / (1+'Cost Components'!$B$55) ^'Cost Breakdown'!AC13</f>
        <v>1069919999.9999999</v>
      </c>
      <c r="AD15">
        <f>('Cost Components'!$B$53 * 10^6) / (1+'Cost Components'!$B$55) ^'Cost Breakdown'!AD13</f>
        <v>1069919999.9999999</v>
      </c>
      <c r="AE15">
        <f>('Cost Components'!$B$53 * 10^6) / (1+'Cost Components'!$B$55) ^'Cost Breakdown'!AE13</f>
        <v>1069919999.9999999</v>
      </c>
      <c r="AF15">
        <f>('Cost Components'!$B$53 * 10^6) / (1+'Cost Components'!$B$55) ^'Cost Breakdown'!AF13</f>
        <v>1069919999.9999999</v>
      </c>
    </row>
    <row r="16" spans="1:32">
      <c r="A16" t="s">
        <v>101</v>
      </c>
      <c r="B16">
        <v>0</v>
      </c>
      <c r="C16">
        <f>('Cost Components'!$B$51 * 10^6) / (1+'Cost Components'!$B$46) ^ 'Cost Breakdown'!C13</f>
        <v>210586911.33333334</v>
      </c>
      <c r="D16">
        <f>('Cost Components'!$B$51 * 10^6) / (1+'Cost Components'!$B$46) ^ 'Cost Breakdown'!D13</f>
        <v>210586911.33333334</v>
      </c>
      <c r="E16">
        <f>('Cost Components'!$B$51 * 10^6) / (1+'Cost Components'!$B$46) ^ 'Cost Breakdown'!E13</f>
        <v>210586911.33333334</v>
      </c>
      <c r="F16">
        <f>('Cost Components'!$B$51 * 10^6) / (1+'Cost Components'!$B$46) ^ 'Cost Breakdown'!F13</f>
        <v>210586911.33333334</v>
      </c>
      <c r="G16">
        <f>('Cost Components'!$B$51 * 10^6) / (1+'Cost Components'!$B$46) ^ 'Cost Breakdown'!G13</f>
        <v>210586911.33333334</v>
      </c>
      <c r="H16">
        <f>('Cost Components'!$B$51 * 10^6) / (1+'Cost Components'!$B$46) ^ 'Cost Breakdown'!H13</f>
        <v>210586911.33333334</v>
      </c>
      <c r="I16">
        <f>('Cost Components'!$B$51 * 10^6) / (1+'Cost Components'!$B$46) ^ 'Cost Breakdown'!I13</f>
        <v>210586911.33333334</v>
      </c>
      <c r="J16">
        <f>('Cost Components'!$B$51 * 10^6) / (1+'Cost Components'!$B$46) ^ 'Cost Breakdown'!J13</f>
        <v>210586911.33333334</v>
      </c>
      <c r="K16">
        <f>('Cost Components'!$B$51 * 10^6) / (1+'Cost Components'!$B$46) ^ 'Cost Breakdown'!K13</f>
        <v>210586911.33333334</v>
      </c>
      <c r="L16">
        <f>('Cost Components'!$B$51 * 10^6) / (1+'Cost Components'!$B$46) ^ 'Cost Breakdown'!L13</f>
        <v>210586911.33333334</v>
      </c>
      <c r="M16">
        <f>('Cost Components'!$B$51 * 10^6) / (1+'Cost Components'!$B$46) ^ 'Cost Breakdown'!M13</f>
        <v>210586911.33333334</v>
      </c>
      <c r="N16">
        <f>('Cost Components'!$B$51 * 10^6) / (1+'Cost Components'!$B$46) ^ 'Cost Breakdown'!N13</f>
        <v>210586911.33333334</v>
      </c>
      <c r="O16">
        <f>('Cost Components'!$B$51 * 10^6) / (1+'Cost Components'!$B$46) ^ 'Cost Breakdown'!O13</f>
        <v>210586911.33333334</v>
      </c>
      <c r="P16">
        <f>('Cost Components'!$B$51 * 10^6) / (1+'Cost Components'!$B$46) ^ 'Cost Breakdown'!P13</f>
        <v>210586911.33333334</v>
      </c>
      <c r="Q16">
        <f>('Cost Components'!$B$51 * 10^6) / (1+'Cost Components'!$B$46) ^ 'Cost Breakdown'!Q13</f>
        <v>210586911.33333334</v>
      </c>
      <c r="R16">
        <f>('Cost Components'!$B$51 * 10^6) / (1+'Cost Components'!$B$46) ^ 'Cost Breakdown'!R13</f>
        <v>210586911.33333334</v>
      </c>
      <c r="S16">
        <f>('Cost Components'!$B$51 * 10^6) / (1+'Cost Components'!$B$46) ^ 'Cost Breakdown'!S13</f>
        <v>210586911.33333334</v>
      </c>
      <c r="T16">
        <f>('Cost Components'!$B$51 * 10^6) / (1+'Cost Components'!$B$46) ^ 'Cost Breakdown'!T13</f>
        <v>210586911.33333334</v>
      </c>
      <c r="U16">
        <f>('Cost Components'!$B$51 * 10^6) / (1+'Cost Components'!$B$46) ^ 'Cost Breakdown'!U13</f>
        <v>210586911.33333334</v>
      </c>
      <c r="V16">
        <f>('Cost Components'!$B$51 * 10^6) / (1+'Cost Components'!$B$46) ^ 'Cost Breakdown'!V13</f>
        <v>210586911.33333334</v>
      </c>
      <c r="W16">
        <f>('Cost Components'!$B$51 * 10^6) / (1+'Cost Components'!$B$46) ^ 'Cost Breakdown'!W13</f>
        <v>210586911.33333334</v>
      </c>
      <c r="X16">
        <f>('Cost Components'!$B$51 * 10^6) / (1+'Cost Components'!$B$46) ^ 'Cost Breakdown'!X13</f>
        <v>210586911.33333334</v>
      </c>
      <c r="Y16">
        <f>('Cost Components'!$B$51 * 10^6) / (1+'Cost Components'!$B$46) ^ 'Cost Breakdown'!Y13</f>
        <v>210586911.33333334</v>
      </c>
      <c r="Z16">
        <f>('Cost Components'!$B$51 * 10^6) / (1+'Cost Components'!$B$46) ^ 'Cost Breakdown'!Z13</f>
        <v>210586911.33333334</v>
      </c>
      <c r="AA16">
        <f>('Cost Components'!$B$51 * 10^6) / (1+'Cost Components'!$B$46) ^ 'Cost Breakdown'!AA13</f>
        <v>210586911.33333334</v>
      </c>
      <c r="AB16">
        <f>('Cost Components'!$B$51 * 10^6) / (1+'Cost Components'!$B$46) ^ 'Cost Breakdown'!AB13</f>
        <v>210586911.33333334</v>
      </c>
      <c r="AC16">
        <f>('Cost Components'!$B$51 * 10^6) / (1+'Cost Components'!$B$46) ^ 'Cost Breakdown'!AC13</f>
        <v>210586911.33333334</v>
      </c>
      <c r="AD16">
        <f>('Cost Components'!$B$51 * 10^6) / (1+'Cost Components'!$B$46) ^ 'Cost Breakdown'!AD13</f>
        <v>210586911.33333334</v>
      </c>
      <c r="AE16">
        <f>('Cost Components'!$B$51 * 10^6) / (1+'Cost Components'!$B$46) ^ 'Cost Breakdown'!AE13</f>
        <v>210586911.33333334</v>
      </c>
      <c r="AF16">
        <f>('Cost Components'!$B$51 * 10^6) / (1+'Cost Components'!$B$46) ^ 'Cost Breakdown'!AF13</f>
        <v>210586911.33333334</v>
      </c>
    </row>
    <row r="17" spans="1:32">
      <c r="A17" t="s">
        <v>87</v>
      </c>
      <c r="B17">
        <f>'Cost Components'!$B$56</f>
        <v>301070803.51751143</v>
      </c>
      <c r="C17">
        <f>'Cost Components'!$B$56</f>
        <v>301070803.51751143</v>
      </c>
      <c r="D17">
        <f>'Cost Components'!$B$56</f>
        <v>301070803.51751143</v>
      </c>
      <c r="E17">
        <f>'Cost Components'!$B$56</f>
        <v>301070803.51751143</v>
      </c>
      <c r="F17">
        <f>'Cost Components'!$B$56</f>
        <v>301070803.51751143</v>
      </c>
      <c r="G17">
        <f>'Cost Components'!$B$56</f>
        <v>301070803.51751143</v>
      </c>
      <c r="H17">
        <f>'Cost Components'!$B$56</f>
        <v>301070803.51751143</v>
      </c>
      <c r="I17">
        <f>'Cost Components'!$B$56</f>
        <v>301070803.51751143</v>
      </c>
      <c r="J17">
        <f>'Cost Components'!$B$56</f>
        <v>301070803.51751143</v>
      </c>
      <c r="K17">
        <f>'Cost Components'!$B$56</f>
        <v>301070803.51751143</v>
      </c>
      <c r="L17">
        <f>'Cost Components'!$B$56</f>
        <v>301070803.51751143</v>
      </c>
      <c r="M17">
        <f>'Cost Components'!$B$56</f>
        <v>301070803.51751143</v>
      </c>
      <c r="N17">
        <f>'Cost Components'!$B$56</f>
        <v>301070803.51751143</v>
      </c>
      <c r="O17">
        <f>'Cost Components'!$B$56</f>
        <v>301070803.51751143</v>
      </c>
      <c r="P17">
        <f>'Cost Components'!$B$56</f>
        <v>301070803.51751143</v>
      </c>
      <c r="Q17">
        <f>'Cost Components'!$B$56</f>
        <v>301070803.51751143</v>
      </c>
      <c r="R17">
        <f>'Cost Components'!$B$56</f>
        <v>301070803.51751143</v>
      </c>
      <c r="S17">
        <f>'Cost Components'!$B$56</f>
        <v>301070803.51751143</v>
      </c>
      <c r="T17">
        <f>'Cost Components'!$B$56</f>
        <v>301070803.51751143</v>
      </c>
      <c r="U17">
        <f>'Cost Components'!$B$56</f>
        <v>301070803.51751143</v>
      </c>
      <c r="V17">
        <f>'Cost Components'!$B$56</f>
        <v>301070803.51751143</v>
      </c>
      <c r="W17">
        <f>'Cost Components'!$B$56</f>
        <v>301070803.51751143</v>
      </c>
      <c r="X17">
        <f>'Cost Components'!$B$56</f>
        <v>301070803.51751143</v>
      </c>
      <c r="Y17">
        <f>'Cost Components'!$B$56</f>
        <v>301070803.51751143</v>
      </c>
      <c r="Z17">
        <f>'Cost Components'!$B$56</f>
        <v>301070803.51751143</v>
      </c>
      <c r="AA17">
        <f>'Cost Components'!$B$56</f>
        <v>301070803.51751143</v>
      </c>
      <c r="AB17">
        <f>'Cost Components'!$B$56</f>
        <v>301070803.51751143</v>
      </c>
      <c r="AC17">
        <f>'Cost Components'!$B$56</f>
        <v>301070803.51751143</v>
      </c>
      <c r="AD17">
        <f>'Cost Components'!$B$56</f>
        <v>301070803.51751143</v>
      </c>
      <c r="AE17">
        <f>'Cost Components'!$B$56</f>
        <v>301070803.51751143</v>
      </c>
      <c r="AF17">
        <f>'Cost Components'!$B$56</f>
        <v>301070803.51751143</v>
      </c>
    </row>
    <row r="18" spans="1:32">
      <c r="A18" t="s">
        <v>157</v>
      </c>
      <c r="B18">
        <v>0</v>
      </c>
      <c r="C18">
        <f>('Cost Components'!$B$38-'Cost Components'!$B$37-'Cost Components'!$B$36) * 10^6</f>
        <v>66061299.303944223</v>
      </c>
      <c r="D18">
        <f>('Cost Components'!$B$38-'Cost Components'!$B$37-'Cost Components'!$B$36) * 10^6</f>
        <v>66061299.303944223</v>
      </c>
      <c r="E18">
        <f>('Cost Components'!$B$38-'Cost Components'!$B$37-'Cost Components'!$B$36) * 10^6</f>
        <v>66061299.303944223</v>
      </c>
      <c r="F18">
        <f>('Cost Components'!$B$38-'Cost Components'!$B$37-'Cost Components'!$B$36) * 10^6</f>
        <v>66061299.303944223</v>
      </c>
      <c r="G18">
        <f>('Cost Components'!$B$38-'Cost Components'!$B$37-'Cost Components'!$B$36) * 10^6</f>
        <v>66061299.303944223</v>
      </c>
      <c r="H18">
        <f>('Cost Components'!$B$38-'Cost Components'!$B$37-'Cost Components'!$B$36) * 10^6</f>
        <v>66061299.303944223</v>
      </c>
      <c r="I18">
        <f>('Cost Components'!$B$38-'Cost Components'!$B$37-'Cost Components'!$B$36) * 10^6</f>
        <v>66061299.303944223</v>
      </c>
      <c r="J18">
        <f>('Cost Components'!$B$38-'Cost Components'!$B$37-'Cost Components'!$B$36) * 10^6</f>
        <v>66061299.303944223</v>
      </c>
      <c r="K18">
        <f>('Cost Components'!$B$38-'Cost Components'!$B$37-'Cost Components'!$B$36) * 10^6</f>
        <v>66061299.303944223</v>
      </c>
      <c r="L18">
        <f>('Cost Components'!$B$38-'Cost Components'!$B$37-'Cost Components'!$B$36) * 10^6</f>
        <v>66061299.303944223</v>
      </c>
      <c r="M18">
        <f>('Cost Components'!$B$38-'Cost Components'!$B$37-'Cost Components'!$B$36) * 10^6</f>
        <v>66061299.303944223</v>
      </c>
      <c r="N18">
        <f>('Cost Components'!$B$38-'Cost Components'!$B$37-'Cost Components'!$B$36) * 10^6</f>
        <v>66061299.303944223</v>
      </c>
      <c r="O18">
        <f>('Cost Components'!$B$38-'Cost Components'!$B$37-'Cost Components'!$B$36) * 10^6</f>
        <v>66061299.303944223</v>
      </c>
      <c r="P18">
        <f>('Cost Components'!$B$38-'Cost Components'!$B$37-'Cost Components'!$B$36) * 10^6</f>
        <v>66061299.303944223</v>
      </c>
      <c r="Q18">
        <f>('Cost Components'!$B$38-'Cost Components'!$B$37-'Cost Components'!$B$36) * 10^6</f>
        <v>66061299.303944223</v>
      </c>
      <c r="R18">
        <f>('Cost Components'!$B$38-'Cost Components'!$B$37-'Cost Components'!$B$36) * 10^6</f>
        <v>66061299.303944223</v>
      </c>
      <c r="S18">
        <f>('Cost Components'!$B$38-'Cost Components'!$B$37-'Cost Components'!$B$36) * 10^6</f>
        <v>66061299.303944223</v>
      </c>
      <c r="T18">
        <f>('Cost Components'!$B$38-'Cost Components'!$B$37-'Cost Components'!$B$36) * 10^6</f>
        <v>66061299.303944223</v>
      </c>
      <c r="U18">
        <f>('Cost Components'!$B$38-'Cost Components'!$B$37-'Cost Components'!$B$36) * 10^6</f>
        <v>66061299.303944223</v>
      </c>
      <c r="V18">
        <f>('Cost Components'!$B$38-'Cost Components'!$B$37-'Cost Components'!$B$36) * 10^6</f>
        <v>66061299.303944223</v>
      </c>
      <c r="W18">
        <f>('Cost Components'!$B$38-'Cost Components'!$B$37-'Cost Components'!$B$36) * 10^6</f>
        <v>66061299.303944223</v>
      </c>
      <c r="X18">
        <f>('Cost Components'!$B$38-'Cost Components'!$B$37-'Cost Components'!$B$36) * 10^6</f>
        <v>66061299.303944223</v>
      </c>
      <c r="Y18">
        <f>('Cost Components'!$B$38-'Cost Components'!$B$37-'Cost Components'!$B$36) * 10^6</f>
        <v>66061299.303944223</v>
      </c>
      <c r="Z18">
        <f>('Cost Components'!$B$38-'Cost Components'!$B$37-'Cost Components'!$B$36) * 10^6</f>
        <v>66061299.303944223</v>
      </c>
      <c r="AA18">
        <f>('Cost Components'!$B$38-'Cost Components'!$B$37-'Cost Components'!$B$36) * 10^6</f>
        <v>66061299.303944223</v>
      </c>
      <c r="AB18">
        <f>('Cost Components'!$B$38-'Cost Components'!$B$37-'Cost Components'!$B$36) * 10^6</f>
        <v>66061299.303944223</v>
      </c>
      <c r="AC18">
        <f>('Cost Components'!$B$38-'Cost Components'!$B$37-'Cost Components'!$B$36) * 10^6</f>
        <v>66061299.303944223</v>
      </c>
      <c r="AD18">
        <f>('Cost Components'!$B$38-'Cost Components'!$B$37-'Cost Components'!$B$36) * 10^6</f>
        <v>66061299.303944223</v>
      </c>
      <c r="AE18">
        <f>('Cost Components'!$B$38-'Cost Components'!$B$37-'Cost Components'!$B$36) * 10^6</f>
        <v>66061299.303944223</v>
      </c>
      <c r="AF18">
        <f>('Cost Components'!$B$38-'Cost Components'!$B$37-'Cost Components'!$B$36) * 10^6</f>
        <v>66061299.303944223</v>
      </c>
    </row>
    <row r="20" spans="1:32">
      <c r="A20" t="s">
        <v>158</v>
      </c>
    </row>
    <row r="21" spans="1:32">
      <c r="A21" t="s">
        <v>156</v>
      </c>
      <c r="B21" s="36">
        <f>SUM(B15:AF15) / SUM($B$15:$AF$18)</f>
        <v>0.64543423090865204</v>
      </c>
    </row>
    <row r="22" spans="1:32">
      <c r="A22" t="s">
        <v>101</v>
      </c>
      <c r="B22" s="36">
        <f t="shared" ref="B22:B24" si="1">SUM(B16:AF16) / SUM($B$15:$AF$18)</f>
        <v>0.12703753659699649</v>
      </c>
    </row>
    <row r="23" spans="1:32">
      <c r="A23" t="s">
        <v>87</v>
      </c>
      <c r="B23" s="36">
        <f t="shared" si="1"/>
        <v>0.18767644552984095</v>
      </c>
    </row>
    <row r="24" spans="1:32">
      <c r="A24" t="s">
        <v>157</v>
      </c>
      <c r="B24" s="36">
        <f t="shared" si="1"/>
        <v>3.9851786964509014E-2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T47"/>
  <sheetViews>
    <sheetView topLeftCell="A20" workbookViewId="0">
      <selection activeCell="C41" sqref="C41"/>
    </sheetView>
  </sheetViews>
  <sheetFormatPr defaultColWidth="11" defaultRowHeight="15.75"/>
  <cols>
    <col min="1" max="1" width="17" bestFit="1" customWidth="1"/>
    <col min="4" max="4" width="15.875" bestFit="1" customWidth="1"/>
    <col min="5" max="5" width="12.125" bestFit="1" customWidth="1"/>
    <col min="6" max="6" width="13.625" bestFit="1" customWidth="1"/>
    <col min="10" max="10" width="11.625" bestFit="1" customWidth="1"/>
    <col min="11" max="11" width="15.875" bestFit="1" customWidth="1"/>
    <col min="13" max="13" width="13.625" bestFit="1" customWidth="1"/>
    <col min="20" max="20" width="13.625" bestFit="1" customWidth="1"/>
  </cols>
  <sheetData>
    <row r="1" spans="1:20">
      <c r="A1" s="49" t="s">
        <v>160</v>
      </c>
      <c r="B1" s="42"/>
      <c r="C1" s="42"/>
      <c r="D1" s="42"/>
      <c r="E1" s="42"/>
      <c r="F1" s="42"/>
      <c r="H1" s="49" t="s">
        <v>161</v>
      </c>
      <c r="I1" s="42"/>
      <c r="J1" s="42"/>
      <c r="K1" s="42"/>
      <c r="L1" s="42"/>
      <c r="M1" s="42"/>
      <c r="O1" s="49" t="s">
        <v>162</v>
      </c>
      <c r="P1" s="42"/>
      <c r="Q1" s="42"/>
      <c r="R1" s="42"/>
      <c r="S1" s="42"/>
      <c r="T1" s="42"/>
    </row>
    <row r="2" spans="1:20">
      <c r="A2" s="21" t="s">
        <v>0</v>
      </c>
      <c r="B2" s="21" t="s">
        <v>3</v>
      </c>
      <c r="C2" s="21" t="s">
        <v>163</v>
      </c>
      <c r="D2" s="21" t="s">
        <v>164</v>
      </c>
      <c r="E2" s="21" t="s">
        <v>165</v>
      </c>
      <c r="F2" s="21" t="s">
        <v>166</v>
      </c>
      <c r="H2" s="21" t="s">
        <v>0</v>
      </c>
      <c r="I2" s="21" t="s">
        <v>3</v>
      </c>
      <c r="J2" s="21" t="s">
        <v>163</v>
      </c>
      <c r="K2" s="21" t="s">
        <v>164</v>
      </c>
      <c r="L2" s="21" t="s">
        <v>165</v>
      </c>
      <c r="M2" s="21" t="s">
        <v>166</v>
      </c>
      <c r="O2" s="21" t="s">
        <v>0</v>
      </c>
      <c r="P2" s="21" t="s">
        <v>3</v>
      </c>
      <c r="Q2" s="21" t="s">
        <v>163</v>
      </c>
      <c r="R2" s="21" t="s">
        <v>164</v>
      </c>
      <c r="S2" s="21" t="s">
        <v>165</v>
      </c>
      <c r="T2" s="21" t="s">
        <v>166</v>
      </c>
    </row>
    <row r="3" spans="1:20">
      <c r="A3" s="22" t="s">
        <v>167</v>
      </c>
      <c r="B3" s="22" t="s">
        <v>168</v>
      </c>
      <c r="C3" s="32">
        <f>'MFSP Baseline'!B9</f>
        <v>4.624753489178385</v>
      </c>
      <c r="D3" s="32">
        <f>'MFSP Electricity'!B9</f>
        <v>3.9649547712511146</v>
      </c>
      <c r="E3" s="32">
        <f>'MFSP CO2 Corrected'!B9</f>
        <v>7.0437610212511137</v>
      </c>
      <c r="F3" s="32">
        <f>'MFSP WACC Corrected'!B9</f>
        <v>6.7170632102834826</v>
      </c>
      <c r="H3" s="22" t="s">
        <v>167</v>
      </c>
      <c r="I3" s="22" t="s">
        <v>168</v>
      </c>
      <c r="J3" s="32">
        <f>'MFSP Baseline'!B31</f>
        <v>4.1041302730930944</v>
      </c>
      <c r="K3" s="32">
        <f>'MFSP Electricity'!B31</f>
        <v>3.5751737040486136</v>
      </c>
      <c r="L3" s="32">
        <f>'MFSP CO2 Corrected'!B31</f>
        <v>6.6539799540486122</v>
      </c>
      <c r="M3" s="32">
        <f>'MFSP WACC Corrected'!B31</f>
        <v>6.3945065003377843</v>
      </c>
      <c r="N3" s="5"/>
      <c r="O3" s="34" t="s">
        <v>167</v>
      </c>
      <c r="P3" s="34" t="s">
        <v>168</v>
      </c>
      <c r="Q3" s="32">
        <f>'MFSP Baseline'!B55</f>
        <v>4.0448105265557928</v>
      </c>
      <c r="R3" s="32">
        <f>'MFSP Electricity'!B55</f>
        <v>4.0208801957224605</v>
      </c>
      <c r="S3" s="32">
        <f>'MFSP CO2 Corrected'!B55</f>
        <v>7.0996864457224591</v>
      </c>
      <c r="T3" s="32">
        <f>'MFSP WACC Corrected'!B55</f>
        <v>6.7644023461332434</v>
      </c>
    </row>
    <row r="4" spans="1:20">
      <c r="A4" s="22" t="s">
        <v>167</v>
      </c>
      <c r="B4" s="22" t="s">
        <v>21</v>
      </c>
      <c r="C4" s="32">
        <f>C3/Inputs!$C$6</f>
        <v>5.1386149879759833</v>
      </c>
      <c r="D4" s="32">
        <f>D3/Inputs!$C$6</f>
        <v>4.4055053013901269</v>
      </c>
      <c r="E4" s="32">
        <f>E3/Inputs!$C$6</f>
        <v>7.8264011347234597</v>
      </c>
      <c r="F4" s="32">
        <f>F3/Inputs!$C$6</f>
        <v>7.463403566981647</v>
      </c>
      <c r="H4" s="22" t="s">
        <v>167</v>
      </c>
      <c r="I4" s="22" t="s">
        <v>21</v>
      </c>
      <c r="J4" s="32">
        <f>J3/Inputs!$C$6</f>
        <v>4.5601447478812158</v>
      </c>
      <c r="K4" s="32">
        <f>K3/Inputs!$C$6</f>
        <v>3.9724152267206816</v>
      </c>
      <c r="L4" s="32">
        <f>L3/Inputs!$C$6</f>
        <v>7.3933110600540131</v>
      </c>
      <c r="M4" s="32">
        <f>M3/Inputs!$C$6</f>
        <v>7.1050072225975383</v>
      </c>
      <c r="N4" s="5"/>
      <c r="O4" s="34" t="s">
        <v>167</v>
      </c>
      <c r="P4" s="34" t="s">
        <v>21</v>
      </c>
      <c r="Q4" s="32">
        <f>Q3/Inputs!$C$6</f>
        <v>4.4942339183953255</v>
      </c>
      <c r="R4" s="32">
        <f>R3/Inputs!$C$6</f>
        <v>4.4676446619138446</v>
      </c>
      <c r="S4" s="32">
        <f>S3/Inputs!$C$6</f>
        <v>7.8885404952471765</v>
      </c>
      <c r="T4" s="32">
        <f>T3/Inputs!$C$6</f>
        <v>7.5160026068147143</v>
      </c>
    </row>
    <row r="5" spans="1:20">
      <c r="A5" s="22" t="s">
        <v>169</v>
      </c>
      <c r="B5" s="22" t="s">
        <v>21</v>
      </c>
      <c r="C5" s="32">
        <f>Inputs!$C$16</f>
        <v>0.8</v>
      </c>
      <c r="D5" s="32">
        <f>Inputs!$C$16</f>
        <v>0.8</v>
      </c>
      <c r="E5" s="32">
        <f>Inputs!$C$16</f>
        <v>0.8</v>
      </c>
      <c r="F5" s="32">
        <f>Inputs!$C$16</f>
        <v>0.8</v>
      </c>
      <c r="H5" s="22" t="s">
        <v>169</v>
      </c>
      <c r="I5" s="22" t="s">
        <v>21</v>
      </c>
      <c r="J5" s="32">
        <f>Inputs!$C$16</f>
        <v>0.8</v>
      </c>
      <c r="K5" s="32">
        <f>Inputs!$C$16</f>
        <v>0.8</v>
      </c>
      <c r="L5" s="32">
        <f>Inputs!$C$16</f>
        <v>0.8</v>
      </c>
      <c r="M5" s="32">
        <f>Inputs!$C$16</f>
        <v>0.8</v>
      </c>
      <c r="O5" s="22" t="s">
        <v>169</v>
      </c>
      <c r="P5" s="22" t="s">
        <v>21</v>
      </c>
      <c r="Q5" s="32">
        <f>Inputs!$C$16</f>
        <v>0.8</v>
      </c>
      <c r="R5" s="32">
        <f>Inputs!$C$16</f>
        <v>0.8</v>
      </c>
      <c r="S5" s="32">
        <f>Inputs!$C$16</f>
        <v>0.8</v>
      </c>
      <c r="T5" s="32">
        <f>Inputs!$C$16</f>
        <v>0.8</v>
      </c>
    </row>
    <row r="6" spans="1:20">
      <c r="A6" s="22" t="s">
        <v>170</v>
      </c>
      <c r="B6" s="22" t="s">
        <v>171</v>
      </c>
      <c r="C6" s="16">
        <f>'Study Parameters'!$C$35</f>
        <v>5.9</v>
      </c>
      <c r="D6" s="16">
        <f>'Study Parameters'!$C$35</f>
        <v>5.9</v>
      </c>
      <c r="E6" s="16">
        <f>'Study Parameters'!$C$35</f>
        <v>5.9</v>
      </c>
      <c r="F6" s="16">
        <f>'Study Parameters'!$C$35</f>
        <v>5.9</v>
      </c>
      <c r="H6" s="22" t="s">
        <v>170</v>
      </c>
      <c r="I6" s="22" t="s">
        <v>171</v>
      </c>
      <c r="J6" s="16">
        <f>'Study Parameters'!$C$35</f>
        <v>5.9</v>
      </c>
      <c r="K6" s="16">
        <f>'Study Parameters'!$C$35</f>
        <v>5.9</v>
      </c>
      <c r="L6" s="16">
        <f>'Study Parameters'!$C$35</f>
        <v>5.9</v>
      </c>
      <c r="M6" s="16">
        <f>'Study Parameters'!$C$35</f>
        <v>5.9</v>
      </c>
      <c r="O6" s="22" t="s">
        <v>170</v>
      </c>
      <c r="P6" s="22" t="s">
        <v>171</v>
      </c>
      <c r="Q6" s="16">
        <f>'Study Parameters'!$C$35</f>
        <v>5.9</v>
      </c>
      <c r="R6" s="16">
        <f>'Study Parameters'!$C$35</f>
        <v>5.9</v>
      </c>
      <c r="S6" s="16">
        <f>'Study Parameters'!$C$35</f>
        <v>5.9</v>
      </c>
      <c r="T6" s="16">
        <f>'Study Parameters'!$C$35</f>
        <v>5.9</v>
      </c>
    </row>
    <row r="7" spans="1:20">
      <c r="A7" s="22" t="s">
        <v>172</v>
      </c>
      <c r="B7" s="22" t="s">
        <v>171</v>
      </c>
      <c r="C7" s="16">
        <f>Inputs!$C$11</f>
        <v>88.7</v>
      </c>
      <c r="D7" s="16">
        <f>Inputs!$C$11</f>
        <v>88.7</v>
      </c>
      <c r="E7" s="16">
        <f>Inputs!$C$11</f>
        <v>88.7</v>
      </c>
      <c r="F7" s="16">
        <f>Inputs!$C$11</f>
        <v>88.7</v>
      </c>
      <c r="H7" s="22" t="s">
        <v>172</v>
      </c>
      <c r="I7" s="22" t="s">
        <v>171</v>
      </c>
      <c r="J7" s="16">
        <f>Inputs!$C$11</f>
        <v>88.7</v>
      </c>
      <c r="K7" s="16">
        <f>Inputs!$C$11</f>
        <v>88.7</v>
      </c>
      <c r="L7" s="16">
        <f>Inputs!$C$11</f>
        <v>88.7</v>
      </c>
      <c r="M7" s="16">
        <f>Inputs!$C$11</f>
        <v>88.7</v>
      </c>
      <c r="O7" s="22" t="s">
        <v>172</v>
      </c>
      <c r="P7" s="22" t="s">
        <v>171</v>
      </c>
      <c r="Q7" s="16">
        <f>Inputs!$C$11</f>
        <v>88.7</v>
      </c>
      <c r="R7" s="16">
        <f>Inputs!$C$11</f>
        <v>88.7</v>
      </c>
      <c r="S7" s="16">
        <f>Inputs!$C$11</f>
        <v>88.7</v>
      </c>
      <c r="T7" s="16">
        <f>Inputs!$C$11</f>
        <v>88.7</v>
      </c>
    </row>
    <row r="8" spans="1:20">
      <c r="A8" s="22" t="s">
        <v>173</v>
      </c>
      <c r="B8" s="22" t="s">
        <v>171</v>
      </c>
      <c r="C8" s="16">
        <f>C7-C6</f>
        <v>82.8</v>
      </c>
      <c r="D8" s="16">
        <f>D7-D6</f>
        <v>82.8</v>
      </c>
      <c r="E8" s="16">
        <f>E7-E6</f>
        <v>82.8</v>
      </c>
      <c r="F8" s="16">
        <f>F7-F6</f>
        <v>82.8</v>
      </c>
      <c r="H8" s="22" t="s">
        <v>173</v>
      </c>
      <c r="I8" s="22" t="s">
        <v>171</v>
      </c>
      <c r="J8" s="16">
        <f>J7-J6</f>
        <v>82.8</v>
      </c>
      <c r="K8" s="16">
        <f>K7-K6</f>
        <v>82.8</v>
      </c>
      <c r="L8" s="16">
        <f>L7-L6</f>
        <v>82.8</v>
      </c>
      <c r="M8" s="16">
        <f>M7-M6</f>
        <v>82.8</v>
      </c>
      <c r="O8" s="22" t="s">
        <v>173</v>
      </c>
      <c r="P8" s="22" t="s">
        <v>171</v>
      </c>
      <c r="Q8" s="16">
        <f>Q7-Q6</f>
        <v>82.8</v>
      </c>
      <c r="R8" s="16">
        <f>R7-R6</f>
        <v>82.8</v>
      </c>
      <c r="S8" s="16">
        <f>S7-S6</f>
        <v>82.8</v>
      </c>
      <c r="T8" s="16">
        <f>T7-T6</f>
        <v>82.8</v>
      </c>
    </row>
    <row r="9" spans="1:20">
      <c r="A9" s="22" t="s">
        <v>173</v>
      </c>
      <c r="B9" s="22" t="s">
        <v>174</v>
      </c>
      <c r="C9" s="16">
        <f>C8*Inputs!$C$14</f>
        <v>2872.2988800000003</v>
      </c>
      <c r="D9" s="16">
        <f>D8*Inputs!$C$14</f>
        <v>2872.2988800000003</v>
      </c>
      <c r="E9" s="16">
        <f>E8*Inputs!$C$14</f>
        <v>2872.2988800000003</v>
      </c>
      <c r="F9" s="16">
        <f>F8*Inputs!$C$14</f>
        <v>2872.2988800000003</v>
      </c>
      <c r="H9" s="22" t="s">
        <v>173</v>
      </c>
      <c r="I9" s="22" t="s">
        <v>174</v>
      </c>
      <c r="J9" s="16">
        <f>J8*Inputs!$C$14</f>
        <v>2872.2988800000003</v>
      </c>
      <c r="K9" s="16">
        <f>K8*Inputs!$C$14</f>
        <v>2872.2988800000003</v>
      </c>
      <c r="L9" s="16">
        <f>L8*Inputs!$C$14</f>
        <v>2872.2988800000003</v>
      </c>
      <c r="M9" s="16">
        <f>M8*Inputs!$C$14</f>
        <v>2872.2988800000003</v>
      </c>
      <c r="O9" s="22" t="s">
        <v>173</v>
      </c>
      <c r="P9" s="22" t="s">
        <v>174</v>
      </c>
      <c r="Q9" s="16">
        <f>Q8*Inputs!$C$14</f>
        <v>2872.2988800000003</v>
      </c>
      <c r="R9" s="16">
        <f>R8*Inputs!$C$14</f>
        <v>2872.2988800000003</v>
      </c>
      <c r="S9" s="16">
        <f>S8*Inputs!$C$14</f>
        <v>2872.2988800000003</v>
      </c>
      <c r="T9" s="16">
        <f>T8*Inputs!$C$14</f>
        <v>2872.2988800000003</v>
      </c>
    </row>
    <row r="10" spans="1:20">
      <c r="A10" s="22" t="s">
        <v>175</v>
      </c>
      <c r="B10" s="22" t="s">
        <v>29</v>
      </c>
      <c r="C10" s="33">
        <f>((C4-C5)/C9) * 10^6</f>
        <v>1510.502621501556</v>
      </c>
      <c r="D10" s="33">
        <f>((D4-D5)/D9) * 10^6</f>
        <v>1255.2681500158253</v>
      </c>
      <c r="E10" s="33">
        <f>((E4-E5)/E9) * 10^6</f>
        <v>2446.2639259614443</v>
      </c>
      <c r="F10" s="33">
        <f>((F4-F5)/F9) * 10^6</f>
        <v>2319.8851670274812</v>
      </c>
      <c r="H10" s="22" t="s">
        <v>175</v>
      </c>
      <c r="I10" s="22" t="s">
        <v>29</v>
      </c>
      <c r="J10" s="33">
        <f>((J4-J5)/J9) * 10^6</f>
        <v>1309.1063656583035</v>
      </c>
      <c r="K10" s="33">
        <f>((K4-K5)/K9) * 10^6</f>
        <v>1104.4864616319737</v>
      </c>
      <c r="L10" s="33">
        <f>((L4-L5)/L9) * 10^6</f>
        <v>2295.4822375775925</v>
      </c>
      <c r="M10" s="33">
        <f>((M4-M5)/M9) * 10^6</f>
        <v>2195.1083386550417</v>
      </c>
      <c r="O10" s="22" t="s">
        <v>175</v>
      </c>
      <c r="P10" s="22" t="s">
        <v>29</v>
      </c>
      <c r="Q10" s="33">
        <f>((Q4-Q5)/Q9) * 10^6</f>
        <v>1286.1593005235322</v>
      </c>
      <c r="R10" s="33">
        <f>((R4-R5)/R9) * 10^6</f>
        <v>1276.9021662236783</v>
      </c>
      <c r="S10" s="33">
        <f>((S4-S5)/S9) * 10^6</f>
        <v>2467.8979421692966</v>
      </c>
      <c r="T10" s="33">
        <f>((T4-T5)/T9) * 10^6</f>
        <v>2338.1976902120696</v>
      </c>
    </row>
    <row r="12" spans="1:20">
      <c r="A12" s="49" t="s">
        <v>176</v>
      </c>
      <c r="B12" s="42"/>
      <c r="C12" s="42"/>
      <c r="D12" s="42"/>
      <c r="E12" s="42"/>
      <c r="F12" s="42"/>
      <c r="H12" s="49" t="s">
        <v>177</v>
      </c>
      <c r="I12" s="42"/>
      <c r="J12" s="42"/>
      <c r="K12" s="42"/>
      <c r="L12" s="42"/>
      <c r="M12" s="42"/>
      <c r="O12" s="49" t="s">
        <v>178</v>
      </c>
      <c r="P12" s="42"/>
      <c r="Q12" s="42"/>
      <c r="R12" s="42"/>
      <c r="S12" s="42"/>
      <c r="T12" s="42"/>
    </row>
    <row r="13" spans="1:20">
      <c r="A13" s="21" t="s">
        <v>0</v>
      </c>
      <c r="B13" s="21" t="s">
        <v>3</v>
      </c>
      <c r="C13" s="21" t="s">
        <v>163</v>
      </c>
      <c r="D13" s="21" t="s">
        <v>164</v>
      </c>
      <c r="E13" s="21" t="s">
        <v>165</v>
      </c>
      <c r="F13" s="21" t="s">
        <v>166</v>
      </c>
      <c r="H13" s="21" t="s">
        <v>0</v>
      </c>
      <c r="I13" s="21" t="s">
        <v>3</v>
      </c>
      <c r="J13" s="21" t="s">
        <v>163</v>
      </c>
      <c r="K13" s="21" t="s">
        <v>164</v>
      </c>
      <c r="L13" s="21" t="s">
        <v>165</v>
      </c>
      <c r="M13" s="21" t="s">
        <v>166</v>
      </c>
      <c r="O13" s="21" t="s">
        <v>0</v>
      </c>
      <c r="P13" s="21" t="s">
        <v>3</v>
      </c>
      <c r="Q13" s="21" t="s">
        <v>163</v>
      </c>
      <c r="R13" s="21" t="s">
        <v>164</v>
      </c>
      <c r="S13" s="21" t="s">
        <v>165</v>
      </c>
      <c r="T13" s="21" t="s">
        <v>166</v>
      </c>
    </row>
    <row r="14" spans="1:20">
      <c r="A14" s="22" t="s">
        <v>167</v>
      </c>
      <c r="B14" s="22" t="s">
        <v>168</v>
      </c>
      <c r="C14" s="32">
        <f>'MFSP Baseline'!B19</f>
        <v>2.8726141678593238</v>
      </c>
      <c r="D14" s="32">
        <f>'MFSP Electricity'!B19</f>
        <v>1.8914706036926556</v>
      </c>
      <c r="E14" s="32">
        <f>'MFSP CO2 Corrected'!B19</f>
        <v>2.7886431036926567</v>
      </c>
      <c r="F14" s="32">
        <f>'MFSP WACC Corrected'!B19</f>
        <v>2.5930432604594715</v>
      </c>
      <c r="G14" s="5"/>
      <c r="H14" s="34" t="s">
        <v>167</v>
      </c>
      <c r="I14" s="34" t="s">
        <v>168</v>
      </c>
      <c r="J14" s="32">
        <f>'MFSP Baseline'!B42</f>
        <v>3.2708823007043457</v>
      </c>
      <c r="K14" s="32">
        <f>'MFSP Electricity'!B42</f>
        <v>1.905568252668423</v>
      </c>
      <c r="L14" s="32">
        <f>'MFSP CO2 Corrected'!B42</f>
        <v>2.8027407526684223</v>
      </c>
      <c r="M14" s="32">
        <f>'MFSP WACC Corrected'!B42</f>
        <v>2.6053608252088116</v>
      </c>
      <c r="N14" s="5"/>
      <c r="O14" s="34" t="s">
        <v>167</v>
      </c>
      <c r="P14" s="34" t="s">
        <v>168</v>
      </c>
      <c r="Q14" s="32">
        <f>'MFSP Baseline'!B65</f>
        <v>2.8712011872480905</v>
      </c>
      <c r="R14" s="32">
        <f>'MFSP Electricity'!B65</f>
        <v>1.8900576230814237</v>
      </c>
      <c r="S14" s="32">
        <f>'MFSP CO2 Corrected'!B65</f>
        <v>2.7872301230814234</v>
      </c>
      <c r="T14" s="16">
        <f>'MFSP WACC Corrected'!B65</f>
        <v>2.5921014786140577</v>
      </c>
    </row>
    <row r="15" spans="1:20">
      <c r="A15" s="22" t="s">
        <v>167</v>
      </c>
      <c r="B15" s="22" t="s">
        <v>21</v>
      </c>
      <c r="C15" s="32">
        <f>C14/Inputs!$C$6</f>
        <v>3.1917935198436931</v>
      </c>
      <c r="D15" s="32">
        <f>D14/Inputs!$C$6</f>
        <v>2.1016340041029506</v>
      </c>
      <c r="E15" s="32">
        <f>E14/Inputs!$C$6</f>
        <v>3.0984923374362849</v>
      </c>
      <c r="F15" s="32">
        <f>F14/Inputs!$C$6</f>
        <v>2.8811591782883017</v>
      </c>
      <c r="G15" s="5"/>
      <c r="H15" s="34" t="s">
        <v>167</v>
      </c>
      <c r="I15" s="34" t="s">
        <v>21</v>
      </c>
      <c r="J15" s="32">
        <f>J14/Inputs!$C$6</f>
        <v>3.6343136674492729</v>
      </c>
      <c r="K15" s="32">
        <f>K14/Inputs!$C$6</f>
        <v>2.1172980585204701</v>
      </c>
      <c r="L15" s="32">
        <f>L14/Inputs!$C$6</f>
        <v>3.1141563918538022</v>
      </c>
      <c r="M15" s="32">
        <f>M14/Inputs!$C$6</f>
        <v>2.894845361343124</v>
      </c>
      <c r="N15" s="5"/>
      <c r="O15" s="34" t="s">
        <v>167</v>
      </c>
      <c r="P15" s="34" t="s">
        <v>21</v>
      </c>
      <c r="Q15" s="32">
        <f>Q14/Inputs!$C$6</f>
        <v>3.190223541386767</v>
      </c>
      <c r="R15" s="32">
        <f>R14/Inputs!$C$6</f>
        <v>2.1000640256460263</v>
      </c>
      <c r="S15" s="32">
        <f>S14/Inputs!$C$6</f>
        <v>3.0969223589793593</v>
      </c>
      <c r="T15" s="32">
        <f>T14/Inputs!$C$6</f>
        <v>2.8801127540156197</v>
      </c>
    </row>
    <row r="16" spans="1:20">
      <c r="A16" s="22" t="s">
        <v>169</v>
      </c>
      <c r="B16" s="22" t="s">
        <v>21</v>
      </c>
      <c r="C16" s="32">
        <f>Inputs!$C$18</f>
        <v>0.8</v>
      </c>
      <c r="D16" s="32">
        <f>Inputs!$C$18</f>
        <v>0.8</v>
      </c>
      <c r="E16" s="32">
        <f>Inputs!$C$18</f>
        <v>0.8</v>
      </c>
      <c r="F16" s="32">
        <f>Inputs!$C$18</f>
        <v>0.8</v>
      </c>
      <c r="H16" s="22" t="s">
        <v>169</v>
      </c>
      <c r="I16" s="22" t="s">
        <v>21</v>
      </c>
      <c r="J16" s="32">
        <f>Inputs!$C$18</f>
        <v>0.8</v>
      </c>
      <c r="K16" s="32">
        <f>Inputs!$C$18</f>
        <v>0.8</v>
      </c>
      <c r="L16" s="32">
        <f>Inputs!$C$18</f>
        <v>0.8</v>
      </c>
      <c r="M16" s="32">
        <f>Inputs!$C$18</f>
        <v>0.8</v>
      </c>
      <c r="O16" s="22" t="s">
        <v>169</v>
      </c>
      <c r="P16" s="22" t="s">
        <v>21</v>
      </c>
      <c r="Q16" s="32">
        <f>Inputs!$C$18</f>
        <v>0.8</v>
      </c>
      <c r="R16" s="32">
        <f>Inputs!$C$18</f>
        <v>0.8</v>
      </c>
      <c r="S16" s="32">
        <f>Inputs!$C$18</f>
        <v>0.8</v>
      </c>
      <c r="T16" s="32">
        <f>Inputs!$C$18</f>
        <v>0.8</v>
      </c>
    </row>
    <row r="17" spans="1:20">
      <c r="A17" s="22" t="s">
        <v>170</v>
      </c>
      <c r="B17" s="22" t="s">
        <v>171</v>
      </c>
      <c r="C17" s="16">
        <f>'Study Parameters'!$C$35</f>
        <v>5.9</v>
      </c>
      <c r="D17" s="16">
        <f>'Study Parameters'!$C$35</f>
        <v>5.9</v>
      </c>
      <c r="E17" s="16">
        <f>'Study Parameters'!$C$35</f>
        <v>5.9</v>
      </c>
      <c r="F17" s="16">
        <f>'Study Parameters'!$C$35</f>
        <v>5.9</v>
      </c>
      <c r="H17" s="22" t="s">
        <v>170</v>
      </c>
      <c r="I17" s="22" t="s">
        <v>171</v>
      </c>
      <c r="J17" s="16">
        <f>'Study Parameters'!$C$35</f>
        <v>5.9</v>
      </c>
      <c r="K17" s="16">
        <f>'Study Parameters'!$C$35</f>
        <v>5.9</v>
      </c>
      <c r="L17" s="16">
        <f>'Study Parameters'!$C$35</f>
        <v>5.9</v>
      </c>
      <c r="M17" s="16">
        <f>'Study Parameters'!$C$35</f>
        <v>5.9</v>
      </c>
      <c r="O17" s="22" t="s">
        <v>170</v>
      </c>
      <c r="P17" s="22" t="s">
        <v>171</v>
      </c>
      <c r="Q17" s="16">
        <f>'Study Parameters'!$C$35</f>
        <v>5.9</v>
      </c>
      <c r="R17" s="16">
        <f>'Study Parameters'!$C$35</f>
        <v>5.9</v>
      </c>
      <c r="S17" s="16">
        <f>'Study Parameters'!$C$35</f>
        <v>5.9</v>
      </c>
      <c r="T17" s="16">
        <f>'Study Parameters'!$C$35</f>
        <v>5.9</v>
      </c>
    </row>
    <row r="18" spans="1:20">
      <c r="A18" s="22" t="s">
        <v>172</v>
      </c>
      <c r="B18" s="22" t="s">
        <v>171</v>
      </c>
      <c r="C18" s="16">
        <f>Inputs!$C$11</f>
        <v>88.7</v>
      </c>
      <c r="D18" s="16">
        <f>Inputs!$C$11</f>
        <v>88.7</v>
      </c>
      <c r="E18" s="16">
        <f>Inputs!$C$11</f>
        <v>88.7</v>
      </c>
      <c r="F18" s="16">
        <f>Inputs!$C$11</f>
        <v>88.7</v>
      </c>
      <c r="H18" s="22" t="s">
        <v>172</v>
      </c>
      <c r="I18" s="22" t="s">
        <v>171</v>
      </c>
      <c r="J18" s="16">
        <f>Inputs!$C$11</f>
        <v>88.7</v>
      </c>
      <c r="K18" s="16">
        <f>Inputs!$C$11</f>
        <v>88.7</v>
      </c>
      <c r="L18" s="16">
        <f>Inputs!$C$11</f>
        <v>88.7</v>
      </c>
      <c r="M18" s="16">
        <f>Inputs!$C$11</f>
        <v>88.7</v>
      </c>
      <c r="O18" s="22" t="s">
        <v>172</v>
      </c>
      <c r="P18" s="22" t="s">
        <v>171</v>
      </c>
      <c r="Q18" s="16">
        <f>Inputs!$C$11</f>
        <v>88.7</v>
      </c>
      <c r="R18" s="16">
        <f>Inputs!$C$11</f>
        <v>88.7</v>
      </c>
      <c r="S18" s="16">
        <f>Inputs!$C$11</f>
        <v>88.7</v>
      </c>
      <c r="T18" s="16">
        <f>Inputs!$C$11</f>
        <v>88.7</v>
      </c>
    </row>
    <row r="19" spans="1:20">
      <c r="A19" s="22" t="s">
        <v>173</v>
      </c>
      <c r="B19" s="22" t="s">
        <v>171</v>
      </c>
      <c r="C19" s="16">
        <f>C18-C17</f>
        <v>82.8</v>
      </c>
      <c r="D19" s="16">
        <f>D18-D17</f>
        <v>82.8</v>
      </c>
      <c r="E19" s="16">
        <f>E18-E17</f>
        <v>82.8</v>
      </c>
      <c r="F19" s="16">
        <f>F18-F17</f>
        <v>82.8</v>
      </c>
      <c r="H19" s="22" t="s">
        <v>173</v>
      </c>
      <c r="I19" s="22" t="s">
        <v>171</v>
      </c>
      <c r="J19" s="16">
        <f>J18-J17</f>
        <v>82.8</v>
      </c>
      <c r="K19" s="16">
        <f>K18-K17</f>
        <v>82.8</v>
      </c>
      <c r="L19" s="16">
        <f>L18-L17</f>
        <v>82.8</v>
      </c>
      <c r="M19" s="16">
        <f>M18-M17</f>
        <v>82.8</v>
      </c>
      <c r="O19" s="22" t="s">
        <v>173</v>
      </c>
      <c r="P19" s="22" t="s">
        <v>171</v>
      </c>
      <c r="Q19" s="16">
        <f>Q18-Q17</f>
        <v>82.8</v>
      </c>
      <c r="R19" s="16">
        <f>R18-R17</f>
        <v>82.8</v>
      </c>
      <c r="S19" s="16">
        <f>S18-S17</f>
        <v>82.8</v>
      </c>
      <c r="T19" s="16">
        <f>T18-T17</f>
        <v>82.8</v>
      </c>
    </row>
    <row r="20" spans="1:20">
      <c r="A20" s="22" t="s">
        <v>173</v>
      </c>
      <c r="B20" s="22" t="s">
        <v>174</v>
      </c>
      <c r="C20" s="16">
        <f>C19*Inputs!$C$14</f>
        <v>2872.2988800000003</v>
      </c>
      <c r="D20" s="16">
        <f>D19*Inputs!$C$14</f>
        <v>2872.2988800000003</v>
      </c>
      <c r="E20" s="16">
        <f>E19*Inputs!$C$14</f>
        <v>2872.2988800000003</v>
      </c>
      <c r="F20" s="16">
        <f>F19*Inputs!$C$14</f>
        <v>2872.2988800000003</v>
      </c>
      <c r="H20" s="22" t="s">
        <v>173</v>
      </c>
      <c r="I20" s="22" t="s">
        <v>174</v>
      </c>
      <c r="J20" s="16">
        <f>J19*Inputs!$C$14</f>
        <v>2872.2988800000003</v>
      </c>
      <c r="K20" s="16">
        <f>K19*Inputs!$C$14</f>
        <v>2872.2988800000003</v>
      </c>
      <c r="L20" s="16">
        <f>L19*Inputs!$C$14</f>
        <v>2872.2988800000003</v>
      </c>
      <c r="M20" s="16">
        <f>M19*Inputs!$C$14</f>
        <v>2872.2988800000003</v>
      </c>
      <c r="O20" s="22" t="s">
        <v>173</v>
      </c>
      <c r="P20" s="22" t="s">
        <v>174</v>
      </c>
      <c r="Q20" s="16">
        <f>Q19*Inputs!$C$14</f>
        <v>2872.2988800000003</v>
      </c>
      <c r="R20" s="16">
        <f>R19*Inputs!$C$14</f>
        <v>2872.2988800000003</v>
      </c>
      <c r="S20" s="16">
        <f>S19*Inputs!$C$14</f>
        <v>2872.2988800000003</v>
      </c>
      <c r="T20" s="16">
        <f>T19*Inputs!$C$14</f>
        <v>2872.2988800000003</v>
      </c>
    </row>
    <row r="21" spans="1:20">
      <c r="A21" s="22" t="s">
        <v>175</v>
      </c>
      <c r="B21" s="22" t="s">
        <v>29</v>
      </c>
      <c r="C21" s="33">
        <f>((C15-C16)/C20) * 10^6</f>
        <v>832.71052901141434</v>
      </c>
      <c r="D21" s="33">
        <f>((D15-D16)/D20) * 10^6</f>
        <v>453.16802271738186</v>
      </c>
      <c r="E21" s="33">
        <f>((E15-E16)/E20) * 10^6</f>
        <v>800.22742530063044</v>
      </c>
      <c r="F21" s="33">
        <f>((F15-F16)/F20) * 10^6</f>
        <v>724.56219399016777</v>
      </c>
      <c r="H21" s="22" t="s">
        <v>175</v>
      </c>
      <c r="I21" s="22" t="s">
        <v>29</v>
      </c>
      <c r="J21" s="33">
        <f>((J15-J16)/J20) * 10^6</f>
        <v>986.77532731178451</v>
      </c>
      <c r="K21" s="33">
        <f>((K15-K16)/K20) * 10^6</f>
        <v>458.62151313461851</v>
      </c>
      <c r="L21" s="33">
        <f>((L15-L16)/L20) * 10^6</f>
        <v>805.68091571786647</v>
      </c>
      <c r="M21" s="33">
        <f>((M15-M16)/M20) * 10^6</f>
        <v>729.32708219526364</v>
      </c>
      <c r="O21" s="22" t="s">
        <v>175</v>
      </c>
      <c r="P21" s="22" t="s">
        <v>29</v>
      </c>
      <c r="Q21" s="33">
        <f>((Q15-Q16)/Q20) * 10^6</f>
        <v>832.16393601308198</v>
      </c>
      <c r="R21" s="33">
        <f>((R15-R16)/R20) * 10^6</f>
        <v>452.62142971905007</v>
      </c>
      <c r="S21" s="33">
        <f>((S15-S16)/S20) * 10^6</f>
        <v>799.68083230229831</v>
      </c>
      <c r="T21" s="33">
        <f>((T15-T16)/T20) * 10^6</f>
        <v>724.19787804799034</v>
      </c>
    </row>
    <row r="23" spans="1:20">
      <c r="A23" s="51" t="s">
        <v>179</v>
      </c>
      <c r="B23" s="51"/>
      <c r="C23" s="51"/>
      <c r="H23" s="51" t="s">
        <v>180</v>
      </c>
      <c r="I23" s="51"/>
      <c r="J23" s="51"/>
      <c r="O23" s="51" t="s">
        <v>181</v>
      </c>
      <c r="P23" s="51"/>
      <c r="Q23" s="51"/>
    </row>
    <row r="24" spans="1:20">
      <c r="A24" s="37" t="s">
        <v>0</v>
      </c>
      <c r="B24" s="37" t="s">
        <v>3</v>
      </c>
      <c r="C24" t="s">
        <v>2</v>
      </c>
      <c r="H24" s="37" t="s">
        <v>0</v>
      </c>
      <c r="I24" s="37" t="s">
        <v>3</v>
      </c>
      <c r="J24" t="s">
        <v>2</v>
      </c>
      <c r="O24" s="37" t="s">
        <v>0</v>
      </c>
      <c r="P24" s="37" t="s">
        <v>3</v>
      </c>
      <c r="Q24" t="s">
        <v>2</v>
      </c>
    </row>
    <row r="25" spans="1:20">
      <c r="A25" s="37" t="s">
        <v>182</v>
      </c>
      <c r="B25" s="37" t="s">
        <v>174</v>
      </c>
      <c r="C25" s="5">
        <f>C6*Inputs!$C$14</f>
        <v>204.66864000000004</v>
      </c>
      <c r="H25" s="37" t="s">
        <v>182</v>
      </c>
      <c r="I25" s="37" t="s">
        <v>174</v>
      </c>
      <c r="J25" s="5">
        <f>J6*Inputs!$C$14</f>
        <v>204.66864000000004</v>
      </c>
      <c r="O25" s="37" t="s">
        <v>182</v>
      </c>
      <c r="P25" s="37" t="s">
        <v>174</v>
      </c>
      <c r="Q25" s="5">
        <f>Q6*Inputs!$C$14</f>
        <v>204.66864000000004</v>
      </c>
    </row>
    <row r="26" spans="1:20">
      <c r="A26" s="37" t="s">
        <v>183</v>
      </c>
      <c r="B26" s="37" t="s">
        <v>21</v>
      </c>
      <c r="C26" s="9">
        <f>C25*Inputs!$C$32 * 10^-6</f>
        <v>0.26238519648000003</v>
      </c>
      <c r="H26" s="37" t="s">
        <v>183</v>
      </c>
      <c r="I26" s="37" t="s">
        <v>21</v>
      </c>
      <c r="J26" s="9">
        <f>J25*Inputs!$C$32 * 10^-6</f>
        <v>0.26238519648000003</v>
      </c>
      <c r="O26" s="37" t="s">
        <v>183</v>
      </c>
      <c r="P26" s="37" t="s">
        <v>21</v>
      </c>
      <c r="Q26" s="9">
        <f>Q25*Inputs!$C$32 * 10^-6</f>
        <v>0.26238519648000003</v>
      </c>
    </row>
    <row r="27" spans="1:20">
      <c r="A27" s="37" t="s">
        <v>184</v>
      </c>
      <c r="B27" s="37" t="s">
        <v>21</v>
      </c>
      <c r="C27" s="9">
        <f>F4+C26</f>
        <v>7.7257887634616473</v>
      </c>
      <c r="H27" s="37" t="s">
        <v>184</v>
      </c>
      <c r="I27" s="37" t="s">
        <v>21</v>
      </c>
      <c r="J27" s="9">
        <f>M4+J26</f>
        <v>7.3673924190775386</v>
      </c>
      <c r="O27" s="37" t="s">
        <v>184</v>
      </c>
      <c r="P27" s="37" t="s">
        <v>21</v>
      </c>
      <c r="Q27" s="9">
        <f>T4+Q26</f>
        <v>7.7783878032947147</v>
      </c>
    </row>
    <row r="28" spans="1:20">
      <c r="A28" s="37" t="s">
        <v>185</v>
      </c>
      <c r="B28" s="37" t="s">
        <v>29</v>
      </c>
      <c r="C28" s="5">
        <f>(C27-C16) /C20 * 10^6</f>
        <v>2411.2354085733746</v>
      </c>
      <c r="H28" s="37" t="s">
        <v>185</v>
      </c>
      <c r="I28" s="37" t="s">
        <v>29</v>
      </c>
      <c r="J28" s="5">
        <f>(J27-J16) /J20 * 10^6</f>
        <v>2286.458580200936</v>
      </c>
      <c r="O28" s="37" t="s">
        <v>185</v>
      </c>
      <c r="P28" s="37" t="s">
        <v>29</v>
      </c>
      <c r="Q28" s="5">
        <f>(Q27-Q16) /Q20 * 10^6</f>
        <v>2429.5479317579629</v>
      </c>
    </row>
    <row r="30" spans="1:20">
      <c r="A30" s="51" t="s">
        <v>186</v>
      </c>
      <c r="B30" s="51"/>
      <c r="C30" s="51"/>
      <c r="H30" s="51" t="s">
        <v>187</v>
      </c>
      <c r="I30" s="51"/>
      <c r="J30" s="51"/>
      <c r="O30" s="51" t="s">
        <v>188</v>
      </c>
      <c r="P30" s="51"/>
      <c r="Q30" s="51"/>
    </row>
    <row r="31" spans="1:20">
      <c r="A31" s="37" t="s">
        <v>0</v>
      </c>
      <c r="B31" s="37" t="s">
        <v>3</v>
      </c>
      <c r="C31" t="s">
        <v>2</v>
      </c>
      <c r="H31" s="37" t="s">
        <v>0</v>
      </c>
      <c r="I31" s="37" t="s">
        <v>3</v>
      </c>
      <c r="J31" t="s">
        <v>2</v>
      </c>
      <c r="O31" s="37" t="s">
        <v>0</v>
      </c>
      <c r="P31" s="37" t="s">
        <v>3</v>
      </c>
      <c r="Q31" t="s">
        <v>2</v>
      </c>
    </row>
    <row r="32" spans="1:20">
      <c r="A32" s="37" t="s">
        <v>182</v>
      </c>
      <c r="B32" s="37" t="s">
        <v>174</v>
      </c>
      <c r="C32" s="5">
        <f>C15*Inputs!$C$14</f>
        <v>110.7220404859698</v>
      </c>
      <c r="H32" s="37" t="s">
        <v>182</v>
      </c>
      <c r="I32" s="37" t="s">
        <v>174</v>
      </c>
      <c r="J32" s="5">
        <f>J15*Inputs!$C$14</f>
        <v>126.07288739834831</v>
      </c>
      <c r="O32" s="37" t="s">
        <v>182</v>
      </c>
      <c r="P32" s="37" t="s">
        <v>174</v>
      </c>
      <c r="Q32" s="5">
        <f>Q15*Inputs!$C$14</f>
        <v>110.66757856129041</v>
      </c>
    </row>
    <row r="33" spans="1:17">
      <c r="A33" s="37" t="s">
        <v>183</v>
      </c>
      <c r="B33" s="37" t="s">
        <v>21</v>
      </c>
      <c r="C33" s="9">
        <f>C32*Inputs!$C$33 * 10^-6</f>
        <v>5.3146579433265506E-2</v>
      </c>
      <c r="H33" s="37" t="s">
        <v>183</v>
      </c>
      <c r="I33" s="37" t="s">
        <v>21</v>
      </c>
      <c r="J33" s="9">
        <f>J32*Inputs!$C$33 * 10^-6</f>
        <v>6.051498595120719E-2</v>
      </c>
      <c r="O33" s="37" t="s">
        <v>183</v>
      </c>
      <c r="P33" s="37" t="s">
        <v>21</v>
      </c>
      <c r="Q33" s="9">
        <f>Q32*Inputs!$C$33 * 10^-6</f>
        <v>5.3120437709419398E-2</v>
      </c>
    </row>
    <row r="34" spans="1:17">
      <c r="A34" s="37" t="s">
        <v>184</v>
      </c>
      <c r="B34" s="37" t="s">
        <v>21</v>
      </c>
      <c r="C34" s="9">
        <f>F15+C33</f>
        <v>2.9343057577215674</v>
      </c>
      <c r="H34" s="37" t="s">
        <v>184</v>
      </c>
      <c r="I34" s="37" t="s">
        <v>21</v>
      </c>
      <c r="J34" s="9">
        <f>M15+J33</f>
        <v>2.9553603472943313</v>
      </c>
      <c r="O34" s="37" t="s">
        <v>184</v>
      </c>
      <c r="P34" s="37" t="s">
        <v>21</v>
      </c>
      <c r="Q34" s="9">
        <f>T15+Q33</f>
        <v>2.9332331917250389</v>
      </c>
    </row>
    <row r="35" spans="1:17">
      <c r="A35" s="37" t="s">
        <v>185</v>
      </c>
      <c r="B35" s="37" t="s">
        <v>29</v>
      </c>
      <c r="C35" s="5">
        <f>(C34-C16) /C20 * 10^6</f>
        <v>743.06534482984148</v>
      </c>
      <c r="H35" s="37" t="s">
        <v>185</v>
      </c>
      <c r="I35" s="37" t="s">
        <v>29</v>
      </c>
      <c r="J35" s="5">
        <f>(J34-J16) /J20 * 10^6</f>
        <v>750.39556722395503</v>
      </c>
      <c r="O35" s="37" t="s">
        <v>185</v>
      </c>
      <c r="P35" s="37" t="s">
        <v>29</v>
      </c>
      <c r="Q35" s="5">
        <f>(Q34-Q16) /Q20 * 10^6</f>
        <v>742.69192756327607</v>
      </c>
    </row>
    <row r="38" spans="1:17">
      <c r="A38" s="50" t="s">
        <v>189</v>
      </c>
      <c r="B38" s="50"/>
      <c r="C38" s="50"/>
    </row>
    <row r="39" spans="1:17">
      <c r="A39" s="21" t="s">
        <v>0</v>
      </c>
      <c r="B39" s="21" t="s">
        <v>3</v>
      </c>
      <c r="C39" s="16" t="s">
        <v>190</v>
      </c>
    </row>
    <row r="40" spans="1:17">
      <c r="A40" s="22" t="s">
        <v>167</v>
      </c>
      <c r="B40" s="22" t="s">
        <v>168</v>
      </c>
      <c r="C40" s="16">
        <f>'MFSP WACC Corrected'!B76</f>
        <v>0</v>
      </c>
    </row>
    <row r="41" spans="1:17">
      <c r="A41" s="22" t="s">
        <v>167</v>
      </c>
      <c r="B41" s="22" t="s">
        <v>21</v>
      </c>
      <c r="C41" s="16">
        <f>C40/Inputs!$C$6</f>
        <v>0</v>
      </c>
    </row>
    <row r="42" spans="1:17">
      <c r="A42" s="22" t="s">
        <v>169</v>
      </c>
      <c r="B42" s="22" t="s">
        <v>21</v>
      </c>
      <c r="C42" s="32">
        <f>Inputs!$C$16</f>
        <v>0.8</v>
      </c>
    </row>
    <row r="43" spans="1:17">
      <c r="A43" s="22" t="s">
        <v>170</v>
      </c>
      <c r="B43" s="22" t="s">
        <v>171</v>
      </c>
      <c r="C43" s="16">
        <f>'Study Parameters'!$C$35</f>
        <v>5.9</v>
      </c>
    </row>
    <row r="44" spans="1:17">
      <c r="A44" s="22" t="s">
        <v>172</v>
      </c>
      <c r="B44" s="22" t="s">
        <v>171</v>
      </c>
      <c r="C44" s="32">
        <f>Inputs!$C$11</f>
        <v>88.7</v>
      </c>
    </row>
    <row r="45" spans="1:17">
      <c r="A45" s="22" t="s">
        <v>173</v>
      </c>
      <c r="B45" s="22" t="s">
        <v>171</v>
      </c>
      <c r="C45" s="32">
        <f>C44-C43</f>
        <v>82.8</v>
      </c>
    </row>
    <row r="46" spans="1:17">
      <c r="A46" s="22" t="s">
        <v>173</v>
      </c>
      <c r="B46" s="22" t="s">
        <v>174</v>
      </c>
      <c r="C46" s="16">
        <f>C45*Inputs!$C$14</f>
        <v>2872.2988800000003</v>
      </c>
    </row>
    <row r="47" spans="1:17">
      <c r="A47" s="22" t="s">
        <v>175</v>
      </c>
      <c r="B47" s="22" t="s">
        <v>29</v>
      </c>
      <c r="C47" s="33">
        <f>((C41-C42)/C46) * 10^6</f>
        <v>-278.52254706863931</v>
      </c>
    </row>
  </sheetData>
  <mergeCells count="13">
    <mergeCell ref="A38:C38"/>
    <mergeCell ref="A23:C23"/>
    <mergeCell ref="H23:J23"/>
    <mergeCell ref="O23:Q23"/>
    <mergeCell ref="A30:C30"/>
    <mergeCell ref="H30:J30"/>
    <mergeCell ref="O30:Q30"/>
    <mergeCell ref="H1:M1"/>
    <mergeCell ref="O1:T1"/>
    <mergeCell ref="A1:F1"/>
    <mergeCell ref="O12:T12"/>
    <mergeCell ref="A12:F12"/>
    <mergeCell ref="H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</vt:lpstr>
      <vt:lpstr>Study Parameters</vt:lpstr>
      <vt:lpstr>Levelised Cost of Removal</vt:lpstr>
      <vt:lpstr>Cost Components</vt:lpstr>
      <vt:lpstr>MFSP Baseline</vt:lpstr>
      <vt:lpstr>MFSP Electricity</vt:lpstr>
      <vt:lpstr>MFSP CO2 Corrected</vt:lpstr>
      <vt:lpstr>MFSP WACC Corrected</vt:lpstr>
      <vt:lpstr>Cost Breakdown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2024-06-17T15:47:35Z</dcterms:created>
  <dcterms:modified xsi:type="dcterms:W3CDTF">2025-04-15T12:29:47Z</dcterms:modified>
  <cp:category/>
  <cp:contentStatus/>
</cp:coreProperties>
</file>
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4" documentId="13_ncr:1_{409032AC-1BE5-8741-8011-1AD30BF05070}" xr6:coauthVersionLast="47" xr6:coauthVersionMax="47" xr10:uidLastSave="{38530D46-E5A1-4666-9CB4-4BF82CAEBC5C}"/>
  <bookViews>
    <workbookView xWindow="1920" yWindow="1920" windowWidth="17280" windowHeight="9960" xr2:uid="{00000000-000D-0000-FFFF-FFFF00000000}"/>
  </bookViews>
  <sheets>
    <sheet name="Inputs" sheetId="1" r:id="rId1"/>
    <sheet name="Study Parameters" sheetId="2" r:id="rId2"/>
    <sheet name="Levelised Cost of Removal" sheetId="3" r:id="rId3"/>
    <sheet name="Cost Components" sheetId="4" r:id="rId4"/>
    <sheet name="MFSP Baseline" sheetId="5" r:id="rId5"/>
    <sheet name="MFSP Electricity" sheetId="6" r:id="rId6"/>
    <sheet name="MFSP CO2 Corrected" sheetId="7" r:id="rId7"/>
    <sheet name="MFSP WACC Corrected" sheetId="8" r:id="rId8"/>
    <sheet name="Cost Breakdown" sheetId="10" r:id="rId9"/>
    <sheet name="Outputs" sheetId="9" r:id="rId10"/>
  </sheets>
  <externalReferences>
    <externalReference r:id="rId1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  <c r="C30" i="1"/>
  <c r="C29" i="1"/>
  <c r="C27" i="1"/>
  <c r="C26" i="1"/>
  <c r="C24" i="1"/>
  <c r="C23" i="1"/>
  <c r="C21" i="1"/>
  <c r="C20" i="1"/>
  <c r="C18" i="1"/>
  <c r="C16" i="1"/>
  <c r="C42" i="9" s="1"/>
  <c r="C15" i="1"/>
  <c r="C14" i="1"/>
  <c r="Q25" i="9" s="1"/>
  <c r="C13" i="1"/>
  <c r="C21" i="2" s="1"/>
  <c r="C12" i="1"/>
  <c r="C11" i="1"/>
  <c r="C44" i="9" s="1"/>
  <c r="C45" i="9" s="1"/>
  <c r="C9" i="1"/>
  <c r="C8" i="1"/>
  <c r="C6" i="1"/>
  <c r="C5" i="1"/>
  <c r="H55" i="4" s="1"/>
  <c r="H56" i="4" s="1"/>
  <c r="AB37" i="8" s="1"/>
  <c r="C4" i="1"/>
  <c r="C3" i="1"/>
  <c r="C43" i="9"/>
  <c r="C23" i="2"/>
  <c r="K60" i="7"/>
  <c r="L50" i="7"/>
  <c r="G26" i="7"/>
  <c r="O50" i="5"/>
  <c r="R50" i="6"/>
  <c r="H14" i="6"/>
  <c r="S14" i="6"/>
  <c r="AB14" i="6"/>
  <c r="AC14" i="6"/>
  <c r="AD14" i="6"/>
  <c r="T17" i="9"/>
  <c r="S17" i="9"/>
  <c r="R17" i="9"/>
  <c r="Q17" i="9"/>
  <c r="M17" i="9"/>
  <c r="L17" i="9"/>
  <c r="K17" i="9"/>
  <c r="J17" i="9"/>
  <c r="F17" i="9"/>
  <c r="E17" i="9"/>
  <c r="D17" i="9"/>
  <c r="C17" i="9"/>
  <c r="T6" i="9"/>
  <c r="S6" i="9"/>
  <c r="R6" i="9"/>
  <c r="Q6" i="9"/>
  <c r="M6" i="9"/>
  <c r="L6" i="9"/>
  <c r="K6" i="9"/>
  <c r="J6" i="9"/>
  <c r="F6" i="9"/>
  <c r="E6" i="9"/>
  <c r="D6" i="9"/>
  <c r="C6" i="9"/>
  <c r="B40" i="8"/>
  <c r="B38" i="8"/>
  <c r="B29" i="8"/>
  <c r="B27" i="8"/>
  <c r="B7" i="8"/>
  <c r="B5" i="8"/>
  <c r="B40" i="7"/>
  <c r="B38" i="7"/>
  <c r="B29" i="7"/>
  <c r="B27" i="7"/>
  <c r="B7" i="7"/>
  <c r="B5" i="7"/>
  <c r="B40" i="6"/>
  <c r="B38" i="6"/>
  <c r="B29" i="6"/>
  <c r="B27" i="6"/>
  <c r="B7" i="6"/>
  <c r="B5" i="6"/>
  <c r="B40" i="5"/>
  <c r="B38" i="5"/>
  <c r="Y37" i="5"/>
  <c r="B29" i="5"/>
  <c r="B27" i="5"/>
  <c r="G26" i="5"/>
  <c r="F14" i="5"/>
  <c r="B7" i="5"/>
  <c r="B5" i="5"/>
  <c r="N35" i="4"/>
  <c r="H35" i="4"/>
  <c r="B35" i="4"/>
  <c r="N34" i="4"/>
  <c r="H34" i="4"/>
  <c r="B34" i="4"/>
  <c r="N33" i="4"/>
  <c r="H33" i="4"/>
  <c r="B33" i="4"/>
  <c r="N32" i="4"/>
  <c r="H32" i="4"/>
  <c r="B32" i="4"/>
  <c r="N29" i="4"/>
  <c r="N60" i="7" s="1"/>
  <c r="H29" i="4"/>
  <c r="R37" i="5" s="1"/>
  <c r="B29" i="4"/>
  <c r="D14" i="7" s="1"/>
  <c r="N28" i="4"/>
  <c r="H28" i="4"/>
  <c r="B28" i="4"/>
  <c r="N15" i="4"/>
  <c r="H15" i="4"/>
  <c r="B15" i="4"/>
  <c r="N14" i="4"/>
  <c r="H14" i="4"/>
  <c r="B14" i="4"/>
  <c r="N13" i="4"/>
  <c r="H13" i="4"/>
  <c r="B13" i="4"/>
  <c r="N12" i="4"/>
  <c r="H12" i="4"/>
  <c r="B12" i="4"/>
  <c r="N8" i="4"/>
  <c r="N9" i="4" s="1"/>
  <c r="F50" i="7" s="1"/>
  <c r="H8" i="4"/>
  <c r="H9" i="4" s="1"/>
  <c r="L26" i="7" s="1"/>
  <c r="B8" i="4"/>
  <c r="B9" i="4" s="1"/>
  <c r="O4" i="5" s="1"/>
  <c r="AA42" i="3"/>
  <c r="Z42" i="3"/>
  <c r="S42" i="3"/>
  <c r="R42" i="3"/>
  <c r="P42" i="3"/>
  <c r="H42" i="3"/>
  <c r="G42" i="3"/>
  <c r="F42" i="3"/>
  <c r="E42" i="3"/>
  <c r="AA41" i="3"/>
  <c r="Z41" i="3"/>
  <c r="Y41" i="3"/>
  <c r="Y42" i="3" s="1"/>
  <c r="X41" i="3"/>
  <c r="X42" i="3" s="1"/>
  <c r="W41" i="3"/>
  <c r="W42" i="3" s="1"/>
  <c r="V41" i="3"/>
  <c r="V42" i="3" s="1"/>
  <c r="U41" i="3"/>
  <c r="U42" i="3" s="1"/>
  <c r="T41" i="3"/>
  <c r="T42" i="3" s="1"/>
  <c r="S41" i="3"/>
  <c r="R41" i="3"/>
  <c r="Q41" i="3"/>
  <c r="Q42" i="3" s="1"/>
  <c r="P41" i="3"/>
  <c r="O41" i="3"/>
  <c r="O42" i="3" s="1"/>
  <c r="N41" i="3"/>
  <c r="N42" i="3" s="1"/>
  <c r="M41" i="3"/>
  <c r="M42" i="3" s="1"/>
  <c r="L41" i="3"/>
  <c r="L42" i="3" s="1"/>
  <c r="K41" i="3"/>
  <c r="K42" i="3" s="1"/>
  <c r="J41" i="3"/>
  <c r="J42" i="3" s="1"/>
  <c r="I41" i="3"/>
  <c r="I42" i="3" s="1"/>
  <c r="H41" i="3"/>
  <c r="G41" i="3"/>
  <c r="F41" i="3"/>
  <c r="E41" i="3"/>
  <c r="D41" i="3"/>
  <c r="D42" i="3" s="1"/>
  <c r="C41" i="3"/>
  <c r="C42" i="3" s="1"/>
  <c r="B41" i="3"/>
  <c r="B42" i="3" s="1"/>
  <c r="B39" i="3"/>
  <c r="B40" i="3" s="1"/>
  <c r="Y33" i="3"/>
  <c r="X33" i="3"/>
  <c r="R33" i="3"/>
  <c r="Q33" i="3"/>
  <c r="O33" i="3"/>
  <c r="M33" i="3"/>
  <c r="K33" i="3"/>
  <c r="J33" i="3"/>
  <c r="H33" i="3"/>
  <c r="G33" i="3"/>
  <c r="F33" i="3"/>
  <c r="D33" i="3"/>
  <c r="B33" i="3"/>
  <c r="AA32" i="3"/>
  <c r="AA33" i="3" s="1"/>
  <c r="Z32" i="3"/>
  <c r="Z33" i="3" s="1"/>
  <c r="Y32" i="3"/>
  <c r="X32" i="3"/>
  <c r="W32" i="3"/>
  <c r="W33" i="3" s="1"/>
  <c r="V32" i="3"/>
  <c r="V33" i="3" s="1"/>
  <c r="U32" i="3"/>
  <c r="U33" i="3" s="1"/>
  <c r="T32" i="3"/>
  <c r="T33" i="3" s="1"/>
  <c r="S32" i="3"/>
  <c r="S33" i="3" s="1"/>
  <c r="R32" i="3"/>
  <c r="Q32" i="3"/>
  <c r="P32" i="3"/>
  <c r="P33" i="3" s="1"/>
  <c r="O32" i="3"/>
  <c r="N32" i="3"/>
  <c r="N33" i="3" s="1"/>
  <c r="M32" i="3"/>
  <c r="L32" i="3"/>
  <c r="L33" i="3" s="1"/>
  <c r="K32" i="3"/>
  <c r="J32" i="3"/>
  <c r="I32" i="3"/>
  <c r="I33" i="3" s="1"/>
  <c r="H32" i="3"/>
  <c r="G32" i="3"/>
  <c r="F32" i="3"/>
  <c r="E32" i="3"/>
  <c r="E33" i="3" s="1"/>
  <c r="D32" i="3"/>
  <c r="C32" i="3"/>
  <c r="C33" i="3" s="1"/>
  <c r="B32" i="3"/>
  <c r="B25" i="3"/>
  <c r="H14" i="3" s="1"/>
  <c r="H17" i="3" s="1"/>
  <c r="B24" i="3"/>
  <c r="B14" i="3" s="1"/>
  <c r="B23" i="3"/>
  <c r="H16" i="3"/>
  <c r="B16" i="3"/>
  <c r="H15" i="3"/>
  <c r="B15" i="3"/>
  <c r="H13" i="3"/>
  <c r="H11" i="3"/>
  <c r="B11" i="3"/>
  <c r="H10" i="3"/>
  <c r="B10" i="3"/>
  <c r="H7" i="3"/>
  <c r="B7" i="3"/>
  <c r="B30" i="3" s="1"/>
  <c r="B31" i="3" s="1"/>
  <c r="C25" i="2"/>
  <c r="C26" i="2" s="1"/>
  <c r="C17" i="2" s="1"/>
  <c r="C19" i="2"/>
  <c r="C15" i="2"/>
  <c r="N37" i="4" s="1"/>
  <c r="C46" i="9" l="1"/>
  <c r="Q26" i="9"/>
  <c r="C25" i="9"/>
  <c r="C26" i="9" s="1"/>
  <c r="J25" i="9"/>
  <c r="J26" i="9" s="1"/>
  <c r="U60" i="5"/>
  <c r="H26" i="7"/>
  <c r="Z26" i="5"/>
  <c r="AF4" i="6"/>
  <c r="X26" i="6"/>
  <c r="C37" i="6"/>
  <c r="J37" i="6"/>
  <c r="K50" i="6"/>
  <c r="N50" i="5"/>
  <c r="T60" i="5"/>
  <c r="Z60" i="6"/>
  <c r="K50" i="7"/>
  <c r="AD14" i="5"/>
  <c r="K4" i="6"/>
  <c r="F14" i="6"/>
  <c r="N26" i="6"/>
  <c r="V37" i="6"/>
  <c r="AC50" i="6"/>
  <c r="AA50" i="5"/>
  <c r="AE60" i="5"/>
  <c r="J60" i="5"/>
  <c r="P60" i="6"/>
  <c r="AE14" i="7"/>
  <c r="S26" i="7"/>
  <c r="Z37" i="7"/>
  <c r="C50" i="7"/>
  <c r="AC60" i="7"/>
  <c r="F60" i="6"/>
  <c r="C26" i="5"/>
  <c r="J4" i="6"/>
  <c r="AC26" i="6"/>
  <c r="M26" i="6"/>
  <c r="U37" i="6"/>
  <c r="V50" i="6"/>
  <c r="Z50" i="5"/>
  <c r="Y60" i="5"/>
  <c r="I60" i="5"/>
  <c r="O60" i="6"/>
  <c r="U14" i="7"/>
  <c r="R26" i="7"/>
  <c r="Y37" i="7"/>
  <c r="Y50" i="7"/>
  <c r="V60" i="7"/>
  <c r="X37" i="5"/>
  <c r="O26" i="5"/>
  <c r="C4" i="6"/>
  <c r="Y26" i="6"/>
  <c r="D26" i="6"/>
  <c r="K37" i="6"/>
  <c r="AA60" i="6"/>
  <c r="AE26" i="7"/>
  <c r="O37" i="7"/>
  <c r="AD37" i="5"/>
  <c r="E26" i="5"/>
  <c r="G37" i="5"/>
  <c r="I4" i="6"/>
  <c r="AB26" i="6"/>
  <c r="G26" i="6"/>
  <c r="N37" i="6"/>
  <c r="U50" i="6"/>
  <c r="Y50" i="5"/>
  <c r="X60" i="5"/>
  <c r="AD60" i="6"/>
  <c r="N60" i="6"/>
  <c r="T14" i="7"/>
  <c r="Q26" i="7"/>
  <c r="X37" i="7"/>
  <c r="W50" i="7"/>
  <c r="U60" i="7"/>
  <c r="F26" i="5"/>
  <c r="W37" i="5"/>
  <c r="AA26" i="6"/>
  <c r="F26" i="6"/>
  <c r="M37" i="6"/>
  <c r="T50" i="6"/>
  <c r="X50" i="5"/>
  <c r="W60" i="5"/>
  <c r="AC60" i="6"/>
  <c r="H60" i="6"/>
  <c r="J14" i="7"/>
  <c r="P26" i="7"/>
  <c r="Q37" i="7"/>
  <c r="V50" i="7"/>
  <c r="T60" i="7"/>
  <c r="Z26" i="6"/>
  <c r="E26" i="6"/>
  <c r="L37" i="6"/>
  <c r="S50" i="6"/>
  <c r="P50" i="5"/>
  <c r="V60" i="5"/>
  <c r="AB60" i="6"/>
  <c r="G60" i="6"/>
  <c r="I14" i="7"/>
  <c r="I26" i="7"/>
  <c r="P37" i="7"/>
  <c r="N50" i="7"/>
  <c r="S60" i="7"/>
  <c r="R60" i="7"/>
  <c r="AE4" i="6"/>
  <c r="R14" i="6"/>
  <c r="R26" i="6"/>
  <c r="AF37" i="6"/>
  <c r="C50" i="6"/>
  <c r="J50" i="6"/>
  <c r="M50" i="5"/>
  <c r="N60" i="5"/>
  <c r="Y60" i="6"/>
  <c r="D60" i="6"/>
  <c r="AC26" i="7"/>
  <c r="F26" i="7"/>
  <c r="M37" i="7"/>
  <c r="C60" i="7"/>
  <c r="J60" i="7"/>
  <c r="AA26" i="5"/>
  <c r="AE37" i="5"/>
  <c r="B17" i="4"/>
  <c r="D14" i="5"/>
  <c r="AC26" i="5"/>
  <c r="V4" i="6"/>
  <c r="Q14" i="6"/>
  <c r="Q26" i="6"/>
  <c r="Y37" i="6"/>
  <c r="AF50" i="6"/>
  <c r="I50" i="6"/>
  <c r="E50" i="5"/>
  <c r="M60" i="5"/>
  <c r="S60" i="6"/>
  <c r="X4" i="7"/>
  <c r="AB26" i="7"/>
  <c r="E26" i="7"/>
  <c r="F37" i="7"/>
  <c r="AF60" i="7"/>
  <c r="I60" i="7"/>
  <c r="D50" i="5"/>
  <c r="L60" i="5"/>
  <c r="R60" i="6"/>
  <c r="M4" i="7"/>
  <c r="AA26" i="7"/>
  <c r="AB37" i="7"/>
  <c r="E37" i="7"/>
  <c r="AE60" i="7"/>
  <c r="H60" i="7"/>
  <c r="E60" i="6"/>
  <c r="AD26" i="7"/>
  <c r="N37" i="7"/>
  <c r="N17" i="4"/>
  <c r="AD26" i="5"/>
  <c r="U4" i="6"/>
  <c r="P26" i="6"/>
  <c r="X37" i="6"/>
  <c r="AE50" i="6"/>
  <c r="H50" i="6"/>
  <c r="G14" i="5"/>
  <c r="AE26" i="5"/>
  <c r="T4" i="6"/>
  <c r="G14" i="6"/>
  <c r="O26" i="6"/>
  <c r="W37" i="6"/>
  <c r="AD50" i="6"/>
  <c r="G50" i="6"/>
  <c r="AF60" i="5"/>
  <c r="K60" i="5"/>
  <c r="Q60" i="6"/>
  <c r="AF14" i="7"/>
  <c r="T26" i="7"/>
  <c r="AA37" i="7"/>
  <c r="D37" i="7"/>
  <c r="AD60" i="7"/>
  <c r="G60" i="7"/>
  <c r="AB4" i="5"/>
  <c r="Z14" i="5"/>
  <c r="L37" i="5"/>
  <c r="B53" i="4"/>
  <c r="Y4" i="6"/>
  <c r="N4" i="6"/>
  <c r="C14" i="6"/>
  <c r="V14" i="6"/>
  <c r="K14" i="6"/>
  <c r="AD26" i="6"/>
  <c r="S26" i="6"/>
  <c r="H26" i="6"/>
  <c r="AA37" i="6"/>
  <c r="P37" i="6"/>
  <c r="E37" i="6"/>
  <c r="X50" i="6"/>
  <c r="M50" i="6"/>
  <c r="C50" i="5"/>
  <c r="AC50" i="5"/>
  <c r="R50" i="5"/>
  <c r="G50" i="5"/>
  <c r="Z60" i="5"/>
  <c r="O60" i="5"/>
  <c r="D60" i="5"/>
  <c r="AE60" i="6"/>
  <c r="T60" i="6"/>
  <c r="I60" i="6"/>
  <c r="AB4" i="7"/>
  <c r="Q4" i="7"/>
  <c r="F4" i="7"/>
  <c r="Y14" i="7"/>
  <c r="N14" i="7"/>
  <c r="C26" i="7"/>
  <c r="V26" i="7"/>
  <c r="K26" i="7"/>
  <c r="AD37" i="7"/>
  <c r="S37" i="7"/>
  <c r="H37" i="7"/>
  <c r="AA50" i="7"/>
  <c r="P50" i="7"/>
  <c r="E50" i="7"/>
  <c r="X60" i="7"/>
  <c r="M60" i="7"/>
  <c r="AC5" i="10"/>
  <c r="R5" i="10"/>
  <c r="G5" i="10"/>
  <c r="H17" i="4"/>
  <c r="AB14" i="5"/>
  <c r="X4" i="6"/>
  <c r="M4" i="6"/>
  <c r="AF14" i="6"/>
  <c r="U14" i="6"/>
  <c r="J14" i="6"/>
  <c r="Z37" i="6"/>
  <c r="O37" i="6"/>
  <c r="D37" i="6"/>
  <c r="W50" i="6"/>
  <c r="L50" i="6"/>
  <c r="AB50" i="5"/>
  <c r="Q50" i="5"/>
  <c r="F50" i="5"/>
  <c r="AA4" i="7"/>
  <c r="P4" i="7"/>
  <c r="E4" i="7"/>
  <c r="X14" i="7"/>
  <c r="M14" i="7"/>
  <c r="AF26" i="7"/>
  <c r="U26" i="7"/>
  <c r="J26" i="7"/>
  <c r="AC37" i="7"/>
  <c r="R37" i="7"/>
  <c r="G37" i="7"/>
  <c r="Z50" i="7"/>
  <c r="O50" i="7"/>
  <c r="D50" i="7"/>
  <c r="W60" i="7"/>
  <c r="L60" i="7"/>
  <c r="AB5" i="10"/>
  <c r="Q5" i="10"/>
  <c r="F5" i="10"/>
  <c r="AC14" i="5"/>
  <c r="W4" i="6"/>
  <c r="L4" i="6"/>
  <c r="AE14" i="6"/>
  <c r="T14" i="6"/>
  <c r="I14" i="6"/>
  <c r="Z4" i="7"/>
  <c r="O4" i="7"/>
  <c r="D4" i="7"/>
  <c r="W14" i="7"/>
  <c r="L14" i="7"/>
  <c r="AA5" i="10"/>
  <c r="P5" i="10"/>
  <c r="E5" i="10"/>
  <c r="B44" i="4"/>
  <c r="Y4" i="7"/>
  <c r="N4" i="7"/>
  <c r="C14" i="7"/>
  <c r="V14" i="7"/>
  <c r="K14" i="7"/>
  <c r="X50" i="7"/>
  <c r="M50" i="7"/>
  <c r="Z5" i="10"/>
  <c r="O5" i="10"/>
  <c r="D5" i="10"/>
  <c r="Y5" i="10"/>
  <c r="N5" i="10"/>
  <c r="C5" i="10"/>
  <c r="X5" i="10"/>
  <c r="M5" i="10"/>
  <c r="W4" i="7"/>
  <c r="L4" i="7"/>
  <c r="H14" i="5"/>
  <c r="AD4" i="6"/>
  <c r="S4" i="6"/>
  <c r="H4" i="6"/>
  <c r="P14" i="6"/>
  <c r="E14" i="6"/>
  <c r="W50" i="5"/>
  <c r="L50" i="5"/>
  <c r="C4" i="7"/>
  <c r="V4" i="7"/>
  <c r="K4" i="7"/>
  <c r="AD14" i="7"/>
  <c r="S14" i="7"/>
  <c r="H14" i="7"/>
  <c r="AF50" i="7"/>
  <c r="U50" i="7"/>
  <c r="J50" i="7"/>
  <c r="W5" i="10"/>
  <c r="L5" i="10"/>
  <c r="M14" i="5"/>
  <c r="E37" i="5"/>
  <c r="AC4" i="6"/>
  <c r="R4" i="6"/>
  <c r="G4" i="6"/>
  <c r="Z14" i="6"/>
  <c r="O14" i="6"/>
  <c r="D14" i="6"/>
  <c r="W26" i="6"/>
  <c r="L26" i="6"/>
  <c r="AE37" i="6"/>
  <c r="T37" i="6"/>
  <c r="I37" i="6"/>
  <c r="AB50" i="6"/>
  <c r="Q50" i="6"/>
  <c r="F50" i="6"/>
  <c r="V50" i="5"/>
  <c r="K50" i="5"/>
  <c r="AD60" i="5"/>
  <c r="S60" i="5"/>
  <c r="H60" i="5"/>
  <c r="X60" i="6"/>
  <c r="M60" i="6"/>
  <c r="AF4" i="7"/>
  <c r="U4" i="7"/>
  <c r="J4" i="7"/>
  <c r="AC14" i="7"/>
  <c r="R14" i="7"/>
  <c r="G14" i="7"/>
  <c r="Z26" i="7"/>
  <c r="O26" i="7"/>
  <c r="D26" i="7"/>
  <c r="W37" i="7"/>
  <c r="L37" i="7"/>
  <c r="AE50" i="7"/>
  <c r="T50" i="7"/>
  <c r="I50" i="7"/>
  <c r="AB60" i="7"/>
  <c r="Q60" i="7"/>
  <c r="F60" i="7"/>
  <c r="B5" i="10"/>
  <c r="V5" i="10"/>
  <c r="K5" i="10"/>
  <c r="N14" i="5"/>
  <c r="M26" i="5"/>
  <c r="F37" i="5"/>
  <c r="AB4" i="6"/>
  <c r="Q4" i="6"/>
  <c r="F4" i="6"/>
  <c r="Y14" i="6"/>
  <c r="N14" i="6"/>
  <c r="C26" i="6"/>
  <c r="V26" i="6"/>
  <c r="K26" i="6"/>
  <c r="AD37" i="6"/>
  <c r="S37" i="6"/>
  <c r="H37" i="6"/>
  <c r="AA50" i="6"/>
  <c r="P50" i="6"/>
  <c r="E50" i="6"/>
  <c r="AF50" i="5"/>
  <c r="U50" i="5"/>
  <c r="J50" i="5"/>
  <c r="C60" i="5"/>
  <c r="AC60" i="5"/>
  <c r="R60" i="5"/>
  <c r="G60" i="5"/>
  <c r="W60" i="6"/>
  <c r="L60" i="6"/>
  <c r="AE4" i="7"/>
  <c r="T4" i="7"/>
  <c r="I4" i="7"/>
  <c r="AB14" i="7"/>
  <c r="Q14" i="7"/>
  <c r="F14" i="7"/>
  <c r="Y26" i="7"/>
  <c r="N26" i="7"/>
  <c r="C37" i="7"/>
  <c r="V37" i="7"/>
  <c r="K37" i="7"/>
  <c r="AD50" i="7"/>
  <c r="S50" i="7"/>
  <c r="H50" i="7"/>
  <c r="AA60" i="7"/>
  <c r="P60" i="7"/>
  <c r="E60" i="7"/>
  <c r="AF5" i="10"/>
  <c r="U5" i="10"/>
  <c r="J5" i="10"/>
  <c r="AA4" i="6"/>
  <c r="P4" i="6"/>
  <c r="E4" i="6"/>
  <c r="X14" i="6"/>
  <c r="M14" i="6"/>
  <c r="AF26" i="6"/>
  <c r="U26" i="6"/>
  <c r="J26" i="6"/>
  <c r="AC37" i="6"/>
  <c r="R37" i="6"/>
  <c r="G37" i="6"/>
  <c r="Z50" i="6"/>
  <c r="O50" i="6"/>
  <c r="D50" i="6"/>
  <c r="AE50" i="5"/>
  <c r="T50" i="5"/>
  <c r="I50" i="5"/>
  <c r="AB60" i="5"/>
  <c r="Q60" i="5"/>
  <c r="F60" i="5"/>
  <c r="C60" i="6"/>
  <c r="V60" i="6"/>
  <c r="K60" i="6"/>
  <c r="AD4" i="7"/>
  <c r="S4" i="7"/>
  <c r="H4" i="7"/>
  <c r="AA14" i="7"/>
  <c r="P14" i="7"/>
  <c r="E14" i="7"/>
  <c r="X26" i="7"/>
  <c r="M26" i="7"/>
  <c r="AF37" i="7"/>
  <c r="U37" i="7"/>
  <c r="J37" i="7"/>
  <c r="AC50" i="7"/>
  <c r="R50" i="7"/>
  <c r="G50" i="7"/>
  <c r="Z60" i="7"/>
  <c r="O60" i="7"/>
  <c r="D60" i="7"/>
  <c r="AE5" i="10"/>
  <c r="T5" i="10"/>
  <c r="I5" i="10"/>
  <c r="AA14" i="6"/>
  <c r="Q14" i="5"/>
  <c r="X4" i="5"/>
  <c r="Y14" i="5"/>
  <c r="Y26" i="5"/>
  <c r="I37" i="5"/>
  <c r="Z4" i="6"/>
  <c r="O4" i="6"/>
  <c r="D4" i="6"/>
  <c r="W14" i="6"/>
  <c r="L14" i="6"/>
  <c r="AE26" i="6"/>
  <c r="T26" i="6"/>
  <c r="I26" i="6"/>
  <c r="AB37" i="6"/>
  <c r="Q37" i="6"/>
  <c r="F37" i="6"/>
  <c r="Y50" i="6"/>
  <c r="N50" i="6"/>
  <c r="AD50" i="5"/>
  <c r="S50" i="5"/>
  <c r="H50" i="5"/>
  <c r="AA60" i="5"/>
  <c r="P60" i="5"/>
  <c r="E60" i="5"/>
  <c r="AF60" i="6"/>
  <c r="U60" i="6"/>
  <c r="J60" i="6"/>
  <c r="AC4" i="7"/>
  <c r="R4" i="7"/>
  <c r="G4" i="7"/>
  <c r="Z14" i="7"/>
  <c r="O14" i="7"/>
  <c r="W26" i="7"/>
  <c r="AE37" i="7"/>
  <c r="T37" i="7"/>
  <c r="I37" i="7"/>
  <c r="AB50" i="7"/>
  <c r="Q50" i="7"/>
  <c r="Y60" i="7"/>
  <c r="AD5" i="10"/>
  <c r="S5" i="10"/>
  <c r="H5" i="10"/>
  <c r="H53" i="4"/>
  <c r="N53" i="4"/>
  <c r="J37" i="8"/>
  <c r="R37" i="8"/>
  <c r="I37" i="8"/>
  <c r="AE37" i="8"/>
  <c r="H37" i="8"/>
  <c r="Q37" i="8"/>
  <c r="AD37" i="8"/>
  <c r="G37" i="8"/>
  <c r="AC37" i="8"/>
  <c r="F37" i="8"/>
  <c r="M37" i="8"/>
  <c r="X37" i="8"/>
  <c r="AF37" i="8"/>
  <c r="N37" i="8"/>
  <c r="Y37" i="8"/>
  <c r="D37" i="8"/>
  <c r="O37" i="8"/>
  <c r="Z37" i="8"/>
  <c r="E37" i="8"/>
  <c r="P37" i="8"/>
  <c r="AA37" i="8"/>
  <c r="K37" i="8"/>
  <c r="V37" i="8"/>
  <c r="L37" i="8"/>
  <c r="W37" i="8"/>
  <c r="U37" i="8"/>
  <c r="T37" i="8"/>
  <c r="C37" i="8"/>
  <c r="S37" i="8"/>
  <c r="H51" i="4"/>
  <c r="B16" i="4"/>
  <c r="B18" i="4" s="1"/>
  <c r="B51" i="4"/>
  <c r="H16" i="4"/>
  <c r="H18" i="4" s="1"/>
  <c r="J25" i="5" s="1"/>
  <c r="N42" i="4"/>
  <c r="N51" i="4"/>
  <c r="H42" i="4"/>
  <c r="N16" i="4"/>
  <c r="N18" i="4" s="1"/>
  <c r="B42" i="4"/>
  <c r="N36" i="4"/>
  <c r="N38" i="4" s="1"/>
  <c r="H36" i="4"/>
  <c r="B36" i="4"/>
  <c r="Z39" i="3"/>
  <c r="Z40" i="3" s="1"/>
  <c r="O39" i="3"/>
  <c r="O40" i="3" s="1"/>
  <c r="D39" i="3"/>
  <c r="D40" i="3" s="1"/>
  <c r="X39" i="3"/>
  <c r="X40" i="3" s="1"/>
  <c r="L39" i="3"/>
  <c r="L40" i="3" s="1"/>
  <c r="W39" i="3"/>
  <c r="W40" i="3" s="1"/>
  <c r="K39" i="3"/>
  <c r="K40" i="3" s="1"/>
  <c r="U39" i="3"/>
  <c r="U40" i="3" s="1"/>
  <c r="I39" i="3"/>
  <c r="I40" i="3" s="1"/>
  <c r="J39" i="3"/>
  <c r="J40" i="3" s="1"/>
  <c r="AA39" i="3"/>
  <c r="AA40" i="3" s="1"/>
  <c r="H39" i="3"/>
  <c r="H40" i="3" s="1"/>
  <c r="T39" i="3"/>
  <c r="T40" i="3" s="1"/>
  <c r="E39" i="3"/>
  <c r="E40" i="3" s="1"/>
  <c r="R39" i="3"/>
  <c r="R40" i="3" s="1"/>
  <c r="P39" i="3"/>
  <c r="P40" i="3" s="1"/>
  <c r="Y39" i="3"/>
  <c r="Y40" i="3" s="1"/>
  <c r="G39" i="3"/>
  <c r="G40" i="3" s="1"/>
  <c r="V39" i="3"/>
  <c r="V40" i="3" s="1"/>
  <c r="S39" i="3"/>
  <c r="S40" i="3" s="1"/>
  <c r="C39" i="3"/>
  <c r="C40" i="3" s="1"/>
  <c r="F39" i="3"/>
  <c r="F40" i="3" s="1"/>
  <c r="Q39" i="3"/>
  <c r="Q40" i="3" s="1"/>
  <c r="N39" i="3"/>
  <c r="N40" i="3" s="1"/>
  <c r="M39" i="3"/>
  <c r="M40" i="3" s="1"/>
  <c r="X62" i="8"/>
  <c r="M62" i="8"/>
  <c r="X52" i="8"/>
  <c r="M52" i="8"/>
  <c r="Y39" i="8"/>
  <c r="Y40" i="8" s="1"/>
  <c r="N39" i="8"/>
  <c r="N40" i="8" s="1"/>
  <c r="C39" i="8"/>
  <c r="C40" i="8" s="1"/>
  <c r="AA28" i="8"/>
  <c r="P28" i="8"/>
  <c r="E28" i="8"/>
  <c r="AB16" i="8"/>
  <c r="Q16" i="8"/>
  <c r="F16" i="8"/>
  <c r="AC6" i="8"/>
  <c r="R6" i="8"/>
  <c r="G6" i="8"/>
  <c r="W62" i="8"/>
  <c r="L62" i="8"/>
  <c r="W52" i="8"/>
  <c r="L52" i="8"/>
  <c r="X39" i="8"/>
  <c r="X40" i="8" s="1"/>
  <c r="M39" i="8"/>
  <c r="M40" i="8" s="1"/>
  <c r="Z28" i="8"/>
  <c r="O28" i="8"/>
  <c r="D28" i="8"/>
  <c r="AA16" i="8"/>
  <c r="P16" i="8"/>
  <c r="E16" i="8"/>
  <c r="AB6" i="8"/>
  <c r="Q6" i="8"/>
  <c r="F6" i="8"/>
  <c r="AC62" i="7"/>
  <c r="AC63" i="7" s="1"/>
  <c r="V62" i="8"/>
  <c r="K62" i="8"/>
  <c r="V52" i="8"/>
  <c r="K52" i="8"/>
  <c r="W39" i="8"/>
  <c r="W40" i="8" s="1"/>
  <c r="L39" i="8"/>
  <c r="L40" i="8" s="1"/>
  <c r="Y28" i="8"/>
  <c r="N28" i="8"/>
  <c r="C28" i="8"/>
  <c r="Z16" i="8"/>
  <c r="O16" i="8"/>
  <c r="D16" i="8"/>
  <c r="AA6" i="8"/>
  <c r="P6" i="8"/>
  <c r="E6" i="8"/>
  <c r="AB62" i="7"/>
  <c r="AB63" i="7" s="1"/>
  <c r="AF62" i="8"/>
  <c r="U62" i="8"/>
  <c r="J62" i="8"/>
  <c r="AF52" i="8"/>
  <c r="U52" i="8"/>
  <c r="J52" i="8"/>
  <c r="V39" i="8"/>
  <c r="V40" i="8" s="1"/>
  <c r="K39" i="8"/>
  <c r="K40" i="8" s="1"/>
  <c r="X28" i="8"/>
  <c r="M28" i="8"/>
  <c r="Y16" i="8"/>
  <c r="N16" i="8"/>
  <c r="C16" i="8"/>
  <c r="Z6" i="8"/>
  <c r="O6" i="8"/>
  <c r="D6" i="8"/>
  <c r="Y62" i="8"/>
  <c r="N62" i="8"/>
  <c r="C62" i="8"/>
  <c r="Y52" i="8"/>
  <c r="N52" i="8"/>
  <c r="C52" i="8"/>
  <c r="Z39" i="8"/>
  <c r="Z40" i="8" s="1"/>
  <c r="O39" i="8"/>
  <c r="O40" i="8" s="1"/>
  <c r="D39" i="8"/>
  <c r="D40" i="8" s="1"/>
  <c r="AB28" i="8"/>
  <c r="Q28" i="8"/>
  <c r="F28" i="8"/>
  <c r="AC16" i="8"/>
  <c r="R16" i="8"/>
  <c r="G16" i="8"/>
  <c r="AD6" i="8"/>
  <c r="S6" i="8"/>
  <c r="H6" i="8"/>
  <c r="AC62" i="8"/>
  <c r="H62" i="8"/>
  <c r="AC52" i="8"/>
  <c r="H52" i="8"/>
  <c r="AE39" i="8"/>
  <c r="AE40" i="8" s="1"/>
  <c r="J39" i="8"/>
  <c r="J40" i="8" s="1"/>
  <c r="L28" i="8"/>
  <c r="S16" i="8"/>
  <c r="T6" i="8"/>
  <c r="AF62" i="7"/>
  <c r="AF63" i="7" s="1"/>
  <c r="S62" i="7"/>
  <c r="S63" i="7" s="1"/>
  <c r="H62" i="7"/>
  <c r="H63" i="7" s="1"/>
  <c r="AD52" i="7"/>
  <c r="AD53" i="7" s="1"/>
  <c r="S52" i="7"/>
  <c r="S53" i="7" s="1"/>
  <c r="H52" i="7"/>
  <c r="H53" i="7" s="1"/>
  <c r="AE39" i="7"/>
  <c r="AE40" i="7" s="1"/>
  <c r="T39" i="7"/>
  <c r="T40" i="7" s="1"/>
  <c r="I39" i="7"/>
  <c r="I40" i="7" s="1"/>
  <c r="V28" i="7"/>
  <c r="V29" i="7" s="1"/>
  <c r="K28" i="7"/>
  <c r="K29" i="7" s="1"/>
  <c r="AB62" i="8"/>
  <c r="G62" i="8"/>
  <c r="AB52" i="8"/>
  <c r="G52" i="8"/>
  <c r="AD39" i="8"/>
  <c r="AD40" i="8" s="1"/>
  <c r="I39" i="8"/>
  <c r="I40" i="8" s="1"/>
  <c r="AF28" i="8"/>
  <c r="K28" i="8"/>
  <c r="M16" i="8"/>
  <c r="N6" i="8"/>
  <c r="AE62" i="7"/>
  <c r="AE63" i="7" s="1"/>
  <c r="R62" i="7"/>
  <c r="R63" i="7" s="1"/>
  <c r="G62" i="7"/>
  <c r="G63" i="7" s="1"/>
  <c r="AC52" i="7"/>
  <c r="AC53" i="7" s="1"/>
  <c r="R52" i="7"/>
  <c r="R53" i="7" s="1"/>
  <c r="G52" i="7"/>
  <c r="G53" i="7" s="1"/>
  <c r="AD39" i="7"/>
  <c r="AD40" i="7" s="1"/>
  <c r="S39" i="7"/>
  <c r="S40" i="7" s="1"/>
  <c r="H39" i="7"/>
  <c r="H40" i="7" s="1"/>
  <c r="AA62" i="8"/>
  <c r="F62" i="8"/>
  <c r="AA52" i="8"/>
  <c r="F52" i="8"/>
  <c r="AC39" i="8"/>
  <c r="AC40" i="8" s="1"/>
  <c r="H39" i="8"/>
  <c r="H40" i="8" s="1"/>
  <c r="AE28" i="8"/>
  <c r="J28" i="8"/>
  <c r="L16" i="8"/>
  <c r="M6" i="8"/>
  <c r="AD62" i="7"/>
  <c r="AD63" i="7" s="1"/>
  <c r="Q62" i="7"/>
  <c r="Q63" i="7" s="1"/>
  <c r="F62" i="7"/>
  <c r="F63" i="7" s="1"/>
  <c r="AB52" i="7"/>
  <c r="AB53" i="7" s="1"/>
  <c r="Q52" i="7"/>
  <c r="Q53" i="7" s="1"/>
  <c r="F52" i="7"/>
  <c r="F53" i="7" s="1"/>
  <c r="AC39" i="7"/>
  <c r="AC40" i="7" s="1"/>
  <c r="R39" i="7"/>
  <c r="R40" i="7" s="1"/>
  <c r="G39" i="7"/>
  <c r="G40" i="7" s="1"/>
  <c r="T62" i="8"/>
  <c r="D62" i="8"/>
  <c r="T52" i="8"/>
  <c r="D52" i="8"/>
  <c r="AA39" i="8"/>
  <c r="AA40" i="8" s="1"/>
  <c r="F39" i="8"/>
  <c r="F40" i="8" s="1"/>
  <c r="AC28" i="8"/>
  <c r="H28" i="8"/>
  <c r="AE16" i="8"/>
  <c r="J16" i="8"/>
  <c r="AF6" i="8"/>
  <c r="K6" i="8"/>
  <c r="Z62" i="7"/>
  <c r="Z63" i="7" s="1"/>
  <c r="O62" i="7"/>
  <c r="O63" i="7" s="1"/>
  <c r="D62" i="7"/>
  <c r="D63" i="7" s="1"/>
  <c r="Z52" i="7"/>
  <c r="Z53" i="7" s="1"/>
  <c r="O52" i="7"/>
  <c r="O53" i="7" s="1"/>
  <c r="D52" i="7"/>
  <c r="D53" i="7" s="1"/>
  <c r="AD62" i="8"/>
  <c r="I62" i="8"/>
  <c r="AD52" i="8"/>
  <c r="I52" i="8"/>
  <c r="AF39" i="8"/>
  <c r="AF40" i="8" s="1"/>
  <c r="P39" i="8"/>
  <c r="P40" i="8" s="1"/>
  <c r="R28" i="8"/>
  <c r="T16" i="8"/>
  <c r="U6" i="8"/>
  <c r="T62" i="7"/>
  <c r="T63" i="7" s="1"/>
  <c r="I62" i="7"/>
  <c r="I63" i="7" s="1"/>
  <c r="AE52" i="7"/>
  <c r="AE53" i="7" s="1"/>
  <c r="T52" i="7"/>
  <c r="T53" i="7" s="1"/>
  <c r="Q62" i="8"/>
  <c r="Z52" i="8"/>
  <c r="U28" i="8"/>
  <c r="J6" i="8"/>
  <c r="L62" i="7"/>
  <c r="L63" i="7" s="1"/>
  <c r="L52" i="7"/>
  <c r="L53" i="7" s="1"/>
  <c r="Q39" i="7"/>
  <c r="Q40" i="7" s="1"/>
  <c r="C39" i="7"/>
  <c r="C40" i="7" s="1"/>
  <c r="AA28" i="7"/>
  <c r="AA29" i="7" s="1"/>
  <c r="O28" i="7"/>
  <c r="O29" i="7" s="1"/>
  <c r="C28" i="7"/>
  <c r="C29" i="7" s="1"/>
  <c r="V16" i="7"/>
  <c r="V17" i="7" s="1"/>
  <c r="K16" i="7"/>
  <c r="K17" i="7" s="1"/>
  <c r="W6" i="7"/>
  <c r="W7" i="7" s="1"/>
  <c r="L6" i="7"/>
  <c r="L7" i="7" s="1"/>
  <c r="X62" i="6"/>
  <c r="X63" i="6" s="1"/>
  <c r="M62" i="6"/>
  <c r="M63" i="6" s="1"/>
  <c r="X52" i="6"/>
  <c r="X53" i="6" s="1"/>
  <c r="M52" i="6"/>
  <c r="M53" i="6" s="1"/>
  <c r="Y39" i="6"/>
  <c r="Y40" i="6" s="1"/>
  <c r="N39" i="6"/>
  <c r="N40" i="6" s="1"/>
  <c r="C39" i="6"/>
  <c r="C40" i="6" s="1"/>
  <c r="AA28" i="6"/>
  <c r="AA29" i="6" s="1"/>
  <c r="P28" i="6"/>
  <c r="P29" i="6" s="1"/>
  <c r="E28" i="6"/>
  <c r="E29" i="6" s="1"/>
  <c r="P62" i="8"/>
  <c r="S52" i="8"/>
  <c r="T28" i="8"/>
  <c r="AF16" i="8"/>
  <c r="I6" i="8"/>
  <c r="K62" i="7"/>
  <c r="K63" i="7" s="1"/>
  <c r="AF52" i="7"/>
  <c r="AF53" i="7" s="1"/>
  <c r="K52" i="7"/>
  <c r="K53" i="7" s="1"/>
  <c r="P39" i="7"/>
  <c r="P40" i="7" s="1"/>
  <c r="Z28" i="7"/>
  <c r="Z29" i="7" s="1"/>
  <c r="N28" i="7"/>
  <c r="N29" i="7" s="1"/>
  <c r="AF16" i="7"/>
  <c r="AF17" i="7" s="1"/>
  <c r="U16" i="7"/>
  <c r="U17" i="7" s="1"/>
  <c r="J16" i="7"/>
  <c r="J17" i="7" s="1"/>
  <c r="V6" i="7"/>
  <c r="V7" i="7" s="1"/>
  <c r="K6" i="7"/>
  <c r="K7" i="7" s="1"/>
  <c r="W62" i="6"/>
  <c r="W63" i="6" s="1"/>
  <c r="L62" i="6"/>
  <c r="L63" i="6" s="1"/>
  <c r="W52" i="6"/>
  <c r="W53" i="6" s="1"/>
  <c r="L52" i="6"/>
  <c r="L53" i="6" s="1"/>
  <c r="X39" i="6"/>
  <c r="X40" i="6" s="1"/>
  <c r="M39" i="6"/>
  <c r="M40" i="6" s="1"/>
  <c r="Z28" i="6"/>
  <c r="Z29" i="6" s="1"/>
  <c r="O28" i="6"/>
  <c r="O29" i="6" s="1"/>
  <c r="D28" i="6"/>
  <c r="D29" i="6" s="1"/>
  <c r="O62" i="8"/>
  <c r="R52" i="8"/>
  <c r="S28" i="8"/>
  <c r="AD16" i="8"/>
  <c r="C6" i="8"/>
  <c r="AA62" i="7"/>
  <c r="AA63" i="7" s="1"/>
  <c r="J62" i="7"/>
  <c r="J63" i="7" s="1"/>
  <c r="AA52" i="7"/>
  <c r="AA53" i="7" s="1"/>
  <c r="J52" i="7"/>
  <c r="J53" i="7" s="1"/>
  <c r="AF39" i="7"/>
  <c r="AF40" i="7" s="1"/>
  <c r="O39" i="7"/>
  <c r="O40" i="7" s="1"/>
  <c r="Y28" i="7"/>
  <c r="Y29" i="7" s="1"/>
  <c r="M28" i="7"/>
  <c r="M29" i="7" s="1"/>
  <c r="AE16" i="7"/>
  <c r="AE17" i="7" s="1"/>
  <c r="T16" i="7"/>
  <c r="T17" i="7" s="1"/>
  <c r="I16" i="7"/>
  <c r="I17" i="7" s="1"/>
  <c r="AF6" i="7"/>
  <c r="AF7" i="7" s="1"/>
  <c r="U6" i="7"/>
  <c r="U7" i="7" s="1"/>
  <c r="J6" i="7"/>
  <c r="J7" i="7" s="1"/>
  <c r="V62" i="6"/>
  <c r="V63" i="6" s="1"/>
  <c r="K62" i="6"/>
  <c r="K63" i="6" s="1"/>
  <c r="V52" i="6"/>
  <c r="V53" i="6" s="1"/>
  <c r="K52" i="6"/>
  <c r="K53" i="6" s="1"/>
  <c r="W39" i="6"/>
  <c r="W40" i="6" s="1"/>
  <c r="L39" i="6"/>
  <c r="L40" i="6" s="1"/>
  <c r="Y28" i="6"/>
  <c r="Y29" i="6" s="1"/>
  <c r="N28" i="6"/>
  <c r="N29" i="6" s="1"/>
  <c r="C28" i="6"/>
  <c r="C29" i="6" s="1"/>
  <c r="Z16" i="6"/>
  <c r="Z17" i="6" s="1"/>
  <c r="P52" i="8"/>
  <c r="U39" i="8"/>
  <c r="U40" i="8" s="1"/>
  <c r="G28" i="8"/>
  <c r="W16" i="8"/>
  <c r="X62" i="7"/>
  <c r="X63" i="7" s="1"/>
  <c r="C62" i="7"/>
  <c r="C63" i="7" s="1"/>
  <c r="X52" i="7"/>
  <c r="X53" i="7" s="1"/>
  <c r="E52" i="7"/>
  <c r="E53" i="7" s="1"/>
  <c r="AA39" i="7"/>
  <c r="AA40" i="7" s="1"/>
  <c r="M39" i="7"/>
  <c r="M40" i="7" s="1"/>
  <c r="W28" i="7"/>
  <c r="W29" i="7" s="1"/>
  <c r="J28" i="7"/>
  <c r="J29" i="7" s="1"/>
  <c r="AC16" i="7"/>
  <c r="AC17" i="7" s="1"/>
  <c r="R16" i="7"/>
  <c r="R17" i="7" s="1"/>
  <c r="G16" i="7"/>
  <c r="G17" i="7" s="1"/>
  <c r="AD6" i="7"/>
  <c r="AD7" i="7" s="1"/>
  <c r="S6" i="7"/>
  <c r="S7" i="7" s="1"/>
  <c r="H6" i="7"/>
  <c r="H7" i="7" s="1"/>
  <c r="AE62" i="6"/>
  <c r="AE63" i="6" s="1"/>
  <c r="T62" i="6"/>
  <c r="T63" i="6" s="1"/>
  <c r="I62" i="6"/>
  <c r="I63" i="6" s="1"/>
  <c r="E52" i="8"/>
  <c r="S39" i="8"/>
  <c r="S40" i="8" s="1"/>
  <c r="U16" i="8"/>
  <c r="Y6" i="8"/>
  <c r="V62" i="7"/>
  <c r="V63" i="7" s="1"/>
  <c r="V52" i="7"/>
  <c r="V53" i="7" s="1"/>
  <c r="Y39" i="7"/>
  <c r="Y40" i="7" s="1"/>
  <c r="K39" i="7"/>
  <c r="K40" i="7" s="1"/>
  <c r="AF28" i="7"/>
  <c r="AF29" i="7" s="1"/>
  <c r="T28" i="7"/>
  <c r="T29" i="7" s="1"/>
  <c r="H28" i="7"/>
  <c r="H29" i="7" s="1"/>
  <c r="AA16" i="7"/>
  <c r="AA17" i="7" s="1"/>
  <c r="P16" i="7"/>
  <c r="P17" i="7" s="1"/>
  <c r="E16" i="7"/>
  <c r="E17" i="7" s="1"/>
  <c r="AB6" i="7"/>
  <c r="AB7" i="7" s="1"/>
  <c r="Q6" i="7"/>
  <c r="Q7" i="7" s="1"/>
  <c r="F6" i="7"/>
  <c r="F7" i="7" s="1"/>
  <c r="AC62" i="6"/>
  <c r="AC63" i="6" s="1"/>
  <c r="S62" i="8"/>
  <c r="M52" i="7"/>
  <c r="M53" i="7" s="1"/>
  <c r="N39" i="7"/>
  <c r="N40" i="7" s="1"/>
  <c r="L28" i="7"/>
  <c r="L29" i="7" s="1"/>
  <c r="AD16" i="7"/>
  <c r="AD17" i="7" s="1"/>
  <c r="L16" i="7"/>
  <c r="L17" i="7" s="1"/>
  <c r="N6" i="7"/>
  <c r="N7" i="7" s="1"/>
  <c r="P62" i="6"/>
  <c r="P63" i="6" s="1"/>
  <c r="U52" i="6"/>
  <c r="U53" i="6" s="1"/>
  <c r="G52" i="6"/>
  <c r="G53" i="6" s="1"/>
  <c r="V39" i="6"/>
  <c r="V40" i="6" s="1"/>
  <c r="H39" i="6"/>
  <c r="H40" i="6" s="1"/>
  <c r="X28" i="6"/>
  <c r="X29" i="6" s="1"/>
  <c r="J28" i="6"/>
  <c r="J29" i="6" s="1"/>
  <c r="AC16" i="6"/>
  <c r="AC17" i="6" s="1"/>
  <c r="Q16" i="6"/>
  <c r="Q17" i="6" s="1"/>
  <c r="F16" i="6"/>
  <c r="F17" i="6" s="1"/>
  <c r="AC6" i="6"/>
  <c r="AC7" i="6" s="1"/>
  <c r="R6" i="6"/>
  <c r="R7" i="6" s="1"/>
  <c r="G6" i="6"/>
  <c r="G7" i="6" s="1"/>
  <c r="AD62" i="5"/>
  <c r="AD63" i="5" s="1"/>
  <c r="S62" i="5"/>
  <c r="S63" i="5" s="1"/>
  <c r="H62" i="5"/>
  <c r="H63" i="5" s="1"/>
  <c r="R62" i="8"/>
  <c r="AE6" i="8"/>
  <c r="I52" i="7"/>
  <c r="I53" i="7" s="1"/>
  <c r="L39" i="7"/>
  <c r="L40" i="7" s="1"/>
  <c r="AE28" i="7"/>
  <c r="AE29" i="7" s="1"/>
  <c r="I28" i="7"/>
  <c r="I29" i="7" s="1"/>
  <c r="AB16" i="7"/>
  <c r="AB17" i="7" s="1"/>
  <c r="H16" i="7"/>
  <c r="H17" i="7" s="1"/>
  <c r="AE6" i="7"/>
  <c r="AE7" i="7" s="1"/>
  <c r="M6" i="7"/>
  <c r="M7" i="7" s="1"/>
  <c r="AF62" i="6"/>
  <c r="AF63" i="6" s="1"/>
  <c r="O62" i="6"/>
  <c r="O63" i="6" s="1"/>
  <c r="T52" i="6"/>
  <c r="T53" i="6" s="1"/>
  <c r="F52" i="6"/>
  <c r="F53" i="6" s="1"/>
  <c r="U39" i="6"/>
  <c r="U40" i="6" s="1"/>
  <c r="G39" i="6"/>
  <c r="G40" i="6" s="1"/>
  <c r="W28" i="6"/>
  <c r="W29" i="6" s="1"/>
  <c r="I28" i="6"/>
  <c r="I29" i="6" s="1"/>
  <c r="AB16" i="6"/>
  <c r="AB17" i="6" s="1"/>
  <c r="P16" i="6"/>
  <c r="P17" i="6" s="1"/>
  <c r="E16" i="6"/>
  <c r="E17" i="6" s="1"/>
  <c r="AB6" i="6"/>
  <c r="AB7" i="6" s="1"/>
  <c r="Q6" i="6"/>
  <c r="Q7" i="6" s="1"/>
  <c r="F6" i="6"/>
  <c r="F7" i="6" s="1"/>
  <c r="E62" i="8"/>
  <c r="X6" i="8"/>
  <c r="C52" i="7"/>
  <c r="C53" i="7" s="1"/>
  <c r="J39" i="7"/>
  <c r="J40" i="7" s="1"/>
  <c r="AD28" i="7"/>
  <c r="AD29" i="7" s="1"/>
  <c r="G28" i="7"/>
  <c r="G29" i="7" s="1"/>
  <c r="Z16" i="7"/>
  <c r="Z17" i="7" s="1"/>
  <c r="F16" i="7"/>
  <c r="F17" i="7" s="1"/>
  <c r="AC6" i="7"/>
  <c r="AC7" i="7" s="1"/>
  <c r="I6" i="7"/>
  <c r="I7" i="7" s="1"/>
  <c r="AD62" i="6"/>
  <c r="AD63" i="6" s="1"/>
  <c r="N62" i="6"/>
  <c r="N63" i="6" s="1"/>
  <c r="S52" i="6"/>
  <c r="S53" i="6" s="1"/>
  <c r="E52" i="6"/>
  <c r="E53" i="6" s="1"/>
  <c r="T39" i="6"/>
  <c r="T40" i="6" s="1"/>
  <c r="F39" i="6"/>
  <c r="F40" i="6" s="1"/>
  <c r="V28" i="6"/>
  <c r="V29" i="6" s="1"/>
  <c r="H28" i="6"/>
  <c r="H29" i="6" s="1"/>
  <c r="AA16" i="6"/>
  <c r="AA17" i="6" s="1"/>
  <c r="O16" i="6"/>
  <c r="O17" i="6" s="1"/>
  <c r="D16" i="6"/>
  <c r="D17" i="6" s="1"/>
  <c r="AA6" i="6"/>
  <c r="AA7" i="6" s="1"/>
  <c r="P6" i="6"/>
  <c r="P7" i="6" s="1"/>
  <c r="E6" i="6"/>
  <c r="E7" i="6" s="1"/>
  <c r="AD28" i="8"/>
  <c r="X16" i="8"/>
  <c r="W6" i="8"/>
  <c r="Y62" i="7"/>
  <c r="Y63" i="7" s="1"/>
  <c r="F39" i="7"/>
  <c r="F40" i="7" s="1"/>
  <c r="AC28" i="7"/>
  <c r="AC29" i="7" s="1"/>
  <c r="F28" i="7"/>
  <c r="F29" i="7" s="1"/>
  <c r="Y16" i="7"/>
  <c r="Y17" i="7" s="1"/>
  <c r="D16" i="7"/>
  <c r="D17" i="7" s="1"/>
  <c r="AA6" i="7"/>
  <c r="AA7" i="7" s="1"/>
  <c r="G6" i="7"/>
  <c r="G7" i="7" s="1"/>
  <c r="AB39" i="8"/>
  <c r="AB40" i="8" s="1"/>
  <c r="AE62" i="8"/>
  <c r="E39" i="8"/>
  <c r="E40" i="8" s="1"/>
  <c r="E62" i="7"/>
  <c r="E63" i="7" s="1"/>
  <c r="P52" i="7"/>
  <c r="P53" i="7" s="1"/>
  <c r="V39" i="7"/>
  <c r="V40" i="7" s="1"/>
  <c r="Q28" i="7"/>
  <c r="Q29" i="7" s="1"/>
  <c r="N16" i="7"/>
  <c r="N17" i="7" s="1"/>
  <c r="P6" i="7"/>
  <c r="P7" i="7" s="1"/>
  <c r="R62" i="6"/>
  <c r="R63" i="6" s="1"/>
  <c r="C62" i="6"/>
  <c r="C63" i="6" s="1"/>
  <c r="Z52" i="6"/>
  <c r="Z53" i="6" s="1"/>
  <c r="I52" i="6"/>
  <c r="I53" i="6" s="1"/>
  <c r="AA39" i="6"/>
  <c r="AA40" i="6" s="1"/>
  <c r="J39" i="6"/>
  <c r="J40" i="6" s="1"/>
  <c r="AC28" i="6"/>
  <c r="AC29" i="6" s="1"/>
  <c r="L28" i="6"/>
  <c r="L29" i="6" s="1"/>
  <c r="AE16" i="6"/>
  <c r="AE17" i="6" s="1"/>
  <c r="S16" i="6"/>
  <c r="S17" i="6" s="1"/>
  <c r="H16" i="6"/>
  <c r="H17" i="6" s="1"/>
  <c r="AE6" i="6"/>
  <c r="AE7" i="6" s="1"/>
  <c r="Z62" i="8"/>
  <c r="Q39" i="8"/>
  <c r="Q40" i="8" s="1"/>
  <c r="H16" i="8"/>
  <c r="N62" i="7"/>
  <c r="N63" i="7" s="1"/>
  <c r="U39" i="7"/>
  <c r="U40" i="7" s="1"/>
  <c r="D28" i="7"/>
  <c r="D29" i="7" s="1"/>
  <c r="Q16" i="7"/>
  <c r="Q17" i="7" s="1"/>
  <c r="Q62" i="6"/>
  <c r="Q63" i="6" s="1"/>
  <c r="AE52" i="6"/>
  <c r="AE53" i="6" s="1"/>
  <c r="J52" i="6"/>
  <c r="J53" i="6" s="1"/>
  <c r="O39" i="6"/>
  <c r="O40" i="6" s="1"/>
  <c r="R28" i="6"/>
  <c r="R29" i="6" s="1"/>
  <c r="W16" i="6"/>
  <c r="W17" i="6" s="1"/>
  <c r="G16" i="6"/>
  <c r="G17" i="6" s="1"/>
  <c r="X6" i="6"/>
  <c r="X7" i="6" s="1"/>
  <c r="J6" i="6"/>
  <c r="J7" i="6" s="1"/>
  <c r="AE52" i="8"/>
  <c r="G39" i="8"/>
  <c r="G40" i="8" s="1"/>
  <c r="M62" i="7"/>
  <c r="M63" i="7" s="1"/>
  <c r="Q52" i="8"/>
  <c r="D39" i="7"/>
  <c r="D40" i="7" s="1"/>
  <c r="M16" i="7"/>
  <c r="M17" i="7" s="1"/>
  <c r="Y6" i="7"/>
  <c r="Y7" i="7" s="1"/>
  <c r="H62" i="6"/>
  <c r="H63" i="6" s="1"/>
  <c r="AC52" i="6"/>
  <c r="AC53" i="6" s="1"/>
  <c r="D52" i="6"/>
  <c r="D53" i="6" s="1"/>
  <c r="AE39" i="6"/>
  <c r="AE40" i="6" s="1"/>
  <c r="I39" i="6"/>
  <c r="I40" i="6" s="1"/>
  <c r="M28" i="6"/>
  <c r="M29" i="6" s="1"/>
  <c r="U16" i="6"/>
  <c r="U17" i="6" s="1"/>
  <c r="V6" i="6"/>
  <c r="V7" i="6" s="1"/>
  <c r="H6" i="6"/>
  <c r="H7" i="6" s="1"/>
  <c r="Y62" i="5"/>
  <c r="Y63" i="5" s="1"/>
  <c r="M62" i="5"/>
  <c r="M63" i="5" s="1"/>
  <c r="Z52" i="5"/>
  <c r="Z53" i="5" s="1"/>
  <c r="O52" i="5"/>
  <c r="O53" i="5" s="1"/>
  <c r="D52" i="5"/>
  <c r="D53" i="5" s="1"/>
  <c r="AA39" i="5"/>
  <c r="AA40" i="5" s="1"/>
  <c r="P39" i="5"/>
  <c r="P40" i="5" s="1"/>
  <c r="E39" i="5"/>
  <c r="E40" i="5" s="1"/>
  <c r="Z28" i="5"/>
  <c r="Z29" i="5" s="1"/>
  <c r="O28" i="5"/>
  <c r="O29" i="5" s="1"/>
  <c r="D28" i="5"/>
  <c r="D29" i="5" s="1"/>
  <c r="X16" i="5"/>
  <c r="X17" i="5" s="1"/>
  <c r="O52" i="8"/>
  <c r="C16" i="7"/>
  <c r="C17" i="7" s="1"/>
  <c r="X6" i="7"/>
  <c r="X7" i="7" s="1"/>
  <c r="G62" i="6"/>
  <c r="G63" i="6" s="1"/>
  <c r="AB52" i="6"/>
  <c r="AB53" i="6" s="1"/>
  <c r="C52" i="6"/>
  <c r="C53" i="6" s="1"/>
  <c r="AD39" i="6"/>
  <c r="AD40" i="6" s="1"/>
  <c r="E39" i="6"/>
  <c r="E40" i="6" s="1"/>
  <c r="K28" i="6"/>
  <c r="K29" i="6" s="1"/>
  <c r="T16" i="6"/>
  <c r="T17" i="6" s="1"/>
  <c r="U6" i="6"/>
  <c r="U7" i="6" s="1"/>
  <c r="D6" i="6"/>
  <c r="D7" i="6" s="1"/>
  <c r="X62" i="5"/>
  <c r="X63" i="5" s="1"/>
  <c r="L62" i="5"/>
  <c r="L63" i="5" s="1"/>
  <c r="Y52" i="5"/>
  <c r="Y53" i="5" s="1"/>
  <c r="N52" i="5"/>
  <c r="N53" i="5" s="1"/>
  <c r="C52" i="5"/>
  <c r="C53" i="5" s="1"/>
  <c r="Z39" i="5"/>
  <c r="Z40" i="5" s="1"/>
  <c r="O39" i="5"/>
  <c r="O40" i="5" s="1"/>
  <c r="D39" i="5"/>
  <c r="D40" i="5" s="1"/>
  <c r="X28" i="7"/>
  <c r="X29" i="7" s="1"/>
  <c r="R6" i="7"/>
  <c r="R7" i="7" s="1"/>
  <c r="AB62" i="6"/>
  <c r="AB63" i="6" s="1"/>
  <c r="E62" i="6"/>
  <c r="E63" i="6" s="1"/>
  <c r="Y52" i="6"/>
  <c r="Y53" i="6" s="1"/>
  <c r="AB39" i="6"/>
  <c r="AB40" i="6" s="1"/>
  <c r="AE28" i="6"/>
  <c r="AE29" i="6" s="1"/>
  <c r="F28" i="6"/>
  <c r="F29" i="6" s="1"/>
  <c r="N16" i="6"/>
  <c r="N17" i="6" s="1"/>
  <c r="S6" i="6"/>
  <c r="S7" i="6" s="1"/>
  <c r="V62" i="5"/>
  <c r="V63" i="5" s="1"/>
  <c r="J62" i="5"/>
  <c r="J63" i="5" s="1"/>
  <c r="R39" i="8"/>
  <c r="R40" i="8" s="1"/>
  <c r="I28" i="8"/>
  <c r="I16" i="8"/>
  <c r="P62" i="7"/>
  <c r="P63" i="7" s="1"/>
  <c r="W39" i="7"/>
  <c r="W40" i="7" s="1"/>
  <c r="E28" i="7"/>
  <c r="E29" i="7" s="1"/>
  <c r="S16" i="7"/>
  <c r="S17" i="7" s="1"/>
  <c r="S62" i="6"/>
  <c r="S63" i="6" s="1"/>
  <c r="AF52" i="6"/>
  <c r="AF53" i="6" s="1"/>
  <c r="N52" i="6"/>
  <c r="N53" i="6" s="1"/>
  <c r="P39" i="6"/>
  <c r="P40" i="6" s="1"/>
  <c r="S28" i="6"/>
  <c r="S29" i="6" s="1"/>
  <c r="X16" i="6"/>
  <c r="X17" i="6" s="1"/>
  <c r="I16" i="6"/>
  <c r="I17" i="6" s="1"/>
  <c r="Y6" i="6"/>
  <c r="Y7" i="6" s="1"/>
  <c r="K6" i="6"/>
  <c r="K7" i="6" s="1"/>
  <c r="AB62" i="5"/>
  <c r="AB63" i="5" s="1"/>
  <c r="P62" i="5"/>
  <c r="P63" i="5" s="1"/>
  <c r="D62" i="5"/>
  <c r="D63" i="5" s="1"/>
  <c r="AC52" i="5"/>
  <c r="AC53" i="5" s="1"/>
  <c r="V6" i="8"/>
  <c r="AB28" i="7"/>
  <c r="AB29" i="7" s="1"/>
  <c r="X16" i="7"/>
  <c r="X17" i="7" s="1"/>
  <c r="T6" i="7"/>
  <c r="T7" i="7" s="1"/>
  <c r="U62" i="6"/>
  <c r="U63" i="6" s="1"/>
  <c r="AF28" i="6"/>
  <c r="AF29" i="6" s="1"/>
  <c r="AF16" i="6"/>
  <c r="AF17" i="6" s="1"/>
  <c r="Z6" i="6"/>
  <c r="Z7" i="6" s="1"/>
  <c r="AC62" i="5"/>
  <c r="AC63" i="5" s="1"/>
  <c r="I62" i="5"/>
  <c r="I63" i="5" s="1"/>
  <c r="T52" i="5"/>
  <c r="T53" i="5" s="1"/>
  <c r="G52" i="5"/>
  <c r="G53" i="5" s="1"/>
  <c r="U39" i="5"/>
  <c r="U40" i="5" s="1"/>
  <c r="H39" i="5"/>
  <c r="H40" i="5" s="1"/>
  <c r="W28" i="5"/>
  <c r="W29" i="5" s="1"/>
  <c r="K28" i="5"/>
  <c r="K29" i="5" s="1"/>
  <c r="AD16" i="5"/>
  <c r="AD17" i="5" s="1"/>
  <c r="R16" i="5"/>
  <c r="R17" i="5" s="1"/>
  <c r="G16" i="5"/>
  <c r="G17" i="5" s="1"/>
  <c r="AA6" i="5"/>
  <c r="AA7" i="5" s="1"/>
  <c r="P6" i="5"/>
  <c r="P7" i="5" s="1"/>
  <c r="E6" i="5"/>
  <c r="E7" i="5" s="1"/>
  <c r="L6" i="8"/>
  <c r="U28" i="7"/>
  <c r="U29" i="7" s="1"/>
  <c r="W16" i="7"/>
  <c r="W17" i="7" s="1"/>
  <c r="O6" i="7"/>
  <c r="O7" i="7" s="1"/>
  <c r="J62" i="6"/>
  <c r="J63" i="6" s="1"/>
  <c r="AF39" i="6"/>
  <c r="AF40" i="6" s="1"/>
  <c r="AD28" i="6"/>
  <c r="AD29" i="6" s="1"/>
  <c r="AD16" i="6"/>
  <c r="AD17" i="6" s="1"/>
  <c r="W6" i="6"/>
  <c r="W7" i="6" s="1"/>
  <c r="AA62" i="5"/>
  <c r="AA63" i="5" s="1"/>
  <c r="G62" i="5"/>
  <c r="G63" i="5" s="1"/>
  <c r="S52" i="5"/>
  <c r="S53" i="5" s="1"/>
  <c r="F52" i="5"/>
  <c r="F53" i="5" s="1"/>
  <c r="T39" i="5"/>
  <c r="T40" i="5" s="1"/>
  <c r="G39" i="5"/>
  <c r="G40" i="5" s="1"/>
  <c r="V28" i="5"/>
  <c r="V29" i="5" s="1"/>
  <c r="J28" i="5"/>
  <c r="J29" i="5" s="1"/>
  <c r="AC16" i="5"/>
  <c r="AC17" i="5" s="1"/>
  <c r="Q16" i="5"/>
  <c r="Q17" i="5" s="1"/>
  <c r="F16" i="5"/>
  <c r="F17" i="5" s="1"/>
  <c r="Z6" i="5"/>
  <c r="Z7" i="5" s="1"/>
  <c r="O6" i="5"/>
  <c r="O7" i="5" s="1"/>
  <c r="D6" i="5"/>
  <c r="D7" i="5" s="1"/>
  <c r="W28" i="8"/>
  <c r="Y52" i="7"/>
  <c r="Y53" i="7" s="1"/>
  <c r="S28" i="7"/>
  <c r="S29" i="7" s="1"/>
  <c r="O16" i="7"/>
  <c r="O17" i="7" s="1"/>
  <c r="E6" i="7"/>
  <c r="E7" i="7" s="1"/>
  <c r="F62" i="6"/>
  <c r="F63" i="6" s="1"/>
  <c r="AC39" i="6"/>
  <c r="AC40" i="6" s="1"/>
  <c r="AB28" i="6"/>
  <c r="AB29" i="6" s="1"/>
  <c r="Y16" i="6"/>
  <c r="Y17" i="6" s="1"/>
  <c r="T6" i="6"/>
  <c r="T7" i="6" s="1"/>
  <c r="Z62" i="5"/>
  <c r="Z63" i="5" s="1"/>
  <c r="F62" i="5"/>
  <c r="F63" i="5" s="1"/>
  <c r="AF52" i="5"/>
  <c r="AF53" i="5" s="1"/>
  <c r="R52" i="5"/>
  <c r="R53" i="5" s="1"/>
  <c r="E52" i="5"/>
  <c r="E53" i="5" s="1"/>
  <c r="AF39" i="5"/>
  <c r="AF40" i="5" s="1"/>
  <c r="S39" i="5"/>
  <c r="S40" i="5" s="1"/>
  <c r="F39" i="5"/>
  <c r="F40" i="5" s="1"/>
  <c r="U28" i="5"/>
  <c r="U29" i="5" s="1"/>
  <c r="I28" i="5"/>
  <c r="I29" i="5" s="1"/>
  <c r="AB16" i="5"/>
  <c r="AB17" i="5" s="1"/>
  <c r="P16" i="5"/>
  <c r="P17" i="5" s="1"/>
  <c r="E16" i="5"/>
  <c r="E17" i="5" s="1"/>
  <c r="Y6" i="5"/>
  <c r="Y7" i="5" s="1"/>
  <c r="N6" i="5"/>
  <c r="N7" i="5" s="1"/>
  <c r="C6" i="5"/>
  <c r="C7" i="5" s="1"/>
  <c r="V28" i="8"/>
  <c r="W52" i="7"/>
  <c r="W53" i="7" s="1"/>
  <c r="R28" i="7"/>
  <c r="R29" i="7" s="1"/>
  <c r="D6" i="7"/>
  <c r="D7" i="7" s="1"/>
  <c r="D62" i="6"/>
  <c r="D63" i="6" s="1"/>
  <c r="AD52" i="6"/>
  <c r="AD53" i="6" s="1"/>
  <c r="Z39" i="6"/>
  <c r="Z40" i="6" s="1"/>
  <c r="U28" i="6"/>
  <c r="U29" i="6" s="1"/>
  <c r="V16" i="6"/>
  <c r="V17" i="6" s="1"/>
  <c r="O6" i="6"/>
  <c r="O7" i="6" s="1"/>
  <c r="W62" i="5"/>
  <c r="W63" i="5" s="1"/>
  <c r="E62" i="5"/>
  <c r="E63" i="5" s="1"/>
  <c r="AE52" i="5"/>
  <c r="AE53" i="5" s="1"/>
  <c r="Q52" i="5"/>
  <c r="Q53" i="5" s="1"/>
  <c r="AE39" i="5"/>
  <c r="AE40" i="5" s="1"/>
  <c r="R39" i="5"/>
  <c r="R40" i="5" s="1"/>
  <c r="C39" i="5"/>
  <c r="C40" i="5" s="1"/>
  <c r="AF28" i="5"/>
  <c r="AF29" i="5" s="1"/>
  <c r="T28" i="5"/>
  <c r="T29" i="5" s="1"/>
  <c r="H28" i="5"/>
  <c r="H29" i="5" s="1"/>
  <c r="AA16" i="5"/>
  <c r="AA17" i="5" s="1"/>
  <c r="O16" i="5"/>
  <c r="O17" i="5" s="1"/>
  <c r="D16" i="5"/>
  <c r="D17" i="5" s="1"/>
  <c r="X6" i="5"/>
  <c r="X7" i="5" s="1"/>
  <c r="M6" i="5"/>
  <c r="M7" i="5" s="1"/>
  <c r="U52" i="7"/>
  <c r="U53" i="7" s="1"/>
  <c r="AB39" i="7"/>
  <c r="AB40" i="7" s="1"/>
  <c r="P28" i="7"/>
  <c r="P29" i="7" s="1"/>
  <c r="C6" i="7"/>
  <c r="C7" i="7" s="1"/>
  <c r="AA52" i="6"/>
  <c r="AA53" i="6" s="1"/>
  <c r="S39" i="6"/>
  <c r="S40" i="6" s="1"/>
  <c r="V16" i="8"/>
  <c r="E39" i="7"/>
  <c r="E40" i="7" s="1"/>
  <c r="P52" i="6"/>
  <c r="P53" i="6" s="1"/>
  <c r="K39" i="6"/>
  <c r="K40" i="6" s="1"/>
  <c r="K16" i="6"/>
  <c r="K17" i="6" s="1"/>
  <c r="I6" i="6"/>
  <c r="I7" i="6" s="1"/>
  <c r="Q62" i="5"/>
  <c r="Q63" i="5" s="1"/>
  <c r="X52" i="5"/>
  <c r="X53" i="5" s="1"/>
  <c r="K52" i="5"/>
  <c r="K53" i="5" s="1"/>
  <c r="Y39" i="5"/>
  <c r="Y40" i="5" s="1"/>
  <c r="L39" i="5"/>
  <c r="L40" i="5" s="1"/>
  <c r="AB28" i="5"/>
  <c r="AB29" i="5" s="1"/>
  <c r="P28" i="5"/>
  <c r="P29" i="5" s="1"/>
  <c r="C28" i="5"/>
  <c r="C29" i="5" s="1"/>
  <c r="V16" i="5"/>
  <c r="V17" i="5" s="1"/>
  <c r="K16" i="5"/>
  <c r="K17" i="5" s="1"/>
  <c r="K16" i="8"/>
  <c r="AA62" i="6"/>
  <c r="AA63" i="6" s="1"/>
  <c r="O52" i="6"/>
  <c r="O53" i="6" s="1"/>
  <c r="D39" i="6"/>
  <c r="D40" i="6" s="1"/>
  <c r="L16" i="6"/>
  <c r="L17" i="6" s="1"/>
  <c r="N6" i="6"/>
  <c r="N7" i="6" s="1"/>
  <c r="W62" i="7"/>
  <c r="W63" i="7" s="1"/>
  <c r="Z6" i="7"/>
  <c r="Z7" i="7" s="1"/>
  <c r="J16" i="6"/>
  <c r="J17" i="6" s="1"/>
  <c r="M6" i="6"/>
  <c r="M7" i="6" s="1"/>
  <c r="O62" i="5"/>
  <c r="O63" i="5" s="1"/>
  <c r="AD52" i="5"/>
  <c r="AD53" i="5" s="1"/>
  <c r="H52" i="5"/>
  <c r="H53" i="5" s="1"/>
  <c r="AD39" i="5"/>
  <c r="AD40" i="5" s="1"/>
  <c r="I39" i="5"/>
  <c r="I40" i="5" s="1"/>
  <c r="Y28" i="5"/>
  <c r="Y29" i="5" s="1"/>
  <c r="W16" i="5"/>
  <c r="W17" i="5" s="1"/>
  <c r="R6" i="5"/>
  <c r="R7" i="5" s="1"/>
  <c r="U62" i="7"/>
  <c r="U63" i="7" s="1"/>
  <c r="T28" i="6"/>
  <c r="T29" i="6" s="1"/>
  <c r="C16" i="6"/>
  <c r="C17" i="6" s="1"/>
  <c r="L6" i="6"/>
  <c r="L7" i="6" s="1"/>
  <c r="N62" i="5"/>
  <c r="N63" i="5" s="1"/>
  <c r="AB52" i="5"/>
  <c r="AB53" i="5" s="1"/>
  <c r="AC39" i="5"/>
  <c r="AC40" i="5" s="1"/>
  <c r="X28" i="5"/>
  <c r="X29" i="5" s="1"/>
  <c r="U16" i="5"/>
  <c r="U17" i="5" s="1"/>
  <c r="AF6" i="5"/>
  <c r="AF7" i="5" s="1"/>
  <c r="Q6" i="5"/>
  <c r="Q7" i="5" s="1"/>
  <c r="T39" i="8"/>
  <c r="T40" i="8" s="1"/>
  <c r="Q28" i="6"/>
  <c r="Q29" i="6" s="1"/>
  <c r="C6" i="6"/>
  <c r="C7" i="6" s="1"/>
  <c r="K62" i="5"/>
  <c r="K63" i="5" s="1"/>
  <c r="AA52" i="5"/>
  <c r="AA53" i="5" s="1"/>
  <c r="AB39" i="5"/>
  <c r="AB40" i="5" s="1"/>
  <c r="S28" i="5"/>
  <c r="S29" i="5" s="1"/>
  <c r="T16" i="5"/>
  <c r="T17" i="5" s="1"/>
  <c r="AE6" i="5"/>
  <c r="AE7" i="5" s="1"/>
  <c r="L6" i="5"/>
  <c r="L7" i="5" s="1"/>
  <c r="N52" i="7"/>
  <c r="N53" i="7" s="1"/>
  <c r="V52" i="5"/>
  <c r="V53" i="5" s="1"/>
  <c r="W39" i="5"/>
  <c r="W40" i="5" s="1"/>
  <c r="Q28" i="5"/>
  <c r="Q29" i="5" s="1"/>
  <c r="N16" i="5"/>
  <c r="N17" i="5" s="1"/>
  <c r="AC6" i="5"/>
  <c r="AC7" i="5" s="1"/>
  <c r="J6" i="5"/>
  <c r="J7" i="5" s="1"/>
  <c r="U52" i="5"/>
  <c r="U53" i="5" s="1"/>
  <c r="V39" i="5"/>
  <c r="V40" i="5" s="1"/>
  <c r="Z62" i="6"/>
  <c r="Z63" i="6" s="1"/>
  <c r="X39" i="7"/>
  <c r="X40" i="7" s="1"/>
  <c r="Q39" i="6"/>
  <c r="Q40" i="6" s="1"/>
  <c r="M16" i="6"/>
  <c r="M17" i="6" s="1"/>
  <c r="AD6" i="6"/>
  <c r="AD7" i="6" s="1"/>
  <c r="T62" i="5"/>
  <c r="T63" i="5" s="1"/>
  <c r="J52" i="5"/>
  <c r="J53" i="5" s="1"/>
  <c r="K39" i="5"/>
  <c r="K40" i="5" s="1"/>
  <c r="AC28" i="5"/>
  <c r="AC29" i="5" s="1"/>
  <c r="F28" i="5"/>
  <c r="F29" i="5" s="1"/>
  <c r="Z16" i="5"/>
  <c r="Z17" i="5" s="1"/>
  <c r="H16" i="5"/>
  <c r="H17" i="5" s="1"/>
  <c r="T6" i="5"/>
  <c r="T7" i="5" s="1"/>
  <c r="Q4" i="5"/>
  <c r="U6" i="5"/>
  <c r="U7" i="5" s="1"/>
  <c r="C16" i="5"/>
  <c r="C17" i="5" s="1"/>
  <c r="M39" i="5"/>
  <c r="M40" i="5" s="1"/>
  <c r="C62" i="5"/>
  <c r="C63" i="5" s="1"/>
  <c r="F18" i="9"/>
  <c r="F19" i="9" s="1"/>
  <c r="F20" i="9" s="1"/>
  <c r="T7" i="9"/>
  <c r="T8" i="9" s="1"/>
  <c r="T9" i="9" s="1"/>
  <c r="C7" i="9"/>
  <c r="C8" i="9" s="1"/>
  <c r="C9" i="9" s="1"/>
  <c r="E18" i="9"/>
  <c r="E19" i="9" s="1"/>
  <c r="E20" i="9" s="1"/>
  <c r="S7" i="9"/>
  <c r="S8" i="9" s="1"/>
  <c r="S9" i="9" s="1"/>
  <c r="D18" i="9"/>
  <c r="D19" i="9" s="1"/>
  <c r="D20" i="9" s="1"/>
  <c r="R7" i="9"/>
  <c r="R8" i="9" s="1"/>
  <c r="R9" i="9" s="1"/>
  <c r="T18" i="9"/>
  <c r="T19" i="9" s="1"/>
  <c r="T20" i="9" s="1"/>
  <c r="C18" i="9"/>
  <c r="C19" i="9" s="1"/>
  <c r="C20" i="9" s="1"/>
  <c r="Q7" i="9"/>
  <c r="Q8" i="9" s="1"/>
  <c r="Q9" i="9" s="1"/>
  <c r="J18" i="9"/>
  <c r="J19" i="9" s="1"/>
  <c r="J20" i="9" s="1"/>
  <c r="D7" i="9"/>
  <c r="D8" i="9" s="1"/>
  <c r="D9" i="9" s="1"/>
  <c r="K18" i="9"/>
  <c r="K19" i="9" s="1"/>
  <c r="K20" i="9" s="1"/>
  <c r="L7" i="9"/>
  <c r="L8" i="9" s="1"/>
  <c r="L9" i="9" s="1"/>
  <c r="K7" i="9"/>
  <c r="K8" i="9" s="1"/>
  <c r="K9" i="9" s="1"/>
  <c r="J7" i="9"/>
  <c r="J8" i="9" s="1"/>
  <c r="J9" i="9" s="1"/>
  <c r="F7" i="9"/>
  <c r="F8" i="9" s="1"/>
  <c r="F9" i="9" s="1"/>
  <c r="E7" i="9"/>
  <c r="E8" i="9" s="1"/>
  <c r="E9" i="9" s="1"/>
  <c r="L18" i="9"/>
  <c r="L19" i="9" s="1"/>
  <c r="L20" i="9" s="1"/>
  <c r="M7" i="9"/>
  <c r="M8" i="9" s="1"/>
  <c r="M9" i="9" s="1"/>
  <c r="S18" i="9"/>
  <c r="S19" i="9" s="1"/>
  <c r="S20" i="9" s="1"/>
  <c r="R18" i="9"/>
  <c r="R19" i="9" s="1"/>
  <c r="R20" i="9" s="1"/>
  <c r="Q18" i="9"/>
  <c r="Q19" i="9" s="1"/>
  <c r="Q20" i="9" s="1"/>
  <c r="M18" i="9"/>
  <c r="M19" i="9" s="1"/>
  <c r="M20" i="9" s="1"/>
  <c r="B55" i="4"/>
  <c r="B56" i="4" s="1"/>
  <c r="N46" i="4"/>
  <c r="N47" i="4" s="1"/>
  <c r="R4" i="5"/>
  <c r="V6" i="5"/>
  <c r="V7" i="5" s="1"/>
  <c r="I16" i="5"/>
  <c r="I17" i="5" s="1"/>
  <c r="E28" i="5"/>
  <c r="E29" i="5" s="1"/>
  <c r="N39" i="5"/>
  <c r="N40" i="5" s="1"/>
  <c r="R62" i="5"/>
  <c r="R63" i="5" s="1"/>
  <c r="R16" i="6"/>
  <c r="R17" i="6" s="1"/>
  <c r="W6" i="5"/>
  <c r="W7" i="5" s="1"/>
  <c r="J16" i="5"/>
  <c r="J17" i="5" s="1"/>
  <c r="G28" i="5"/>
  <c r="G29" i="5" s="1"/>
  <c r="Q39" i="5"/>
  <c r="Q40" i="5" s="1"/>
  <c r="U62" i="5"/>
  <c r="U63" i="5" s="1"/>
  <c r="L16" i="5"/>
  <c r="L17" i="5" s="1"/>
  <c r="AE62" i="5"/>
  <c r="AE63" i="5" s="1"/>
  <c r="L28" i="5"/>
  <c r="L29" i="5" s="1"/>
  <c r="X39" i="5"/>
  <c r="X40" i="5" s="1"/>
  <c r="R39" i="6"/>
  <c r="R40" i="6" s="1"/>
  <c r="E4" i="5"/>
  <c r="H6" i="5"/>
  <c r="H7" i="5" s="1"/>
  <c r="AE16" i="5"/>
  <c r="AE17" i="5" s="1"/>
  <c r="AA28" i="5"/>
  <c r="AA29" i="5" s="1"/>
  <c r="W52" i="5"/>
  <c r="W53" i="5" s="1"/>
  <c r="H52" i="6"/>
  <c r="H53" i="6" s="1"/>
  <c r="AB6" i="5"/>
  <c r="AB7" i="5" s="1"/>
  <c r="AD6" i="5"/>
  <c r="AD7" i="5" s="1"/>
  <c r="M16" i="5"/>
  <c r="M17" i="5" s="1"/>
  <c r="M28" i="5"/>
  <c r="M29" i="5" s="1"/>
  <c r="AF6" i="6"/>
  <c r="AF7" i="6" s="1"/>
  <c r="F6" i="5"/>
  <c r="F7" i="5" s="1"/>
  <c r="S16" i="5"/>
  <c r="S17" i="5" s="1"/>
  <c r="N28" i="5"/>
  <c r="N29" i="5" s="1"/>
  <c r="M52" i="5"/>
  <c r="M53" i="5" s="1"/>
  <c r="B13" i="3"/>
  <c r="B17" i="3" s="1"/>
  <c r="M4" i="5"/>
  <c r="I6" i="5"/>
  <c r="I7" i="5" s="1"/>
  <c r="AF16" i="5"/>
  <c r="AF17" i="5" s="1"/>
  <c r="AD28" i="5"/>
  <c r="AD29" i="5" s="1"/>
  <c r="Q52" i="6"/>
  <c r="Q53" i="6" s="1"/>
  <c r="I52" i="5"/>
  <c r="I53" i="5" s="1"/>
  <c r="L52" i="5"/>
  <c r="L53" i="5" s="1"/>
  <c r="AF62" i="5"/>
  <c r="AF63" i="5" s="1"/>
  <c r="C4" i="5"/>
  <c r="G6" i="5"/>
  <c r="G7" i="5" s="1"/>
  <c r="Y16" i="5"/>
  <c r="Y17" i="5" s="1"/>
  <c r="R28" i="5"/>
  <c r="R29" i="5" s="1"/>
  <c r="P52" i="5"/>
  <c r="P53" i="5" s="1"/>
  <c r="B46" i="4"/>
  <c r="K6" i="5"/>
  <c r="K7" i="5" s="1"/>
  <c r="AE28" i="5"/>
  <c r="AE29" i="5" s="1"/>
  <c r="G28" i="6"/>
  <c r="G29" i="6" s="1"/>
  <c r="R52" i="6"/>
  <c r="R53" i="6" s="1"/>
  <c r="V4" i="5"/>
  <c r="K4" i="5"/>
  <c r="AF4" i="5"/>
  <c r="U4" i="5"/>
  <c r="J4" i="5"/>
  <c r="AE4" i="5"/>
  <c r="T4" i="5"/>
  <c r="I4" i="5"/>
  <c r="AD4" i="5"/>
  <c r="S4" i="5"/>
  <c r="H4" i="5"/>
  <c r="AA4" i="5"/>
  <c r="L4" i="5"/>
  <c r="Z4" i="5"/>
  <c r="G4" i="5"/>
  <c r="Y4" i="5"/>
  <c r="F4" i="5"/>
  <c r="W4" i="5"/>
  <c r="D4" i="5"/>
  <c r="AC4" i="5"/>
  <c r="N4" i="5"/>
  <c r="N55" i="4"/>
  <c r="N56" i="4" s="1"/>
  <c r="E5" i="9"/>
  <c r="D5" i="9"/>
  <c r="T5" i="9"/>
  <c r="C5" i="9"/>
  <c r="S5" i="9"/>
  <c r="F5" i="9"/>
  <c r="J5" i="9"/>
  <c r="K5" i="9"/>
  <c r="Q5" i="9"/>
  <c r="M5" i="9"/>
  <c r="L5" i="9"/>
  <c r="R5" i="9"/>
  <c r="K16" i="9"/>
  <c r="J16" i="9"/>
  <c r="F16" i="9"/>
  <c r="E16" i="9"/>
  <c r="L16" i="9"/>
  <c r="T16" i="9"/>
  <c r="S16" i="9"/>
  <c r="R16" i="9"/>
  <c r="Q16" i="9"/>
  <c r="M16" i="9"/>
  <c r="D16" i="9"/>
  <c r="C16" i="9"/>
  <c r="H46" i="4"/>
  <c r="H47" i="4" s="1"/>
  <c r="P4" i="5"/>
  <c r="S6" i="5"/>
  <c r="S7" i="5" s="1"/>
  <c r="J39" i="5"/>
  <c r="J40" i="5" s="1"/>
  <c r="Y62" i="6"/>
  <c r="Y63" i="6" s="1"/>
  <c r="Z39" i="7"/>
  <c r="Z40" i="7" s="1"/>
  <c r="N44" i="4"/>
  <c r="H44" i="4"/>
  <c r="AF26" i="5"/>
  <c r="U26" i="5"/>
  <c r="J26" i="5"/>
  <c r="X26" i="5"/>
  <c r="L26" i="5"/>
  <c r="W26" i="5"/>
  <c r="K26" i="5"/>
  <c r="V26" i="5"/>
  <c r="I26" i="5"/>
  <c r="T26" i="5"/>
  <c r="H26" i="5"/>
  <c r="AB26" i="5"/>
  <c r="P26" i="5"/>
  <c r="D26" i="5"/>
  <c r="O14" i="5"/>
  <c r="N26" i="5"/>
  <c r="J37" i="5"/>
  <c r="R14" i="5"/>
  <c r="Q26" i="5"/>
  <c r="Q37" i="5"/>
  <c r="W14" i="5"/>
  <c r="L14" i="5"/>
  <c r="V14" i="5"/>
  <c r="K14" i="5"/>
  <c r="AF14" i="5"/>
  <c r="U14" i="5"/>
  <c r="J14" i="5"/>
  <c r="AE14" i="5"/>
  <c r="T14" i="5"/>
  <c r="I14" i="5"/>
  <c r="AA14" i="5"/>
  <c r="P14" i="5"/>
  <c r="E14" i="5"/>
  <c r="S14" i="5"/>
  <c r="R26" i="5"/>
  <c r="V37" i="5"/>
  <c r="K37" i="5"/>
  <c r="AF37" i="5"/>
  <c r="U37" i="5"/>
  <c r="AC37" i="5"/>
  <c r="P37" i="5"/>
  <c r="D37" i="5"/>
  <c r="AB37" i="5"/>
  <c r="O37" i="5"/>
  <c r="C37" i="5"/>
  <c r="AA37" i="5"/>
  <c r="N37" i="5"/>
  <c r="Z37" i="5"/>
  <c r="M37" i="5"/>
  <c r="T37" i="5"/>
  <c r="H37" i="5"/>
  <c r="C14" i="5"/>
  <c r="X14" i="5"/>
  <c r="S26" i="5"/>
  <c r="S37" i="5"/>
  <c r="B37" i="4"/>
  <c r="H37" i="4"/>
  <c r="B38" i="4" l="1"/>
  <c r="O18" i="10" s="1"/>
  <c r="B47" i="4"/>
  <c r="W4" i="8" s="1"/>
  <c r="N3" i="10"/>
  <c r="Y3" i="10"/>
  <c r="C3" i="10"/>
  <c r="D3" i="10"/>
  <c r="O3" i="10"/>
  <c r="Z3" i="10"/>
  <c r="G3" i="10"/>
  <c r="AC3" i="10"/>
  <c r="U3" i="10"/>
  <c r="E3" i="10"/>
  <c r="P3" i="10"/>
  <c r="AA3" i="10"/>
  <c r="F3" i="10"/>
  <c r="Q3" i="10"/>
  <c r="AB3" i="10"/>
  <c r="R3" i="10"/>
  <c r="H3" i="10"/>
  <c r="J3" i="10"/>
  <c r="K3" i="10"/>
  <c r="V3" i="10"/>
  <c r="L3" i="10"/>
  <c r="W3" i="10"/>
  <c r="X3" i="10"/>
  <c r="AD3" i="10"/>
  <c r="M3" i="10"/>
  <c r="S3" i="10"/>
  <c r="I3" i="10"/>
  <c r="T3" i="10"/>
  <c r="AE3" i="10"/>
  <c r="AF3" i="10"/>
  <c r="H4" i="10"/>
  <c r="S4" i="10"/>
  <c r="AD4" i="10"/>
  <c r="AA4" i="10"/>
  <c r="I4" i="10"/>
  <c r="T4" i="10"/>
  <c r="AE4" i="10"/>
  <c r="W4" i="10"/>
  <c r="O4" i="10"/>
  <c r="J4" i="10"/>
  <c r="U4" i="10"/>
  <c r="AF4" i="10"/>
  <c r="M4" i="10"/>
  <c r="K4" i="10"/>
  <c r="V4" i="10"/>
  <c r="C4" i="10"/>
  <c r="L4" i="10"/>
  <c r="Z4" i="10"/>
  <c r="E4" i="10"/>
  <c r="P4" i="10"/>
  <c r="F4" i="10"/>
  <c r="Q4" i="10"/>
  <c r="AB4" i="10"/>
  <c r="X4" i="10"/>
  <c r="G4" i="10"/>
  <c r="R4" i="10"/>
  <c r="AC4" i="10"/>
  <c r="N4" i="10"/>
  <c r="Y4" i="10"/>
  <c r="D4" i="10"/>
  <c r="M17" i="10"/>
  <c r="X17" i="10"/>
  <c r="J17" i="10"/>
  <c r="C17" i="10"/>
  <c r="N17" i="10"/>
  <c r="Y17" i="10"/>
  <c r="Q17" i="10"/>
  <c r="D17" i="10"/>
  <c r="O17" i="10"/>
  <c r="Z17" i="10"/>
  <c r="AB17" i="10"/>
  <c r="G17" i="10"/>
  <c r="R17" i="10"/>
  <c r="AC17" i="10"/>
  <c r="E17" i="10"/>
  <c r="P17" i="10"/>
  <c r="AA17" i="10"/>
  <c r="F17" i="10"/>
  <c r="T17" i="10"/>
  <c r="AE17" i="10"/>
  <c r="AF17" i="10"/>
  <c r="K17" i="10"/>
  <c r="V17" i="10"/>
  <c r="B17" i="10"/>
  <c r="L17" i="10"/>
  <c r="W17" i="10"/>
  <c r="H17" i="10"/>
  <c r="S17" i="10"/>
  <c r="AD17" i="10"/>
  <c r="I17" i="10"/>
  <c r="U17" i="10"/>
  <c r="K15" i="10"/>
  <c r="V15" i="10"/>
  <c r="C15" i="10"/>
  <c r="R15" i="10"/>
  <c r="L15" i="10"/>
  <c r="W15" i="10"/>
  <c r="O15" i="10"/>
  <c r="S15" i="10"/>
  <c r="M15" i="10"/>
  <c r="X15" i="10"/>
  <c r="E15" i="10"/>
  <c r="AA15" i="10"/>
  <c r="N15" i="10"/>
  <c r="Y15" i="10"/>
  <c r="D15" i="10"/>
  <c r="Z15" i="10"/>
  <c r="AC15" i="10"/>
  <c r="AD15" i="10"/>
  <c r="I15" i="10"/>
  <c r="T15" i="10"/>
  <c r="AE15" i="10"/>
  <c r="J15" i="10"/>
  <c r="U15" i="10"/>
  <c r="AF15" i="10"/>
  <c r="P15" i="10"/>
  <c r="F15" i="10"/>
  <c r="Q15" i="10"/>
  <c r="AB15" i="10"/>
  <c r="G15" i="10"/>
  <c r="H15" i="10"/>
  <c r="E16" i="10"/>
  <c r="P16" i="10"/>
  <c r="AA16" i="10"/>
  <c r="F16" i="10"/>
  <c r="Q16" i="10"/>
  <c r="AB16" i="10"/>
  <c r="I16" i="10"/>
  <c r="AE16" i="10"/>
  <c r="M16" i="10"/>
  <c r="G16" i="10"/>
  <c r="R16" i="10"/>
  <c r="AC16" i="10"/>
  <c r="J16" i="10"/>
  <c r="U16" i="10"/>
  <c r="H16" i="10"/>
  <c r="S16" i="10"/>
  <c r="AD16" i="10"/>
  <c r="T16" i="10"/>
  <c r="L16" i="10"/>
  <c r="W16" i="10"/>
  <c r="X16" i="10"/>
  <c r="N16" i="10"/>
  <c r="Y16" i="10"/>
  <c r="D16" i="10"/>
  <c r="O16" i="10"/>
  <c r="Z16" i="10"/>
  <c r="AF16" i="10"/>
  <c r="K16" i="10"/>
  <c r="V16" i="10"/>
  <c r="C16" i="10"/>
  <c r="G25" i="5"/>
  <c r="G27" i="5" s="1"/>
  <c r="R25" i="5"/>
  <c r="R27" i="5" s="1"/>
  <c r="Z25" i="5"/>
  <c r="Z27" i="5" s="1"/>
  <c r="V25" i="5"/>
  <c r="V27" i="5" s="1"/>
  <c r="D25" i="5"/>
  <c r="D27" i="5" s="1"/>
  <c r="P25" i="5"/>
  <c r="P27" i="5" s="1"/>
  <c r="AC25" i="5"/>
  <c r="AC27" i="5" s="1"/>
  <c r="X25" i="5"/>
  <c r="X27" i="5" s="1"/>
  <c r="AB25" i="5"/>
  <c r="AB27" i="5" s="1"/>
  <c r="O25" i="5"/>
  <c r="O27" i="5" s="1"/>
  <c r="N25" i="5"/>
  <c r="N27" i="5" s="1"/>
  <c r="E25" i="5"/>
  <c r="E27" i="5" s="1"/>
  <c r="Q25" i="5"/>
  <c r="Q27" i="5" s="1"/>
  <c r="Y25" i="5"/>
  <c r="Y27" i="5" s="1"/>
  <c r="U25" i="5"/>
  <c r="U27" i="5" s="1"/>
  <c r="AD25" i="5"/>
  <c r="AD27" i="5" s="1"/>
  <c r="AE25" i="5"/>
  <c r="AE27" i="5" s="1"/>
  <c r="F25" i="5"/>
  <c r="F27" i="5" s="1"/>
  <c r="AA25" i="5"/>
  <c r="AA27" i="5" s="1"/>
  <c r="H25" i="5"/>
  <c r="H27" i="5" s="1"/>
  <c r="B44" i="3"/>
  <c r="I59" i="5"/>
  <c r="I61" i="5" s="1"/>
  <c r="T59" i="5"/>
  <c r="T61" i="5" s="1"/>
  <c r="AE59" i="5"/>
  <c r="AE61" i="5" s="1"/>
  <c r="N59" i="5"/>
  <c r="N61" i="5" s="1"/>
  <c r="Y59" i="5"/>
  <c r="Y61" i="5" s="1"/>
  <c r="J59" i="5"/>
  <c r="J61" i="5" s="1"/>
  <c r="U59" i="5"/>
  <c r="U61" i="5" s="1"/>
  <c r="AF59" i="5"/>
  <c r="AF61" i="5" s="1"/>
  <c r="K59" i="5"/>
  <c r="K61" i="5" s="1"/>
  <c r="V59" i="5"/>
  <c r="V61" i="5" s="1"/>
  <c r="L59" i="5"/>
  <c r="L61" i="5" s="1"/>
  <c r="W59" i="5"/>
  <c r="W61" i="5" s="1"/>
  <c r="C59" i="5"/>
  <c r="C61" i="5" s="1"/>
  <c r="M59" i="5"/>
  <c r="M61" i="5" s="1"/>
  <c r="X59" i="5"/>
  <c r="X61" i="5" s="1"/>
  <c r="D59" i="5"/>
  <c r="D61" i="5" s="1"/>
  <c r="O59" i="5"/>
  <c r="O61" i="5" s="1"/>
  <c r="Z59" i="5"/>
  <c r="Z61" i="5" s="1"/>
  <c r="E59" i="5"/>
  <c r="E61" i="5" s="1"/>
  <c r="P59" i="5"/>
  <c r="P61" i="5" s="1"/>
  <c r="AA59" i="5"/>
  <c r="AA61" i="5" s="1"/>
  <c r="F59" i="5"/>
  <c r="F61" i="5" s="1"/>
  <c r="Q59" i="5"/>
  <c r="Q61" i="5" s="1"/>
  <c r="AB59" i="5"/>
  <c r="AB61" i="5" s="1"/>
  <c r="G59" i="5"/>
  <c r="G61" i="5" s="1"/>
  <c r="R59" i="5"/>
  <c r="R61" i="5" s="1"/>
  <c r="AC59" i="5"/>
  <c r="AC61" i="5" s="1"/>
  <c r="H59" i="5"/>
  <c r="H61" i="5" s="1"/>
  <c r="S59" i="5"/>
  <c r="S61" i="5" s="1"/>
  <c r="AD59" i="5"/>
  <c r="AD61" i="5" s="1"/>
  <c r="AC49" i="5"/>
  <c r="AC51" i="5" s="1"/>
  <c r="K49" i="5"/>
  <c r="K51" i="5" s="1"/>
  <c r="C49" i="5"/>
  <c r="C51" i="5" s="1"/>
  <c r="W49" i="5"/>
  <c r="W51" i="5" s="1"/>
  <c r="E49" i="5"/>
  <c r="E51" i="5" s="1"/>
  <c r="P49" i="5"/>
  <c r="P51" i="5" s="1"/>
  <c r="AD49" i="5"/>
  <c r="AD51" i="5" s="1"/>
  <c r="L49" i="5"/>
  <c r="L51" i="5" s="1"/>
  <c r="AE49" i="5"/>
  <c r="AE51" i="5" s="1"/>
  <c r="M49" i="5"/>
  <c r="M51" i="5" s="1"/>
  <c r="U49" i="5"/>
  <c r="U51" i="5" s="1"/>
  <c r="AF49" i="5"/>
  <c r="AF51" i="5" s="1"/>
  <c r="N49" i="5"/>
  <c r="N51" i="5" s="1"/>
  <c r="V49" i="5"/>
  <c r="V51" i="5" s="1"/>
  <c r="D49" i="5"/>
  <c r="D51" i="5" s="1"/>
  <c r="O49" i="5"/>
  <c r="O51" i="5" s="1"/>
  <c r="X49" i="5"/>
  <c r="X51" i="5" s="1"/>
  <c r="F49" i="5"/>
  <c r="F51" i="5" s="1"/>
  <c r="Q49" i="5"/>
  <c r="Q51" i="5" s="1"/>
  <c r="Y49" i="5"/>
  <c r="Y51" i="5" s="1"/>
  <c r="G49" i="5"/>
  <c r="G51" i="5" s="1"/>
  <c r="R49" i="5"/>
  <c r="R51" i="5" s="1"/>
  <c r="Z49" i="5"/>
  <c r="Z51" i="5" s="1"/>
  <c r="H49" i="5"/>
  <c r="H51" i="5" s="1"/>
  <c r="S49" i="5"/>
  <c r="S51" i="5" s="1"/>
  <c r="AA49" i="5"/>
  <c r="AA51" i="5" s="1"/>
  <c r="I49" i="5"/>
  <c r="I51" i="5" s="1"/>
  <c r="T49" i="5"/>
  <c r="T51" i="5" s="1"/>
  <c r="AB49" i="5"/>
  <c r="AB51" i="5" s="1"/>
  <c r="J49" i="5"/>
  <c r="J51" i="5" s="1"/>
  <c r="E6" i="10"/>
  <c r="P6" i="10"/>
  <c r="AA6" i="10"/>
  <c r="F6" i="10"/>
  <c r="Q6" i="10"/>
  <c r="AB6" i="10"/>
  <c r="G6" i="10"/>
  <c r="R6" i="10"/>
  <c r="AC6" i="10"/>
  <c r="H6" i="10"/>
  <c r="S6" i="10"/>
  <c r="AD6" i="10"/>
  <c r="I6" i="10"/>
  <c r="T6" i="10"/>
  <c r="AE6" i="10"/>
  <c r="J6" i="10"/>
  <c r="U6" i="10"/>
  <c r="AF6" i="10"/>
  <c r="K6" i="10"/>
  <c r="V6" i="10"/>
  <c r="L6" i="10"/>
  <c r="W6" i="10"/>
  <c r="M6" i="10"/>
  <c r="X6" i="10"/>
  <c r="C6" i="10"/>
  <c r="N6" i="10"/>
  <c r="Y6" i="10"/>
  <c r="D6" i="10"/>
  <c r="O6" i="10"/>
  <c r="Z6" i="10"/>
  <c r="I26" i="8"/>
  <c r="T26" i="8"/>
  <c r="AE26" i="8"/>
  <c r="J26" i="8"/>
  <c r="U26" i="8"/>
  <c r="AF26" i="8"/>
  <c r="K26" i="8"/>
  <c r="V26" i="8"/>
  <c r="L26" i="8"/>
  <c r="W26" i="8"/>
  <c r="G26" i="8"/>
  <c r="R26" i="8"/>
  <c r="AC26" i="8"/>
  <c r="C26" i="8"/>
  <c r="H26" i="8"/>
  <c r="S26" i="8"/>
  <c r="AD26" i="8"/>
  <c r="F26" i="8"/>
  <c r="M26" i="8"/>
  <c r="N26" i="8"/>
  <c r="O26" i="8"/>
  <c r="D26" i="8"/>
  <c r="AA26" i="8"/>
  <c r="X26" i="8"/>
  <c r="Y26" i="8"/>
  <c r="E26" i="8"/>
  <c r="AB26" i="8"/>
  <c r="P26" i="8"/>
  <c r="Q26" i="8"/>
  <c r="Z26" i="8"/>
  <c r="I50" i="8"/>
  <c r="T50" i="8"/>
  <c r="AE50" i="8"/>
  <c r="J50" i="8"/>
  <c r="U50" i="8"/>
  <c r="AF50" i="8"/>
  <c r="K50" i="8"/>
  <c r="V50" i="8"/>
  <c r="L50" i="8"/>
  <c r="W50" i="8"/>
  <c r="G50" i="8"/>
  <c r="R50" i="8"/>
  <c r="AC50" i="8"/>
  <c r="C50" i="8"/>
  <c r="H50" i="8"/>
  <c r="S50" i="8"/>
  <c r="AD50" i="8"/>
  <c r="F50" i="8"/>
  <c r="Q50" i="8"/>
  <c r="M50" i="8"/>
  <c r="N50" i="8"/>
  <c r="O50" i="8"/>
  <c r="P50" i="8"/>
  <c r="D50" i="8"/>
  <c r="AA50" i="8"/>
  <c r="X50" i="8"/>
  <c r="Y50" i="8"/>
  <c r="E50" i="8"/>
  <c r="AB50" i="8"/>
  <c r="Z50" i="8"/>
  <c r="D14" i="8"/>
  <c r="O14" i="8"/>
  <c r="Z14" i="8"/>
  <c r="E14" i="8"/>
  <c r="P14" i="8"/>
  <c r="AA14" i="8"/>
  <c r="F14" i="8"/>
  <c r="Q14" i="8"/>
  <c r="AB14" i="8"/>
  <c r="G14" i="8"/>
  <c r="R14" i="8"/>
  <c r="AC14" i="8"/>
  <c r="C14" i="8"/>
  <c r="M14" i="8"/>
  <c r="X14" i="8"/>
  <c r="N14" i="8"/>
  <c r="Y14" i="8"/>
  <c r="U14" i="8"/>
  <c r="J14" i="8"/>
  <c r="V14" i="8"/>
  <c r="W14" i="8"/>
  <c r="AD14" i="8"/>
  <c r="H14" i="8"/>
  <c r="AE14" i="8"/>
  <c r="I14" i="8"/>
  <c r="AF14" i="8"/>
  <c r="S14" i="8"/>
  <c r="K14" i="8"/>
  <c r="T14" i="8"/>
  <c r="L14" i="8"/>
  <c r="K60" i="8"/>
  <c r="V60" i="8"/>
  <c r="C60" i="8"/>
  <c r="L60" i="8"/>
  <c r="W60" i="8"/>
  <c r="M60" i="8"/>
  <c r="X60" i="8"/>
  <c r="N60" i="8"/>
  <c r="Y60" i="8"/>
  <c r="I60" i="8"/>
  <c r="T60" i="8"/>
  <c r="AE60" i="8"/>
  <c r="J60" i="8"/>
  <c r="U60" i="8"/>
  <c r="AF60" i="8"/>
  <c r="R60" i="8"/>
  <c r="H60" i="8"/>
  <c r="S60" i="8"/>
  <c r="Z60" i="8"/>
  <c r="D60" i="8"/>
  <c r="AA60" i="8"/>
  <c r="E60" i="8"/>
  <c r="AB60" i="8"/>
  <c r="F60" i="8"/>
  <c r="G60" i="8"/>
  <c r="O60" i="8"/>
  <c r="P60" i="8"/>
  <c r="AD60" i="8"/>
  <c r="Q60" i="8"/>
  <c r="AC60" i="8"/>
  <c r="J27" i="5"/>
  <c r="K17" i="8"/>
  <c r="H17" i="8"/>
  <c r="X17" i="8"/>
  <c r="U17" i="8"/>
  <c r="V17" i="8"/>
  <c r="U30" i="3"/>
  <c r="U31" i="3" s="1"/>
  <c r="J30" i="3"/>
  <c r="J31" i="3" s="1"/>
  <c r="X30" i="3"/>
  <c r="X31" i="3" s="1"/>
  <c r="L30" i="3"/>
  <c r="L31" i="3" s="1"/>
  <c r="W30" i="3"/>
  <c r="W31" i="3" s="1"/>
  <c r="K30" i="3"/>
  <c r="K31" i="3" s="1"/>
  <c r="T30" i="3"/>
  <c r="T31" i="3" s="1"/>
  <c r="H30" i="3"/>
  <c r="H31" i="3" s="1"/>
  <c r="Q30" i="3"/>
  <c r="Q31" i="3" s="1"/>
  <c r="N30" i="3"/>
  <c r="N31" i="3" s="1"/>
  <c r="I30" i="3"/>
  <c r="I31" i="3" s="1"/>
  <c r="Z30" i="3"/>
  <c r="Z31" i="3" s="1"/>
  <c r="P30" i="3"/>
  <c r="P31" i="3" s="1"/>
  <c r="V30" i="3"/>
  <c r="V31" i="3" s="1"/>
  <c r="E30" i="3"/>
  <c r="E31" i="3" s="1"/>
  <c r="O30" i="3"/>
  <c r="O31" i="3" s="1"/>
  <c r="M30" i="3"/>
  <c r="M31" i="3" s="1"/>
  <c r="AA30" i="3"/>
  <c r="AA31" i="3" s="1"/>
  <c r="Y30" i="3"/>
  <c r="Y31" i="3" s="1"/>
  <c r="F30" i="3"/>
  <c r="F31" i="3" s="1"/>
  <c r="S30" i="3"/>
  <c r="S31" i="3" s="1"/>
  <c r="D30" i="3"/>
  <c r="D31" i="3" s="1"/>
  <c r="G30" i="3"/>
  <c r="G31" i="3" s="1"/>
  <c r="R30" i="3"/>
  <c r="R31" i="3" s="1"/>
  <c r="C30" i="3"/>
  <c r="C31" i="3" s="1"/>
  <c r="I29" i="8"/>
  <c r="O53" i="8"/>
  <c r="Z63" i="8"/>
  <c r="X7" i="8"/>
  <c r="E53" i="8"/>
  <c r="Z53" i="8"/>
  <c r="I53" i="8"/>
  <c r="AF7" i="8"/>
  <c r="J29" i="8"/>
  <c r="AC53" i="8"/>
  <c r="AB29" i="8"/>
  <c r="O7" i="8"/>
  <c r="AF53" i="8"/>
  <c r="C29" i="8"/>
  <c r="Q7" i="8"/>
  <c r="W53" i="8"/>
  <c r="AA29" i="8"/>
  <c r="AD3" i="5"/>
  <c r="AD5" i="5" s="1"/>
  <c r="S3" i="5"/>
  <c r="S5" i="5" s="1"/>
  <c r="H3" i="5"/>
  <c r="H5" i="5" s="1"/>
  <c r="AC3" i="5"/>
  <c r="AC5" i="5" s="1"/>
  <c r="R3" i="5"/>
  <c r="R5" i="5" s="1"/>
  <c r="G3" i="5"/>
  <c r="G5" i="5" s="1"/>
  <c r="AB3" i="5"/>
  <c r="AB5" i="5" s="1"/>
  <c r="Q3" i="5"/>
  <c r="Q5" i="5" s="1"/>
  <c r="F3" i="5"/>
  <c r="F5" i="5" s="1"/>
  <c r="AA3" i="5"/>
  <c r="AA5" i="5" s="1"/>
  <c r="P3" i="5"/>
  <c r="P5" i="5" s="1"/>
  <c r="E3" i="5"/>
  <c r="E5" i="5" s="1"/>
  <c r="W3" i="5"/>
  <c r="W5" i="5" s="1"/>
  <c r="D3" i="5"/>
  <c r="D5" i="5" s="1"/>
  <c r="B43" i="4"/>
  <c r="V3" i="5"/>
  <c r="V5" i="5" s="1"/>
  <c r="C3" i="5"/>
  <c r="C5" i="5" s="1"/>
  <c r="U3" i="5"/>
  <c r="U5" i="5" s="1"/>
  <c r="O3" i="5"/>
  <c r="O5" i="5" s="1"/>
  <c r="Y3" i="5"/>
  <c r="Y5" i="5" s="1"/>
  <c r="J3" i="5"/>
  <c r="J5" i="5" s="1"/>
  <c r="M3" i="5"/>
  <c r="M5" i="5" s="1"/>
  <c r="L3" i="5"/>
  <c r="L5" i="5" s="1"/>
  <c r="K3" i="5"/>
  <c r="K5" i="5" s="1"/>
  <c r="AF3" i="5"/>
  <c r="AF5" i="5" s="1"/>
  <c r="AE3" i="5"/>
  <c r="AE5" i="5" s="1"/>
  <c r="I3" i="5"/>
  <c r="I5" i="5" s="1"/>
  <c r="Z3" i="5"/>
  <c r="Z5" i="5" s="1"/>
  <c r="X3" i="5"/>
  <c r="X5" i="5" s="1"/>
  <c r="T3" i="5"/>
  <c r="T5" i="5" s="1"/>
  <c r="N3" i="5"/>
  <c r="N5" i="5" s="1"/>
  <c r="E63" i="8"/>
  <c r="Q63" i="8"/>
  <c r="AD53" i="8"/>
  <c r="J17" i="8"/>
  <c r="AE29" i="8"/>
  <c r="G53" i="8"/>
  <c r="H63" i="8"/>
  <c r="Z7" i="8"/>
  <c r="J63" i="8"/>
  <c r="N29" i="8"/>
  <c r="AB7" i="8"/>
  <c r="L63" i="8"/>
  <c r="N52" i="4"/>
  <c r="W29" i="8"/>
  <c r="AE7" i="8"/>
  <c r="C7" i="8"/>
  <c r="I63" i="8"/>
  <c r="AE17" i="8"/>
  <c r="AB53" i="8"/>
  <c r="AC63" i="8"/>
  <c r="C17" i="8"/>
  <c r="U63" i="8"/>
  <c r="Y29" i="8"/>
  <c r="E17" i="8"/>
  <c r="W63" i="8"/>
  <c r="H38" i="4"/>
  <c r="L7" i="8"/>
  <c r="V7" i="8"/>
  <c r="Q53" i="8"/>
  <c r="R63" i="8"/>
  <c r="AD17" i="8"/>
  <c r="AD63" i="8"/>
  <c r="H29" i="8"/>
  <c r="G63" i="8"/>
  <c r="H7" i="8"/>
  <c r="N17" i="8"/>
  <c r="AF63" i="8"/>
  <c r="P17" i="8"/>
  <c r="G7" i="8"/>
  <c r="S63" i="8"/>
  <c r="S29" i="8"/>
  <c r="AC29" i="8"/>
  <c r="F53" i="8"/>
  <c r="AB63" i="8"/>
  <c r="S7" i="8"/>
  <c r="C53" i="8"/>
  <c r="Y17" i="8"/>
  <c r="AA17" i="8"/>
  <c r="R7" i="8"/>
  <c r="M53" i="8"/>
  <c r="R53" i="8"/>
  <c r="I7" i="8"/>
  <c r="AA53" i="8"/>
  <c r="T7" i="8"/>
  <c r="AD7" i="8"/>
  <c r="N53" i="8"/>
  <c r="M29" i="8"/>
  <c r="E7" i="8"/>
  <c r="K53" i="8"/>
  <c r="D29" i="8"/>
  <c r="AC7" i="8"/>
  <c r="X53" i="8"/>
  <c r="AE53" i="8"/>
  <c r="O63" i="8"/>
  <c r="AF17" i="8"/>
  <c r="U7" i="8"/>
  <c r="F63" i="8"/>
  <c r="N7" i="8"/>
  <c r="S17" i="8"/>
  <c r="G17" i="8"/>
  <c r="Y53" i="8"/>
  <c r="X29" i="8"/>
  <c r="P7" i="8"/>
  <c r="V53" i="8"/>
  <c r="O29" i="8"/>
  <c r="F17" i="8"/>
  <c r="M63" i="8"/>
  <c r="W17" i="8"/>
  <c r="T29" i="8"/>
  <c r="T17" i="8"/>
  <c r="D53" i="8"/>
  <c r="AA63" i="8"/>
  <c r="M17" i="8"/>
  <c r="L29" i="8"/>
  <c r="R17" i="8"/>
  <c r="C63" i="8"/>
  <c r="AA7" i="8"/>
  <c r="K63" i="8"/>
  <c r="Z29" i="8"/>
  <c r="Q17" i="8"/>
  <c r="X63" i="8"/>
  <c r="W7" i="8"/>
  <c r="Y7" i="8"/>
  <c r="G29" i="8"/>
  <c r="S53" i="8"/>
  <c r="R29" i="8"/>
  <c r="T53" i="8"/>
  <c r="K29" i="8"/>
  <c r="AC17" i="8"/>
  <c r="N63" i="8"/>
  <c r="D17" i="8"/>
  <c r="V63" i="8"/>
  <c r="AB17" i="8"/>
  <c r="V29" i="8"/>
  <c r="AE63" i="8"/>
  <c r="P63" i="8"/>
  <c r="J7" i="8"/>
  <c r="D63" i="8"/>
  <c r="M7" i="8"/>
  <c r="AF29" i="8"/>
  <c r="F29" i="8"/>
  <c r="Y63" i="8"/>
  <c r="J53" i="8"/>
  <c r="O17" i="8"/>
  <c r="E29" i="8"/>
  <c r="C25" i="5"/>
  <c r="C27" i="5" s="1"/>
  <c r="K25" i="5"/>
  <c r="K27" i="5" s="1"/>
  <c r="S25" i="5"/>
  <c r="S27" i="5" s="1"/>
  <c r="M25" i="5"/>
  <c r="M27" i="5" s="1"/>
  <c r="L25" i="5"/>
  <c r="L27" i="5" s="1"/>
  <c r="H43" i="4"/>
  <c r="I25" i="5"/>
  <c r="I27" i="5" s="1"/>
  <c r="AF25" i="5"/>
  <c r="AF27" i="5" s="1"/>
  <c r="W25" i="5"/>
  <c r="W27" i="5" s="1"/>
  <c r="T25" i="5"/>
  <c r="T27" i="5" s="1"/>
  <c r="N43" i="4"/>
  <c r="I17" i="8"/>
  <c r="AD29" i="8"/>
  <c r="P53" i="8"/>
  <c r="U29" i="8"/>
  <c r="K7" i="8"/>
  <c r="T63" i="8"/>
  <c r="L17" i="8"/>
  <c r="H53" i="8"/>
  <c r="Q29" i="8"/>
  <c r="D7" i="8"/>
  <c r="U53" i="8"/>
  <c r="Z17" i="8"/>
  <c r="F7" i="8"/>
  <c r="L53" i="8"/>
  <c r="P29" i="8"/>
  <c r="N18" i="10" l="1"/>
  <c r="E18" i="10"/>
  <c r="Z18" i="10"/>
  <c r="AF18" i="10"/>
  <c r="Z13" i="5"/>
  <c r="Z15" i="5" s="1"/>
  <c r="N13" i="5"/>
  <c r="N15" i="5" s="1"/>
  <c r="P13" i="5"/>
  <c r="P15" i="5" s="1"/>
  <c r="U13" i="5"/>
  <c r="U15" i="5" s="1"/>
  <c r="V13" i="5"/>
  <c r="V15" i="5" s="1"/>
  <c r="X13" i="5"/>
  <c r="X15" i="5" s="1"/>
  <c r="Q13" i="5"/>
  <c r="Q15" i="5" s="1"/>
  <c r="I4" i="8"/>
  <c r="G13" i="5"/>
  <c r="G15" i="5" s="1"/>
  <c r="F13" i="5"/>
  <c r="F15" i="5" s="1"/>
  <c r="AB13" i="5"/>
  <c r="AB15" i="5" s="1"/>
  <c r="AC13" i="5"/>
  <c r="AC15" i="5" s="1"/>
  <c r="S4" i="8"/>
  <c r="S13" i="5"/>
  <c r="S15" i="5" s="1"/>
  <c r="C13" i="5"/>
  <c r="C15" i="5" s="1"/>
  <c r="H13" i="5"/>
  <c r="H15" i="5" s="1"/>
  <c r="U18" i="10"/>
  <c r="D18" i="10"/>
  <c r="D13" i="5"/>
  <c r="D15" i="5" s="1"/>
  <c r="T13" i="5"/>
  <c r="T15" i="5" s="1"/>
  <c r="AE18" i="10"/>
  <c r="V18" i="10"/>
  <c r="AD13" i="5"/>
  <c r="AD15" i="5" s="1"/>
  <c r="AA18" i="10"/>
  <c r="Y13" i="5"/>
  <c r="Y15" i="5" s="1"/>
  <c r="AE13" i="5"/>
  <c r="AE15" i="5" s="1"/>
  <c r="T18" i="10"/>
  <c r="K18" i="10"/>
  <c r="O13" i="5"/>
  <c r="O15" i="5" s="1"/>
  <c r="J13" i="5"/>
  <c r="J15" i="5" s="1"/>
  <c r="I18" i="10"/>
  <c r="J18" i="10"/>
  <c r="W18" i="10"/>
  <c r="B52" i="4"/>
  <c r="U13" i="6" s="1"/>
  <c r="U15" i="6" s="1"/>
  <c r="R18" i="10"/>
  <c r="L18" i="10"/>
  <c r="K13" i="5"/>
  <c r="K15" i="5" s="1"/>
  <c r="H18" i="10"/>
  <c r="M13" i="5"/>
  <c r="M15" i="5" s="1"/>
  <c r="Y18" i="10"/>
  <c r="AB18" i="10"/>
  <c r="X18" i="10"/>
  <c r="Q18" i="10"/>
  <c r="M18" i="10"/>
  <c r="F18" i="10"/>
  <c r="S18" i="10"/>
  <c r="E13" i="5"/>
  <c r="E15" i="5" s="1"/>
  <c r="R13" i="5"/>
  <c r="R15" i="5" s="1"/>
  <c r="P18" i="10"/>
  <c r="AC18" i="10"/>
  <c r="U4" i="8"/>
  <c r="E4" i="8"/>
  <c r="R4" i="8"/>
  <c r="AD4" i="8"/>
  <c r="J4" i="8"/>
  <c r="K4" i="8"/>
  <c r="Z4" i="8"/>
  <c r="Y4" i="8"/>
  <c r="AF4" i="8"/>
  <c r="AA13" i="5"/>
  <c r="AA15" i="5" s="1"/>
  <c r="I13" i="5"/>
  <c r="I15" i="5" s="1"/>
  <c r="AB4" i="8"/>
  <c r="AD18" i="10"/>
  <c r="C18" i="10"/>
  <c r="AF13" i="5"/>
  <c r="AF15" i="5" s="1"/>
  <c r="AE4" i="8"/>
  <c r="G18" i="10"/>
  <c r="W13" i="5"/>
  <c r="W15" i="5" s="1"/>
  <c r="L13" i="5"/>
  <c r="L15" i="5" s="1"/>
  <c r="T4" i="8"/>
  <c r="F4" i="8"/>
  <c r="N4" i="8"/>
  <c r="L4" i="8"/>
  <c r="AA4" i="8"/>
  <c r="G4" i="8"/>
  <c r="V4" i="8"/>
  <c r="Q4" i="8"/>
  <c r="H4" i="8"/>
  <c r="C4" i="8"/>
  <c r="X4" i="8"/>
  <c r="D4" i="8"/>
  <c r="P4" i="8"/>
  <c r="M4" i="8"/>
  <c r="AC4" i="8"/>
  <c r="O4" i="8"/>
  <c r="B11" i="10"/>
  <c r="B9" i="10"/>
  <c r="B12" i="10"/>
  <c r="B10" i="10"/>
  <c r="E59" i="6"/>
  <c r="E61" i="6" s="1"/>
  <c r="P59" i="6"/>
  <c r="P61" i="6" s="1"/>
  <c r="AA59" i="6"/>
  <c r="AA61" i="6" s="1"/>
  <c r="S59" i="6"/>
  <c r="S61" i="6" s="1"/>
  <c r="F59" i="6"/>
  <c r="F61" i="6" s="1"/>
  <c r="Q59" i="6"/>
  <c r="Q61" i="6" s="1"/>
  <c r="AB59" i="6"/>
  <c r="AB61" i="6" s="1"/>
  <c r="AD59" i="6"/>
  <c r="AD61" i="6" s="1"/>
  <c r="G59" i="6"/>
  <c r="G61" i="6" s="1"/>
  <c r="R59" i="6"/>
  <c r="R61" i="6" s="1"/>
  <c r="AC59" i="6"/>
  <c r="AC61" i="6" s="1"/>
  <c r="H59" i="6"/>
  <c r="H61" i="6" s="1"/>
  <c r="N59" i="6"/>
  <c r="N61" i="6" s="1"/>
  <c r="Y59" i="6"/>
  <c r="Y61" i="6" s="1"/>
  <c r="Z59" i="6"/>
  <c r="Z61" i="6" s="1"/>
  <c r="D59" i="6"/>
  <c r="D61" i="6" s="1"/>
  <c r="O59" i="6"/>
  <c r="O61" i="6" s="1"/>
  <c r="W59" i="6"/>
  <c r="W61" i="6" s="1"/>
  <c r="K59" i="6"/>
  <c r="K61" i="6" s="1"/>
  <c r="X59" i="6"/>
  <c r="X61" i="6" s="1"/>
  <c r="AE59" i="6"/>
  <c r="AE61" i="6" s="1"/>
  <c r="I59" i="6"/>
  <c r="I61" i="6" s="1"/>
  <c r="AF59" i="6"/>
  <c r="AF61" i="6" s="1"/>
  <c r="J59" i="6"/>
  <c r="J61" i="6" s="1"/>
  <c r="U59" i="6"/>
  <c r="U61" i="6" s="1"/>
  <c r="C59" i="6"/>
  <c r="C61" i="6" s="1"/>
  <c r="L59" i="6"/>
  <c r="L61" i="6" s="1"/>
  <c r="V59" i="6"/>
  <c r="V61" i="6" s="1"/>
  <c r="M59" i="6"/>
  <c r="M61" i="6" s="1"/>
  <c r="T59" i="6"/>
  <c r="T61" i="6" s="1"/>
  <c r="N49" i="6"/>
  <c r="N51" i="6" s="1"/>
  <c r="Y49" i="6"/>
  <c r="Y51" i="6" s="1"/>
  <c r="D49" i="6"/>
  <c r="D51" i="6" s="1"/>
  <c r="O49" i="6"/>
  <c r="O51" i="6" s="1"/>
  <c r="Z49" i="6"/>
  <c r="Z51" i="6" s="1"/>
  <c r="F49" i="6"/>
  <c r="F51" i="6" s="1"/>
  <c r="Q49" i="6"/>
  <c r="Q51" i="6" s="1"/>
  <c r="E49" i="6"/>
  <c r="E51" i="6" s="1"/>
  <c r="P49" i="6"/>
  <c r="P51" i="6" s="1"/>
  <c r="AA49" i="6"/>
  <c r="AA51" i="6" s="1"/>
  <c r="AB49" i="6"/>
  <c r="AB51" i="6" s="1"/>
  <c r="L49" i="6"/>
  <c r="L51" i="6" s="1"/>
  <c r="W49" i="6"/>
  <c r="W51" i="6" s="1"/>
  <c r="C49" i="6"/>
  <c r="C51" i="6" s="1"/>
  <c r="M49" i="6"/>
  <c r="M51" i="6" s="1"/>
  <c r="X49" i="6"/>
  <c r="X51" i="6" s="1"/>
  <c r="T49" i="6"/>
  <c r="T51" i="6" s="1"/>
  <c r="V49" i="6"/>
  <c r="V51" i="6" s="1"/>
  <c r="U49" i="6"/>
  <c r="U51" i="6" s="1"/>
  <c r="AD49" i="6"/>
  <c r="AD51" i="6" s="1"/>
  <c r="J49" i="6"/>
  <c r="J51" i="6" s="1"/>
  <c r="AE49" i="6"/>
  <c r="AE51" i="6" s="1"/>
  <c r="AC49" i="6"/>
  <c r="AC51" i="6" s="1"/>
  <c r="R49" i="6"/>
  <c r="R51" i="6" s="1"/>
  <c r="G49" i="6"/>
  <c r="G51" i="6" s="1"/>
  <c r="I49" i="6"/>
  <c r="I51" i="6" s="1"/>
  <c r="AF49" i="6"/>
  <c r="AF51" i="6" s="1"/>
  <c r="K49" i="6"/>
  <c r="K51" i="6" s="1"/>
  <c r="S49" i="6"/>
  <c r="S51" i="6" s="1"/>
  <c r="H49" i="6"/>
  <c r="H51" i="6" s="1"/>
  <c r="M25" i="6"/>
  <c r="M27" i="6" s="1"/>
  <c r="X25" i="6"/>
  <c r="X27" i="6" s="1"/>
  <c r="E25" i="6"/>
  <c r="E27" i="6" s="1"/>
  <c r="N25" i="6"/>
  <c r="N27" i="6" s="1"/>
  <c r="Y25" i="6"/>
  <c r="Y27" i="6" s="1"/>
  <c r="D25" i="6"/>
  <c r="D27" i="6" s="1"/>
  <c r="O25" i="6"/>
  <c r="O27" i="6" s="1"/>
  <c r="Z25" i="6"/>
  <c r="Z27" i="6" s="1"/>
  <c r="P25" i="6"/>
  <c r="P27" i="6" s="1"/>
  <c r="AA25" i="6"/>
  <c r="AA27" i="6" s="1"/>
  <c r="K25" i="6"/>
  <c r="K27" i="6" s="1"/>
  <c r="V25" i="6"/>
  <c r="V27" i="6" s="1"/>
  <c r="W25" i="6"/>
  <c r="W27" i="6" s="1"/>
  <c r="L25" i="6"/>
  <c r="L27" i="6" s="1"/>
  <c r="C25" i="6"/>
  <c r="C27" i="6" s="1"/>
  <c r="R25" i="6"/>
  <c r="R27" i="6" s="1"/>
  <c r="S25" i="6"/>
  <c r="S27" i="6" s="1"/>
  <c r="AB25" i="6"/>
  <c r="AB27" i="6" s="1"/>
  <c r="AD25" i="6"/>
  <c r="AD27" i="6" s="1"/>
  <c r="H25" i="6"/>
  <c r="H27" i="6" s="1"/>
  <c r="AC25" i="6"/>
  <c r="AC27" i="6" s="1"/>
  <c r="U25" i="6"/>
  <c r="U27" i="6" s="1"/>
  <c r="J25" i="6"/>
  <c r="J27" i="6" s="1"/>
  <c r="G25" i="6"/>
  <c r="G27" i="6" s="1"/>
  <c r="I25" i="6"/>
  <c r="I27" i="6" s="1"/>
  <c r="AF25" i="6"/>
  <c r="AF27" i="6" s="1"/>
  <c r="Q25" i="6"/>
  <c r="Q27" i="6" s="1"/>
  <c r="T25" i="6"/>
  <c r="T27" i="6" s="1"/>
  <c r="F25" i="6"/>
  <c r="F27" i="6" s="1"/>
  <c r="AE25" i="6"/>
  <c r="AE27" i="6" s="1"/>
  <c r="L3" i="6"/>
  <c r="L5" i="6" s="1"/>
  <c r="W3" i="6"/>
  <c r="W5" i="6" s="1"/>
  <c r="M3" i="6"/>
  <c r="M5" i="6" s="1"/>
  <c r="X3" i="6"/>
  <c r="X5" i="6" s="1"/>
  <c r="D3" i="6"/>
  <c r="D5" i="6" s="1"/>
  <c r="N3" i="6"/>
  <c r="N5" i="6" s="1"/>
  <c r="Y3" i="6"/>
  <c r="Y5" i="6" s="1"/>
  <c r="O3" i="6"/>
  <c r="O5" i="6" s="1"/>
  <c r="Z3" i="6"/>
  <c r="Z5" i="6" s="1"/>
  <c r="J3" i="6"/>
  <c r="J5" i="6" s="1"/>
  <c r="U3" i="6"/>
  <c r="U5" i="6" s="1"/>
  <c r="AF3" i="6"/>
  <c r="AF5" i="6" s="1"/>
  <c r="C3" i="6"/>
  <c r="C5" i="6" s="1"/>
  <c r="K3" i="6"/>
  <c r="K5" i="6" s="1"/>
  <c r="V3" i="6"/>
  <c r="V5" i="6" s="1"/>
  <c r="I3" i="6"/>
  <c r="I5" i="6" s="1"/>
  <c r="P3" i="6"/>
  <c r="P5" i="6" s="1"/>
  <c r="AB3" i="6"/>
  <c r="AB5" i="6" s="1"/>
  <c r="R3" i="6"/>
  <c r="R5" i="6" s="1"/>
  <c r="S3" i="6"/>
  <c r="S5" i="6" s="1"/>
  <c r="G3" i="6"/>
  <c r="G5" i="6" s="1"/>
  <c r="AD3" i="6"/>
  <c r="AD5" i="6" s="1"/>
  <c r="Q3" i="6"/>
  <c r="Q5" i="6" s="1"/>
  <c r="T3" i="6"/>
  <c r="T5" i="6" s="1"/>
  <c r="AA3" i="6"/>
  <c r="AA5" i="6" s="1"/>
  <c r="H3" i="6"/>
  <c r="H5" i="6" s="1"/>
  <c r="AE3" i="6"/>
  <c r="AE5" i="6" s="1"/>
  <c r="E3" i="6"/>
  <c r="E5" i="6" s="1"/>
  <c r="AC3" i="6"/>
  <c r="AC5" i="6" s="1"/>
  <c r="F3" i="6"/>
  <c r="F5" i="6" s="1"/>
  <c r="B45" i="4"/>
  <c r="H45" i="4"/>
  <c r="N45" i="4"/>
  <c r="H52" i="4"/>
  <c r="C36" i="5"/>
  <c r="C38" i="5" s="1"/>
  <c r="AC36" i="5"/>
  <c r="AC38" i="5" s="1"/>
  <c r="K36" i="5"/>
  <c r="K38" i="5" s="1"/>
  <c r="M36" i="5"/>
  <c r="M38" i="5" s="1"/>
  <c r="L36" i="5"/>
  <c r="L38" i="5" s="1"/>
  <c r="E36" i="5"/>
  <c r="E38" i="5" s="1"/>
  <c r="AB36" i="5"/>
  <c r="AB38" i="5" s="1"/>
  <c r="W36" i="5"/>
  <c r="W38" i="5" s="1"/>
  <c r="P36" i="5"/>
  <c r="P38" i="5" s="1"/>
  <c r="O36" i="5"/>
  <c r="O38" i="5" s="1"/>
  <c r="S36" i="5"/>
  <c r="S38" i="5" s="1"/>
  <c r="F36" i="5"/>
  <c r="F38" i="5" s="1"/>
  <c r="H36" i="5"/>
  <c r="H38" i="5" s="1"/>
  <c r="D36" i="5"/>
  <c r="D38" i="5" s="1"/>
  <c r="AA36" i="5"/>
  <c r="AA38" i="5" s="1"/>
  <c r="V36" i="5"/>
  <c r="V38" i="5" s="1"/>
  <c r="AF36" i="5"/>
  <c r="AF38" i="5" s="1"/>
  <c r="Q36" i="5"/>
  <c r="Q38" i="5" s="1"/>
  <c r="J36" i="5"/>
  <c r="J38" i="5" s="1"/>
  <c r="T36" i="5"/>
  <c r="T38" i="5" s="1"/>
  <c r="Y36" i="5"/>
  <c r="Y38" i="5" s="1"/>
  <c r="G36" i="5"/>
  <c r="G38" i="5" s="1"/>
  <c r="Z36" i="5"/>
  <c r="Z38" i="5" s="1"/>
  <c r="N36" i="5"/>
  <c r="N38" i="5" s="1"/>
  <c r="AD36" i="5"/>
  <c r="AD38" i="5" s="1"/>
  <c r="I36" i="5"/>
  <c r="I38" i="5" s="1"/>
  <c r="R36" i="5"/>
  <c r="R38" i="5" s="1"/>
  <c r="X36" i="5"/>
  <c r="X38" i="5" s="1"/>
  <c r="U36" i="5"/>
  <c r="U38" i="5" s="1"/>
  <c r="AE36" i="5"/>
  <c r="AE38" i="5" s="1"/>
  <c r="B31" i="5"/>
  <c r="J3" i="9" s="1"/>
  <c r="J4" i="9" s="1"/>
  <c r="J10" i="9" s="1"/>
  <c r="B35" i="3"/>
  <c r="B55" i="5"/>
  <c r="Q3" i="9" s="1"/>
  <c r="Q4" i="9" s="1"/>
  <c r="Q10" i="9" s="1"/>
  <c r="N54" i="4"/>
  <c r="B65" i="5"/>
  <c r="Q14" i="9" s="1"/>
  <c r="Q15" i="9" s="1"/>
  <c r="B9" i="5"/>
  <c r="C3" i="9" s="1"/>
  <c r="C4" i="9" s="1"/>
  <c r="C10" i="9" s="1"/>
  <c r="AA13" i="6" l="1"/>
  <c r="AA15" i="6" s="1"/>
  <c r="V13" i="6"/>
  <c r="V15" i="6" s="1"/>
  <c r="I13" i="6"/>
  <c r="I15" i="6" s="1"/>
  <c r="L13" i="6"/>
  <c r="L15" i="6" s="1"/>
  <c r="K13" i="6"/>
  <c r="K15" i="6" s="1"/>
  <c r="X13" i="6"/>
  <c r="X15" i="6" s="1"/>
  <c r="J13" i="6"/>
  <c r="J15" i="6" s="1"/>
  <c r="Z13" i="6"/>
  <c r="Z15" i="6" s="1"/>
  <c r="AE13" i="6"/>
  <c r="AE15" i="6" s="1"/>
  <c r="E13" i="6"/>
  <c r="E15" i="6" s="1"/>
  <c r="T13" i="6"/>
  <c r="T15" i="6" s="1"/>
  <c r="C13" i="6"/>
  <c r="C15" i="6" s="1"/>
  <c r="O13" i="6"/>
  <c r="O15" i="6" s="1"/>
  <c r="R13" i="6"/>
  <c r="R15" i="6" s="1"/>
  <c r="H13" i="6"/>
  <c r="H15" i="6" s="1"/>
  <c r="AD13" i="6"/>
  <c r="AD15" i="6" s="1"/>
  <c r="AC13" i="6"/>
  <c r="AC15" i="6" s="1"/>
  <c r="G13" i="6"/>
  <c r="G15" i="6" s="1"/>
  <c r="W13" i="6"/>
  <c r="W15" i="6" s="1"/>
  <c r="P13" i="6"/>
  <c r="P15" i="6" s="1"/>
  <c r="S13" i="6"/>
  <c r="S15" i="6" s="1"/>
  <c r="Y13" i="6"/>
  <c r="Y15" i="6" s="1"/>
  <c r="Q13" i="6"/>
  <c r="Q15" i="6" s="1"/>
  <c r="AB13" i="6"/>
  <c r="AB15" i="6" s="1"/>
  <c r="N13" i="6"/>
  <c r="N15" i="6" s="1"/>
  <c r="F13" i="6"/>
  <c r="F15" i="6" s="1"/>
  <c r="B54" i="4"/>
  <c r="T13" i="8" s="1"/>
  <c r="T15" i="8" s="1"/>
  <c r="D13" i="6"/>
  <c r="D15" i="6" s="1"/>
  <c r="AF13" i="6"/>
  <c r="AF15" i="6" s="1"/>
  <c r="M13" i="6"/>
  <c r="M15" i="6" s="1"/>
  <c r="B23" i="10"/>
  <c r="B19" i="5"/>
  <c r="C14" i="9" s="1"/>
  <c r="C15" i="9" s="1"/>
  <c r="C21" i="9" s="1"/>
  <c r="B24" i="10"/>
  <c r="B22" i="10"/>
  <c r="B21" i="10"/>
  <c r="Q21" i="9"/>
  <c r="Q32" i="9"/>
  <c r="Q33" i="9" s="1"/>
  <c r="M49" i="8"/>
  <c r="M51" i="8" s="1"/>
  <c r="X49" i="8"/>
  <c r="X51" i="8" s="1"/>
  <c r="G49" i="7"/>
  <c r="G51" i="7" s="1"/>
  <c r="R49" i="7"/>
  <c r="R51" i="7" s="1"/>
  <c r="AC49" i="7"/>
  <c r="AC51" i="7" s="1"/>
  <c r="N49" i="8"/>
  <c r="N51" i="8" s="1"/>
  <c r="Y49" i="8"/>
  <c r="Y51" i="8" s="1"/>
  <c r="H49" i="7"/>
  <c r="H51" i="7" s="1"/>
  <c r="S49" i="7"/>
  <c r="S51" i="7" s="1"/>
  <c r="AD49" i="7"/>
  <c r="AD51" i="7" s="1"/>
  <c r="D49" i="8"/>
  <c r="D51" i="8" s="1"/>
  <c r="O49" i="8"/>
  <c r="O51" i="8" s="1"/>
  <c r="Z49" i="8"/>
  <c r="Z51" i="8" s="1"/>
  <c r="I49" i="7"/>
  <c r="I51" i="7" s="1"/>
  <c r="T49" i="7"/>
  <c r="T51" i="7" s="1"/>
  <c r="AE49" i="7"/>
  <c r="AE51" i="7" s="1"/>
  <c r="E49" i="8"/>
  <c r="E51" i="8" s="1"/>
  <c r="P49" i="8"/>
  <c r="P51" i="8" s="1"/>
  <c r="AA49" i="8"/>
  <c r="AA51" i="8" s="1"/>
  <c r="J49" i="7"/>
  <c r="J51" i="7" s="1"/>
  <c r="U49" i="7"/>
  <c r="U51" i="7" s="1"/>
  <c r="AF49" i="7"/>
  <c r="AF51" i="7" s="1"/>
  <c r="K49" i="8"/>
  <c r="K51" i="8" s="1"/>
  <c r="V49" i="8"/>
  <c r="V51" i="8" s="1"/>
  <c r="E49" i="7"/>
  <c r="E51" i="7" s="1"/>
  <c r="P49" i="7"/>
  <c r="P51" i="7" s="1"/>
  <c r="AA49" i="7"/>
  <c r="AA51" i="7" s="1"/>
  <c r="L49" i="8"/>
  <c r="L51" i="8" s="1"/>
  <c r="W49" i="8"/>
  <c r="W51" i="8" s="1"/>
  <c r="C49" i="8"/>
  <c r="C51" i="8" s="1"/>
  <c r="F49" i="7"/>
  <c r="F51" i="7" s="1"/>
  <c r="Q49" i="7"/>
  <c r="Q51" i="7" s="1"/>
  <c r="AB49" i="7"/>
  <c r="AB51" i="7" s="1"/>
  <c r="F49" i="8"/>
  <c r="F51" i="8" s="1"/>
  <c r="AC49" i="8"/>
  <c r="AC51" i="8" s="1"/>
  <c r="D49" i="7"/>
  <c r="D51" i="7" s="1"/>
  <c r="O49" i="7"/>
  <c r="O51" i="7" s="1"/>
  <c r="G49" i="8"/>
  <c r="G51" i="8" s="1"/>
  <c r="AD49" i="8"/>
  <c r="AD51" i="8" s="1"/>
  <c r="K49" i="7"/>
  <c r="K51" i="7" s="1"/>
  <c r="C49" i="7"/>
  <c r="C51" i="7" s="1"/>
  <c r="L49" i="7"/>
  <c r="L51" i="7" s="1"/>
  <c r="W49" i="7"/>
  <c r="W51" i="7" s="1"/>
  <c r="H49" i="8"/>
  <c r="H51" i="8" s="1"/>
  <c r="AE49" i="8"/>
  <c r="AE51" i="8" s="1"/>
  <c r="I49" i="8"/>
  <c r="I51" i="8" s="1"/>
  <c r="AF49" i="8"/>
  <c r="AF51" i="8" s="1"/>
  <c r="M49" i="7"/>
  <c r="M51" i="7" s="1"/>
  <c r="J49" i="8"/>
  <c r="J51" i="8" s="1"/>
  <c r="N49" i="7"/>
  <c r="N51" i="7" s="1"/>
  <c r="Q49" i="8"/>
  <c r="Q51" i="8" s="1"/>
  <c r="U49" i="8"/>
  <c r="U51" i="8" s="1"/>
  <c r="Y49" i="7"/>
  <c r="Y51" i="7" s="1"/>
  <c r="R49" i="8"/>
  <c r="R51" i="8" s="1"/>
  <c r="V49" i="7"/>
  <c r="V51" i="7" s="1"/>
  <c r="S49" i="8"/>
  <c r="S51" i="8" s="1"/>
  <c r="AB49" i="8"/>
  <c r="AB51" i="8" s="1"/>
  <c r="Z49" i="7"/>
  <c r="Z51" i="7" s="1"/>
  <c r="T49" i="8"/>
  <c r="T51" i="8" s="1"/>
  <c r="X49" i="7"/>
  <c r="X51" i="7" s="1"/>
  <c r="M25" i="8"/>
  <c r="M27" i="8" s="1"/>
  <c r="X25" i="8"/>
  <c r="X27" i="8" s="1"/>
  <c r="N25" i="7"/>
  <c r="N27" i="7" s="1"/>
  <c r="Y25" i="7"/>
  <c r="Y27" i="7" s="1"/>
  <c r="N25" i="8"/>
  <c r="N27" i="8" s="1"/>
  <c r="Y25" i="8"/>
  <c r="Y27" i="8" s="1"/>
  <c r="D25" i="7"/>
  <c r="D27" i="7" s="1"/>
  <c r="O25" i="7"/>
  <c r="O27" i="7" s="1"/>
  <c r="Z25" i="7"/>
  <c r="Z27" i="7" s="1"/>
  <c r="D25" i="8"/>
  <c r="D27" i="8" s="1"/>
  <c r="O25" i="8"/>
  <c r="O27" i="8" s="1"/>
  <c r="Z25" i="8"/>
  <c r="Z27" i="8" s="1"/>
  <c r="E25" i="7"/>
  <c r="E27" i="7" s="1"/>
  <c r="P25" i="7"/>
  <c r="P27" i="7" s="1"/>
  <c r="AA25" i="7"/>
  <c r="AA27" i="7" s="1"/>
  <c r="E25" i="8"/>
  <c r="E27" i="8" s="1"/>
  <c r="P25" i="8"/>
  <c r="P27" i="8" s="1"/>
  <c r="AA25" i="8"/>
  <c r="AA27" i="8" s="1"/>
  <c r="F25" i="7"/>
  <c r="F27" i="7" s="1"/>
  <c r="Q25" i="7"/>
  <c r="Q27" i="7" s="1"/>
  <c r="AB25" i="7"/>
  <c r="AB27" i="7" s="1"/>
  <c r="K25" i="8"/>
  <c r="K27" i="8" s="1"/>
  <c r="V25" i="8"/>
  <c r="V27" i="8" s="1"/>
  <c r="L25" i="7"/>
  <c r="L27" i="7" s="1"/>
  <c r="W25" i="7"/>
  <c r="W27" i="7" s="1"/>
  <c r="L25" i="8"/>
  <c r="L27" i="8" s="1"/>
  <c r="W25" i="8"/>
  <c r="W27" i="8" s="1"/>
  <c r="C25" i="8"/>
  <c r="C27" i="8" s="1"/>
  <c r="M25" i="7"/>
  <c r="M27" i="7" s="1"/>
  <c r="X25" i="7"/>
  <c r="X27" i="7" s="1"/>
  <c r="F25" i="8"/>
  <c r="F27" i="8" s="1"/>
  <c r="AC25" i="8"/>
  <c r="AC27" i="8" s="1"/>
  <c r="T25" i="7"/>
  <c r="T27" i="7" s="1"/>
  <c r="H25" i="7"/>
  <c r="H27" i="7" s="1"/>
  <c r="AF25" i="7"/>
  <c r="AF27" i="7" s="1"/>
  <c r="G25" i="8"/>
  <c r="G27" i="8" s="1"/>
  <c r="AD25" i="8"/>
  <c r="AD27" i="8" s="1"/>
  <c r="U25" i="7"/>
  <c r="U27" i="7" s="1"/>
  <c r="V25" i="7"/>
  <c r="V27" i="7" s="1"/>
  <c r="AE25" i="7"/>
  <c r="AE27" i="7" s="1"/>
  <c r="S25" i="8"/>
  <c r="S27" i="8" s="1"/>
  <c r="H25" i="8"/>
  <c r="H27" i="8" s="1"/>
  <c r="AE25" i="8"/>
  <c r="AE27" i="8" s="1"/>
  <c r="I25" i="8"/>
  <c r="I27" i="8" s="1"/>
  <c r="AF25" i="8"/>
  <c r="AF27" i="8" s="1"/>
  <c r="AC25" i="7"/>
  <c r="AC27" i="7" s="1"/>
  <c r="J25" i="8"/>
  <c r="J27" i="8" s="1"/>
  <c r="G25" i="7"/>
  <c r="G27" i="7" s="1"/>
  <c r="AD25" i="7"/>
  <c r="AD27" i="7" s="1"/>
  <c r="C25" i="7"/>
  <c r="C27" i="7" s="1"/>
  <c r="Q25" i="8"/>
  <c r="Q27" i="8" s="1"/>
  <c r="I25" i="7"/>
  <c r="I27" i="7" s="1"/>
  <c r="U25" i="8"/>
  <c r="U27" i="8" s="1"/>
  <c r="R25" i="7"/>
  <c r="R27" i="7" s="1"/>
  <c r="R25" i="8"/>
  <c r="R27" i="8" s="1"/>
  <c r="AB25" i="8"/>
  <c r="AB27" i="8" s="1"/>
  <c r="S25" i="7"/>
  <c r="S27" i="7" s="1"/>
  <c r="J25" i="7"/>
  <c r="J27" i="7" s="1"/>
  <c r="T25" i="8"/>
  <c r="T27" i="8" s="1"/>
  <c r="K25" i="7"/>
  <c r="K27" i="7" s="1"/>
  <c r="N3" i="8"/>
  <c r="N5" i="8" s="1"/>
  <c r="Y3" i="8"/>
  <c r="Y5" i="8" s="1"/>
  <c r="G3" i="7"/>
  <c r="G5" i="7" s="1"/>
  <c r="R3" i="7"/>
  <c r="R5" i="7" s="1"/>
  <c r="AC3" i="7"/>
  <c r="AC5" i="7" s="1"/>
  <c r="D3" i="8"/>
  <c r="D5" i="8" s="1"/>
  <c r="O3" i="8"/>
  <c r="O5" i="8" s="1"/>
  <c r="Z3" i="8"/>
  <c r="Z5" i="8" s="1"/>
  <c r="H3" i="7"/>
  <c r="H5" i="7" s="1"/>
  <c r="S3" i="7"/>
  <c r="S5" i="7" s="1"/>
  <c r="AD3" i="7"/>
  <c r="AD5" i="7" s="1"/>
  <c r="E3" i="8"/>
  <c r="E5" i="8" s="1"/>
  <c r="P3" i="8"/>
  <c r="P5" i="8" s="1"/>
  <c r="AA3" i="8"/>
  <c r="AA5" i="8" s="1"/>
  <c r="I3" i="7"/>
  <c r="I5" i="7" s="1"/>
  <c r="T3" i="7"/>
  <c r="T5" i="7" s="1"/>
  <c r="AE3" i="7"/>
  <c r="AE5" i="7" s="1"/>
  <c r="F3" i="8"/>
  <c r="F5" i="8" s="1"/>
  <c r="Q3" i="8"/>
  <c r="Q5" i="8" s="1"/>
  <c r="AB3" i="8"/>
  <c r="AB5" i="8" s="1"/>
  <c r="J3" i="7"/>
  <c r="J5" i="7" s="1"/>
  <c r="U3" i="7"/>
  <c r="U5" i="7" s="1"/>
  <c r="AF3" i="7"/>
  <c r="AF5" i="7" s="1"/>
  <c r="L3" i="8"/>
  <c r="L5" i="8" s="1"/>
  <c r="W3" i="8"/>
  <c r="W5" i="8" s="1"/>
  <c r="C3" i="8"/>
  <c r="C5" i="8" s="1"/>
  <c r="E3" i="7"/>
  <c r="E5" i="7" s="1"/>
  <c r="P3" i="7"/>
  <c r="P5" i="7" s="1"/>
  <c r="AA3" i="7"/>
  <c r="AA5" i="7" s="1"/>
  <c r="AB3" i="7"/>
  <c r="AB5" i="7" s="1"/>
  <c r="M3" i="8"/>
  <c r="M5" i="8" s="1"/>
  <c r="X3" i="8"/>
  <c r="X5" i="8" s="1"/>
  <c r="F3" i="7"/>
  <c r="F5" i="7" s="1"/>
  <c r="Q3" i="7"/>
  <c r="Q5" i="7" s="1"/>
  <c r="G3" i="8"/>
  <c r="G5" i="8" s="1"/>
  <c r="AD3" i="8"/>
  <c r="AD5" i="8" s="1"/>
  <c r="X3" i="7"/>
  <c r="X5" i="7" s="1"/>
  <c r="L3" i="7"/>
  <c r="L5" i="7" s="1"/>
  <c r="S3" i="8"/>
  <c r="S5" i="8" s="1"/>
  <c r="M3" i="7"/>
  <c r="M5" i="7" s="1"/>
  <c r="T3" i="8"/>
  <c r="T5" i="8" s="1"/>
  <c r="H3" i="8"/>
  <c r="H5" i="8" s="1"/>
  <c r="AE3" i="8"/>
  <c r="AE5" i="8" s="1"/>
  <c r="Y3" i="7"/>
  <c r="Y5" i="7" s="1"/>
  <c r="Z3" i="7"/>
  <c r="Z5" i="7" s="1"/>
  <c r="I3" i="8"/>
  <c r="I5" i="8" s="1"/>
  <c r="AF3" i="8"/>
  <c r="AF5" i="8" s="1"/>
  <c r="J3" i="8"/>
  <c r="J5" i="8" s="1"/>
  <c r="D3" i="7"/>
  <c r="D5" i="7" s="1"/>
  <c r="K3" i="8"/>
  <c r="K5" i="8" s="1"/>
  <c r="K3" i="7"/>
  <c r="K5" i="7" s="1"/>
  <c r="C3" i="7"/>
  <c r="C5" i="7" s="1"/>
  <c r="R3" i="8"/>
  <c r="R5" i="8" s="1"/>
  <c r="V3" i="8"/>
  <c r="V5" i="8" s="1"/>
  <c r="V3" i="7"/>
  <c r="V5" i="7" s="1"/>
  <c r="AC3" i="8"/>
  <c r="AC5" i="8" s="1"/>
  <c r="W3" i="7"/>
  <c r="W5" i="7" s="1"/>
  <c r="N3" i="7"/>
  <c r="N5" i="7" s="1"/>
  <c r="U3" i="8"/>
  <c r="U5" i="8" s="1"/>
  <c r="O3" i="7"/>
  <c r="O5" i="7" s="1"/>
  <c r="G59" i="8"/>
  <c r="G61" i="8" s="1"/>
  <c r="R59" i="8"/>
  <c r="R61" i="8" s="1"/>
  <c r="AC59" i="8"/>
  <c r="AC61" i="8" s="1"/>
  <c r="H59" i="7"/>
  <c r="H61" i="7" s="1"/>
  <c r="S59" i="7"/>
  <c r="S61" i="7" s="1"/>
  <c r="AD59" i="7"/>
  <c r="AD61" i="7" s="1"/>
  <c r="C59" i="7"/>
  <c r="C61" i="7" s="1"/>
  <c r="H59" i="8"/>
  <c r="H61" i="8" s="1"/>
  <c r="S59" i="8"/>
  <c r="S61" i="8" s="1"/>
  <c r="AD59" i="8"/>
  <c r="AD61" i="8" s="1"/>
  <c r="C59" i="8"/>
  <c r="C61" i="8" s="1"/>
  <c r="I59" i="7"/>
  <c r="I61" i="7" s="1"/>
  <c r="T59" i="7"/>
  <c r="T61" i="7" s="1"/>
  <c r="AE59" i="7"/>
  <c r="AE61" i="7" s="1"/>
  <c r="I59" i="8"/>
  <c r="I61" i="8" s="1"/>
  <c r="T59" i="8"/>
  <c r="T61" i="8" s="1"/>
  <c r="AE59" i="8"/>
  <c r="AE61" i="8" s="1"/>
  <c r="J59" i="7"/>
  <c r="J61" i="7" s="1"/>
  <c r="U59" i="7"/>
  <c r="U61" i="7" s="1"/>
  <c r="AF59" i="7"/>
  <c r="AF61" i="7" s="1"/>
  <c r="J59" i="8"/>
  <c r="J61" i="8" s="1"/>
  <c r="U59" i="8"/>
  <c r="U61" i="8" s="1"/>
  <c r="AF59" i="8"/>
  <c r="AF61" i="8" s="1"/>
  <c r="K59" i="7"/>
  <c r="K61" i="7" s="1"/>
  <c r="V59" i="7"/>
  <c r="V61" i="7" s="1"/>
  <c r="E59" i="8"/>
  <c r="E61" i="8" s="1"/>
  <c r="P59" i="8"/>
  <c r="P61" i="8" s="1"/>
  <c r="AA59" i="8"/>
  <c r="AA61" i="8" s="1"/>
  <c r="F59" i="7"/>
  <c r="F61" i="7" s="1"/>
  <c r="Q59" i="7"/>
  <c r="Q61" i="7" s="1"/>
  <c r="AB59" i="7"/>
  <c r="AB61" i="7" s="1"/>
  <c r="F59" i="8"/>
  <c r="F61" i="8" s="1"/>
  <c r="Q59" i="8"/>
  <c r="Q61" i="8" s="1"/>
  <c r="AB59" i="8"/>
  <c r="AB61" i="8" s="1"/>
  <c r="G59" i="7"/>
  <c r="G61" i="7" s="1"/>
  <c r="R59" i="7"/>
  <c r="R61" i="7" s="1"/>
  <c r="AC59" i="7"/>
  <c r="AC61" i="7" s="1"/>
  <c r="X59" i="8"/>
  <c r="X61" i="8" s="1"/>
  <c r="O59" i="7"/>
  <c r="O61" i="7" s="1"/>
  <c r="Z59" i="7"/>
  <c r="Z61" i="7" s="1"/>
  <c r="D59" i="7"/>
  <c r="D61" i="7" s="1"/>
  <c r="E59" i="7"/>
  <c r="E61" i="7" s="1"/>
  <c r="Y59" i="8"/>
  <c r="Y61" i="8" s="1"/>
  <c r="P59" i="7"/>
  <c r="P61" i="7" s="1"/>
  <c r="W59" i="7"/>
  <c r="W61" i="7" s="1"/>
  <c r="AA59" i="7"/>
  <c r="AA61" i="7" s="1"/>
  <c r="Z59" i="8"/>
  <c r="Z61" i="8" s="1"/>
  <c r="D59" i="8"/>
  <c r="D61" i="8" s="1"/>
  <c r="X59" i="7"/>
  <c r="X61" i="7" s="1"/>
  <c r="K59" i="8"/>
  <c r="K61" i="8" s="1"/>
  <c r="Y59" i="7"/>
  <c r="Y61" i="7" s="1"/>
  <c r="O59" i="8"/>
  <c r="O61" i="8" s="1"/>
  <c r="V59" i="8"/>
  <c r="V61" i="8" s="1"/>
  <c r="M59" i="7"/>
  <c r="M61" i="7" s="1"/>
  <c r="L59" i="8"/>
  <c r="L61" i="8" s="1"/>
  <c r="M59" i="8"/>
  <c r="M61" i="8" s="1"/>
  <c r="N59" i="8"/>
  <c r="N61" i="8" s="1"/>
  <c r="W59" i="8"/>
  <c r="W61" i="8" s="1"/>
  <c r="N59" i="7"/>
  <c r="N61" i="7" s="1"/>
  <c r="L59" i="7"/>
  <c r="L61" i="7" s="1"/>
  <c r="D36" i="6"/>
  <c r="D38" i="6" s="1"/>
  <c r="O36" i="6"/>
  <c r="O38" i="6" s="1"/>
  <c r="Z36" i="6"/>
  <c r="Z38" i="6" s="1"/>
  <c r="E36" i="6"/>
  <c r="E38" i="6" s="1"/>
  <c r="P36" i="6"/>
  <c r="P38" i="6" s="1"/>
  <c r="AA36" i="6"/>
  <c r="AA38" i="6" s="1"/>
  <c r="G36" i="6"/>
  <c r="G38" i="6" s="1"/>
  <c r="R36" i="6"/>
  <c r="R38" i="6" s="1"/>
  <c r="AC36" i="6"/>
  <c r="AC38" i="6" s="1"/>
  <c r="F36" i="6"/>
  <c r="F38" i="6" s="1"/>
  <c r="Q36" i="6"/>
  <c r="Q38" i="6" s="1"/>
  <c r="AB36" i="6"/>
  <c r="AB38" i="6" s="1"/>
  <c r="M36" i="6"/>
  <c r="M38" i="6" s="1"/>
  <c r="X36" i="6"/>
  <c r="X38" i="6" s="1"/>
  <c r="N36" i="6"/>
  <c r="N38" i="6" s="1"/>
  <c r="Y36" i="6"/>
  <c r="Y38" i="6" s="1"/>
  <c r="K36" i="6"/>
  <c r="K38" i="6" s="1"/>
  <c r="U36" i="6"/>
  <c r="U38" i="6" s="1"/>
  <c r="L36" i="6"/>
  <c r="L38" i="6" s="1"/>
  <c r="S36" i="6"/>
  <c r="S38" i="6" s="1"/>
  <c r="T36" i="6"/>
  <c r="T38" i="6" s="1"/>
  <c r="I36" i="6"/>
  <c r="I38" i="6" s="1"/>
  <c r="AF36" i="6"/>
  <c r="AF38" i="6" s="1"/>
  <c r="W36" i="6"/>
  <c r="W38" i="6" s="1"/>
  <c r="H36" i="6"/>
  <c r="H38" i="6" s="1"/>
  <c r="AE36" i="6"/>
  <c r="AE38" i="6" s="1"/>
  <c r="J36" i="6"/>
  <c r="J38" i="6" s="1"/>
  <c r="V36" i="6"/>
  <c r="V38" i="6" s="1"/>
  <c r="AD36" i="6"/>
  <c r="AD38" i="6" s="1"/>
  <c r="C36" i="6"/>
  <c r="C38" i="6" s="1"/>
  <c r="B65" i="6"/>
  <c r="R14" i="9" s="1"/>
  <c r="R15" i="9" s="1"/>
  <c r="R21" i="9" s="1"/>
  <c r="B9" i="6"/>
  <c r="D3" i="9" s="1"/>
  <c r="D4" i="9" s="1"/>
  <c r="D10" i="9" s="1"/>
  <c r="B55" i="6"/>
  <c r="R3" i="9" s="1"/>
  <c r="R4" i="9" s="1"/>
  <c r="R10" i="9" s="1"/>
  <c r="B42" i="5"/>
  <c r="J14" i="9" s="1"/>
  <c r="J15" i="9" s="1"/>
  <c r="H54" i="4"/>
  <c r="B31" i="6"/>
  <c r="K3" i="9" s="1"/>
  <c r="K4" i="9" s="1"/>
  <c r="K10" i="9" s="1"/>
  <c r="AA13" i="7" l="1"/>
  <c r="AA15" i="7" s="1"/>
  <c r="K13" i="8"/>
  <c r="K15" i="8" s="1"/>
  <c r="Z13" i="7"/>
  <c r="Z15" i="7" s="1"/>
  <c r="AE13" i="8"/>
  <c r="AE15" i="8" s="1"/>
  <c r="I13" i="8"/>
  <c r="I15" i="8" s="1"/>
  <c r="O13" i="7"/>
  <c r="O15" i="7" s="1"/>
  <c r="D13" i="7"/>
  <c r="D15" i="7" s="1"/>
  <c r="P13" i="8"/>
  <c r="P15" i="8" s="1"/>
  <c r="C13" i="8"/>
  <c r="C15" i="8" s="1"/>
  <c r="Q13" i="7"/>
  <c r="Q15" i="7" s="1"/>
  <c r="X13" i="8"/>
  <c r="X15" i="8" s="1"/>
  <c r="E13" i="7"/>
  <c r="E15" i="7" s="1"/>
  <c r="C32" i="9"/>
  <c r="C33" i="9" s="1"/>
  <c r="I13" i="7"/>
  <c r="I15" i="7" s="1"/>
  <c r="B19" i="6"/>
  <c r="D14" i="9" s="1"/>
  <c r="D15" i="9" s="1"/>
  <c r="D21" i="9" s="1"/>
  <c r="O13" i="8"/>
  <c r="O15" i="8" s="1"/>
  <c r="R13" i="8"/>
  <c r="R15" i="8" s="1"/>
  <c r="D13" i="8"/>
  <c r="D15" i="8" s="1"/>
  <c r="G13" i="8"/>
  <c r="G15" i="8" s="1"/>
  <c r="Y13" i="8"/>
  <c r="Y15" i="8" s="1"/>
  <c r="AC13" i="8"/>
  <c r="AC15" i="8" s="1"/>
  <c r="W13" i="7"/>
  <c r="W15" i="7" s="1"/>
  <c r="R13" i="7"/>
  <c r="R15" i="7" s="1"/>
  <c r="AF13" i="7"/>
  <c r="AF15" i="7" s="1"/>
  <c r="L13" i="7"/>
  <c r="L15" i="7" s="1"/>
  <c r="C13" i="7"/>
  <c r="C15" i="7" s="1"/>
  <c r="G13" i="7"/>
  <c r="G15" i="7" s="1"/>
  <c r="J13" i="7"/>
  <c r="J15" i="7" s="1"/>
  <c r="AD13" i="8"/>
  <c r="AD15" i="8" s="1"/>
  <c r="AC13" i="7"/>
  <c r="AC15" i="7" s="1"/>
  <c r="Q13" i="8"/>
  <c r="Q15" i="8" s="1"/>
  <c r="H13" i="8"/>
  <c r="H15" i="8" s="1"/>
  <c r="F13" i="7"/>
  <c r="F15" i="7" s="1"/>
  <c r="F13" i="8"/>
  <c r="F15" i="8" s="1"/>
  <c r="L13" i="8"/>
  <c r="L15" i="8" s="1"/>
  <c r="Z13" i="8"/>
  <c r="Z15" i="8" s="1"/>
  <c r="U13" i="8"/>
  <c r="U15" i="8" s="1"/>
  <c r="S13" i="7"/>
  <c r="S15" i="7" s="1"/>
  <c r="AE13" i="7"/>
  <c r="AE15" i="7" s="1"/>
  <c r="J13" i="8"/>
  <c r="J15" i="8" s="1"/>
  <c r="E13" i="8"/>
  <c r="E15" i="8" s="1"/>
  <c r="AF13" i="8"/>
  <c r="AF15" i="8" s="1"/>
  <c r="AA13" i="8"/>
  <c r="AA15" i="8" s="1"/>
  <c r="N13" i="8"/>
  <c r="N15" i="8" s="1"/>
  <c r="H13" i="7"/>
  <c r="H15" i="7" s="1"/>
  <c r="X13" i="7"/>
  <c r="X15" i="7" s="1"/>
  <c r="AB13" i="7"/>
  <c r="AB15" i="7" s="1"/>
  <c r="T13" i="7"/>
  <c r="T15" i="7" s="1"/>
  <c r="V13" i="8"/>
  <c r="V15" i="8" s="1"/>
  <c r="S13" i="8"/>
  <c r="S15" i="8" s="1"/>
  <c r="M13" i="8"/>
  <c r="M15" i="8" s="1"/>
  <c r="V13" i="7"/>
  <c r="V15" i="7" s="1"/>
  <c r="Y13" i="7"/>
  <c r="Y15" i="7" s="1"/>
  <c r="AD13" i="7"/>
  <c r="AD15" i="7" s="1"/>
  <c r="K13" i="7"/>
  <c r="K15" i="7" s="1"/>
  <c r="N13" i="7"/>
  <c r="N15" i="7" s="1"/>
  <c r="P13" i="7"/>
  <c r="P15" i="7" s="1"/>
  <c r="W13" i="8"/>
  <c r="W15" i="8" s="1"/>
  <c r="U13" i="7"/>
  <c r="U15" i="7" s="1"/>
  <c r="M13" i="7"/>
  <c r="M15" i="7" s="1"/>
  <c r="AB13" i="8"/>
  <c r="AB15" i="8" s="1"/>
  <c r="C40" i="9"/>
  <c r="J21" i="9"/>
  <c r="J32" i="9"/>
  <c r="J33" i="9" s="1"/>
  <c r="G36" i="8"/>
  <c r="G38" i="8" s="1"/>
  <c r="R36" i="8"/>
  <c r="R38" i="8" s="1"/>
  <c r="AC36" i="8"/>
  <c r="AC38" i="8" s="1"/>
  <c r="L36" i="7"/>
  <c r="L38" i="7" s="1"/>
  <c r="W36" i="7"/>
  <c r="W38" i="7" s="1"/>
  <c r="C36" i="7"/>
  <c r="C38" i="7" s="1"/>
  <c r="H36" i="8"/>
  <c r="H38" i="8" s="1"/>
  <c r="S36" i="8"/>
  <c r="S38" i="8" s="1"/>
  <c r="AD36" i="8"/>
  <c r="AD38" i="8" s="1"/>
  <c r="M36" i="7"/>
  <c r="M38" i="7" s="1"/>
  <c r="X36" i="7"/>
  <c r="X38" i="7" s="1"/>
  <c r="I36" i="8"/>
  <c r="I38" i="8" s="1"/>
  <c r="T36" i="8"/>
  <c r="T38" i="8" s="1"/>
  <c r="AE36" i="8"/>
  <c r="AE38" i="8" s="1"/>
  <c r="N36" i="7"/>
  <c r="N38" i="7" s="1"/>
  <c r="Y36" i="7"/>
  <c r="Y38" i="7" s="1"/>
  <c r="J36" i="8"/>
  <c r="J38" i="8" s="1"/>
  <c r="U36" i="8"/>
  <c r="U38" i="8" s="1"/>
  <c r="AF36" i="8"/>
  <c r="AF38" i="8" s="1"/>
  <c r="D36" i="7"/>
  <c r="D38" i="7" s="1"/>
  <c r="O36" i="7"/>
  <c r="O38" i="7" s="1"/>
  <c r="Z36" i="7"/>
  <c r="Z38" i="7" s="1"/>
  <c r="E36" i="8"/>
  <c r="E38" i="8" s="1"/>
  <c r="P36" i="8"/>
  <c r="P38" i="8" s="1"/>
  <c r="AA36" i="8"/>
  <c r="AA38" i="8" s="1"/>
  <c r="J36" i="7"/>
  <c r="J38" i="7" s="1"/>
  <c r="U36" i="7"/>
  <c r="U38" i="7" s="1"/>
  <c r="AF36" i="7"/>
  <c r="AF38" i="7" s="1"/>
  <c r="F36" i="8"/>
  <c r="F38" i="8" s="1"/>
  <c r="Q36" i="8"/>
  <c r="Q38" i="8" s="1"/>
  <c r="AB36" i="8"/>
  <c r="AB38" i="8" s="1"/>
  <c r="K36" i="7"/>
  <c r="K38" i="7" s="1"/>
  <c r="V36" i="7"/>
  <c r="V38" i="7" s="1"/>
  <c r="N36" i="8"/>
  <c r="N38" i="8" s="1"/>
  <c r="F36" i="7"/>
  <c r="F38" i="7" s="1"/>
  <c r="AC36" i="7"/>
  <c r="AC38" i="7" s="1"/>
  <c r="AE36" i="7"/>
  <c r="AE38" i="7" s="1"/>
  <c r="Q36" i="7"/>
  <c r="Q38" i="7" s="1"/>
  <c r="Z36" i="8"/>
  <c r="Z38" i="8" s="1"/>
  <c r="O36" i="8"/>
  <c r="O38" i="8" s="1"/>
  <c r="G36" i="7"/>
  <c r="G38" i="7" s="1"/>
  <c r="AD36" i="7"/>
  <c r="AD38" i="7" s="1"/>
  <c r="H36" i="7"/>
  <c r="H38" i="7" s="1"/>
  <c r="V36" i="8"/>
  <c r="V38" i="8" s="1"/>
  <c r="W36" i="8"/>
  <c r="W38" i="8" s="1"/>
  <c r="I36" i="7"/>
  <c r="I38" i="7" s="1"/>
  <c r="X36" i="8"/>
  <c r="X38" i="8" s="1"/>
  <c r="P36" i="7"/>
  <c r="P38" i="7" s="1"/>
  <c r="Y36" i="8"/>
  <c r="Y38" i="8" s="1"/>
  <c r="T36" i="7"/>
  <c r="T38" i="7" s="1"/>
  <c r="L36" i="8"/>
  <c r="L38" i="8" s="1"/>
  <c r="AA36" i="7"/>
  <c r="AA38" i="7" s="1"/>
  <c r="R36" i="7"/>
  <c r="R38" i="7" s="1"/>
  <c r="D36" i="8"/>
  <c r="D38" i="8" s="1"/>
  <c r="M36" i="8"/>
  <c r="M38" i="8" s="1"/>
  <c r="E36" i="7"/>
  <c r="E38" i="7" s="1"/>
  <c r="AB36" i="7"/>
  <c r="AB38" i="7" s="1"/>
  <c r="S36" i="7"/>
  <c r="S38" i="7" s="1"/>
  <c r="K36" i="8"/>
  <c r="K38" i="8" s="1"/>
  <c r="C36" i="8"/>
  <c r="C38" i="8" s="1"/>
  <c r="B42" i="6"/>
  <c r="K14" i="9" s="1"/>
  <c r="K15" i="9" s="1"/>
  <c r="K21" i="9" s="1"/>
  <c r="B55" i="8"/>
  <c r="T3" i="9" s="1"/>
  <c r="T4" i="9" s="1"/>
  <c r="B31" i="7"/>
  <c r="L3" i="9" s="1"/>
  <c r="L4" i="9" s="1"/>
  <c r="L10" i="9" s="1"/>
  <c r="B65" i="8"/>
  <c r="T14" i="9" s="1"/>
  <c r="T15" i="9" s="1"/>
  <c r="T21" i="9" s="1"/>
  <c r="B65" i="7"/>
  <c r="S14" i="9" s="1"/>
  <c r="S15" i="9" s="1"/>
  <c r="S21" i="9" s="1"/>
  <c r="B31" i="8"/>
  <c r="M3" i="9" s="1"/>
  <c r="M4" i="9" s="1"/>
  <c r="B9" i="7"/>
  <c r="E3" i="9" s="1"/>
  <c r="E4" i="9" s="1"/>
  <c r="E10" i="9" s="1"/>
  <c r="B9" i="8"/>
  <c r="F3" i="9" s="1"/>
  <c r="F4" i="9" s="1"/>
  <c r="B55" i="7"/>
  <c r="S3" i="9" s="1"/>
  <c r="S4" i="9" s="1"/>
  <c r="S10" i="9" s="1"/>
  <c r="B19" i="7" l="1"/>
  <c r="E14" i="9" s="1"/>
  <c r="E15" i="9" s="1"/>
  <c r="E21" i="9" s="1"/>
  <c r="B19" i="8"/>
  <c r="F14" i="9" s="1"/>
  <c r="F15" i="9" s="1"/>
  <c r="F21" i="9" s="1"/>
  <c r="C41" i="9"/>
  <c r="C47" i="9" s="1"/>
  <c r="F10" i="9"/>
  <c r="C27" i="9"/>
  <c r="C28" i="9" s="1"/>
  <c r="T10" i="9"/>
  <c r="Q27" i="9"/>
  <c r="Q28" i="9" s="1"/>
  <c r="M10" i="9"/>
  <c r="J27" i="9"/>
  <c r="J28" i="9" s="1"/>
  <c r="Q34" i="9"/>
  <c r="Q35" i="9" s="1"/>
  <c r="B42" i="7"/>
  <c r="L14" i="9" s="1"/>
  <c r="L15" i="9" s="1"/>
  <c r="L21" i="9" s="1"/>
  <c r="B42" i="8"/>
  <c r="M14" i="9" s="1"/>
  <c r="M15" i="9" s="1"/>
  <c r="M21" i="9" s="1"/>
  <c r="C34" i="9" l="1"/>
  <c r="C35" i="9" s="1"/>
  <c r="J34" i="9"/>
  <c r="J35" i="9" s="1"/>
</calcChain>
</file>

<file path=xl/sharedStrings.xml><?xml version="1.0" encoding="utf-8"?>
<sst xmlns="http://schemas.openxmlformats.org/spreadsheetml/2006/main" count="1113" uniqueCount="191">
  <si>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</si>
  <si>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</si>
  <si>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</si>
  <si>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</si>
  <si>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</si>
  <si>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</si>
  <si>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</si>
  <si>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</si>
  <si>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</si>
  <si>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</si>
  <si>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</si>
  <si>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</si>
  <si>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</si>
  <si>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</si>
  <si>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</si>
  <si>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</si>
  <si>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</si>
  <si>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</si>
  <si>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</si>
  <si>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</si>
  <si>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</si>
  <si>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</si>
  <si>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</si>
  <si>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</si>
  <si>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</si>
  <si>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</si>
  <si>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</si>
  <si>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</si>
  <si>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</si>
  <si>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</si>
  <si>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</si>
  <si>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</si>
  <si>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Notes</t>
  </si>
  <si>
    <t>Plant Lifetime</t>
  </si>
  <si>
    <t>Both</t>
  </si>
  <si>
    <t>years</t>
  </si>
  <si>
    <t>E-Fuels: A technoeconomic assessment of European domestic production and imports towards 2050 – Update, Concawe Table 130</t>
  </si>
  <si>
    <t>Discount Rate</t>
  </si>
  <si>
    <t>E-Fuels: A technoeconomic assessment of European domestic production and imports towards 2050 – Update, Concawe</t>
  </si>
  <si>
    <t>Plant Parameters</t>
  </si>
  <si>
    <t>Electrolyser Capacity</t>
  </si>
  <si>
    <t>Nm3/h</t>
  </si>
  <si>
    <t>E-Fuels: A technoeconomic assessment of European domestic production and imports towards 2050 – Update, Concawe Table 123</t>
  </si>
  <si>
    <t>E-Fuels: A technoeconomic assessment of European domestic production and imports towards 2050 – Update, Concawe Table 125</t>
  </si>
  <si>
    <t>H2 Storage Capacity</t>
  </si>
  <si>
    <t>Million Nm3</t>
  </si>
  <si>
    <t>Process Parameters</t>
  </si>
  <si>
    <t>CO2 Capture</t>
  </si>
  <si>
    <t>kg/kg fuel</t>
  </si>
  <si>
    <t>Annual CO2 requirement</t>
  </si>
  <si>
    <t>kt</t>
  </si>
  <si>
    <t>Calculated from energy balance</t>
  </si>
  <si>
    <t>Electrolyser Specific Electricity Consumption</t>
  </si>
  <si>
    <t>kWh/Nm3</t>
  </si>
  <si>
    <t>Annual Electrolysis Electricity Consumption</t>
  </si>
  <si>
    <t>GWh</t>
  </si>
  <si>
    <t>Annual Fuel Production</t>
  </si>
  <si>
    <t>Million tons</t>
  </si>
  <si>
    <t>litres</t>
  </si>
  <si>
    <t>Calculated</t>
  </si>
  <si>
    <t>Electricity Consumption</t>
  </si>
  <si>
    <t>MJ/MJ fuel</t>
  </si>
  <si>
    <t>E-Fuels: A technoeconomic assessment of European domestic production and imports towards 2050 – Update, Concawe Figure 127</t>
  </si>
  <si>
    <t>Anuual Electricity Consumption (FT)</t>
  </si>
  <si>
    <t>DAC Electricity Consumption</t>
  </si>
  <si>
    <t>MJ/kg CO2</t>
  </si>
  <si>
    <t>Annual DAC Electricity Consumption</t>
  </si>
  <si>
    <t>Hydrogen Consumption</t>
  </si>
  <si>
    <t>Annual Hydrogen Consumption</t>
  </si>
  <si>
    <t>Nm3</t>
  </si>
  <si>
    <t>External Inputs</t>
  </si>
  <si>
    <t>CO2 Price</t>
  </si>
  <si>
    <t>€/tCO2</t>
  </si>
  <si>
    <t>Electricity Price (2020)</t>
  </si>
  <si>
    <t>€/MWh</t>
  </si>
  <si>
    <t>E-Fuels: A technoeconomic assessment of European domestic production and imports towards 2050 – Update, Concawe Table 19</t>
  </si>
  <si>
    <t>Average EU</t>
  </si>
  <si>
    <t>Electricity Price (2050)</t>
  </si>
  <si>
    <t>Fuel Characteristics</t>
  </si>
  <si>
    <t>Syn-fuel emissions</t>
  </si>
  <si>
    <t>E-Fuels: A technoeconomic assessment of European domestic production and imports towards 2050 – Update, Concawe Key Message GHG Emissions</t>
  </si>
  <si>
    <t>kg/m3</t>
  </si>
  <si>
    <t>E-Fuels: A technoeconomic assessment of European domestic production and imports towards 2050 – Update, Concawe Table 10</t>
  </si>
  <si>
    <t>LHV</t>
  </si>
  <si>
    <t>E-Fuels: A technoeconomic assessment of European domestic production and imports towards 2050 – Update, Concawe Table 22</t>
  </si>
  <si>
    <t>Economic Assumptions 2024 EU-N</t>
  </si>
  <si>
    <t>Economic Assumptions 2050</t>
  </si>
  <si>
    <t>CAPEX</t>
  </si>
  <si>
    <t>Component</t>
  </si>
  <si>
    <t>DAC CAPEX</t>
  </si>
  <si>
    <t>M€</t>
  </si>
  <si>
    <t>E-Fuels: A technoeconomic assessment of European domestic production and imports towards 2050 – Update, Concawe Table 126</t>
  </si>
  <si>
    <t>Liquefaction</t>
  </si>
  <si>
    <t>Storage</t>
  </si>
  <si>
    <t>Total CAPEX</t>
  </si>
  <si>
    <t>OPEX</t>
  </si>
  <si>
    <t>Maintenance and Repair</t>
  </si>
  <si>
    <t>M€/year</t>
  </si>
  <si>
    <t>Insurance</t>
  </si>
  <si>
    <t>Labor</t>
  </si>
  <si>
    <t>Administration</t>
  </si>
  <si>
    <t>Electricity</t>
  </si>
  <si>
    <t>OPEX Liquefaction</t>
  </si>
  <si>
    <t>OPEX Storage</t>
  </si>
  <si>
    <t>Total OPEX</t>
  </si>
  <si>
    <t>CO2 Capacity</t>
  </si>
  <si>
    <t>kt/year</t>
  </si>
  <si>
    <t>MJ/kgCO2</t>
  </si>
  <si>
    <t>MWh/year</t>
  </si>
  <si>
    <t>Lifetime DAC Plant</t>
  </si>
  <si>
    <t>LCOR 2024</t>
  </si>
  <si>
    <t>Cost (€)</t>
  </si>
  <si>
    <t>Discounted Cost (€)</t>
  </si>
  <si>
    <t>Removal (t)</t>
  </si>
  <si>
    <t>Discounted Removal (t)</t>
  </si>
  <si>
    <t>LCOR (€/tCO2)</t>
  </si>
  <si>
    <t>LCOR 2050</t>
  </si>
  <si>
    <t>Economic Assumptions 2024 EU-North</t>
  </si>
  <si>
    <t>Economic Assumptions 2024 EU-Central</t>
  </si>
  <si>
    <t>Economic Assumptions 2024 EU-South</t>
  </si>
  <si>
    <t>Electrolyser</t>
  </si>
  <si>
    <t>H2 Storage</t>
  </si>
  <si>
    <t>FT Synthesis Plant</t>
  </si>
  <si>
    <t>CO2 Storage</t>
  </si>
  <si>
    <t>Amortized CAPEX</t>
  </si>
  <si>
    <t>€/year</t>
  </si>
  <si>
    <t>Electrolyser O&amp;M</t>
  </si>
  <si>
    <t>FT Synthesis Fixed O&amp;M</t>
  </si>
  <si>
    <t>FT Synthesis Variable O&amp;M</t>
  </si>
  <si>
    <t>CO2 Storage O&amp;M</t>
  </si>
  <si>
    <t>CO2 Supply</t>
  </si>
  <si>
    <t>Economic Assumptions 2050 EU-North</t>
  </si>
  <si>
    <t>Economic Assumptions 2050 EU-Central</t>
  </si>
  <si>
    <t>Economic Assumptions 2050 EU-South</t>
  </si>
  <si>
    <t>CO2 Cost</t>
  </si>
  <si>
    <t>Standardized Economic Assumptions 2024 EU-North</t>
  </si>
  <si>
    <t>Standardized Economic Assumptions 2024 EU-Central</t>
  </si>
  <si>
    <t>Standardized Economic Assumptions 2024 EU-South</t>
  </si>
  <si>
    <t>LCOE Corrected OPEX</t>
  </si>
  <si>
    <t>CO2 Corrected OPEX</t>
  </si>
  <si>
    <t>WACC Corrected Amortized CAPEX</t>
  </si>
  <si>
    <t>Standardized Economic Assumptions 2050 EU-North</t>
  </si>
  <si>
    <t>Standardized Economic Assumptions 2050 EU-Central</t>
  </si>
  <si>
    <t>Standardized Economic Assumptions 2050 EU-South</t>
  </si>
  <si>
    <t>Amortised Cash Flow Model 2024 EU-North</t>
  </si>
  <si>
    <t>OPEX (€)</t>
  </si>
  <si>
    <t>Amortised CAPEX (€)</t>
  </si>
  <si>
    <t>Production (l)</t>
  </si>
  <si>
    <t>Discounted Production (l)</t>
  </si>
  <si>
    <t>Minimum Fuel Selling Price (€/l)</t>
  </si>
  <si>
    <t>Amortised Cash Flow Model 2050 EU-North</t>
  </si>
  <si>
    <t>Amortised Cash Flow Model 2024 EU-Central</t>
  </si>
  <si>
    <t>Amortised Cash Flow Model 2050 EU-Central</t>
  </si>
  <si>
    <t>Amortized CAPEX (€)</t>
  </si>
  <si>
    <t>Amortised Cash Flow Model 2024 EU-South</t>
  </si>
  <si>
    <t>2024 EU - North</t>
  </si>
  <si>
    <t>CO2</t>
  </si>
  <si>
    <t>Other OPEX</t>
  </si>
  <si>
    <t xml:space="preserve">Contributions </t>
  </si>
  <si>
    <t>2050 EU - North</t>
  </si>
  <si>
    <t>2024 - EU - North</t>
  </si>
  <si>
    <t>2024 - EU - Central</t>
  </si>
  <si>
    <t>2024 - EU - South</t>
  </si>
  <si>
    <t>Base case</t>
  </si>
  <si>
    <t>Electricity correction</t>
  </si>
  <si>
    <t>DAC correction</t>
  </si>
  <si>
    <t>WACC correction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</si>
  <si>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</si>
  <si>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</si>
  <si>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</si>
  <si>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</si>
  <si>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</si>
  <si>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</si>
  <si>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</si>
  <si>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</si>
  <si>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</si>
  <si>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2050 - EU - North</t>
  </si>
  <si>
    <t>2050 - EU - Central</t>
  </si>
  <si>
    <t>2050 - EU - South</t>
  </si>
  <si>
    <t xml:space="preserve">Full Abatement - 2024 - EU - North </t>
  </si>
  <si>
    <t xml:space="preserve">Full Abatement - 2024 - EU - Central </t>
  </si>
  <si>
    <t>Full Abatement - 2024 - EU - South</t>
  </si>
  <si>
    <t>Residual Emissions</t>
  </si>
  <si>
    <t>Emissions Reduction Cost</t>
  </si>
  <si>
    <t>Effective Synfuel Cost</t>
  </si>
  <si>
    <t>Effective Abatement Cost</t>
  </si>
  <si>
    <t xml:space="preserve">Full Abatement - 2050 - EU - North </t>
  </si>
  <si>
    <t>Full Abatement - 2050 - EU - Central</t>
  </si>
  <si>
    <t>Full Abatement - 2050 - EU - South</t>
  </si>
  <si>
    <t>2024 - FLH</t>
  </si>
  <si>
    <t>Lower FLH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</si>
</sst>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0.0"/>
    <numFmt numFmtId="167" formatCode="0.0000"/>
  </numFmts>
  <fonts count="1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name val="Aptos Narrow"/>
      <scheme val="minor"/>
    </font>
    <font>
      <sz val="12"/>
      <name val="Aptos Narrow"/>
      <scheme val="minor"/>
    </font>
    <font>
      <sz val="11"/>
      <color theme="1"/>
      <name val="Aptos Narrow (Body)"/>
    </font>
    <font>
      <sz val="11"/>
      <color theme="1"/>
      <name val="Aptos Narrow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1"/>
      <color theme="1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6C9E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10" fontId="0" fillId="0" borderId="0" xfId="0" applyNumberFormat="1"/>
    <xf numFmtId="2" fontId="0" fillId="0" borderId="0" xfId="0" applyNumberFormat="1"/>
    <xf numFmtId="0" fontId="2" fillId="0" borderId="0" xfId="0" applyFont="1"/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9" fontId="0" fillId="0" borderId="0" xfId="1" applyFont="1"/>
    <xf numFmtId="9" fontId="1" fillId="2" borderId="0" xfId="1" applyFont="1" applyFill="1"/>
    <xf numFmtId="0" fontId="5" fillId="0" borderId="0" xfId="0" applyFont="1"/>
    <xf numFmtId="0" fontId="5" fillId="0" borderId="1" xfId="0" applyFont="1" applyBorder="1"/>
    <xf numFmtId="0" fontId="4" fillId="0" borderId="0" xfId="0" applyFont="1"/>
    <xf numFmtId="0" fontId="4" fillId="0" borderId="1" xfId="0" applyFont="1" applyBorder="1"/>
    <xf numFmtId="0" fontId="0" fillId="0" borderId="1" xfId="0" applyBorder="1"/>
    <xf numFmtId="165" fontId="0" fillId="0" borderId="0" xfId="0" applyNumberFormat="1"/>
    <xf numFmtId="1" fontId="5" fillId="0" borderId="0" xfId="0" applyNumberFormat="1" applyFont="1"/>
    <xf numFmtId="11" fontId="0" fillId="0" borderId="0" xfId="0" applyNumberFormat="1"/>
    <xf numFmtId="1" fontId="5" fillId="0" borderId="1" xfId="0" applyNumberFormat="1" applyFont="1" applyBorder="1"/>
    <xf numFmtId="0" fontId="6" fillId="0" borderId="1" xfId="0" applyFont="1" applyBorder="1"/>
    <xf numFmtId="0" fontId="7" fillId="0" borderId="1" xfId="0" applyFont="1" applyBorder="1"/>
    <xf numFmtId="0" fontId="1" fillId="0" borderId="1" xfId="0" applyFont="1" applyBorder="1" applyAlignment="1">
      <alignment horizontal="center"/>
    </xf>
    <xf numFmtId="0" fontId="0" fillId="4" borderId="0" xfId="0" applyFill="1"/>
    <xf numFmtId="0" fontId="1" fillId="4" borderId="0" xfId="0" applyFont="1" applyFill="1"/>
    <xf numFmtId="164" fontId="0" fillId="3" borderId="0" xfId="0" applyNumberFormat="1" applyFill="1"/>
    <xf numFmtId="0" fontId="2" fillId="3" borderId="0" xfId="0" applyFont="1" applyFill="1"/>
    <xf numFmtId="166" fontId="0" fillId="0" borderId="0" xfId="0" applyNumberFormat="1"/>
    <xf numFmtId="166" fontId="0" fillId="3" borderId="0" xfId="0" applyNumberFormat="1" applyFill="1"/>
    <xf numFmtId="0" fontId="1" fillId="0" borderId="1" xfId="0" applyFont="1" applyBorder="1"/>
    <xf numFmtId="167" fontId="0" fillId="0" borderId="1" xfId="0" applyNumberFormat="1" applyBorder="1"/>
    <xf numFmtId="2" fontId="0" fillId="0" borderId="1" xfId="0" applyNumberFormat="1" applyBorder="1"/>
    <xf numFmtId="1" fontId="0" fillId="0" borderId="1" xfId="0" applyNumberFormat="1" applyBorder="1"/>
    <xf numFmtId="2" fontId="7" fillId="0" borderId="1" xfId="0" applyNumberFormat="1" applyFont="1" applyBorder="1"/>
    <xf numFmtId="0" fontId="9" fillId="0" borderId="0" xfId="0" applyFont="1"/>
    <xf numFmtId="9" fontId="3" fillId="0" borderId="0" xfId="1"/>
    <xf numFmtId="0" fontId="7" fillId="0" borderId="0" xfId="0" applyFont="1"/>
    <xf numFmtId="0" fontId="4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4" fillId="2" borderId="4" xfId="0" applyFont="1" applyFill="1" applyBorder="1" applyAlignment="1">
      <alignment horizontal="center"/>
    </xf>
    <xf numFmtId="0" fontId="0" fillId="0" borderId="4" xfId="0" applyBorder="1"/>
    <xf numFmtId="0" fontId="4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2" borderId="1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1.7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1371</v>
          </cell>
        </row>
        <row r="34">
          <cell r="C34">
            <v>497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33"/>
  <sheetViews>
    <sheetView tabSelected="1" workbookViewId="0">
      <selection activeCell="C3" sqref="C3"/>
    </sheetView>
  </sheetViews>
  <sheetFormatPr defaultColWidth="11" defaultRowHeight="15.6"/>
  <cols>
    <col min="1" max="1" width="24.09765625" bestFit="1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/>
      <c r="C2" s="3"/>
      <c r="D2" s="3"/>
    </row>
    <row r="3" spans="1:4">
      <c r="A3" t="s">
        <v>5</v>
      </c>
      <c r="C3">
        <f>[1]Inputs!C4</f>
        <v>2024</v>
      </c>
    </row>
    <row r="4" spans="1:4">
      <c r="A4" t="s">
        <v>6</v>
      </c>
      <c r="C4" s="36">
        <f>[1]Inputs!C5</f>
        <v>0.02</v>
      </c>
    </row>
    <row r="5" spans="1:4">
      <c r="A5" t="s">
        <v>7</v>
      </c>
      <c r="C5" s="36">
        <f>[1]Inputs!C6</f>
        <v>7.0000000000000007E-2</v>
      </c>
    </row>
    <row r="6" spans="1:4">
      <c r="A6" t="s">
        <v>8</v>
      </c>
      <c r="C6">
        <f>[1]Inputs!C7</f>
        <v>0.9</v>
      </c>
    </row>
    <row r="7" spans="1:4">
      <c r="A7" s="2" t="s">
        <v>9</v>
      </c>
      <c r="B7" s="3"/>
      <c r="C7" s="3"/>
      <c r="D7" s="3"/>
    </row>
    <row r="8" spans="1:4">
      <c r="A8" s="6" t="s">
        <v>10</v>
      </c>
      <c r="B8">
        <v>2024</v>
      </c>
      <c r="C8" s="5">
        <f>[1]Inputs!C9</f>
        <v>64</v>
      </c>
      <c r="D8" t="s">
        <v>11</v>
      </c>
    </row>
    <row r="9" spans="1:4">
      <c r="A9" s="6" t="s">
        <v>10</v>
      </c>
      <c r="B9">
        <v>2050</v>
      </c>
      <c r="C9" s="5">
        <f>[1]Inputs!C10</f>
        <v>11</v>
      </c>
      <c r="D9" t="s">
        <v>11</v>
      </c>
    </row>
    <row r="10" spans="1:4">
      <c r="A10" s="2" t="s">
        <v>12</v>
      </c>
      <c r="B10" s="3"/>
      <c r="C10" s="3"/>
      <c r="D10" s="3"/>
    </row>
    <row r="11" spans="1:4">
      <c r="A11" t="s">
        <v>13</v>
      </c>
      <c r="B11">
        <v>2024</v>
      </c>
      <c r="C11" s="5">
        <f>[1]Inputs!C12</f>
        <v>88.7</v>
      </c>
      <c r="D11" t="s">
        <v>14</v>
      </c>
    </row>
    <row r="12" spans="1:4">
      <c r="A12" t="s">
        <v>13</v>
      </c>
      <c r="B12">
        <v>2050</v>
      </c>
      <c r="C12" s="5">
        <f>[1]Inputs!C13</f>
        <v>88.7</v>
      </c>
      <c r="D12" t="s">
        <v>14</v>
      </c>
    </row>
    <row r="13" spans="1:4">
      <c r="A13" t="s">
        <v>15</v>
      </c>
      <c r="C13" s="5">
        <f>[1]Inputs!C14</f>
        <v>43.2</v>
      </c>
      <c r="D13" t="s">
        <v>16</v>
      </c>
    </row>
    <row r="14" spans="1:4">
      <c r="A14" t="s">
        <v>15</v>
      </c>
      <c r="C14" s="5">
        <f>[1]Inputs!C15</f>
        <v>34.689600000000006</v>
      </c>
      <c r="D14" t="s">
        <v>17</v>
      </c>
    </row>
    <row r="15" spans="1:4">
      <c r="A15" t="s">
        <v>18</v>
      </c>
      <c r="C15" s="5">
        <f>[1]Inputs!C16</f>
        <v>0.80300000000000005</v>
      </c>
      <c r="D15" t="s">
        <v>19</v>
      </c>
    </row>
    <row r="16" spans="1:4">
      <c r="A16" t="s">
        <v>20</v>
      </c>
      <c r="B16">
        <v>2024</v>
      </c>
      <c r="C16" s="5">
        <f>[1]Inputs!C17</f>
        <v>0.8</v>
      </c>
      <c r="D16" t="s">
        <v>21</v>
      </c>
    </row>
    <row r="17" spans="1:4">
      <c r="A17" s="2" t="s">
        <v>22</v>
      </c>
      <c r="B17" s="3"/>
      <c r="C17" s="3"/>
      <c r="D17" s="3"/>
    </row>
    <row r="18" spans="1:4">
      <c r="A18" s="6" t="s">
        <v>20</v>
      </c>
      <c r="B18">
        <v>2050</v>
      </c>
      <c r="C18" s="5">
        <f>[1]Inputs!C19</f>
        <v>1.7</v>
      </c>
      <c r="D18" t="s">
        <v>21</v>
      </c>
    </row>
    <row r="19" spans="1:4">
      <c r="A19" s="7" t="s">
        <v>23</v>
      </c>
      <c r="B19" s="8"/>
      <c r="C19" s="8"/>
      <c r="D19" s="8"/>
    </row>
    <row r="20" spans="1:4">
      <c r="A20" t="s">
        <v>20</v>
      </c>
      <c r="B20">
        <v>2024</v>
      </c>
      <c r="C20" s="5">
        <f>[1]Inputs!C21</f>
        <v>0.32246153846153797</v>
      </c>
      <c r="D20" t="s">
        <v>21</v>
      </c>
    </row>
    <row r="21" spans="1:4">
      <c r="A21" t="s">
        <v>20</v>
      </c>
      <c r="B21">
        <v>2050</v>
      </c>
      <c r="C21" s="5">
        <f>[1]Inputs!C22</f>
        <v>0.20923076923076925</v>
      </c>
      <c r="D21" t="s">
        <v>21</v>
      </c>
    </row>
    <row r="22" spans="1:4">
      <c r="A22" s="7" t="s">
        <v>24</v>
      </c>
      <c r="B22" s="8"/>
      <c r="C22" s="8"/>
      <c r="D22" s="8"/>
    </row>
    <row r="23" spans="1:4">
      <c r="A23" t="s">
        <v>20</v>
      </c>
      <c r="B23">
        <v>2024</v>
      </c>
      <c r="C23" s="5">
        <f>[1]Inputs!C24</f>
        <v>1.0209014091790563</v>
      </c>
      <c r="D23" t="s">
        <v>21</v>
      </c>
    </row>
    <row r="24" spans="1:4">
      <c r="A24" t="s">
        <v>20</v>
      </c>
      <c r="B24">
        <v>2050</v>
      </c>
      <c r="C24" s="5">
        <f>[1]Inputs!C25</f>
        <v>2.0095593639301876</v>
      </c>
      <c r="D24" t="s">
        <v>21</v>
      </c>
    </row>
    <row r="25" spans="1:4">
      <c r="A25" s="7" t="s">
        <v>25</v>
      </c>
      <c r="B25" s="8"/>
      <c r="C25" s="8"/>
      <c r="D25" s="8"/>
    </row>
    <row r="26" spans="1:4">
      <c r="A26" t="s">
        <v>20</v>
      </c>
      <c r="B26">
        <v>2024</v>
      </c>
      <c r="C26" s="5">
        <f>[1]Inputs!C27</f>
        <v>0.4828683335488041</v>
      </c>
      <c r="D26" t="s">
        <v>21</v>
      </c>
    </row>
    <row r="27" spans="1:4">
      <c r="A27" t="s">
        <v>20</v>
      </c>
      <c r="B27">
        <v>2050</v>
      </c>
      <c r="C27" s="5">
        <f>[1]Inputs!C28</f>
        <v>0.89646574789915967</v>
      </c>
      <c r="D27" t="s">
        <v>21</v>
      </c>
    </row>
    <row r="28" spans="1:4">
      <c r="A28" s="7" t="s">
        <v>26</v>
      </c>
      <c r="B28" s="8"/>
      <c r="C28" s="8"/>
      <c r="D28" s="8"/>
    </row>
    <row r="29" spans="1:4">
      <c r="A29" t="s">
        <v>20</v>
      </c>
      <c r="B29">
        <v>2024</v>
      </c>
      <c r="C29" s="5">
        <f>[1]Inputs!C30</f>
        <v>1.8838712863606983</v>
      </c>
      <c r="D29" t="s">
        <v>21</v>
      </c>
    </row>
    <row r="30" spans="1:4">
      <c r="A30" t="s">
        <v>20</v>
      </c>
      <c r="B30">
        <v>2050</v>
      </c>
      <c r="C30" s="5">
        <f>[1]Inputs!C31</f>
        <v>3.7893730833872015</v>
      </c>
      <c r="D30" t="s">
        <v>21</v>
      </c>
    </row>
    <row r="31" spans="1:4">
      <c r="A31" s="2" t="s">
        <v>27</v>
      </c>
      <c r="B31" s="3"/>
      <c r="C31" s="3"/>
      <c r="D31" s="3"/>
    </row>
    <row r="32" spans="1:4">
      <c r="A32" t="s">
        <v>28</v>
      </c>
      <c r="B32">
        <v>2024</v>
      </c>
      <c r="C32" s="5">
        <f>[1]Inputs!C33</f>
        <v>1371</v>
      </c>
      <c r="D32" t="s">
        <v>29</v>
      </c>
    </row>
    <row r="33" spans="1:4">
      <c r="A33" t="s">
        <v>28</v>
      </c>
      <c r="B33">
        <v>2050</v>
      </c>
      <c r="C33" s="9">
        <f>[1]Inputs!$C$34</f>
        <v>497</v>
      </c>
      <c r="D33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37"/>
  <sheetViews>
    <sheetView topLeftCell="A19" workbookViewId="0">
      <selection activeCell="C15" sqref="C15"/>
    </sheetView>
  </sheetViews>
  <sheetFormatPr defaultColWidth="11" defaultRowHeight="15.6"/>
  <cols>
    <col min="1" max="1" width="38.3984375" bestFit="1" customWidth="1"/>
    <col min="2" max="2" width="5.59765625" bestFit="1" customWidth="1"/>
    <col min="3" max="3" width="14.59765625" bestFit="1" customWidth="1"/>
    <col min="5" max="5" width="30.5" customWidth="1"/>
    <col min="6" max="6" width="27.09765625" bestFit="1" customWidth="1"/>
  </cols>
  <sheetData>
    <row r="1" spans="1:6" s="2" customFormat="1">
      <c r="A1" s="2" t="s">
        <v>30</v>
      </c>
    </row>
    <row r="2" spans="1:6">
      <c r="A2" t="s">
        <v>0</v>
      </c>
      <c r="B2" t="s">
        <v>1</v>
      </c>
      <c r="C2" t="s">
        <v>2</v>
      </c>
      <c r="D2" t="s">
        <v>3</v>
      </c>
      <c r="E2" t="s">
        <v>31</v>
      </c>
      <c r="F2" t="s">
        <v>32</v>
      </c>
    </row>
    <row r="3" spans="1:6">
      <c r="A3" t="s">
        <v>33</v>
      </c>
      <c r="B3" t="s">
        <v>34</v>
      </c>
      <c r="C3">
        <v>30</v>
      </c>
      <c r="D3" t="s">
        <v>35</v>
      </c>
      <c r="E3" t="s">
        <v>36</v>
      </c>
    </row>
    <row r="4" spans="1:6">
      <c r="A4" t="s">
        <v>37</v>
      </c>
      <c r="B4" t="s">
        <v>34</v>
      </c>
      <c r="C4" s="10">
        <v>0.08</v>
      </c>
      <c r="E4" t="s">
        <v>38</v>
      </c>
    </row>
    <row r="5" spans="1:6">
      <c r="C5" s="10"/>
    </row>
    <row r="6" spans="1:6" s="2" customFormat="1">
      <c r="A6" s="2" t="s">
        <v>39</v>
      </c>
      <c r="C6" s="11"/>
    </row>
    <row r="7" spans="1:6">
      <c r="A7" t="s">
        <v>0</v>
      </c>
      <c r="B7" t="s">
        <v>1</v>
      </c>
      <c r="C7" t="s">
        <v>2</v>
      </c>
      <c r="D7" t="s">
        <v>3</v>
      </c>
      <c r="E7" t="s">
        <v>31</v>
      </c>
      <c r="F7" t="s">
        <v>32</v>
      </c>
    </row>
    <row r="8" spans="1:6">
      <c r="A8" t="s">
        <v>40</v>
      </c>
      <c r="B8">
        <v>2020</v>
      </c>
      <c r="C8">
        <v>1026333</v>
      </c>
      <c r="D8" t="s">
        <v>41</v>
      </c>
      <c r="E8" t="s">
        <v>42</v>
      </c>
    </row>
    <row r="9" spans="1:6">
      <c r="A9" t="s">
        <v>40</v>
      </c>
      <c r="B9">
        <v>2050</v>
      </c>
      <c r="C9">
        <v>1065000</v>
      </c>
      <c r="D9" t="s">
        <v>41</v>
      </c>
      <c r="E9" t="s">
        <v>43</v>
      </c>
    </row>
    <row r="10" spans="1:6">
      <c r="A10" t="s">
        <v>44</v>
      </c>
      <c r="B10">
        <v>2020</v>
      </c>
      <c r="C10">
        <v>150.19999999999999</v>
      </c>
      <c r="D10" t="s">
        <v>45</v>
      </c>
      <c r="E10" t="s">
        <v>42</v>
      </c>
    </row>
    <row r="11" spans="1:6">
      <c r="A11" t="s">
        <v>44</v>
      </c>
      <c r="B11">
        <v>2050</v>
      </c>
      <c r="C11">
        <v>56.97</v>
      </c>
      <c r="D11" t="s">
        <v>45</v>
      </c>
      <c r="E11" t="s">
        <v>43</v>
      </c>
    </row>
    <row r="12" spans="1:6" s="2" customFormat="1" ht="15" customHeight="1">
      <c r="A12" s="2" t="s">
        <v>46</v>
      </c>
    </row>
    <row r="13" spans="1:6">
      <c r="A13" t="s">
        <v>0</v>
      </c>
      <c r="B13" t="s">
        <v>1</v>
      </c>
      <c r="C13" t="s">
        <v>2</v>
      </c>
      <c r="D13" t="s">
        <v>3</v>
      </c>
      <c r="E13" t="s">
        <v>31</v>
      </c>
      <c r="F13" t="s">
        <v>32</v>
      </c>
    </row>
    <row r="14" spans="1:6">
      <c r="A14" t="s">
        <v>47</v>
      </c>
      <c r="B14" t="s">
        <v>34</v>
      </c>
      <c r="C14">
        <v>3.7149999999999999</v>
      </c>
      <c r="D14" t="s">
        <v>48</v>
      </c>
    </row>
    <row r="15" spans="1:6">
      <c r="A15" t="s">
        <v>49</v>
      </c>
      <c r="B15" t="s">
        <v>34</v>
      </c>
      <c r="C15">
        <f>(C14*C18*10^9) / 10^6</f>
        <v>2228.9999999999995</v>
      </c>
      <c r="D15" t="s">
        <v>50</v>
      </c>
      <c r="F15" t="s">
        <v>51</v>
      </c>
    </row>
    <row r="16" spans="1:6">
      <c r="A16" t="s">
        <v>52</v>
      </c>
      <c r="B16" t="s">
        <v>34</v>
      </c>
      <c r="C16">
        <v>6.4899999999999999E-2</v>
      </c>
      <c r="D16" t="s">
        <v>53</v>
      </c>
      <c r="E16" t="s">
        <v>42</v>
      </c>
    </row>
    <row r="17" spans="1:6">
      <c r="A17" t="s">
        <v>54</v>
      </c>
      <c r="B17" t="s">
        <v>34</v>
      </c>
      <c r="C17">
        <f>(C26*C16) / 10^6</f>
        <v>213.30466666666669</v>
      </c>
      <c r="D17" t="s">
        <v>55</v>
      </c>
    </row>
    <row r="18" spans="1:6">
      <c r="A18" t="s">
        <v>56</v>
      </c>
      <c r="B18" t="s">
        <v>34</v>
      </c>
      <c r="C18">
        <v>0.6</v>
      </c>
      <c r="D18" t="s">
        <v>57</v>
      </c>
      <c r="E18" t="s">
        <v>42</v>
      </c>
    </row>
    <row r="19" spans="1:6">
      <c r="A19" t="s">
        <v>56</v>
      </c>
      <c r="B19" t="s">
        <v>34</v>
      </c>
      <c r="C19">
        <f>C18 * 10^9 * 10^3 / C36</f>
        <v>800000000</v>
      </c>
      <c r="D19" t="s">
        <v>58</v>
      </c>
      <c r="F19" t="s">
        <v>59</v>
      </c>
    </row>
    <row r="20" spans="1:6">
      <c r="A20" t="s">
        <v>60</v>
      </c>
      <c r="B20" t="s">
        <v>34</v>
      </c>
      <c r="C20">
        <v>2.6293000000000002</v>
      </c>
      <c r="D20" t="s">
        <v>61</v>
      </c>
      <c r="E20" t="s">
        <v>62</v>
      </c>
    </row>
    <row r="21" spans="1:6">
      <c r="A21" t="s">
        <v>63</v>
      </c>
      <c r="B21" t="s">
        <v>34</v>
      </c>
      <c r="C21" s="5">
        <f>(C20* Inputs!$C$13*C18*10^9 / 3600) / 10^3 +C17</f>
        <v>19144.26466666667</v>
      </c>
      <c r="D21" t="s">
        <v>55</v>
      </c>
    </row>
    <row r="22" spans="1:6">
      <c r="A22" t="s">
        <v>64</v>
      </c>
      <c r="B22" t="s">
        <v>34</v>
      </c>
      <c r="C22" s="5">
        <v>1.82</v>
      </c>
      <c r="D22" t="s">
        <v>65</v>
      </c>
    </row>
    <row r="23" spans="1:6">
      <c r="A23" t="s">
        <v>66</v>
      </c>
      <c r="B23" t="s">
        <v>34</v>
      </c>
      <c r="C23" s="5">
        <f>(C22*C15 * 10^6) / 3600 / 10^3</f>
        <v>1126.8833333333332</v>
      </c>
      <c r="D23" t="s">
        <v>55</v>
      </c>
    </row>
    <row r="24" spans="1:6">
      <c r="A24" t="s">
        <v>67</v>
      </c>
      <c r="B24" t="s">
        <v>34</v>
      </c>
      <c r="C24" s="17">
        <v>0.49299999999999999</v>
      </c>
      <c r="D24" t="s">
        <v>48</v>
      </c>
    </row>
    <row r="25" spans="1:6">
      <c r="A25" t="s">
        <v>68</v>
      </c>
      <c r="B25" t="s">
        <v>34</v>
      </c>
      <c r="C25" s="17">
        <f>C24*C18</f>
        <v>0.29580000000000001</v>
      </c>
      <c r="D25" t="s">
        <v>57</v>
      </c>
    </row>
    <row r="26" spans="1:6">
      <c r="A26" t="s">
        <v>68</v>
      </c>
      <c r="B26" t="s">
        <v>34</v>
      </c>
      <c r="C26" s="19">
        <f>(C25 * 10^9) / 0.09</f>
        <v>3286666666.666667</v>
      </c>
      <c r="D26" t="s">
        <v>69</v>
      </c>
    </row>
    <row r="27" spans="1:6" s="2" customFormat="1">
      <c r="A27" s="2" t="s">
        <v>70</v>
      </c>
    </row>
    <row r="28" spans="1:6">
      <c r="A28" t="s">
        <v>0</v>
      </c>
      <c r="B28" t="s">
        <v>1</v>
      </c>
      <c r="C28" t="s">
        <v>2</v>
      </c>
      <c r="D28" t="s">
        <v>3</v>
      </c>
      <c r="E28" t="s">
        <v>31</v>
      </c>
      <c r="F28" t="s">
        <v>32</v>
      </c>
    </row>
    <row r="29" spans="1:6">
      <c r="A29" t="s">
        <v>71</v>
      </c>
      <c r="B29">
        <v>2020</v>
      </c>
      <c r="C29" s="5">
        <v>177</v>
      </c>
      <c r="D29" t="s">
        <v>72</v>
      </c>
    </row>
    <row r="30" spans="1:6">
      <c r="A30" t="s">
        <v>71</v>
      </c>
      <c r="B30">
        <v>2050</v>
      </c>
      <c r="C30" s="5">
        <v>158</v>
      </c>
      <c r="D30" t="s">
        <v>72</v>
      </c>
    </row>
    <row r="31" spans="1:6">
      <c r="A31" s="12" t="s">
        <v>73</v>
      </c>
      <c r="B31">
        <v>2020</v>
      </c>
      <c r="C31" s="18">
        <v>65</v>
      </c>
      <c r="D31" s="12" t="s">
        <v>74</v>
      </c>
      <c r="E31" s="12" t="s">
        <v>75</v>
      </c>
      <c r="F31" s="12" t="s">
        <v>76</v>
      </c>
    </row>
    <row r="32" spans="1:6" s="1" customFormat="1">
      <c r="A32" s="12" t="s">
        <v>77</v>
      </c>
      <c r="B32" s="6">
        <v>2050</v>
      </c>
      <c r="C32" s="18">
        <v>52</v>
      </c>
      <c r="D32" s="12" t="s">
        <v>74</v>
      </c>
      <c r="E32" s="12" t="s">
        <v>75</v>
      </c>
      <c r="F32" s="12" t="s">
        <v>76</v>
      </c>
    </row>
    <row r="33" spans="1:5" s="3" customFormat="1">
      <c r="A33" s="2" t="s">
        <v>78</v>
      </c>
      <c r="B33" s="2"/>
      <c r="C33" s="2"/>
      <c r="D33" s="2"/>
      <c r="E33" s="2"/>
    </row>
    <row r="34" spans="1:5">
      <c r="A34" t="s">
        <v>0</v>
      </c>
      <c r="B34" t="s">
        <v>1</v>
      </c>
      <c r="C34" t="s">
        <v>2</v>
      </c>
      <c r="D34" t="s">
        <v>3</v>
      </c>
      <c r="E34" t="s">
        <v>31</v>
      </c>
    </row>
    <row r="35" spans="1:5">
      <c r="A35" t="s">
        <v>79</v>
      </c>
      <c r="B35" t="s">
        <v>34</v>
      </c>
      <c r="C35">
        <v>5.9</v>
      </c>
      <c r="D35" t="s">
        <v>14</v>
      </c>
      <c r="E35" t="s">
        <v>80</v>
      </c>
    </row>
    <row r="36" spans="1:5">
      <c r="A36" t="s">
        <v>18</v>
      </c>
      <c r="B36" t="s">
        <v>34</v>
      </c>
      <c r="C36">
        <v>750</v>
      </c>
      <c r="D36" t="s">
        <v>81</v>
      </c>
      <c r="E36" t="s">
        <v>82</v>
      </c>
    </row>
    <row r="37" spans="1:5">
      <c r="A37" t="s">
        <v>83</v>
      </c>
      <c r="B37" t="s">
        <v>34</v>
      </c>
      <c r="C37">
        <v>43.1</v>
      </c>
      <c r="D37" t="s">
        <v>16</v>
      </c>
      <c r="E37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44"/>
  <sheetViews>
    <sheetView workbookViewId="0">
      <selection activeCell="H14" sqref="H14"/>
    </sheetView>
  </sheetViews>
  <sheetFormatPr defaultColWidth="10.8984375" defaultRowHeight="15.6"/>
  <cols>
    <col min="1" max="1" width="21" style="12" bestFit="1" customWidth="1"/>
    <col min="2" max="2" width="18.59765625" style="12" bestFit="1" customWidth="1"/>
    <col min="3" max="3" width="10.8984375" style="12" customWidth="1"/>
    <col min="4" max="16384" width="10.8984375" style="12"/>
  </cols>
  <sheetData>
    <row r="1" spans="1:11">
      <c r="A1" s="43" t="s">
        <v>85</v>
      </c>
      <c r="B1" s="39"/>
      <c r="C1" s="39"/>
      <c r="D1" s="39"/>
      <c r="E1" s="40"/>
      <c r="G1" s="43" t="s">
        <v>86</v>
      </c>
      <c r="H1" s="39"/>
      <c r="I1" s="39"/>
      <c r="J1" s="39"/>
      <c r="K1" s="40"/>
    </row>
    <row r="2" spans="1:11">
      <c r="A2" s="38" t="s">
        <v>87</v>
      </c>
      <c r="B2" s="39"/>
      <c r="C2" s="39"/>
      <c r="D2" s="39"/>
      <c r="E2" s="40"/>
      <c r="G2" s="38" t="s">
        <v>87</v>
      </c>
      <c r="H2" s="39"/>
      <c r="I2" s="39"/>
      <c r="J2" s="39"/>
      <c r="K2" s="40"/>
    </row>
    <row r="3" spans="1:11">
      <c r="A3" s="13" t="s">
        <v>88</v>
      </c>
      <c r="B3" s="13" t="s">
        <v>2</v>
      </c>
      <c r="C3" s="13" t="s">
        <v>3</v>
      </c>
      <c r="D3" s="13" t="s">
        <v>31</v>
      </c>
      <c r="E3" s="13" t="s">
        <v>32</v>
      </c>
      <c r="G3" s="13" t="s">
        <v>88</v>
      </c>
      <c r="H3" s="13" t="s">
        <v>2</v>
      </c>
      <c r="I3" s="13" t="s">
        <v>3</v>
      </c>
      <c r="J3" s="13" t="s">
        <v>31</v>
      </c>
      <c r="K3" s="13" t="s">
        <v>32</v>
      </c>
    </row>
    <row r="4" spans="1:11">
      <c r="A4" s="13" t="s">
        <v>89</v>
      </c>
      <c r="B4" s="13">
        <v>1345</v>
      </c>
      <c r="C4" s="13" t="s">
        <v>90</v>
      </c>
      <c r="D4" s="13" t="s">
        <v>91</v>
      </c>
      <c r="E4" s="13"/>
      <c r="G4" s="13" t="s">
        <v>89</v>
      </c>
      <c r="H4" s="13">
        <v>1294</v>
      </c>
      <c r="I4" s="13" t="s">
        <v>90</v>
      </c>
      <c r="J4" s="13" t="s">
        <v>91</v>
      </c>
      <c r="K4" s="13"/>
    </row>
    <row r="5" spans="1:11">
      <c r="A5" s="13" t="s">
        <v>92</v>
      </c>
      <c r="B5" s="13">
        <v>79</v>
      </c>
      <c r="C5" s="13" t="s">
        <v>90</v>
      </c>
      <c r="D5" s="13" t="s">
        <v>91</v>
      </c>
      <c r="E5" s="13"/>
      <c r="G5" s="13" t="s">
        <v>92</v>
      </c>
      <c r="H5" s="13">
        <v>80.67</v>
      </c>
      <c r="I5" s="13" t="s">
        <v>90</v>
      </c>
      <c r="J5" s="13" t="s">
        <v>91</v>
      </c>
      <c r="K5" s="13"/>
    </row>
    <row r="6" spans="1:11">
      <c r="A6" s="13" t="s">
        <v>93</v>
      </c>
      <c r="B6" s="13">
        <v>166</v>
      </c>
      <c r="C6" s="13" t="s">
        <v>90</v>
      </c>
      <c r="D6" s="13" t="s">
        <v>91</v>
      </c>
      <c r="E6" s="13"/>
      <c r="G6" s="13" t="s">
        <v>93</v>
      </c>
      <c r="H6" s="13">
        <v>37</v>
      </c>
      <c r="I6" s="13" t="s">
        <v>90</v>
      </c>
      <c r="J6" s="13" t="s">
        <v>91</v>
      </c>
      <c r="K6" s="13"/>
    </row>
    <row r="7" spans="1:11" s="14" customFormat="1">
      <c r="A7" s="15" t="s">
        <v>94</v>
      </c>
      <c r="B7" s="15">
        <f>SUM(B4:B6)</f>
        <v>1590</v>
      </c>
      <c r="C7" s="15" t="s">
        <v>90</v>
      </c>
      <c r="D7" s="15"/>
      <c r="E7" s="15"/>
      <c r="G7" s="15" t="s">
        <v>94</v>
      </c>
      <c r="H7" s="15">
        <f>SUM(H4:H6)</f>
        <v>1411.67</v>
      </c>
      <c r="I7" s="15" t="s">
        <v>90</v>
      </c>
      <c r="J7" s="15"/>
      <c r="K7" s="15"/>
    </row>
    <row r="8" spans="1:11">
      <c r="A8" s="38" t="s">
        <v>95</v>
      </c>
      <c r="B8" s="39"/>
      <c r="C8" s="39"/>
      <c r="D8" s="39"/>
      <c r="E8" s="40"/>
      <c r="G8" s="38" t="s">
        <v>95</v>
      </c>
      <c r="H8" s="39"/>
      <c r="I8" s="39"/>
      <c r="J8" s="39"/>
      <c r="K8" s="40"/>
    </row>
    <row r="9" spans="1:11">
      <c r="A9" s="13" t="s">
        <v>88</v>
      </c>
      <c r="B9" s="13" t="s">
        <v>2</v>
      </c>
      <c r="C9" s="13" t="s">
        <v>3</v>
      </c>
      <c r="D9" s="13" t="s">
        <v>31</v>
      </c>
      <c r="E9" s="13" t="s">
        <v>32</v>
      </c>
      <c r="G9" s="13" t="s">
        <v>88</v>
      </c>
      <c r="H9" s="13" t="s">
        <v>2</v>
      </c>
      <c r="I9" s="13" t="s">
        <v>3</v>
      </c>
      <c r="J9" s="13" t="s">
        <v>31</v>
      </c>
      <c r="K9" s="13" t="s">
        <v>32</v>
      </c>
    </row>
    <row r="10" spans="1:11">
      <c r="A10" s="13" t="s">
        <v>96</v>
      </c>
      <c r="B10" s="13">
        <f>0.025*B4</f>
        <v>33.625</v>
      </c>
      <c r="C10" s="13" t="s">
        <v>97</v>
      </c>
      <c r="D10" s="13" t="s">
        <v>91</v>
      </c>
      <c r="E10" s="13"/>
      <c r="G10" s="13" t="s">
        <v>96</v>
      </c>
      <c r="H10" s="13">
        <f>0.025*H4</f>
        <v>32.35</v>
      </c>
      <c r="I10" s="13" t="s">
        <v>97</v>
      </c>
      <c r="J10" s="13" t="s">
        <v>91</v>
      </c>
      <c r="K10" s="13"/>
    </row>
    <row r="11" spans="1:11">
      <c r="A11" s="13" t="s">
        <v>98</v>
      </c>
      <c r="B11" s="13">
        <f>0.02*B4</f>
        <v>26.900000000000002</v>
      </c>
      <c r="C11" s="13" t="s">
        <v>97</v>
      </c>
      <c r="D11" s="13" t="s">
        <v>91</v>
      </c>
      <c r="E11" s="13"/>
      <c r="G11" s="13" t="s">
        <v>98</v>
      </c>
      <c r="H11" s="13">
        <f>0.02*H4</f>
        <v>25.88</v>
      </c>
      <c r="I11" s="13" t="s">
        <v>97</v>
      </c>
      <c r="J11" s="13" t="s">
        <v>91</v>
      </c>
      <c r="K11" s="13"/>
    </row>
    <row r="12" spans="1:11">
      <c r="A12" s="13" t="s">
        <v>99</v>
      </c>
      <c r="B12" s="13">
        <v>2.16</v>
      </c>
      <c r="C12" s="13" t="s">
        <v>97</v>
      </c>
      <c r="D12" s="13" t="s">
        <v>91</v>
      </c>
      <c r="E12" s="13"/>
      <c r="G12" s="13" t="s">
        <v>99</v>
      </c>
      <c r="H12" s="13">
        <v>2.16</v>
      </c>
      <c r="I12" s="13" t="s">
        <v>97</v>
      </c>
      <c r="J12" s="13" t="s">
        <v>91</v>
      </c>
      <c r="K12" s="13"/>
    </row>
    <row r="13" spans="1:11">
      <c r="A13" s="13" t="s">
        <v>100</v>
      </c>
      <c r="B13" s="13">
        <f>0.3 * B10</f>
        <v>10.0875</v>
      </c>
      <c r="C13" s="13" t="s">
        <v>97</v>
      </c>
      <c r="D13" s="13" t="s">
        <v>91</v>
      </c>
      <c r="E13" s="13"/>
      <c r="G13" s="13" t="s">
        <v>100</v>
      </c>
      <c r="H13" s="13">
        <f>0.3 * H10</f>
        <v>9.7050000000000001</v>
      </c>
      <c r="I13" s="13" t="s">
        <v>97</v>
      </c>
      <c r="J13" s="13" t="s">
        <v>91</v>
      </c>
      <c r="K13" s="13"/>
    </row>
    <row r="14" spans="1:11">
      <c r="A14" s="13" t="s">
        <v>101</v>
      </c>
      <c r="B14" s="13">
        <f>(B24*B23) / 10^6</f>
        <v>503.07291666666663</v>
      </c>
      <c r="C14" s="13" t="s">
        <v>97</v>
      </c>
      <c r="D14" s="13"/>
      <c r="E14" s="13" t="s">
        <v>59</v>
      </c>
      <c r="G14" s="13" t="s">
        <v>101</v>
      </c>
      <c r="H14" s="13">
        <f>(B25*B23) / 10^6</f>
        <v>402.45833333333331</v>
      </c>
      <c r="I14" s="13" t="s">
        <v>97</v>
      </c>
      <c r="J14" s="13"/>
      <c r="K14" s="13" t="s">
        <v>59</v>
      </c>
    </row>
    <row r="15" spans="1:11">
      <c r="A15" s="13" t="s">
        <v>102</v>
      </c>
      <c r="B15" s="13">
        <f>0.1*B5</f>
        <v>7.9</v>
      </c>
      <c r="C15" s="13" t="s">
        <v>97</v>
      </c>
      <c r="D15" s="13" t="s">
        <v>91</v>
      </c>
      <c r="E15" s="13"/>
      <c r="G15" s="13" t="s">
        <v>102</v>
      </c>
      <c r="H15" s="13">
        <f>0.1*H5</f>
        <v>8.0670000000000002</v>
      </c>
      <c r="I15" s="13" t="s">
        <v>97</v>
      </c>
      <c r="J15" s="13"/>
      <c r="K15" s="13"/>
    </row>
    <row r="16" spans="1:11">
      <c r="A16" s="13" t="s">
        <v>103</v>
      </c>
      <c r="B16" s="13">
        <f>0.05 *B6</f>
        <v>8.3000000000000007</v>
      </c>
      <c r="C16" s="13" t="s">
        <v>97</v>
      </c>
      <c r="D16" s="13" t="s">
        <v>91</v>
      </c>
      <c r="E16" s="13"/>
      <c r="G16" s="13" t="s">
        <v>103</v>
      </c>
      <c r="H16" s="13">
        <f>0.05 *H6</f>
        <v>1.85</v>
      </c>
      <c r="I16" s="13" t="s">
        <v>97</v>
      </c>
      <c r="J16" s="13"/>
      <c r="K16" s="13"/>
    </row>
    <row r="17" spans="1:27">
      <c r="A17" s="15" t="s">
        <v>104</v>
      </c>
      <c r="B17" s="13">
        <f>SUM(B10:B16)</f>
        <v>592.0454166666666</v>
      </c>
      <c r="C17" s="13" t="s">
        <v>97</v>
      </c>
      <c r="D17" s="13"/>
      <c r="E17" s="13"/>
      <c r="G17" s="15" t="s">
        <v>104</v>
      </c>
      <c r="H17" s="13">
        <f>SUM(H10:H16)</f>
        <v>482.47033333333331</v>
      </c>
      <c r="I17" s="13" t="s">
        <v>97</v>
      </c>
      <c r="J17" s="13"/>
      <c r="K17" s="13"/>
    </row>
    <row r="19" spans="1:27" s="14" customFormat="1">
      <c r="A19" s="41" t="s">
        <v>46</v>
      </c>
      <c r="B19" s="42"/>
      <c r="C19" s="42"/>
      <c r="D19" s="42"/>
      <c r="E19" s="42"/>
      <c r="W19" s="12"/>
      <c r="X19" s="12"/>
      <c r="Y19" s="12"/>
      <c r="Z19" s="12"/>
      <c r="AA19" s="12"/>
    </row>
    <row r="20" spans="1:27">
      <c r="A20" s="13" t="s">
        <v>0</v>
      </c>
      <c r="B20" s="13" t="s">
        <v>2</v>
      </c>
      <c r="C20" s="13" t="s">
        <v>3</v>
      </c>
      <c r="D20" s="13" t="s">
        <v>31</v>
      </c>
      <c r="E20" s="13" t="s">
        <v>32</v>
      </c>
    </row>
    <row r="21" spans="1:27">
      <c r="A21" s="13" t="s">
        <v>105</v>
      </c>
      <c r="B21" s="13">
        <v>3715</v>
      </c>
      <c r="C21" s="13" t="s">
        <v>106</v>
      </c>
      <c r="D21" s="13" t="s">
        <v>91</v>
      </c>
      <c r="E21" s="13"/>
    </row>
    <row r="22" spans="1:27">
      <c r="A22" s="13" t="s">
        <v>60</v>
      </c>
      <c r="B22" s="13">
        <v>7.5</v>
      </c>
      <c r="C22" s="13" t="s">
        <v>107</v>
      </c>
      <c r="D22" s="13" t="s">
        <v>91</v>
      </c>
      <c r="E22" s="13"/>
    </row>
    <row r="23" spans="1:27">
      <c r="A23" s="13" t="s">
        <v>60</v>
      </c>
      <c r="B23" s="13">
        <f>(B22 / 3600 * B21 * 10^6)</f>
        <v>7739583.333333333</v>
      </c>
      <c r="C23" s="13" t="s">
        <v>108</v>
      </c>
      <c r="D23" s="13" t="s">
        <v>91</v>
      </c>
      <c r="E23" s="13"/>
    </row>
    <row r="24" spans="1:27">
      <c r="A24" s="13" t="s">
        <v>73</v>
      </c>
      <c r="B24" s="20">
        <f>'Study Parameters'!C31</f>
        <v>65</v>
      </c>
      <c r="C24" s="13" t="s">
        <v>74</v>
      </c>
      <c r="D24" s="13" t="s">
        <v>75</v>
      </c>
      <c r="E24" s="13" t="s">
        <v>76</v>
      </c>
    </row>
    <row r="25" spans="1:27">
      <c r="A25" s="13" t="s">
        <v>77</v>
      </c>
      <c r="B25" s="20">
        <f>'Study Parameters'!C32</f>
        <v>52</v>
      </c>
      <c r="C25" s="13" t="s">
        <v>74</v>
      </c>
      <c r="D25" s="13" t="s">
        <v>75</v>
      </c>
      <c r="E25" s="13" t="s">
        <v>76</v>
      </c>
    </row>
    <row r="26" spans="1:27">
      <c r="A26" s="13" t="s">
        <v>109</v>
      </c>
      <c r="B26" s="13">
        <v>25</v>
      </c>
      <c r="C26" s="13" t="s">
        <v>35</v>
      </c>
      <c r="D26" s="13"/>
      <c r="E26" s="13"/>
    </row>
    <row r="28" spans="1:27">
      <c r="A28" s="12" t="s">
        <v>110</v>
      </c>
    </row>
    <row r="29" spans="1:27">
      <c r="A29" s="12" t="s">
        <v>1</v>
      </c>
      <c r="B29" s="12">
        <v>0</v>
      </c>
      <c r="C29" s="12">
        <v>1</v>
      </c>
      <c r="D29" s="12">
        <v>2</v>
      </c>
      <c r="E29" s="12">
        <v>3</v>
      </c>
      <c r="F29" s="12">
        <v>4</v>
      </c>
      <c r="G29" s="12">
        <v>5</v>
      </c>
      <c r="H29" s="12">
        <v>6</v>
      </c>
      <c r="I29" s="12">
        <v>7</v>
      </c>
      <c r="J29" s="12">
        <v>8</v>
      </c>
      <c r="K29" s="12">
        <v>9</v>
      </c>
      <c r="L29" s="12">
        <v>10</v>
      </c>
      <c r="M29" s="12">
        <v>11</v>
      </c>
      <c r="N29" s="12">
        <v>12</v>
      </c>
      <c r="O29" s="12">
        <v>13</v>
      </c>
      <c r="P29" s="12">
        <v>14</v>
      </c>
      <c r="Q29" s="12">
        <v>15</v>
      </c>
      <c r="R29" s="12">
        <v>16</v>
      </c>
      <c r="S29" s="12">
        <v>17</v>
      </c>
      <c r="T29" s="12">
        <v>18</v>
      </c>
      <c r="U29" s="12">
        <v>19</v>
      </c>
      <c r="V29" s="12">
        <v>20</v>
      </c>
      <c r="W29" s="12">
        <v>21</v>
      </c>
      <c r="X29" s="12">
        <v>22</v>
      </c>
      <c r="Y29" s="12">
        <v>23</v>
      </c>
      <c r="Z29" s="12">
        <v>24</v>
      </c>
      <c r="AA29" s="12">
        <v>25</v>
      </c>
    </row>
    <row r="30" spans="1:27">
      <c r="A30" s="12" t="s">
        <v>111</v>
      </c>
      <c r="B30" s="12">
        <f>B7 * 10^6</f>
        <v>1590000000</v>
      </c>
      <c r="C30" s="12">
        <f t="shared" ref="C30:AA30" si="0">$B$17 * 10^6</f>
        <v>592045416.66666663</v>
      </c>
      <c r="D30" s="12">
        <f t="shared" si="0"/>
        <v>592045416.66666663</v>
      </c>
      <c r="E30" s="12">
        <f t="shared" si="0"/>
        <v>592045416.66666663</v>
      </c>
      <c r="F30" s="12">
        <f t="shared" si="0"/>
        <v>592045416.66666663</v>
      </c>
      <c r="G30" s="12">
        <f t="shared" si="0"/>
        <v>592045416.66666663</v>
      </c>
      <c r="H30" s="12">
        <f t="shared" si="0"/>
        <v>592045416.66666663</v>
      </c>
      <c r="I30" s="12">
        <f t="shared" si="0"/>
        <v>592045416.66666663</v>
      </c>
      <c r="J30" s="12">
        <f t="shared" si="0"/>
        <v>592045416.66666663</v>
      </c>
      <c r="K30" s="12">
        <f t="shared" si="0"/>
        <v>592045416.66666663</v>
      </c>
      <c r="L30" s="12">
        <f t="shared" si="0"/>
        <v>592045416.66666663</v>
      </c>
      <c r="M30" s="12">
        <f t="shared" si="0"/>
        <v>592045416.66666663</v>
      </c>
      <c r="N30" s="12">
        <f t="shared" si="0"/>
        <v>592045416.66666663</v>
      </c>
      <c r="O30" s="12">
        <f t="shared" si="0"/>
        <v>592045416.66666663</v>
      </c>
      <c r="P30" s="12">
        <f t="shared" si="0"/>
        <v>592045416.66666663</v>
      </c>
      <c r="Q30" s="12">
        <f t="shared" si="0"/>
        <v>592045416.66666663</v>
      </c>
      <c r="R30" s="12">
        <f t="shared" si="0"/>
        <v>592045416.66666663</v>
      </c>
      <c r="S30" s="12">
        <f t="shared" si="0"/>
        <v>592045416.66666663</v>
      </c>
      <c r="T30" s="12">
        <f t="shared" si="0"/>
        <v>592045416.66666663</v>
      </c>
      <c r="U30" s="12">
        <f t="shared" si="0"/>
        <v>592045416.66666663</v>
      </c>
      <c r="V30" s="12">
        <f t="shared" si="0"/>
        <v>592045416.66666663</v>
      </c>
      <c r="W30" s="12">
        <f t="shared" si="0"/>
        <v>592045416.66666663</v>
      </c>
      <c r="X30" s="12">
        <f t="shared" si="0"/>
        <v>592045416.66666663</v>
      </c>
      <c r="Y30" s="12">
        <f t="shared" si="0"/>
        <v>592045416.66666663</v>
      </c>
      <c r="Z30" s="12">
        <f t="shared" si="0"/>
        <v>592045416.66666663</v>
      </c>
      <c r="AA30" s="12">
        <f t="shared" si="0"/>
        <v>592045416.66666663</v>
      </c>
    </row>
    <row r="31" spans="1:27">
      <c r="A31" s="12" t="s">
        <v>112</v>
      </c>
      <c r="B31" s="12">
        <f>B30/(1+'Study Parameters'!$C$4)^'Levelised Cost of Removal'!B29</f>
        <v>1590000000</v>
      </c>
      <c r="C31" s="12">
        <f>C30/(1+'Study Parameters'!$C$4)^'Levelised Cost of Removal'!C29</f>
        <v>548190200.61728382</v>
      </c>
      <c r="D31" s="12">
        <f>D30/(1+'Study Parameters'!$C$4)^'Levelised Cost of Removal'!D29</f>
        <v>507583519.09007764</v>
      </c>
      <c r="E31" s="12">
        <f>E30/(1+'Study Parameters'!$C$4)^'Levelised Cost of Removal'!E29</f>
        <v>469984739.89822</v>
      </c>
      <c r="F31" s="12">
        <f>F30/(1+'Study Parameters'!$C$4)^'Levelised Cost of Removal'!F29</f>
        <v>435171055.4613148</v>
      </c>
      <c r="G31" s="12">
        <f>G30/(1+'Study Parameters'!$C$4)^'Levelised Cost of Removal'!G29</f>
        <v>402936162.46418035</v>
      </c>
      <c r="H31" s="12">
        <f>H30/(1+'Study Parameters'!$C$4)^'Levelised Cost of Removal'!H29</f>
        <v>373089039.31868547</v>
      </c>
      <c r="I31" s="12">
        <f>I30/(1+'Study Parameters'!$C$4)^'Levelised Cost of Removal'!I29</f>
        <v>345452814.18396801</v>
      </c>
      <c r="J31" s="12">
        <f>J30/(1+'Study Parameters'!$C$4)^'Levelised Cost of Removal'!J29</f>
        <v>319863716.8370074</v>
      </c>
      <c r="K31" s="12">
        <f>K30/(1+'Study Parameters'!$C$4)^'Levelised Cost of Removal'!K29</f>
        <v>296170108.18241429</v>
      </c>
      <c r="L31" s="12">
        <f>L30/(1+'Study Parameters'!$C$4)^'Levelised Cost of Removal'!L29</f>
        <v>274231581.65038359</v>
      </c>
      <c r="M31" s="12">
        <f>M30/(1+'Study Parameters'!$C$4)^'Levelised Cost of Removal'!M29</f>
        <v>253918131.15776256</v>
      </c>
      <c r="N31" s="12">
        <f>N30/(1+'Study Parameters'!$C$4)^'Levelised Cost of Removal'!N29</f>
        <v>235109380.70163199</v>
      </c>
      <c r="O31" s="12">
        <f>O30/(1+'Study Parameters'!$C$4)^'Levelised Cost of Removal'!O29</f>
        <v>217693871.02002963</v>
      </c>
      <c r="P31" s="12">
        <f>P30/(1+'Study Parameters'!$C$4)^'Levelised Cost of Removal'!P29</f>
        <v>201568399.09261999</v>
      </c>
      <c r="Q31" s="12">
        <f>Q30/(1+'Study Parameters'!$C$4)^'Levelised Cost of Removal'!Q29</f>
        <v>186637406.56724072</v>
      </c>
      <c r="R31" s="12">
        <f>R30/(1+'Study Parameters'!$C$4)^'Levelised Cost of Removal'!R29</f>
        <v>172812413.48818585</v>
      </c>
      <c r="S31" s="12">
        <f>S30/(1+'Study Parameters'!$C$4)^'Levelised Cost of Removal'!S29</f>
        <v>160011493.97054246</v>
      </c>
      <c r="T31" s="12">
        <f>T30/(1+'Study Parameters'!$C$4)^'Levelised Cost of Removal'!T29</f>
        <v>148158790.71346521</v>
      </c>
      <c r="U31" s="12">
        <f>U30/(1+'Study Parameters'!$C$4)^'Levelised Cost of Removal'!U29</f>
        <v>137184065.47543073</v>
      </c>
      <c r="V31" s="12">
        <f>V30/(1+'Study Parameters'!$C$4)^'Levelised Cost of Removal'!V29</f>
        <v>127022282.84762107</v>
      </c>
      <c r="W31" s="12">
        <f>W30/(1+'Study Parameters'!$C$4)^'Levelised Cost of Removal'!W29</f>
        <v>117613224.85890839</v>
      </c>
      <c r="X31" s="12">
        <f>X30/(1+'Study Parameters'!$C$4)^'Levelised Cost of Removal'!X29</f>
        <v>108901134.12861887</v>
      </c>
      <c r="Y31" s="12">
        <f>Y30/(1+'Study Parameters'!$C$4)^'Levelised Cost of Removal'!Y29</f>
        <v>100834383.45242487</v>
      </c>
      <c r="Z31" s="12">
        <f>Z30/(1+'Study Parameters'!$C$4)^'Levelised Cost of Removal'!Z29</f>
        <v>93365169.863356367</v>
      </c>
      <c r="AA31" s="12">
        <f>AA30/(1+'Study Parameters'!$C$4)^'Levelised Cost of Removal'!AA29</f>
        <v>86449231.354959577</v>
      </c>
    </row>
    <row r="32" spans="1:27">
      <c r="A32" s="12" t="s">
        <v>113</v>
      </c>
      <c r="B32" s="12">
        <f t="shared" ref="B32:AA32" si="1">$B$21 * 10^3</f>
        <v>3715000</v>
      </c>
      <c r="C32" s="12">
        <f t="shared" si="1"/>
        <v>3715000</v>
      </c>
      <c r="D32" s="12">
        <f t="shared" si="1"/>
        <v>3715000</v>
      </c>
      <c r="E32" s="12">
        <f t="shared" si="1"/>
        <v>3715000</v>
      </c>
      <c r="F32" s="12">
        <f t="shared" si="1"/>
        <v>3715000</v>
      </c>
      <c r="G32" s="12">
        <f t="shared" si="1"/>
        <v>3715000</v>
      </c>
      <c r="H32" s="12">
        <f t="shared" si="1"/>
        <v>3715000</v>
      </c>
      <c r="I32" s="12">
        <f t="shared" si="1"/>
        <v>3715000</v>
      </c>
      <c r="J32" s="12">
        <f t="shared" si="1"/>
        <v>3715000</v>
      </c>
      <c r="K32" s="12">
        <f t="shared" si="1"/>
        <v>3715000</v>
      </c>
      <c r="L32" s="12">
        <f t="shared" si="1"/>
        <v>3715000</v>
      </c>
      <c r="M32" s="12">
        <f t="shared" si="1"/>
        <v>3715000</v>
      </c>
      <c r="N32" s="12">
        <f t="shared" si="1"/>
        <v>3715000</v>
      </c>
      <c r="O32" s="12">
        <f t="shared" si="1"/>
        <v>3715000</v>
      </c>
      <c r="P32" s="12">
        <f t="shared" si="1"/>
        <v>3715000</v>
      </c>
      <c r="Q32" s="12">
        <f t="shared" si="1"/>
        <v>3715000</v>
      </c>
      <c r="R32" s="12">
        <f t="shared" si="1"/>
        <v>3715000</v>
      </c>
      <c r="S32" s="12">
        <f t="shared" si="1"/>
        <v>3715000</v>
      </c>
      <c r="T32" s="12">
        <f t="shared" si="1"/>
        <v>3715000</v>
      </c>
      <c r="U32" s="12">
        <f t="shared" si="1"/>
        <v>3715000</v>
      </c>
      <c r="V32" s="12">
        <f t="shared" si="1"/>
        <v>3715000</v>
      </c>
      <c r="W32" s="12">
        <f t="shared" si="1"/>
        <v>3715000</v>
      </c>
      <c r="X32" s="12">
        <f t="shared" si="1"/>
        <v>3715000</v>
      </c>
      <c r="Y32" s="12">
        <f t="shared" si="1"/>
        <v>3715000</v>
      </c>
      <c r="Z32" s="12">
        <f t="shared" si="1"/>
        <v>3715000</v>
      </c>
      <c r="AA32" s="12">
        <f t="shared" si="1"/>
        <v>3715000</v>
      </c>
    </row>
    <row r="33" spans="1:27">
      <c r="A33" s="12" t="s">
        <v>114</v>
      </c>
      <c r="B33" s="12">
        <f>B32/(1+'Study Parameters'!$C$4)^'Levelised Cost of Removal'!B29</f>
        <v>3715000</v>
      </c>
      <c r="C33" s="12">
        <f>C32/(1+'Study Parameters'!$C$4)^'Levelised Cost of Removal'!C29</f>
        <v>3439814.8148148144</v>
      </c>
      <c r="D33" s="12">
        <f>D32/(1+'Study Parameters'!$C$4)^'Levelised Cost of Removal'!D29</f>
        <v>3185013.7174211247</v>
      </c>
      <c r="E33" s="12">
        <f>E32/(1+'Study Parameters'!$C$4)^'Levelised Cost of Removal'!E29</f>
        <v>2949086.7753899302</v>
      </c>
      <c r="F33" s="12">
        <f>F32/(1+'Study Parameters'!$C$4)^'Levelised Cost of Removal'!F29</f>
        <v>2730635.9031388238</v>
      </c>
      <c r="G33" s="12">
        <f>G32/(1+'Study Parameters'!$C$4)^'Levelised Cost of Removal'!G29</f>
        <v>2528366.5769803924</v>
      </c>
      <c r="H33" s="12">
        <f>H32/(1+'Study Parameters'!$C$4)^'Levelised Cost of Removal'!H29</f>
        <v>2341080.1638707332</v>
      </c>
      <c r="I33" s="12">
        <f>I32/(1+'Study Parameters'!$C$4)^'Levelised Cost of Removal'!I29</f>
        <v>2167666.8183988272</v>
      </c>
      <c r="J33" s="12">
        <f>J32/(1+'Study Parameters'!$C$4)^'Levelised Cost of Removal'!J29</f>
        <v>2007098.9059248399</v>
      </c>
      <c r="K33" s="12">
        <f>K32/(1+'Study Parameters'!$C$4)^'Levelised Cost of Removal'!K29</f>
        <v>1858424.9128933703</v>
      </c>
      <c r="L33" s="12">
        <f>L32/(1+'Study Parameters'!$C$4)^'Levelised Cost of Removal'!L29</f>
        <v>1720763.808234602</v>
      </c>
      <c r="M33" s="12">
        <f>M32/(1+'Study Parameters'!$C$4)^'Levelised Cost of Removal'!M29</f>
        <v>1593299.8224394463</v>
      </c>
      <c r="N33" s="12">
        <f>N32/(1+'Study Parameters'!$C$4)^'Levelised Cost of Removal'!N29</f>
        <v>1475277.6133698577</v>
      </c>
      <c r="O33" s="12">
        <f>O32/(1+'Study Parameters'!$C$4)^'Levelised Cost of Removal'!O29</f>
        <v>1365997.7901572755</v>
      </c>
      <c r="P33" s="12">
        <f>P32/(1+'Study Parameters'!$C$4)^'Levelised Cost of Removal'!P29</f>
        <v>1264812.7686641437</v>
      </c>
      <c r="Q33" s="12">
        <f>Q32/(1+'Study Parameters'!$C$4)^'Levelised Cost of Removal'!Q29</f>
        <v>1171122.9339482812</v>
      </c>
      <c r="R33" s="12">
        <f>R32/(1+'Study Parameters'!$C$4)^'Levelised Cost of Removal'!R29</f>
        <v>1084373.0869891492</v>
      </c>
      <c r="S33" s="12">
        <f>S32/(1+'Study Parameters'!$C$4)^'Levelised Cost of Removal'!S29</f>
        <v>1004049.1546195827</v>
      </c>
      <c r="T33" s="12">
        <f>T32/(1+'Study Parameters'!$C$4)^'Levelised Cost of Removal'!T29</f>
        <v>929675.14316628012</v>
      </c>
      <c r="U33" s="12">
        <f>U32/(1+'Study Parameters'!$C$4)^'Levelised Cost of Removal'!U29</f>
        <v>860810.31774655555</v>
      </c>
      <c r="V33" s="12">
        <f>V32/(1+'Study Parameters'!$C$4)^'Levelised Cost of Removal'!V29</f>
        <v>797046.59050607006</v>
      </c>
      <c r="W33" s="12">
        <f>W32/(1+'Study Parameters'!$C$4)^'Levelised Cost of Removal'!W29</f>
        <v>738006.10232043522</v>
      </c>
      <c r="X33" s="12">
        <f>X32/(1+'Study Parameters'!$C$4)^'Levelised Cost of Removal'!X29</f>
        <v>683338.98363003251</v>
      </c>
      <c r="Y33" s="12">
        <f>Y32/(1+'Study Parameters'!$C$4)^'Levelised Cost of Removal'!Y29</f>
        <v>632721.28113891894</v>
      </c>
      <c r="Z33" s="12">
        <f>Z32/(1+'Study Parameters'!$C$4)^'Levelised Cost of Removal'!Z29</f>
        <v>585853.03809159168</v>
      </c>
      <c r="AA33" s="12">
        <f>AA32/(1+'Study Parameters'!$C$4)^'Levelised Cost of Removal'!AA29</f>
        <v>542456.51675147365</v>
      </c>
    </row>
    <row r="35" spans="1:27">
      <c r="A35" s="12" t="s">
        <v>115</v>
      </c>
      <c r="B35" s="12">
        <f>SUM(B31:AF31) / SUM(B33:AF33)</f>
        <v>182.37549500900153</v>
      </c>
    </row>
    <row r="37" spans="1:27">
      <c r="A37" s="12" t="s">
        <v>116</v>
      </c>
    </row>
    <row r="38" spans="1:27">
      <c r="A38" s="12" t="s">
        <v>1</v>
      </c>
      <c r="B38" s="12">
        <v>0</v>
      </c>
      <c r="C38" s="12">
        <v>1</v>
      </c>
      <c r="D38" s="12">
        <v>2</v>
      </c>
      <c r="E38" s="12">
        <v>3</v>
      </c>
      <c r="F38" s="12">
        <v>4</v>
      </c>
      <c r="G38" s="12">
        <v>5</v>
      </c>
      <c r="H38" s="12">
        <v>6</v>
      </c>
      <c r="I38" s="12">
        <v>7</v>
      </c>
      <c r="J38" s="12">
        <v>8</v>
      </c>
      <c r="K38" s="12">
        <v>9</v>
      </c>
      <c r="L38" s="12">
        <v>10</v>
      </c>
      <c r="M38" s="12">
        <v>11</v>
      </c>
      <c r="N38" s="12">
        <v>12</v>
      </c>
      <c r="O38" s="12">
        <v>13</v>
      </c>
      <c r="P38" s="12">
        <v>14</v>
      </c>
      <c r="Q38" s="12">
        <v>15</v>
      </c>
      <c r="R38" s="12">
        <v>16</v>
      </c>
      <c r="S38" s="12">
        <v>17</v>
      </c>
      <c r="T38" s="12">
        <v>18</v>
      </c>
      <c r="U38" s="12">
        <v>19</v>
      </c>
      <c r="V38" s="12">
        <v>20</v>
      </c>
      <c r="W38" s="12">
        <v>21</v>
      </c>
      <c r="X38" s="12">
        <v>22</v>
      </c>
      <c r="Y38" s="12">
        <v>23</v>
      </c>
      <c r="Z38" s="12">
        <v>24</v>
      </c>
      <c r="AA38" s="12">
        <v>25</v>
      </c>
    </row>
    <row r="39" spans="1:27">
      <c r="A39" s="12" t="s">
        <v>111</v>
      </c>
      <c r="B39" s="12">
        <f>H7*10^6</f>
        <v>1411670000</v>
      </c>
      <c r="C39" s="12">
        <f t="shared" ref="C39:AA39" si="2">$H$17 * 10^6</f>
        <v>482470333.33333331</v>
      </c>
      <c r="D39" s="12">
        <f t="shared" si="2"/>
        <v>482470333.33333331</v>
      </c>
      <c r="E39" s="12">
        <f t="shared" si="2"/>
        <v>482470333.33333331</v>
      </c>
      <c r="F39" s="12">
        <f t="shared" si="2"/>
        <v>482470333.33333331</v>
      </c>
      <c r="G39" s="12">
        <f t="shared" si="2"/>
        <v>482470333.33333331</v>
      </c>
      <c r="H39" s="12">
        <f t="shared" si="2"/>
        <v>482470333.33333331</v>
      </c>
      <c r="I39" s="12">
        <f t="shared" si="2"/>
        <v>482470333.33333331</v>
      </c>
      <c r="J39" s="12">
        <f t="shared" si="2"/>
        <v>482470333.33333331</v>
      </c>
      <c r="K39" s="12">
        <f t="shared" si="2"/>
        <v>482470333.33333331</v>
      </c>
      <c r="L39" s="12">
        <f t="shared" si="2"/>
        <v>482470333.33333331</v>
      </c>
      <c r="M39" s="12">
        <f t="shared" si="2"/>
        <v>482470333.33333331</v>
      </c>
      <c r="N39" s="12">
        <f t="shared" si="2"/>
        <v>482470333.33333331</v>
      </c>
      <c r="O39" s="12">
        <f t="shared" si="2"/>
        <v>482470333.33333331</v>
      </c>
      <c r="P39" s="12">
        <f t="shared" si="2"/>
        <v>482470333.33333331</v>
      </c>
      <c r="Q39" s="12">
        <f t="shared" si="2"/>
        <v>482470333.33333331</v>
      </c>
      <c r="R39" s="12">
        <f t="shared" si="2"/>
        <v>482470333.33333331</v>
      </c>
      <c r="S39" s="12">
        <f t="shared" si="2"/>
        <v>482470333.33333331</v>
      </c>
      <c r="T39" s="12">
        <f t="shared" si="2"/>
        <v>482470333.33333331</v>
      </c>
      <c r="U39" s="12">
        <f t="shared" si="2"/>
        <v>482470333.33333331</v>
      </c>
      <c r="V39" s="12">
        <f t="shared" si="2"/>
        <v>482470333.33333331</v>
      </c>
      <c r="W39" s="12">
        <f t="shared" si="2"/>
        <v>482470333.33333331</v>
      </c>
      <c r="X39" s="12">
        <f t="shared" si="2"/>
        <v>482470333.33333331</v>
      </c>
      <c r="Y39" s="12">
        <f t="shared" si="2"/>
        <v>482470333.33333331</v>
      </c>
      <c r="Z39" s="12">
        <f t="shared" si="2"/>
        <v>482470333.33333331</v>
      </c>
      <c r="AA39" s="12">
        <f t="shared" si="2"/>
        <v>482470333.33333331</v>
      </c>
    </row>
    <row r="40" spans="1:27">
      <c r="A40" s="12" t="s">
        <v>112</v>
      </c>
      <c r="B40" s="12">
        <f>B39/(1+'Study Parameters'!$C$4)^'Levelised Cost of Removal'!B38</f>
        <v>1411670000</v>
      </c>
      <c r="C40" s="12">
        <f>C39/(1+'Study Parameters'!$C$4)^'Levelised Cost of Removal'!C38</f>
        <v>446731790.12345672</v>
      </c>
      <c r="D40" s="12">
        <f>D39/(1+'Study Parameters'!$C$4)^'Levelised Cost of Removal'!D38</f>
        <v>413640546.41060811</v>
      </c>
      <c r="E40" s="12">
        <f>E39/(1+'Study Parameters'!$C$4)^'Levelised Cost of Removal'!E38</f>
        <v>383000505.93574822</v>
      </c>
      <c r="F40" s="12">
        <f>F39/(1+'Study Parameters'!$C$4)^'Levelised Cost of Removal'!F38</f>
        <v>354630098.08865571</v>
      </c>
      <c r="G40" s="12">
        <f>G39/(1+'Study Parameters'!$C$4)^'Levelised Cost of Removal'!G38</f>
        <v>328361201.93394047</v>
      </c>
      <c r="H40" s="12">
        <f>H39/(1+'Study Parameters'!$C$4)^'Levelised Cost of Removal'!H38</f>
        <v>304038149.93883371</v>
      </c>
      <c r="I40" s="12">
        <f>I39/(1+'Study Parameters'!$C$4)^'Levelised Cost of Removal'!I38</f>
        <v>281516805.49892014</v>
      </c>
      <c r="J40" s="12">
        <f>J39/(1+'Study Parameters'!$C$4)^'Levelised Cost of Removal'!J38</f>
        <v>260663708.7952964</v>
      </c>
      <c r="K40" s="12">
        <f>K39/(1+'Study Parameters'!$C$4)^'Levelised Cost of Removal'!K38</f>
        <v>241355285.92157072</v>
      </c>
      <c r="L40" s="12">
        <f>L39/(1+'Study Parameters'!$C$4)^'Levelised Cost of Removal'!L38</f>
        <v>223477116.59404695</v>
      </c>
      <c r="M40" s="12">
        <f>M39/(1+'Study Parameters'!$C$4)^'Levelised Cost of Removal'!M38</f>
        <v>206923256.10559905</v>
      </c>
      <c r="N40" s="12">
        <f>N39/(1+'Study Parameters'!$C$4)^'Levelised Cost of Removal'!N38</f>
        <v>191595607.50518429</v>
      </c>
      <c r="O40" s="12">
        <f>O39/(1+'Study Parameters'!$C$4)^'Levelised Cost of Removal'!O38</f>
        <v>177403340.28257805</v>
      </c>
      <c r="P40" s="12">
        <f>P39/(1+'Study Parameters'!$C$4)^'Levelised Cost of Removal'!P38</f>
        <v>164262352.11349815</v>
      </c>
      <c r="Q40" s="12">
        <f>Q39/(1+'Study Parameters'!$C$4)^'Levelised Cost of Removal'!Q38</f>
        <v>152094770.47546124</v>
      </c>
      <c r="R40" s="12">
        <f>R39/(1+'Study Parameters'!$C$4)^'Levelised Cost of Removal'!R38</f>
        <v>140828491.18098265</v>
      </c>
      <c r="S40" s="12">
        <f>S39/(1+'Study Parameters'!$C$4)^'Levelised Cost of Removal'!S38</f>
        <v>130396751.09350243</v>
      </c>
      <c r="T40" s="12">
        <f>T39/(1+'Study Parameters'!$C$4)^'Levelised Cost of Removal'!T38</f>
        <v>120737732.49398373</v>
      </c>
      <c r="U40" s="12">
        <f>U39/(1+'Study Parameters'!$C$4)^'Levelised Cost of Removal'!U38</f>
        <v>111794196.75368863</v>
      </c>
      <c r="V40" s="12">
        <f>V39/(1+'Study Parameters'!$C$4)^'Levelised Cost of Removal'!V38</f>
        <v>103513145.14230429</v>
      </c>
      <c r="W40" s="12">
        <f>W39/(1+'Study Parameters'!$C$4)^'Levelised Cost of Removal'!W38</f>
        <v>95845504.761392862</v>
      </c>
      <c r="X40" s="12">
        <f>X39/(1+'Study Parameters'!$C$4)^'Levelised Cost of Removal'!X38</f>
        <v>88745837.742030412</v>
      </c>
      <c r="Y40" s="12">
        <f>Y39/(1+'Study Parameters'!$C$4)^'Levelised Cost of Removal'!Y38</f>
        <v>82172071.983361483</v>
      </c>
      <c r="Z40" s="12">
        <f>Z39/(1+'Study Parameters'!$C$4)^'Levelised Cost of Removal'!Z38</f>
        <v>76085251.836445823</v>
      </c>
      <c r="AA40" s="12">
        <f>AA39/(1+'Study Parameters'!$C$4)^'Levelised Cost of Removal'!AA38</f>
        <v>70449307.255968347</v>
      </c>
    </row>
    <row r="41" spans="1:27">
      <c r="A41" s="12" t="s">
        <v>113</v>
      </c>
      <c r="B41" s="12">
        <f t="shared" ref="B41:AA41" si="3">$B$21 * 10^3</f>
        <v>3715000</v>
      </c>
      <c r="C41" s="12">
        <f t="shared" si="3"/>
        <v>3715000</v>
      </c>
      <c r="D41" s="12">
        <f t="shared" si="3"/>
        <v>3715000</v>
      </c>
      <c r="E41" s="12">
        <f t="shared" si="3"/>
        <v>3715000</v>
      </c>
      <c r="F41" s="12">
        <f t="shared" si="3"/>
        <v>3715000</v>
      </c>
      <c r="G41" s="12">
        <f t="shared" si="3"/>
        <v>3715000</v>
      </c>
      <c r="H41" s="12">
        <f t="shared" si="3"/>
        <v>3715000</v>
      </c>
      <c r="I41" s="12">
        <f t="shared" si="3"/>
        <v>3715000</v>
      </c>
      <c r="J41" s="12">
        <f t="shared" si="3"/>
        <v>3715000</v>
      </c>
      <c r="K41" s="12">
        <f t="shared" si="3"/>
        <v>3715000</v>
      </c>
      <c r="L41" s="12">
        <f t="shared" si="3"/>
        <v>3715000</v>
      </c>
      <c r="M41" s="12">
        <f t="shared" si="3"/>
        <v>3715000</v>
      </c>
      <c r="N41" s="12">
        <f t="shared" si="3"/>
        <v>3715000</v>
      </c>
      <c r="O41" s="12">
        <f t="shared" si="3"/>
        <v>3715000</v>
      </c>
      <c r="P41" s="12">
        <f t="shared" si="3"/>
        <v>3715000</v>
      </c>
      <c r="Q41" s="12">
        <f t="shared" si="3"/>
        <v>3715000</v>
      </c>
      <c r="R41" s="12">
        <f t="shared" si="3"/>
        <v>3715000</v>
      </c>
      <c r="S41" s="12">
        <f t="shared" si="3"/>
        <v>3715000</v>
      </c>
      <c r="T41" s="12">
        <f t="shared" si="3"/>
        <v>3715000</v>
      </c>
      <c r="U41" s="12">
        <f t="shared" si="3"/>
        <v>3715000</v>
      </c>
      <c r="V41" s="12">
        <f t="shared" si="3"/>
        <v>3715000</v>
      </c>
      <c r="W41" s="12">
        <f t="shared" si="3"/>
        <v>3715000</v>
      </c>
      <c r="X41" s="12">
        <f t="shared" si="3"/>
        <v>3715000</v>
      </c>
      <c r="Y41" s="12">
        <f t="shared" si="3"/>
        <v>3715000</v>
      </c>
      <c r="Z41" s="12">
        <f t="shared" si="3"/>
        <v>3715000</v>
      </c>
      <c r="AA41" s="12">
        <f t="shared" si="3"/>
        <v>3715000</v>
      </c>
    </row>
    <row r="42" spans="1:27">
      <c r="A42" s="12" t="s">
        <v>114</v>
      </c>
      <c r="B42" s="12">
        <f>B41/(1+'Study Parameters'!$C$4)^'Levelised Cost of Removal'!B38</f>
        <v>3715000</v>
      </c>
      <c r="C42" s="12">
        <f>C41/(1+'Study Parameters'!$C$4)^'Levelised Cost of Removal'!C38</f>
        <v>3439814.8148148144</v>
      </c>
      <c r="D42" s="12">
        <f>D41/(1+'Study Parameters'!$C$4)^'Levelised Cost of Removal'!D38</f>
        <v>3185013.7174211247</v>
      </c>
      <c r="E42" s="12">
        <f>E41/(1+'Study Parameters'!$C$4)^'Levelised Cost of Removal'!E38</f>
        <v>2949086.7753899302</v>
      </c>
      <c r="F42" s="12">
        <f>F41/(1+'Study Parameters'!$C$4)^'Levelised Cost of Removal'!F38</f>
        <v>2730635.9031388238</v>
      </c>
      <c r="G42" s="12">
        <f>G41/(1+'Study Parameters'!$C$4)^'Levelised Cost of Removal'!G38</f>
        <v>2528366.5769803924</v>
      </c>
      <c r="H42" s="12">
        <f>H41/(1+'Study Parameters'!$C$4)^'Levelised Cost of Removal'!H38</f>
        <v>2341080.1638707332</v>
      </c>
      <c r="I42" s="12">
        <f>I41/(1+'Study Parameters'!$C$4)^'Levelised Cost of Removal'!I38</f>
        <v>2167666.8183988272</v>
      </c>
      <c r="J42" s="12">
        <f>J41/(1+'Study Parameters'!$C$4)^'Levelised Cost of Removal'!J38</f>
        <v>2007098.9059248399</v>
      </c>
      <c r="K42" s="12">
        <f>K41/(1+'Study Parameters'!$C$4)^'Levelised Cost of Removal'!K38</f>
        <v>1858424.9128933703</v>
      </c>
      <c r="L42" s="12">
        <f>L41/(1+'Study Parameters'!$C$4)^'Levelised Cost of Removal'!L38</f>
        <v>1720763.808234602</v>
      </c>
      <c r="M42" s="12">
        <f>M41/(1+'Study Parameters'!$C$4)^'Levelised Cost of Removal'!M38</f>
        <v>1593299.8224394463</v>
      </c>
      <c r="N42" s="12">
        <f>N41/(1+'Study Parameters'!$C$4)^'Levelised Cost of Removal'!N38</f>
        <v>1475277.6133698577</v>
      </c>
      <c r="O42" s="12">
        <f>O41/(1+'Study Parameters'!$C$4)^'Levelised Cost of Removal'!O38</f>
        <v>1365997.7901572755</v>
      </c>
      <c r="P42" s="12">
        <f>P41/(1+'Study Parameters'!$C$4)^'Levelised Cost of Removal'!P38</f>
        <v>1264812.7686641437</v>
      </c>
      <c r="Q42" s="12">
        <f>Q41/(1+'Study Parameters'!$C$4)^'Levelised Cost of Removal'!Q38</f>
        <v>1171122.9339482812</v>
      </c>
      <c r="R42" s="12">
        <f>R41/(1+'Study Parameters'!$C$4)^'Levelised Cost of Removal'!R38</f>
        <v>1084373.0869891492</v>
      </c>
      <c r="S42" s="12">
        <f>S41/(1+'Study Parameters'!$C$4)^'Levelised Cost of Removal'!S38</f>
        <v>1004049.1546195827</v>
      </c>
      <c r="T42" s="12">
        <f>T41/(1+'Study Parameters'!$C$4)^'Levelised Cost of Removal'!T38</f>
        <v>929675.14316628012</v>
      </c>
      <c r="U42" s="12">
        <f>U41/(1+'Study Parameters'!$C$4)^'Levelised Cost of Removal'!U38</f>
        <v>860810.31774655555</v>
      </c>
      <c r="V42" s="12">
        <f>V41/(1+'Study Parameters'!$C$4)^'Levelised Cost of Removal'!V38</f>
        <v>797046.59050607006</v>
      </c>
      <c r="W42" s="12">
        <f>W41/(1+'Study Parameters'!$C$4)^'Levelised Cost of Removal'!W38</f>
        <v>738006.10232043522</v>
      </c>
      <c r="X42" s="12">
        <f>X41/(1+'Study Parameters'!$C$4)^'Levelised Cost of Removal'!X38</f>
        <v>683338.98363003251</v>
      </c>
      <c r="Y42" s="12">
        <f>Y41/(1+'Study Parameters'!$C$4)^'Levelised Cost of Removal'!Y38</f>
        <v>632721.28113891894</v>
      </c>
      <c r="Z42" s="12">
        <f>Z41/(1+'Study Parameters'!$C$4)^'Levelised Cost of Removal'!Z38</f>
        <v>585853.03809159168</v>
      </c>
      <c r="AA42" s="12">
        <f>AA41/(1+'Study Parameters'!$C$4)^'Levelised Cost of Removal'!AA38</f>
        <v>542456.51675147365</v>
      </c>
    </row>
    <row r="44" spans="1:27">
      <c r="A44" s="12" t="s">
        <v>115</v>
      </c>
      <c r="B44" s="12">
        <f>SUM(B40:AF40) / SUM(B42:AF42)</f>
        <v>151.29493826035787</v>
      </c>
    </row>
  </sheetData>
  <mergeCells count="7">
    <mergeCell ref="A2:E2"/>
    <mergeCell ref="G2:K2"/>
    <mergeCell ref="A19:E19"/>
    <mergeCell ref="G1:K1"/>
    <mergeCell ref="A1:E1"/>
    <mergeCell ref="A8:E8"/>
    <mergeCell ref="G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R58"/>
  <sheetViews>
    <sheetView zoomScaleNormal="100" workbookViewId="0">
      <selection activeCell="E55" sqref="E55"/>
    </sheetView>
  </sheetViews>
  <sheetFormatPr defaultColWidth="11" defaultRowHeight="15.6"/>
  <cols>
    <col min="1" max="1" width="29.8984375" bestFit="1" customWidth="1"/>
    <col min="2" max="2" width="16" bestFit="1" customWidth="1"/>
    <col min="3" max="3" width="8" bestFit="1" customWidth="1"/>
    <col min="4" max="4" width="9.8984375" customWidth="1"/>
    <col min="5" max="5" width="10" bestFit="1" customWidth="1"/>
    <col min="7" max="7" width="29.8984375" bestFit="1" customWidth="1"/>
    <col min="8" max="8" width="12.09765625" bestFit="1" customWidth="1"/>
    <col min="9" max="9" width="8" bestFit="1" customWidth="1"/>
    <col min="10" max="10" width="21.09765625" customWidth="1"/>
    <col min="11" max="11" width="10" bestFit="1" customWidth="1"/>
    <col min="13" max="13" width="29.8984375" bestFit="1" customWidth="1"/>
    <col min="14" max="14" width="12.09765625" bestFit="1" customWidth="1"/>
    <col min="15" max="15" width="8" bestFit="1" customWidth="1"/>
    <col min="16" max="16" width="25.3984375" customWidth="1"/>
    <col min="17" max="17" width="10" bestFit="1" customWidth="1"/>
  </cols>
  <sheetData>
    <row r="1" spans="1:18">
      <c r="A1" s="47" t="s">
        <v>117</v>
      </c>
      <c r="B1" s="39"/>
      <c r="C1" s="39"/>
      <c r="D1" s="39"/>
      <c r="E1" s="40"/>
      <c r="G1" s="47" t="s">
        <v>118</v>
      </c>
      <c r="H1" s="39"/>
      <c r="I1" s="39"/>
      <c r="J1" s="39"/>
      <c r="K1" s="40"/>
      <c r="L1" s="23"/>
      <c r="M1" s="47" t="s">
        <v>119</v>
      </c>
      <c r="N1" s="39"/>
      <c r="O1" s="39"/>
      <c r="P1" s="39"/>
      <c r="Q1" s="40"/>
      <c r="R1" s="23"/>
    </row>
    <row r="2" spans="1:18">
      <c r="A2" s="44" t="s">
        <v>87</v>
      </c>
      <c r="B2" s="39"/>
      <c r="C2" s="39"/>
      <c r="D2" s="39"/>
      <c r="E2" s="40"/>
      <c r="G2" s="44" t="s">
        <v>87</v>
      </c>
      <c r="H2" s="39"/>
      <c r="I2" s="39"/>
      <c r="J2" s="39"/>
      <c r="K2" s="40"/>
      <c r="M2" s="44" t="s">
        <v>87</v>
      </c>
      <c r="N2" s="39"/>
      <c r="O2" s="39"/>
      <c r="P2" s="39"/>
      <c r="Q2" s="40"/>
    </row>
    <row r="3" spans="1:18">
      <c r="A3" s="16" t="s">
        <v>88</v>
      </c>
      <c r="B3" s="16" t="s">
        <v>2</v>
      </c>
      <c r="C3" s="16" t="s">
        <v>3</v>
      </c>
      <c r="D3" s="16" t="s">
        <v>31</v>
      </c>
      <c r="E3" s="16" t="s">
        <v>32</v>
      </c>
      <c r="G3" s="16" t="s">
        <v>88</v>
      </c>
      <c r="H3" s="16" t="s">
        <v>2</v>
      </c>
      <c r="I3" s="16" t="s">
        <v>3</v>
      </c>
      <c r="J3" s="16" t="s">
        <v>31</v>
      </c>
      <c r="K3" s="16" t="s">
        <v>32</v>
      </c>
      <c r="M3" s="16" t="s">
        <v>88</v>
      </c>
      <c r="N3" s="16" t="s">
        <v>2</v>
      </c>
      <c r="O3" s="16" t="s">
        <v>3</v>
      </c>
      <c r="P3" s="16" t="s">
        <v>31</v>
      </c>
      <c r="Q3" s="16" t="s">
        <v>32</v>
      </c>
    </row>
    <row r="4" spans="1:18">
      <c r="A4" s="16" t="s">
        <v>120</v>
      </c>
      <c r="B4" s="16">
        <v>249</v>
      </c>
      <c r="C4" s="16" t="s">
        <v>90</v>
      </c>
      <c r="D4" s="16" t="s">
        <v>42</v>
      </c>
      <c r="E4" s="16" t="s">
        <v>76</v>
      </c>
      <c r="G4" s="16" t="s">
        <v>120</v>
      </c>
      <c r="H4" s="16">
        <v>278</v>
      </c>
      <c r="I4" s="16" t="s">
        <v>90</v>
      </c>
      <c r="J4" s="16" t="s">
        <v>42</v>
      </c>
      <c r="K4" s="16" t="s">
        <v>76</v>
      </c>
      <c r="M4" s="16" t="s">
        <v>120</v>
      </c>
      <c r="N4" s="16">
        <v>264</v>
      </c>
      <c r="O4" s="16" t="s">
        <v>90</v>
      </c>
      <c r="P4" s="16" t="s">
        <v>42</v>
      </c>
      <c r="Q4" s="16" t="s">
        <v>76</v>
      </c>
    </row>
    <row r="5" spans="1:18">
      <c r="A5" s="16" t="s">
        <v>121</v>
      </c>
      <c r="B5" s="16">
        <v>4140</v>
      </c>
      <c r="C5" s="16" t="s">
        <v>90</v>
      </c>
      <c r="D5" s="16" t="s">
        <v>42</v>
      </c>
      <c r="E5" s="16" t="s">
        <v>76</v>
      </c>
      <c r="G5" s="16" t="s">
        <v>121</v>
      </c>
      <c r="H5" s="16">
        <v>2916</v>
      </c>
      <c r="I5" s="16" t="s">
        <v>90</v>
      </c>
      <c r="J5" s="16" t="s">
        <v>42</v>
      </c>
      <c r="K5" s="16" t="s">
        <v>76</v>
      </c>
      <c r="M5" s="16" t="s">
        <v>121</v>
      </c>
      <c r="N5" s="16">
        <v>4263</v>
      </c>
      <c r="O5" s="16" t="s">
        <v>90</v>
      </c>
      <c r="P5" s="16" t="s">
        <v>42</v>
      </c>
      <c r="Q5" s="16" t="s">
        <v>76</v>
      </c>
    </row>
    <row r="6" spans="1:18">
      <c r="A6" s="16" t="s">
        <v>122</v>
      </c>
      <c r="B6" s="16">
        <v>1678</v>
      </c>
      <c r="C6" s="16" t="s">
        <v>90</v>
      </c>
      <c r="D6" s="16" t="s">
        <v>36</v>
      </c>
      <c r="E6" s="16" t="s">
        <v>76</v>
      </c>
      <c r="G6" s="16" t="s">
        <v>122</v>
      </c>
      <c r="H6" s="16">
        <v>1676</v>
      </c>
      <c r="I6" s="16" t="s">
        <v>90</v>
      </c>
      <c r="J6" s="16" t="s">
        <v>36</v>
      </c>
      <c r="K6" s="16" t="s">
        <v>76</v>
      </c>
      <c r="M6" s="16" t="s">
        <v>122</v>
      </c>
      <c r="N6" s="16">
        <v>1637</v>
      </c>
      <c r="O6" s="16" t="s">
        <v>90</v>
      </c>
      <c r="P6" s="16" t="s">
        <v>36</v>
      </c>
      <c r="Q6" s="16" t="s">
        <v>76</v>
      </c>
    </row>
    <row r="7" spans="1:18">
      <c r="A7" s="16" t="s">
        <v>123</v>
      </c>
      <c r="B7" s="16">
        <v>173</v>
      </c>
      <c r="C7" s="16" t="s">
        <v>90</v>
      </c>
      <c r="D7" s="16"/>
      <c r="E7" s="16"/>
      <c r="G7" s="16" t="s">
        <v>123</v>
      </c>
      <c r="H7" s="16">
        <v>86</v>
      </c>
      <c r="I7" s="16" t="s">
        <v>90</v>
      </c>
      <c r="J7" s="16"/>
      <c r="K7" s="16"/>
      <c r="M7" s="16" t="s">
        <v>123</v>
      </c>
      <c r="N7" s="16">
        <v>240</v>
      </c>
      <c r="O7" s="16" t="s">
        <v>90</v>
      </c>
      <c r="P7" s="16"/>
      <c r="Q7" s="16"/>
    </row>
    <row r="8" spans="1:18" s="1" customFormat="1">
      <c r="A8" s="30" t="s">
        <v>94</v>
      </c>
      <c r="B8" s="30">
        <f>SUM(B4:B7)</f>
        <v>6240</v>
      </c>
      <c r="C8" s="30" t="s">
        <v>90</v>
      </c>
      <c r="D8" s="30"/>
      <c r="E8" s="30"/>
      <c r="G8" s="30" t="s">
        <v>94</v>
      </c>
      <c r="H8" s="30">
        <f>SUM(H4:H7)</f>
        <v>4956</v>
      </c>
      <c r="I8" s="30" t="s">
        <v>90</v>
      </c>
      <c r="J8" s="30"/>
      <c r="K8" s="30"/>
      <c r="M8" s="30" t="s">
        <v>94</v>
      </c>
      <c r="N8" s="30">
        <f>SUM(N4:N7)</f>
        <v>6404</v>
      </c>
      <c r="O8" s="30" t="s">
        <v>90</v>
      </c>
      <c r="P8" s="30"/>
      <c r="Q8" s="30"/>
    </row>
    <row r="9" spans="1:18" s="1" customFormat="1">
      <c r="A9" s="30" t="s">
        <v>124</v>
      </c>
      <c r="B9" s="30">
        <f>PMT('Study Parameters'!$C$4,'Study Parameters'!$C$3, -B8*10^6)</f>
        <v>554283184.33657908</v>
      </c>
      <c r="C9" s="30" t="s">
        <v>125</v>
      </c>
      <c r="D9" s="30"/>
      <c r="E9" s="30"/>
      <c r="G9" s="30" t="s">
        <v>124</v>
      </c>
      <c r="H9" s="30">
        <f>PMT('Study Parameters'!$C$4,'Study Parameters'!$C$3, -H8*10^6)</f>
        <v>440228759.86732149</v>
      </c>
      <c r="I9" s="30" t="s">
        <v>125</v>
      </c>
      <c r="J9" s="30"/>
      <c r="K9" s="30"/>
      <c r="M9" s="30" t="s">
        <v>124</v>
      </c>
      <c r="N9" s="30">
        <f>PMT('Study Parameters'!$C$4,'Study Parameters'!$C$3, -N8*10^6)</f>
        <v>568850883.41209173</v>
      </c>
      <c r="O9" s="30" t="s">
        <v>125</v>
      </c>
      <c r="P9" s="30"/>
      <c r="Q9" s="30"/>
    </row>
    <row r="10" spans="1:18">
      <c r="A10" s="44" t="s">
        <v>95</v>
      </c>
      <c r="B10" s="39"/>
      <c r="C10" s="39"/>
      <c r="D10" s="39"/>
      <c r="E10" s="40"/>
      <c r="G10" s="44" t="s">
        <v>95</v>
      </c>
      <c r="H10" s="39"/>
      <c r="I10" s="39"/>
      <c r="J10" s="39"/>
      <c r="K10" s="40"/>
      <c r="M10" s="44" t="s">
        <v>95</v>
      </c>
      <c r="N10" s="39"/>
      <c r="O10" s="39"/>
      <c r="P10" s="39"/>
      <c r="Q10" s="40"/>
    </row>
    <row r="11" spans="1:18">
      <c r="A11" s="16" t="s">
        <v>88</v>
      </c>
      <c r="B11" s="16" t="s">
        <v>2</v>
      </c>
      <c r="C11" s="16" t="s">
        <v>3</v>
      </c>
      <c r="D11" s="16" t="s">
        <v>31</v>
      </c>
      <c r="E11" s="16" t="s">
        <v>32</v>
      </c>
      <c r="G11" s="16" t="s">
        <v>88</v>
      </c>
      <c r="H11" s="16" t="s">
        <v>2</v>
      </c>
      <c r="I11" s="16" t="s">
        <v>3</v>
      </c>
      <c r="J11" s="16" t="s">
        <v>31</v>
      </c>
      <c r="K11" s="16" t="s">
        <v>32</v>
      </c>
      <c r="M11" s="16" t="s">
        <v>88</v>
      </c>
      <c r="N11" s="16" t="s">
        <v>2</v>
      </c>
      <c r="O11" s="16" t="s">
        <v>3</v>
      </c>
      <c r="P11" s="16" t="s">
        <v>31</v>
      </c>
      <c r="Q11" s="16" t="s">
        <v>32</v>
      </c>
    </row>
    <row r="12" spans="1:18">
      <c r="A12" s="16" t="s">
        <v>126</v>
      </c>
      <c r="B12" s="16">
        <f>0.03 * B4</f>
        <v>7.47</v>
      </c>
      <c r="C12" s="16" t="s">
        <v>97</v>
      </c>
      <c r="D12" s="16" t="s">
        <v>42</v>
      </c>
      <c r="E12" s="16"/>
      <c r="G12" s="16" t="s">
        <v>126</v>
      </c>
      <c r="H12" s="16">
        <f>0.03 * H4</f>
        <v>8.34</v>
      </c>
      <c r="I12" s="16" t="s">
        <v>97</v>
      </c>
      <c r="J12" s="16" t="s">
        <v>42</v>
      </c>
      <c r="K12" s="16"/>
      <c r="M12" s="16" t="s">
        <v>126</v>
      </c>
      <c r="N12" s="16">
        <f>0.03 * N4</f>
        <v>7.92</v>
      </c>
      <c r="O12" s="16" t="s">
        <v>97</v>
      </c>
      <c r="P12" s="16" t="s">
        <v>42</v>
      </c>
      <c r="Q12" s="16"/>
    </row>
    <row r="13" spans="1:18">
      <c r="A13" s="16" t="s">
        <v>127</v>
      </c>
      <c r="B13" s="16">
        <f>0.03 * B6</f>
        <v>50.339999999999996</v>
      </c>
      <c r="C13" s="16" t="s">
        <v>97</v>
      </c>
      <c r="D13" s="16" t="s">
        <v>36</v>
      </c>
      <c r="E13" s="16"/>
      <c r="G13" s="16" t="s">
        <v>127</v>
      </c>
      <c r="H13" s="16">
        <f>0.03 * H6</f>
        <v>50.28</v>
      </c>
      <c r="I13" s="16" t="s">
        <v>97</v>
      </c>
      <c r="J13" s="16" t="s">
        <v>36</v>
      </c>
      <c r="K13" s="16"/>
      <c r="M13" s="16" t="s">
        <v>127</v>
      </c>
      <c r="N13" s="16">
        <f>0.03 * N6</f>
        <v>49.11</v>
      </c>
      <c r="O13" s="16" t="s">
        <v>97</v>
      </c>
      <c r="P13" s="16" t="s">
        <v>36</v>
      </c>
      <c r="Q13" s="16"/>
    </row>
    <row r="14" spans="1:18">
      <c r="A14" s="16" t="s">
        <v>128</v>
      </c>
      <c r="B14" s="31">
        <f>(1.53 * (1/'Study Parameters'!$C$37) * 'Study Parameters'!$C$18 * 10^9 / 10^3) / 10^6</f>
        <v>2.1299303944315548E-2</v>
      </c>
      <c r="C14" s="16" t="s">
        <v>97</v>
      </c>
      <c r="D14" s="16" t="s">
        <v>36</v>
      </c>
      <c r="E14" s="16"/>
      <c r="G14" s="16" t="s">
        <v>128</v>
      </c>
      <c r="H14" s="31">
        <f>(1.53 * (1/'Study Parameters'!$C$37) * 'Study Parameters'!$C$18 * 10^9 / 10^3) / 10^6</f>
        <v>2.1299303944315548E-2</v>
      </c>
      <c r="I14" s="16" t="s">
        <v>97</v>
      </c>
      <c r="J14" s="16" t="s">
        <v>36</v>
      </c>
      <c r="K14" s="16"/>
      <c r="M14" s="16" t="s">
        <v>128</v>
      </c>
      <c r="N14" s="31">
        <f>(1.53 * (1/'Study Parameters'!$C$37) * 'Study Parameters'!$C$18 * 10^9 / 10^3) / 10^6</f>
        <v>2.1299303944315548E-2</v>
      </c>
      <c r="O14" s="16" t="s">
        <v>97</v>
      </c>
      <c r="P14" s="16" t="s">
        <v>36</v>
      </c>
      <c r="Q14" s="16"/>
    </row>
    <row r="15" spans="1:18">
      <c r="A15" s="16" t="s">
        <v>129</v>
      </c>
      <c r="B15" s="31">
        <f>0.1 * B7</f>
        <v>17.3</v>
      </c>
      <c r="C15" s="16" t="s">
        <v>97</v>
      </c>
      <c r="D15" s="16" t="s">
        <v>36</v>
      </c>
      <c r="E15" s="16"/>
      <c r="G15" s="16" t="s">
        <v>129</v>
      </c>
      <c r="H15" s="31">
        <f>0.1 * H7</f>
        <v>8.6</v>
      </c>
      <c r="I15" s="16" t="s">
        <v>97</v>
      </c>
      <c r="J15" s="16" t="s">
        <v>36</v>
      </c>
      <c r="K15" s="16"/>
      <c r="M15" s="16" t="s">
        <v>129</v>
      </c>
      <c r="N15" s="31">
        <f>0.1 * N7</f>
        <v>24</v>
      </c>
      <c r="O15" s="16" t="s">
        <v>97</v>
      </c>
      <c r="P15" s="16" t="s">
        <v>36</v>
      </c>
      <c r="Q15" s="16"/>
    </row>
    <row r="16" spans="1:18">
      <c r="A16" s="16" t="s">
        <v>101</v>
      </c>
      <c r="B16" s="16">
        <f>('Study Parameters'!$C$21*10^3*'Study Parameters'!$C$31) / 10^6</f>
        <v>1244.3772033333335</v>
      </c>
      <c r="C16" s="16" t="s">
        <v>97</v>
      </c>
      <c r="D16" s="16"/>
      <c r="E16" s="16"/>
      <c r="G16" s="16" t="s">
        <v>101</v>
      </c>
      <c r="H16" s="16">
        <f>('Study Parameters'!$C$21*10^3*'Study Parameters'!$C$31) / 10^6</f>
        <v>1244.3772033333335</v>
      </c>
      <c r="I16" s="16" t="s">
        <v>97</v>
      </c>
      <c r="J16" s="16"/>
      <c r="K16" s="16"/>
      <c r="M16" s="16" t="s">
        <v>101</v>
      </c>
      <c r="N16" s="16">
        <f>('Study Parameters'!$C$21*10^3*'Study Parameters'!$C$31) / 10^6</f>
        <v>1244.3772033333335</v>
      </c>
      <c r="O16" s="16" t="s">
        <v>97</v>
      </c>
      <c r="P16" s="16"/>
      <c r="Q16" s="16"/>
    </row>
    <row r="17" spans="1:17">
      <c r="A17" s="16" t="s">
        <v>130</v>
      </c>
      <c r="B17" s="16">
        <f>('Study Parameters'!$C$29*'Study Parameters'!$C$15 * 10^3) / 10^6</f>
        <v>394.53299999999996</v>
      </c>
      <c r="C17" s="16" t="s">
        <v>97</v>
      </c>
      <c r="D17" s="16"/>
      <c r="E17" s="16"/>
      <c r="G17" s="16" t="s">
        <v>130</v>
      </c>
      <c r="H17" s="16">
        <f>('Study Parameters'!$C$29*'Study Parameters'!$C$15 * 10^3) / 10^6</f>
        <v>394.53299999999996</v>
      </c>
      <c r="I17" s="16" t="s">
        <v>97</v>
      </c>
      <c r="J17" s="16"/>
      <c r="K17" s="16"/>
      <c r="M17" s="16" t="s">
        <v>130</v>
      </c>
      <c r="N17" s="16">
        <f>('Study Parameters'!$C$29*'Study Parameters'!$C$15 * 10^3) / 10^6</f>
        <v>394.53299999999996</v>
      </c>
      <c r="O17" s="16" t="s">
        <v>97</v>
      </c>
      <c r="P17" s="16"/>
      <c r="Q17" s="16"/>
    </row>
    <row r="18" spans="1:17" s="1" customFormat="1">
      <c r="A18" s="30" t="s">
        <v>104</v>
      </c>
      <c r="B18" s="30">
        <f>SUM(B12:B17)</f>
        <v>1714.0415026372777</v>
      </c>
      <c r="C18" s="30" t="s">
        <v>97</v>
      </c>
      <c r="D18" s="30"/>
      <c r="E18" s="30"/>
      <c r="G18" s="30" t="s">
        <v>104</v>
      </c>
      <c r="H18" s="30">
        <f>SUM(H12:H17)</f>
        <v>1706.1515026372776</v>
      </c>
      <c r="I18" s="30" t="s">
        <v>97</v>
      </c>
      <c r="J18" s="30"/>
      <c r="K18" s="30"/>
      <c r="M18" s="30" t="s">
        <v>104</v>
      </c>
      <c r="N18" s="30">
        <f>SUM(N12:N17)</f>
        <v>1719.9615026372776</v>
      </c>
      <c r="O18" s="30" t="s">
        <v>97</v>
      </c>
      <c r="P18" s="30"/>
      <c r="Q18" s="30"/>
    </row>
    <row r="21" spans="1:17">
      <c r="A21" s="47" t="s">
        <v>131</v>
      </c>
      <c r="B21" s="39"/>
      <c r="C21" s="39"/>
      <c r="D21" s="39"/>
      <c r="E21" s="40"/>
      <c r="G21" s="47" t="s">
        <v>132</v>
      </c>
      <c r="H21" s="39"/>
      <c r="I21" s="39"/>
      <c r="J21" s="39"/>
      <c r="K21" s="40"/>
      <c r="M21" s="47" t="s">
        <v>133</v>
      </c>
      <c r="N21" s="39"/>
      <c r="O21" s="39"/>
      <c r="P21" s="39"/>
      <c r="Q21" s="40"/>
    </row>
    <row r="22" spans="1:17">
      <c r="A22" s="44" t="s">
        <v>87</v>
      </c>
      <c r="B22" s="39"/>
      <c r="C22" s="39"/>
      <c r="D22" s="39"/>
      <c r="E22" s="40"/>
      <c r="G22" s="44" t="s">
        <v>87</v>
      </c>
      <c r="H22" s="39"/>
      <c r="I22" s="39"/>
      <c r="J22" s="39"/>
      <c r="K22" s="40"/>
      <c r="M22" s="44" t="s">
        <v>87</v>
      </c>
      <c r="N22" s="39"/>
      <c r="O22" s="39"/>
      <c r="P22" s="39"/>
      <c r="Q22" s="40"/>
    </row>
    <row r="23" spans="1:17">
      <c r="A23" s="16" t="s">
        <v>88</v>
      </c>
      <c r="B23" s="16" t="s">
        <v>2</v>
      </c>
      <c r="C23" s="16" t="s">
        <v>3</v>
      </c>
      <c r="D23" s="16" t="s">
        <v>31</v>
      </c>
      <c r="E23" s="16" t="s">
        <v>32</v>
      </c>
      <c r="G23" s="16" t="s">
        <v>88</v>
      </c>
      <c r="H23" s="16" t="s">
        <v>2</v>
      </c>
      <c r="I23" s="16" t="s">
        <v>3</v>
      </c>
      <c r="J23" s="16" t="s">
        <v>31</v>
      </c>
      <c r="K23" s="16" t="s">
        <v>32</v>
      </c>
      <c r="M23" s="16" t="s">
        <v>88</v>
      </c>
      <c r="N23" s="16" t="s">
        <v>2</v>
      </c>
      <c r="O23" s="16" t="s">
        <v>3</v>
      </c>
      <c r="P23" s="16" t="s">
        <v>31</v>
      </c>
      <c r="Q23" s="16" t="s">
        <v>32</v>
      </c>
    </row>
    <row r="24" spans="1:17">
      <c r="A24" s="16" t="s">
        <v>120</v>
      </c>
      <c r="B24" s="16">
        <v>250</v>
      </c>
      <c r="C24" s="16" t="s">
        <v>90</v>
      </c>
      <c r="D24" s="16" t="s">
        <v>43</v>
      </c>
      <c r="E24" s="16" t="s">
        <v>76</v>
      </c>
      <c r="G24" s="16" t="s">
        <v>120</v>
      </c>
      <c r="H24" s="16">
        <v>291</v>
      </c>
      <c r="I24" s="16" t="s">
        <v>90</v>
      </c>
      <c r="J24" s="16" t="s">
        <v>43</v>
      </c>
      <c r="K24" s="16" t="s">
        <v>76</v>
      </c>
      <c r="M24" s="16" t="s">
        <v>120</v>
      </c>
      <c r="N24" s="16">
        <v>280</v>
      </c>
      <c r="O24" s="16" t="s">
        <v>90</v>
      </c>
      <c r="P24" s="16" t="s">
        <v>43</v>
      </c>
      <c r="Q24" s="16" t="s">
        <v>76</v>
      </c>
    </row>
    <row r="25" spans="1:17">
      <c r="A25" s="16" t="s">
        <v>121</v>
      </c>
      <c r="B25" s="16">
        <v>1628</v>
      </c>
      <c r="C25" s="16" t="s">
        <v>90</v>
      </c>
      <c r="D25" s="16" t="s">
        <v>43</v>
      </c>
      <c r="E25" s="16" t="s">
        <v>76</v>
      </c>
      <c r="G25" s="16" t="s">
        <v>121</v>
      </c>
      <c r="H25" s="16">
        <v>1503</v>
      </c>
      <c r="I25" s="16" t="s">
        <v>90</v>
      </c>
      <c r="J25" s="16" t="s">
        <v>43</v>
      </c>
      <c r="K25" s="16" t="s">
        <v>76</v>
      </c>
      <c r="M25" s="16" t="s">
        <v>121</v>
      </c>
      <c r="N25" s="16">
        <v>1616</v>
      </c>
      <c r="O25" s="16" t="s">
        <v>90</v>
      </c>
      <c r="P25" s="16" t="s">
        <v>43</v>
      </c>
      <c r="Q25" s="16" t="s">
        <v>76</v>
      </c>
    </row>
    <row r="26" spans="1:17">
      <c r="A26" s="16" t="s">
        <v>122</v>
      </c>
      <c r="B26" s="16">
        <v>1818</v>
      </c>
      <c r="C26" s="16" t="s">
        <v>90</v>
      </c>
      <c r="D26" s="16" t="s">
        <v>36</v>
      </c>
      <c r="E26" s="16" t="s">
        <v>76</v>
      </c>
      <c r="G26" s="16" t="s">
        <v>122</v>
      </c>
      <c r="H26" s="16">
        <v>1958</v>
      </c>
      <c r="I26" s="16" t="s">
        <v>90</v>
      </c>
      <c r="J26" s="16" t="s">
        <v>36</v>
      </c>
      <c r="K26" s="16" t="s">
        <v>76</v>
      </c>
      <c r="M26" s="16" t="s">
        <v>122</v>
      </c>
      <c r="N26" s="16">
        <v>1778</v>
      </c>
      <c r="O26" s="16" t="s">
        <v>90</v>
      </c>
      <c r="P26" s="16" t="s">
        <v>36</v>
      </c>
      <c r="Q26" s="16" t="s">
        <v>76</v>
      </c>
    </row>
    <row r="27" spans="1:17">
      <c r="A27" s="16" t="s">
        <v>123</v>
      </c>
      <c r="B27" s="16">
        <v>40</v>
      </c>
      <c r="C27" s="16" t="s">
        <v>90</v>
      </c>
      <c r="D27" s="16"/>
      <c r="E27" s="16"/>
      <c r="G27" s="16" t="s">
        <v>123</v>
      </c>
      <c r="H27" s="16">
        <v>18</v>
      </c>
      <c r="I27" s="16" t="s">
        <v>90</v>
      </c>
      <c r="J27" s="16"/>
      <c r="K27" s="16"/>
      <c r="M27" s="16" t="s">
        <v>123</v>
      </c>
      <c r="N27" s="16">
        <v>53</v>
      </c>
      <c r="O27" s="16" t="s">
        <v>90</v>
      </c>
      <c r="P27" s="16"/>
      <c r="Q27" s="16"/>
    </row>
    <row r="28" spans="1:17">
      <c r="A28" s="30" t="s">
        <v>94</v>
      </c>
      <c r="B28" s="30">
        <f>SUM(B24:B27)</f>
        <v>3736</v>
      </c>
      <c r="C28" s="30" t="s">
        <v>90</v>
      </c>
      <c r="D28" s="30"/>
      <c r="E28" s="30"/>
      <c r="G28" s="30" t="s">
        <v>94</v>
      </c>
      <c r="H28" s="30">
        <f>SUM(H24:H27)</f>
        <v>3770</v>
      </c>
      <c r="I28" s="30" t="s">
        <v>90</v>
      </c>
      <c r="J28" s="30"/>
      <c r="K28" s="30"/>
      <c r="M28" s="30" t="s">
        <v>94</v>
      </c>
      <c r="N28" s="30">
        <f>SUM(N24:N27)</f>
        <v>3727</v>
      </c>
      <c r="O28" s="30" t="s">
        <v>90</v>
      </c>
      <c r="P28" s="30"/>
      <c r="Q28" s="30"/>
    </row>
    <row r="29" spans="1:17">
      <c r="A29" s="30" t="s">
        <v>124</v>
      </c>
      <c r="B29" s="30">
        <f>PMT('Study Parameters'!$C$4,'Study Parameters'!$C$3, -B28*10^6)</f>
        <v>331859291.13484931</v>
      </c>
      <c r="C29" s="30" t="s">
        <v>125</v>
      </c>
      <c r="D29" s="30"/>
      <c r="E29" s="30"/>
      <c r="G29" s="30" t="s">
        <v>124</v>
      </c>
      <c r="H29" s="30">
        <f>PMT('Study Parameters'!$C$4,'Study Parameters'!$C$3, -H28*10^6)</f>
        <v>334879423.87001657</v>
      </c>
      <c r="I29" s="30" t="s">
        <v>125</v>
      </c>
      <c r="J29" s="30"/>
      <c r="K29" s="30"/>
      <c r="M29" s="30" t="s">
        <v>124</v>
      </c>
      <c r="N29" s="30">
        <f>PMT('Study Parameters'!$C$4,'Study Parameters'!$C$3, -N28*10^6)</f>
        <v>331059844.23436385</v>
      </c>
      <c r="O29" s="30" t="s">
        <v>125</v>
      </c>
      <c r="P29" s="30"/>
      <c r="Q29" s="30"/>
    </row>
    <row r="30" spans="1:17">
      <c r="A30" s="44" t="s">
        <v>95</v>
      </c>
      <c r="B30" s="39"/>
      <c r="C30" s="39"/>
      <c r="D30" s="39"/>
      <c r="E30" s="40"/>
      <c r="G30" s="44" t="s">
        <v>95</v>
      </c>
      <c r="H30" s="39"/>
      <c r="I30" s="39"/>
      <c r="J30" s="39"/>
      <c r="K30" s="40"/>
      <c r="M30" s="44" t="s">
        <v>95</v>
      </c>
      <c r="N30" s="39"/>
      <c r="O30" s="39"/>
      <c r="P30" s="39"/>
      <c r="Q30" s="40"/>
    </row>
    <row r="31" spans="1:17">
      <c r="A31" s="16" t="s">
        <v>88</v>
      </c>
      <c r="B31" s="16" t="s">
        <v>2</v>
      </c>
      <c r="C31" s="16" t="s">
        <v>3</v>
      </c>
      <c r="D31" s="16" t="s">
        <v>31</v>
      </c>
      <c r="E31" s="16" t="s">
        <v>32</v>
      </c>
      <c r="G31" s="16" t="s">
        <v>88</v>
      </c>
      <c r="H31" s="16" t="s">
        <v>2</v>
      </c>
      <c r="I31" s="16" t="s">
        <v>3</v>
      </c>
      <c r="J31" s="16" t="s">
        <v>31</v>
      </c>
      <c r="K31" s="16" t="s">
        <v>32</v>
      </c>
      <c r="M31" s="16" t="s">
        <v>88</v>
      </c>
      <c r="N31" s="16" t="s">
        <v>2</v>
      </c>
      <c r="O31" s="16" t="s">
        <v>3</v>
      </c>
      <c r="P31" s="16" t="s">
        <v>31</v>
      </c>
      <c r="Q31" s="16" t="s">
        <v>32</v>
      </c>
    </row>
    <row r="32" spans="1:17">
      <c r="A32" s="16" t="s">
        <v>126</v>
      </c>
      <c r="B32" s="16">
        <f>0.03 * B24</f>
        <v>7.5</v>
      </c>
      <c r="C32" s="16" t="s">
        <v>97</v>
      </c>
      <c r="D32" s="16" t="s">
        <v>42</v>
      </c>
      <c r="E32" s="16"/>
      <c r="G32" s="16" t="s">
        <v>126</v>
      </c>
      <c r="H32" s="16">
        <f>0.03 * H24</f>
        <v>8.73</v>
      </c>
      <c r="I32" s="16" t="s">
        <v>97</v>
      </c>
      <c r="J32" s="16" t="s">
        <v>42</v>
      </c>
      <c r="K32" s="16"/>
      <c r="M32" s="16" t="s">
        <v>126</v>
      </c>
      <c r="N32" s="16">
        <f>0.03 * N24</f>
        <v>8.4</v>
      </c>
      <c r="O32" s="16" t="s">
        <v>97</v>
      </c>
      <c r="P32" s="16" t="s">
        <v>42</v>
      </c>
      <c r="Q32" s="16"/>
    </row>
    <row r="33" spans="1:17">
      <c r="A33" s="16" t="s">
        <v>127</v>
      </c>
      <c r="B33" s="16">
        <f>0.03 * B26</f>
        <v>54.54</v>
      </c>
      <c r="C33" s="16" t="s">
        <v>97</v>
      </c>
      <c r="D33" s="16" t="s">
        <v>36</v>
      </c>
      <c r="E33" s="16"/>
      <c r="G33" s="16" t="s">
        <v>127</v>
      </c>
      <c r="H33" s="16">
        <f>0.03 * H26</f>
        <v>58.739999999999995</v>
      </c>
      <c r="I33" s="16" t="s">
        <v>97</v>
      </c>
      <c r="J33" s="16" t="s">
        <v>36</v>
      </c>
      <c r="K33" s="16"/>
      <c r="M33" s="16" t="s">
        <v>127</v>
      </c>
      <c r="N33" s="16">
        <f>0.03 * N26</f>
        <v>53.339999999999996</v>
      </c>
      <c r="O33" s="16" t="s">
        <v>97</v>
      </c>
      <c r="P33" s="16" t="s">
        <v>36</v>
      </c>
      <c r="Q33" s="16"/>
    </row>
    <row r="34" spans="1:17">
      <c r="A34" s="16" t="s">
        <v>128</v>
      </c>
      <c r="B34" s="31">
        <f>(1.53 * (1/'Study Parameters'!$C$37) * 'Study Parameters'!$C$18 * 10^9 / 10^3) / 10^6</f>
        <v>2.1299303944315548E-2</v>
      </c>
      <c r="C34" s="16" t="s">
        <v>97</v>
      </c>
      <c r="D34" s="16" t="s">
        <v>36</v>
      </c>
      <c r="E34" s="16"/>
      <c r="G34" s="16" t="s">
        <v>128</v>
      </c>
      <c r="H34" s="31">
        <f>(1.53 * (1/'Study Parameters'!$C$37) * 'Study Parameters'!$C$18 * 10^9 / 10^3) / 10^6</f>
        <v>2.1299303944315548E-2</v>
      </c>
      <c r="I34" s="16" t="s">
        <v>97</v>
      </c>
      <c r="J34" s="16" t="s">
        <v>36</v>
      </c>
      <c r="K34" s="16"/>
      <c r="M34" s="16" t="s">
        <v>128</v>
      </c>
      <c r="N34" s="31">
        <f>(1.53 * (1/'Study Parameters'!$C$37) * 'Study Parameters'!$C$18 * 10^9 / 10^3) / 10^6</f>
        <v>2.1299303944315548E-2</v>
      </c>
      <c r="O34" s="16" t="s">
        <v>97</v>
      </c>
      <c r="P34" s="16" t="s">
        <v>36</v>
      </c>
      <c r="Q34" s="16"/>
    </row>
    <row r="35" spans="1:17">
      <c r="A35" s="16" t="s">
        <v>129</v>
      </c>
      <c r="B35" s="31">
        <f>0.1 * B27</f>
        <v>4</v>
      </c>
      <c r="C35" s="16" t="s">
        <v>97</v>
      </c>
      <c r="D35" s="16"/>
      <c r="E35" s="16"/>
      <c r="G35" s="16" t="s">
        <v>129</v>
      </c>
      <c r="H35" s="31">
        <f>0.1 * H27</f>
        <v>1.8</v>
      </c>
      <c r="I35" s="16" t="s">
        <v>97</v>
      </c>
      <c r="J35" s="16"/>
      <c r="K35" s="16"/>
      <c r="M35" s="16" t="s">
        <v>129</v>
      </c>
      <c r="N35" s="31">
        <f>0.1 * N27</f>
        <v>5.3000000000000007</v>
      </c>
      <c r="O35" s="16" t="s">
        <v>97</v>
      </c>
      <c r="P35" s="16"/>
      <c r="Q35" s="16"/>
    </row>
    <row r="36" spans="1:17">
      <c r="A36" s="16" t="s">
        <v>101</v>
      </c>
      <c r="B36" s="16">
        <f>('Study Parameters'!$C$21*10^3*'Study Parameters'!$C$32) / 10^6</f>
        <v>995.50176266666676</v>
      </c>
      <c r="C36" s="16" t="s">
        <v>97</v>
      </c>
      <c r="D36" s="16"/>
      <c r="E36" s="16"/>
      <c r="G36" s="16" t="s">
        <v>101</v>
      </c>
      <c r="H36" s="16">
        <f>('Study Parameters'!$C$21*10^3*'Study Parameters'!$C$32) / 10^6</f>
        <v>995.50176266666676</v>
      </c>
      <c r="I36" s="16" t="s">
        <v>97</v>
      </c>
      <c r="J36" s="16"/>
      <c r="K36" s="16"/>
      <c r="M36" s="16" t="s">
        <v>101</v>
      </c>
      <c r="N36" s="16">
        <f>('Study Parameters'!$C$21*10^3*'Study Parameters'!$C$32) / 10^6</f>
        <v>995.50176266666676</v>
      </c>
      <c r="O36" s="16" t="s">
        <v>97</v>
      </c>
      <c r="P36" s="16"/>
      <c r="Q36" s="16"/>
    </row>
    <row r="37" spans="1:17">
      <c r="A37" s="16" t="s">
        <v>134</v>
      </c>
      <c r="B37" s="16">
        <f>('Study Parameters'!$C$30*'Study Parameters'!$C$15 * 10^3) / 10^6</f>
        <v>352.18199999999996</v>
      </c>
      <c r="C37" s="16" t="s">
        <v>97</v>
      </c>
      <c r="D37" s="16"/>
      <c r="E37" s="16"/>
      <c r="G37" s="16" t="s">
        <v>134</v>
      </c>
      <c r="H37" s="16">
        <f>('Study Parameters'!$C$30*'Study Parameters'!$C$15 * 10^3) / 10^6</f>
        <v>352.18199999999996</v>
      </c>
      <c r="I37" s="16" t="s">
        <v>97</v>
      </c>
      <c r="J37" s="16"/>
      <c r="K37" s="16"/>
      <c r="M37" s="16" t="s">
        <v>134</v>
      </c>
      <c r="N37" s="16">
        <f>('Study Parameters'!$C$30*'Study Parameters'!$C$15 * 10^3) / 10^6</f>
        <v>352.18199999999996</v>
      </c>
      <c r="O37" s="16" t="s">
        <v>97</v>
      </c>
      <c r="P37" s="16"/>
      <c r="Q37" s="16"/>
    </row>
    <row r="38" spans="1:17">
      <c r="A38" s="30" t="s">
        <v>104</v>
      </c>
      <c r="B38" s="30">
        <f>SUM(B32:B37)</f>
        <v>1413.745061970611</v>
      </c>
      <c r="C38" s="30" t="s">
        <v>97</v>
      </c>
      <c r="D38" s="30"/>
      <c r="E38" s="30"/>
      <c r="G38" s="30" t="s">
        <v>104</v>
      </c>
      <c r="H38" s="30">
        <f>SUM(H32:H37)</f>
        <v>1416.975061970611</v>
      </c>
      <c r="I38" s="30" t="s">
        <v>97</v>
      </c>
      <c r="J38" s="30"/>
      <c r="K38" s="30"/>
      <c r="M38" s="30" t="s">
        <v>104</v>
      </c>
      <c r="N38" s="30">
        <f>SUM(N32:N37)</f>
        <v>1414.745061970611</v>
      </c>
      <c r="O38" s="30" t="s">
        <v>97</v>
      </c>
      <c r="P38" s="30"/>
      <c r="Q38" s="30"/>
    </row>
    <row r="39" spans="1:17" s="24" customFormat="1">
      <c r="A39" s="25"/>
      <c r="B39" s="25"/>
      <c r="C39" s="25"/>
      <c r="D39" s="25"/>
      <c r="E39" s="25"/>
      <c r="G39" s="25"/>
      <c r="H39" s="25"/>
      <c r="I39" s="25"/>
      <c r="J39" s="25"/>
      <c r="K39" s="25"/>
      <c r="M39" s="25"/>
      <c r="N39" s="25"/>
      <c r="O39" s="25"/>
      <c r="P39" s="25"/>
      <c r="Q39" s="25"/>
    </row>
    <row r="41" spans="1:17">
      <c r="A41" s="45" t="s">
        <v>135</v>
      </c>
      <c r="B41" s="46"/>
      <c r="C41" s="46"/>
      <c r="D41" s="1"/>
      <c r="E41" s="1"/>
      <c r="G41" s="45" t="s">
        <v>136</v>
      </c>
      <c r="H41" s="46"/>
      <c r="I41" s="46"/>
      <c r="J41" s="1"/>
      <c r="K41" s="1"/>
      <c r="M41" s="45" t="s">
        <v>137</v>
      </c>
      <c r="N41" s="46"/>
      <c r="O41" s="46"/>
      <c r="P41" s="1"/>
      <c r="Q41" s="1"/>
    </row>
    <row r="42" spans="1:17">
      <c r="A42" t="s">
        <v>101</v>
      </c>
      <c r="B42">
        <f>('Study Parameters'!$C$21*10^3*Inputs!$C$8) / 10^6</f>
        <v>1225.2329386666668</v>
      </c>
      <c r="C42" t="s">
        <v>97</v>
      </c>
      <c r="G42" t="s">
        <v>101</v>
      </c>
      <c r="H42">
        <f>('Study Parameters'!$C$21*10^3*Inputs!$C$8) / 10^6</f>
        <v>1225.2329386666668</v>
      </c>
      <c r="I42" t="s">
        <v>97</v>
      </c>
      <c r="M42" t="s">
        <v>101</v>
      </c>
      <c r="N42">
        <f>('Study Parameters'!$C$21*10^3*Inputs!$C$8) / 10^6</f>
        <v>1225.2329386666668</v>
      </c>
      <c r="O42" t="s">
        <v>97</v>
      </c>
    </row>
    <row r="43" spans="1:17">
      <c r="A43" s="8" t="s">
        <v>138</v>
      </c>
      <c r="B43" s="8">
        <f>B18-B16+B42</f>
        <v>1694.8972379706111</v>
      </c>
      <c r="C43" s="8" t="s">
        <v>97</v>
      </c>
      <c r="G43" s="8" t="s">
        <v>138</v>
      </c>
      <c r="H43" s="8">
        <f>H18-H16+H42</f>
        <v>1687.007237970611</v>
      </c>
      <c r="I43" s="8" t="s">
        <v>97</v>
      </c>
      <c r="M43" s="8" t="s">
        <v>138</v>
      </c>
      <c r="N43" s="8">
        <f>N18-N16+N42</f>
        <v>1700.8172379706109</v>
      </c>
      <c r="O43" s="8" t="s">
        <v>97</v>
      </c>
    </row>
    <row r="44" spans="1:17">
      <c r="A44" t="s">
        <v>134</v>
      </c>
      <c r="B44" s="28">
        <f>(Inputs!$C$32*'Study Parameters'!$C$15 * 10^3) / 10^6</f>
        <v>3055.9589999999994</v>
      </c>
      <c r="C44" t="s">
        <v>97</v>
      </c>
      <c r="G44" t="s">
        <v>134</v>
      </c>
      <c r="H44">
        <f>(Inputs!$C$32*'Study Parameters'!$C$15 * 10^3) / 10^6</f>
        <v>3055.9589999999994</v>
      </c>
      <c r="I44" t="s">
        <v>97</v>
      </c>
      <c r="M44" t="s">
        <v>134</v>
      </c>
      <c r="N44">
        <f>(Inputs!$C$32*'Study Parameters'!$C$15 * 10^3) / 10^6</f>
        <v>3055.9589999999994</v>
      </c>
      <c r="O44" t="s">
        <v>97</v>
      </c>
    </row>
    <row r="45" spans="1:17">
      <c r="A45" s="8" t="s">
        <v>139</v>
      </c>
      <c r="B45" s="29">
        <f>B43-B17+B44</f>
        <v>4356.3232379706105</v>
      </c>
      <c r="C45" s="8" t="s">
        <v>97</v>
      </c>
      <c r="G45" s="8" t="s">
        <v>139</v>
      </c>
      <c r="H45" s="8">
        <f>H43-H17+H44</f>
        <v>4348.4332379706102</v>
      </c>
      <c r="I45" s="8" t="s">
        <v>97</v>
      </c>
      <c r="M45" s="8" t="s">
        <v>139</v>
      </c>
      <c r="N45" s="26">
        <f>N43-N17+N44</f>
        <v>4362.2432379706106</v>
      </c>
      <c r="O45" s="8" t="s">
        <v>97</v>
      </c>
    </row>
    <row r="46" spans="1:17">
      <c r="A46" t="s">
        <v>7</v>
      </c>
      <c r="B46" s="4">
        <f>Inputs!$C$5</f>
        <v>7.0000000000000007E-2</v>
      </c>
      <c r="G46" t="s">
        <v>7</v>
      </c>
      <c r="H46" s="4">
        <f>Inputs!$C$5</f>
        <v>7.0000000000000007E-2</v>
      </c>
      <c r="M46" t="s">
        <v>7</v>
      </c>
      <c r="N46" s="4">
        <f>Inputs!$C$5</f>
        <v>7.0000000000000007E-2</v>
      </c>
    </row>
    <row r="47" spans="1:17">
      <c r="A47" s="8" t="s">
        <v>140</v>
      </c>
      <c r="B47" s="27">
        <f>PMT(B46,'Study Parameters'!$C$3, -B8*10^6)</f>
        <v>502859157.90933394</v>
      </c>
      <c r="C47" s="27" t="s">
        <v>125</v>
      </c>
      <c r="G47" s="8" t="s">
        <v>140</v>
      </c>
      <c r="H47" s="27">
        <f>PMT(H46,'Study Parameters'!$C$3, -H8*10^6)</f>
        <v>399386215.80106711</v>
      </c>
      <c r="I47" s="27" t="s">
        <v>125</v>
      </c>
      <c r="M47" s="8" t="s">
        <v>140</v>
      </c>
      <c r="N47" s="27">
        <f>PMT(N46,'Study Parameters'!$C$3, -N8*10^6)</f>
        <v>516075328.08515614</v>
      </c>
      <c r="O47" s="27" t="s">
        <v>125</v>
      </c>
    </row>
    <row r="48" spans="1:17">
      <c r="B48" s="6"/>
      <c r="C48" s="6"/>
      <c r="H48" s="6"/>
      <c r="I48" s="6"/>
      <c r="N48" s="6"/>
      <c r="O48" s="6"/>
    </row>
    <row r="50" spans="1:15">
      <c r="A50" s="45" t="s">
        <v>141</v>
      </c>
      <c r="B50" s="46"/>
      <c r="C50" s="46"/>
      <c r="G50" s="45" t="s">
        <v>142</v>
      </c>
      <c r="H50" s="46"/>
      <c r="I50" s="46"/>
      <c r="M50" s="48" t="s">
        <v>143</v>
      </c>
      <c r="N50" s="46"/>
      <c r="O50" s="46"/>
    </row>
    <row r="51" spans="1:15">
      <c r="A51" t="s">
        <v>101</v>
      </c>
      <c r="B51">
        <f>('Study Parameters'!$C$21*10^3*Inputs!$C$9) / 10^6</f>
        <v>210.58691133333335</v>
      </c>
      <c r="C51" t="s">
        <v>97</v>
      </c>
      <c r="G51" t="s">
        <v>101</v>
      </c>
      <c r="H51">
        <f>('Study Parameters'!$C$21*10^3*Inputs!$C$9) / 10^6</f>
        <v>210.58691133333335</v>
      </c>
      <c r="I51" t="s">
        <v>97</v>
      </c>
      <c r="M51" t="s">
        <v>101</v>
      </c>
      <c r="N51">
        <f>('Study Parameters'!$C$21*10^3*Inputs!$C$9) / 10^6</f>
        <v>210.58691133333335</v>
      </c>
      <c r="O51" t="s">
        <v>97</v>
      </c>
    </row>
    <row r="52" spans="1:15">
      <c r="A52" s="8" t="s">
        <v>138</v>
      </c>
      <c r="B52" s="8">
        <f>B38-B36+B51</f>
        <v>628.83021063727756</v>
      </c>
      <c r="C52" s="8" t="s">
        <v>97</v>
      </c>
      <c r="G52" s="8" t="s">
        <v>138</v>
      </c>
      <c r="H52" s="8">
        <f>H38-H36+H51</f>
        <v>632.06021063727758</v>
      </c>
      <c r="I52" s="8" t="s">
        <v>97</v>
      </c>
      <c r="M52" s="8" t="s">
        <v>138</v>
      </c>
      <c r="N52" s="8">
        <f>N38-N36+N51</f>
        <v>629.83021063727756</v>
      </c>
      <c r="O52" s="8" t="s">
        <v>97</v>
      </c>
    </row>
    <row r="53" spans="1:15">
      <c r="A53" t="s">
        <v>134</v>
      </c>
      <c r="B53" s="28">
        <f>(Inputs!$C$33*'Study Parameters'!$C$15 * 10^3) / 10^6</f>
        <v>1107.8129999999999</v>
      </c>
      <c r="C53" t="s">
        <v>97</v>
      </c>
      <c r="G53" t="s">
        <v>134</v>
      </c>
      <c r="H53" s="28">
        <f>(Inputs!$C$33*'Study Parameters'!$C$15 * 10^3) / 10^6</f>
        <v>1107.8129999999999</v>
      </c>
      <c r="I53" t="s">
        <v>97</v>
      </c>
      <c r="M53" t="s">
        <v>134</v>
      </c>
      <c r="N53" s="28">
        <f>(Inputs!$C$33*'Study Parameters'!$C$15 * 10^3) / 10^6</f>
        <v>1107.8129999999999</v>
      </c>
      <c r="O53" t="s">
        <v>97</v>
      </c>
    </row>
    <row r="54" spans="1:15">
      <c r="A54" s="8" t="s">
        <v>139</v>
      </c>
      <c r="B54" s="29">
        <f>B52-B37+B53</f>
        <v>1384.4612106372774</v>
      </c>
      <c r="C54" s="8" t="s">
        <v>97</v>
      </c>
      <c r="G54" s="8" t="s">
        <v>139</v>
      </c>
      <c r="H54" s="29">
        <f>H52-H37+H53</f>
        <v>1387.6912106372774</v>
      </c>
      <c r="I54" s="8" t="s">
        <v>97</v>
      </c>
      <c r="M54" s="8" t="s">
        <v>139</v>
      </c>
      <c r="N54" s="29">
        <f>N52-N37+N53</f>
        <v>1385.4612106372774</v>
      </c>
      <c r="O54" s="8" t="s">
        <v>97</v>
      </c>
    </row>
    <row r="55" spans="1:15">
      <c r="A55" t="s">
        <v>7</v>
      </c>
      <c r="B55" s="4">
        <f>Inputs!$C$5</f>
        <v>7.0000000000000007E-2</v>
      </c>
      <c r="G55" t="s">
        <v>7</v>
      </c>
      <c r="H55" s="4">
        <f>Inputs!$C$5</f>
        <v>7.0000000000000007E-2</v>
      </c>
      <c r="M55" t="s">
        <v>7</v>
      </c>
      <c r="N55" s="4">
        <f>Inputs!$C$5</f>
        <v>7.0000000000000007E-2</v>
      </c>
    </row>
    <row r="56" spans="1:15">
      <c r="A56" s="8" t="s">
        <v>140</v>
      </c>
      <c r="B56" s="7">
        <f>PMT(B55,'Study Parameters'!$C$3, -B28*10^6)</f>
        <v>301070803.51751143</v>
      </c>
      <c r="C56" s="27" t="s">
        <v>125</v>
      </c>
      <c r="G56" s="8" t="s">
        <v>140</v>
      </c>
      <c r="H56" s="7">
        <f>PMT(H55,'Study Parameters'!$C$3, -H28*10^6)</f>
        <v>303810741.23688918</v>
      </c>
      <c r="I56" s="27" t="s">
        <v>125</v>
      </c>
      <c r="M56" s="8" t="s">
        <v>140</v>
      </c>
      <c r="N56" s="7">
        <f>PMT(N55,'Study Parameters'!$C$3, -N28*10^6)</f>
        <v>300345525.88591146</v>
      </c>
      <c r="O56" s="27" t="s">
        <v>125</v>
      </c>
    </row>
    <row r="58" spans="1:15">
      <c r="A58" s="1"/>
    </row>
  </sheetData>
  <mergeCells count="24">
    <mergeCell ref="A50:C50"/>
    <mergeCell ref="M1:Q1"/>
    <mergeCell ref="M2:Q2"/>
    <mergeCell ref="G10:K10"/>
    <mergeCell ref="M10:Q10"/>
    <mergeCell ref="M41:O41"/>
    <mergeCell ref="M22:Q22"/>
    <mergeCell ref="A21:E21"/>
    <mergeCell ref="G30:K30"/>
    <mergeCell ref="M30:Q30"/>
    <mergeCell ref="G50:I50"/>
    <mergeCell ref="A2:E2"/>
    <mergeCell ref="M21:Q21"/>
    <mergeCell ref="G41:I41"/>
    <mergeCell ref="M50:O50"/>
    <mergeCell ref="A22:E22"/>
    <mergeCell ref="A30:E30"/>
    <mergeCell ref="A41:C41"/>
    <mergeCell ref="G21:K21"/>
    <mergeCell ref="G2:K2"/>
    <mergeCell ref="A1:E1"/>
    <mergeCell ref="A10:E10"/>
    <mergeCell ref="G1:K1"/>
    <mergeCell ref="G22:K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F65"/>
  <sheetViews>
    <sheetView topLeftCell="A32" workbookViewId="0">
      <selection activeCell="C50" sqref="C50"/>
    </sheetView>
  </sheetViews>
  <sheetFormatPr defaultColWidth="11" defaultRowHeight="15.6"/>
  <cols>
    <col min="1" max="1" width="26.8984375" bestFit="1" customWidth="1"/>
    <col min="2" max="2" width="17.59765625" bestFit="1" customWidth="1"/>
    <col min="3" max="3" width="11.097656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145</v>
      </c>
      <c r="B3">
        <v>0</v>
      </c>
      <c r="C3">
        <f>'Cost Components'!$B$18 * 10^6</f>
        <v>1714041502.6372778</v>
      </c>
      <c r="D3">
        <f>'Cost Components'!$B$18 * 10^6 + 'Cost Components'!$B$9</f>
        <v>2268324686.9738569</v>
      </c>
      <c r="E3">
        <f>'Cost Components'!$B$18 * 10^6 + 'Cost Components'!$B$9</f>
        <v>2268324686.9738569</v>
      </c>
      <c r="F3">
        <f>'Cost Components'!$B$18 * 10^6 + 'Cost Components'!$B$9</f>
        <v>2268324686.9738569</v>
      </c>
      <c r="G3">
        <f>'Cost Components'!$B$18 * 10^6 + 'Cost Components'!$B$9</f>
        <v>2268324686.9738569</v>
      </c>
      <c r="H3">
        <f>'Cost Components'!$B$18 * 10^6 + 'Cost Components'!$B$9</f>
        <v>2268324686.9738569</v>
      </c>
      <c r="I3">
        <f>'Cost Components'!$B$18 * 10^6 + 'Cost Components'!$B$9</f>
        <v>2268324686.9738569</v>
      </c>
      <c r="J3">
        <f>'Cost Components'!$B$18 * 10^6 + 'Cost Components'!$B$9</f>
        <v>2268324686.9738569</v>
      </c>
      <c r="K3">
        <f>'Cost Components'!$B$18 * 10^6 + 'Cost Components'!$B$9</f>
        <v>2268324686.9738569</v>
      </c>
      <c r="L3">
        <f>'Cost Components'!$B$18 * 10^6 + 'Cost Components'!$B$9</f>
        <v>2268324686.9738569</v>
      </c>
      <c r="M3">
        <f>'Cost Components'!$B$18 * 10^6 + 'Cost Components'!$B$9</f>
        <v>2268324686.9738569</v>
      </c>
      <c r="N3">
        <f>'Cost Components'!$B$18 * 10^6 + 'Cost Components'!$B$9</f>
        <v>2268324686.9738569</v>
      </c>
      <c r="O3">
        <f>'Cost Components'!$B$18 * 10^6 + 'Cost Components'!$B$9</f>
        <v>2268324686.9738569</v>
      </c>
      <c r="P3">
        <f>'Cost Components'!$B$18 * 10^6 + 'Cost Components'!$B$9</f>
        <v>2268324686.9738569</v>
      </c>
      <c r="Q3">
        <f>'Cost Components'!$B$18 * 10^6 + 'Cost Components'!$B$9</f>
        <v>2268324686.9738569</v>
      </c>
      <c r="R3">
        <f>'Cost Components'!$B$18 * 10^6 + 'Cost Components'!$B$9</f>
        <v>2268324686.9738569</v>
      </c>
      <c r="S3">
        <f>'Cost Components'!$B$18 * 10^6 + 'Cost Components'!$B$9</f>
        <v>2268324686.9738569</v>
      </c>
      <c r="T3">
        <f>'Cost Components'!$B$18 * 10^6 + 'Cost Components'!$B$9</f>
        <v>2268324686.9738569</v>
      </c>
      <c r="U3">
        <f>'Cost Components'!$B$18 * 10^6 + 'Cost Components'!$B$9</f>
        <v>2268324686.9738569</v>
      </c>
      <c r="V3">
        <f>'Cost Components'!$B$18 * 10^6 + 'Cost Components'!$B$9</f>
        <v>2268324686.9738569</v>
      </c>
      <c r="W3">
        <f>'Cost Components'!$B$18 * 10^6 + 'Cost Components'!$B$9</f>
        <v>2268324686.9738569</v>
      </c>
      <c r="X3">
        <f>'Cost Components'!$B$18 * 10^6 + 'Cost Components'!$B$9</f>
        <v>2268324686.9738569</v>
      </c>
      <c r="Y3">
        <f>'Cost Components'!$B$18 * 10^6 + 'Cost Components'!$B$9</f>
        <v>2268324686.9738569</v>
      </c>
      <c r="Z3">
        <f>'Cost Components'!$B$18 * 10^6 + 'Cost Components'!$B$9</f>
        <v>2268324686.9738569</v>
      </c>
      <c r="AA3">
        <f>'Cost Components'!$B$18 * 10^6 + 'Cost Components'!$B$9</f>
        <v>2268324686.9738569</v>
      </c>
      <c r="AB3">
        <f>'Cost Components'!$B$18 * 10^6 + 'Cost Components'!$B$9</f>
        <v>2268324686.9738569</v>
      </c>
      <c r="AC3">
        <f>'Cost Components'!$B$18 * 10^6 + 'Cost Components'!$B$9</f>
        <v>2268324686.9738569</v>
      </c>
      <c r="AD3">
        <f>'Cost Components'!$B$18 * 10^6 + 'Cost Components'!$B$9</f>
        <v>2268324686.9738569</v>
      </c>
      <c r="AE3">
        <f>'Cost Components'!$B$18 * 10^6 + 'Cost Components'!$B$9</f>
        <v>2268324686.9738569</v>
      </c>
      <c r="AF3">
        <f>'Cost Components'!$B$18 * 10^6 + 'Cost Components'!$B$9</f>
        <v>2268324686.9738569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2141358649.7414658</v>
      </c>
      <c r="D5">
        <f>D3/((1+'Study Parameters'!$C$4)^'MFSP Baseline'!D2) + D4</f>
        <v>2499005995.5281572</v>
      </c>
      <c r="E5">
        <f>E3/((1+'Study Parameters'!$C$4)^'MFSP Baseline'!E2) + E4</f>
        <v>2354952453.9584103</v>
      </c>
      <c r="F5">
        <f>F3/((1+'Study Parameters'!$C$4)^'MFSP Baseline'!F2) + F4</f>
        <v>2221569545.0975342</v>
      </c>
      <c r="G5">
        <f>G3/((1+'Study Parameters'!$C$4)^'MFSP Baseline'!G2) + G4</f>
        <v>2098066851.7078338</v>
      </c>
      <c r="H5">
        <f>H3/((1+'Study Parameters'!$C$4)^'MFSP Baseline'!H2) + H4</f>
        <v>1983712505.9766295</v>
      </c>
      <c r="I5">
        <f>I3/((1+'Study Parameters'!$C$4)^'MFSP Baseline'!I2) + I4</f>
        <v>1877828852.5218108</v>
      </c>
      <c r="J5">
        <f>J3/((1+'Study Parameters'!$C$4)^'MFSP Baseline'!J2) + J4</f>
        <v>1779788432.6562381</v>
      </c>
      <c r="K5">
        <f>K3/((1+'Study Parameters'!$C$4)^'MFSP Baseline'!K2) + K4</f>
        <v>1689010266.1140411</v>
      </c>
      <c r="L5">
        <f>L3/((1+'Study Parameters'!$C$4)^'MFSP Baseline'!L2) + L4</f>
        <v>1604956408.2045994</v>
      </c>
      <c r="M5">
        <f>M3/((1+'Study Parameters'!$C$4)^'MFSP Baseline'!M2) + M4</f>
        <v>1527128761.9921536</v>
      </c>
      <c r="N5">
        <f>N3/((1+'Study Parameters'!$C$4)^'MFSP Baseline'!N2) + N4</f>
        <v>1455066126.6102591</v>
      </c>
      <c r="O5">
        <f>O3/((1+'Study Parameters'!$C$4)^'MFSP Baseline'!O2) + O4</f>
        <v>1388341464.2196159</v>
      </c>
      <c r="P5">
        <f>P3/((1+'Study Parameters'!$C$4)^'MFSP Baseline'!P2) + P4</f>
        <v>1326559369.413465</v>
      </c>
      <c r="Q5">
        <f>Q3/((1+'Study Parameters'!$C$4)^'MFSP Baseline'!Q2) + Q4</f>
        <v>1269353726.0744364</v>
      </c>
      <c r="R5">
        <f>R3/((1+'Study Parameters'!$C$4)^'MFSP Baseline'!R2) + R4</f>
        <v>1216385537.7975581</v>
      </c>
      <c r="S5">
        <f>S3/((1+'Study Parameters'!$C$4)^'MFSP Baseline'!S2) + S4</f>
        <v>1167340919.0226707</v>
      </c>
      <c r="T5">
        <f>T3/((1+'Study Parameters'!$C$4)^'MFSP Baseline'!T2) + T4</f>
        <v>1121929234.971849</v>
      </c>
      <c r="U5">
        <f>U3/((1+'Study Parameters'!$C$4)^'MFSP Baseline'!U2) + U4</f>
        <v>1079881379.3692365</v>
      </c>
      <c r="V5">
        <f>V3/((1+'Study Parameters'!$C$4)^'MFSP Baseline'!V2) + V4</f>
        <v>1040948179.7371877</v>
      </c>
      <c r="W5">
        <f>W3/((1+'Study Parameters'!$C$4)^'MFSP Baseline'!W2) + W4</f>
        <v>1004898920.8186241</v>
      </c>
      <c r="X5">
        <f>X3/((1+'Study Parameters'!$C$4)^'MFSP Baseline'!X2) + X4</f>
        <v>971519977.37550962</v>
      </c>
      <c r="Y5">
        <f>Y3/((1+'Study Parameters'!$C$4)^'MFSP Baseline'!Y2) + Y4</f>
        <v>940613548.26151478</v>
      </c>
      <c r="Z5">
        <f>Z3/((1+'Study Parameters'!$C$4)^'MFSP Baseline'!Z2) + Z4</f>
        <v>911996484.26707506</v>
      </c>
      <c r="AA5">
        <f>AA3/((1+'Study Parameters'!$C$4)^'MFSP Baseline'!AA2) + AA4</f>
        <v>885499202.79074192</v>
      </c>
      <c r="AB5">
        <f>AB3/((1+'Study Parameters'!$C$4)^'MFSP Baseline'!AB2) + AB4</f>
        <v>860964682.9052484</v>
      </c>
      <c r="AC5">
        <f>AC3/((1+'Study Parameters'!$C$4)^'MFSP Baseline'!AC2) + AC4</f>
        <v>838247534.86312485</v>
      </c>
      <c r="AD5">
        <f>AD3/((1+'Study Parameters'!$C$4)^'MFSP Baseline'!AD2) + AD4</f>
        <v>817213138.52782512</v>
      </c>
      <c r="AE5">
        <f>AE3/((1+'Study Parameters'!$C$4)^'MFSP Baseline'!AE2) + AE4</f>
        <v>797736845.62476981</v>
      </c>
      <c r="AF5">
        <f>AF3/((1+'Study Parameters'!$C$4)^'MFSP Baseline'!AF2) + AF4</f>
        <v>779703241.08490384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4.624753489178385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145</v>
      </c>
      <c r="B13">
        <v>0</v>
      </c>
      <c r="C13">
        <f>'Cost Components'!$B$38*10^6</f>
        <v>1413745061.9706111</v>
      </c>
      <c r="D13">
        <f>'Cost Components'!$B$38*10^6</f>
        <v>1413745061.9706111</v>
      </c>
      <c r="E13">
        <f>'Cost Components'!$B$38*10^6</f>
        <v>1413745061.9706111</v>
      </c>
      <c r="F13">
        <f>'Cost Components'!$B$38*10^6</f>
        <v>1413745061.9706111</v>
      </c>
      <c r="G13">
        <f>'Cost Components'!$B$38*10^6</f>
        <v>1413745061.9706111</v>
      </c>
      <c r="H13">
        <f>'Cost Components'!$B$38*10^6</f>
        <v>1413745061.9706111</v>
      </c>
      <c r="I13">
        <f>'Cost Components'!$B$38*10^6</f>
        <v>1413745061.9706111</v>
      </c>
      <c r="J13">
        <f>'Cost Components'!$B$38*10^6</f>
        <v>1413745061.9706111</v>
      </c>
      <c r="K13">
        <f>'Cost Components'!$B$38*10^6</f>
        <v>1413745061.9706111</v>
      </c>
      <c r="L13">
        <f>'Cost Components'!$B$38*10^6</f>
        <v>1413745061.9706111</v>
      </c>
      <c r="M13">
        <f>'Cost Components'!$B$38*10^6</f>
        <v>1413745061.9706111</v>
      </c>
      <c r="N13">
        <f>'Cost Components'!$B$38*10^6</f>
        <v>1413745061.9706111</v>
      </c>
      <c r="O13">
        <f>'Cost Components'!$B$38*10^6</f>
        <v>1413745061.9706111</v>
      </c>
      <c r="P13">
        <f>'Cost Components'!$B$38*10^6</f>
        <v>1413745061.9706111</v>
      </c>
      <c r="Q13">
        <f>'Cost Components'!$B$38*10^6</f>
        <v>1413745061.9706111</v>
      </c>
      <c r="R13">
        <f>'Cost Components'!$B$38*10^6</f>
        <v>1413745061.9706111</v>
      </c>
      <c r="S13">
        <f>'Cost Components'!$B$38*10^6</f>
        <v>1413745061.9706111</v>
      </c>
      <c r="T13">
        <f>'Cost Components'!$B$38*10^6</f>
        <v>1413745061.9706111</v>
      </c>
      <c r="U13">
        <f>'Cost Components'!$B$38*10^6</f>
        <v>1413745061.9706111</v>
      </c>
      <c r="V13">
        <f>'Cost Components'!$B$38*10^6</f>
        <v>1413745061.9706111</v>
      </c>
      <c r="W13">
        <f>'Cost Components'!$B$38*10^6</f>
        <v>1413745061.9706111</v>
      </c>
      <c r="X13">
        <f>'Cost Components'!$B$38*10^6</f>
        <v>1413745061.9706111</v>
      </c>
      <c r="Y13">
        <f>'Cost Components'!$B$38*10^6</f>
        <v>1413745061.9706111</v>
      </c>
      <c r="Z13">
        <f>'Cost Components'!$B$38*10^6</f>
        <v>1413745061.9706111</v>
      </c>
      <c r="AA13">
        <f>'Cost Components'!$B$38*10^6</f>
        <v>1413745061.9706111</v>
      </c>
      <c r="AB13">
        <f>'Cost Components'!$B$38*10^6</f>
        <v>1413745061.9706111</v>
      </c>
      <c r="AC13">
        <f>'Cost Components'!$B$38*10^6</f>
        <v>1413745061.9706111</v>
      </c>
      <c r="AD13">
        <f>'Cost Components'!$B$38*10^6</f>
        <v>1413745061.9706111</v>
      </c>
      <c r="AE13">
        <f>'Cost Components'!$B$38*10^6</f>
        <v>1413745061.9706111</v>
      </c>
      <c r="AF13">
        <f>'Cost Components'!$B$38*10^6</f>
        <v>1413745061.9706111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+C14</f>
        <v>1640882496.6631927</v>
      </c>
      <c r="D15">
        <f>D13/((1+'Study Parameters'!$C$4)^'MFSP Baseline'!D12) +D14</f>
        <v>1543917814.7722044</v>
      </c>
      <c r="E15">
        <f>E13/((1+'Study Parameters'!$C$4)^'MFSP Baseline'!E12) +E14</f>
        <v>1454135701.9101779</v>
      </c>
      <c r="F15">
        <f>F13/((1+'Study Parameters'!$C$4)^'MFSP Baseline'!F12) +F14</f>
        <v>1371004115.9268203</v>
      </c>
      <c r="G15">
        <f>G13/((1+'Study Parameters'!$C$4)^'MFSP Baseline'!G12) +G14</f>
        <v>1294030425.201489</v>
      </c>
      <c r="H15">
        <f>H13/((1+'Study Parameters'!$C$4)^'MFSP Baseline'!H12) +H14</f>
        <v>1222758489.3447008</v>
      </c>
      <c r="I15">
        <f>I13/((1+'Study Parameters'!$C$4)^'MFSP Baseline'!I12) +I14</f>
        <v>1156765956.143971</v>
      </c>
      <c r="J15">
        <f>J13/((1+'Study Parameters'!$C$4)^'MFSP Baseline'!J12) +J14</f>
        <v>1095661758.735888</v>
      </c>
      <c r="K15">
        <f>K13/((1+'Study Parameters'!$C$4)^'MFSP Baseline'!K12) +K14</f>
        <v>1039083798.172848</v>
      </c>
      <c r="L15">
        <f>L13/((1+'Study Parameters'!$C$4)^'MFSP Baseline'!L12) +L14</f>
        <v>986696797.65151477</v>
      </c>
      <c r="M15">
        <f>M13/((1+'Study Parameters'!$C$4)^'MFSP Baseline'!M12) +M14</f>
        <v>938190315.68731737</v>
      </c>
      <c r="N15">
        <f>N13/((1+'Study Parameters'!$C$4)^'MFSP Baseline'!N12) +N14</f>
        <v>893276906.46120858</v>
      </c>
      <c r="O15">
        <f>O13/((1+'Study Parameters'!$C$4)^'MFSP Baseline'!O12) +O14</f>
        <v>851690416.43703377</v>
      </c>
      <c r="P15">
        <f>P13/((1+'Study Parameters'!$C$4)^'MFSP Baseline'!P12) +P14</f>
        <v>813184407.15539038</v>
      </c>
      <c r="Q15">
        <f>Q13/((1+'Study Parameters'!$C$4)^'MFSP Baseline'!Q12) +Q14</f>
        <v>777530694.85757256</v>
      </c>
      <c r="R15">
        <f>R13/((1+'Study Parameters'!$C$4)^'MFSP Baseline'!R12) +R14</f>
        <v>744517998.28551888</v>
      </c>
      <c r="S15">
        <f>S13/((1+'Study Parameters'!$C$4)^'MFSP Baseline'!S12) +S14</f>
        <v>713950686.64472866</v>
      </c>
      <c r="T15">
        <f>T13/((1+'Study Parameters'!$C$4)^'MFSP Baseline'!T12) +T14</f>
        <v>685647620.31066346</v>
      </c>
      <c r="U15">
        <f>U13/((1+'Study Parameters'!$C$4)^'MFSP Baseline'!U12) +U14</f>
        <v>659441077.40875125</v>
      </c>
      <c r="V15">
        <f>V13/((1+'Study Parameters'!$C$4)^'MFSP Baseline'!V12) +V14</f>
        <v>635175759.90698075</v>
      </c>
      <c r="W15">
        <f>W13/((1+'Study Parameters'!$C$4)^'MFSP Baseline'!W12) +W14</f>
        <v>612707873.33126736</v>
      </c>
      <c r="X15">
        <f>X13/((1+'Study Parameters'!$C$4)^'MFSP Baseline'!X12) +X14</f>
        <v>591904274.65005112</v>
      </c>
      <c r="Y15">
        <f>Y13/((1+'Study Parameters'!$C$4)^'MFSP Baseline'!Y12) +Y14</f>
        <v>572641683.27855468</v>
      </c>
      <c r="Z15">
        <f>Z13/((1+'Study Parameters'!$C$4)^'MFSP Baseline'!Z12) +Z14</f>
        <v>554805950.52716911</v>
      </c>
      <c r="AA15">
        <f>AA13/((1+'Study Parameters'!$C$4)^'MFSP Baseline'!AA12) +AA14</f>
        <v>538291383.16477501</v>
      </c>
      <c r="AB15">
        <f>AB13/((1+'Study Parameters'!$C$4)^'MFSP Baseline'!AB12) +AB14</f>
        <v>523000117.08848423</v>
      </c>
      <c r="AC15">
        <f>AC13/((1+'Study Parameters'!$C$4)^'MFSP Baseline'!AC12) +AC14</f>
        <v>508841537.38821495</v>
      </c>
      <c r="AD15">
        <f>AD13/((1+'Study Parameters'!$C$4)^'MFSP Baseline'!AD12) +AD14</f>
        <v>495731741.36944711</v>
      </c>
      <c r="AE15">
        <f>AE13/((1+'Study Parameters'!$C$4)^'MFSP Baseline'!AE12) +AE14</f>
        <v>483593041.3520695</v>
      </c>
      <c r="AF15">
        <f>AF13/((1+'Study Parameters'!$C$4)^'MFSP Baseline'!AF12) +AF14</f>
        <v>472353504.29894209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2.8726141678593238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145</v>
      </c>
      <c r="B25">
        <v>0</v>
      </c>
      <c r="C25">
        <f>'Cost Components'!$H$18 * 10^6</f>
        <v>1706151502.6372776</v>
      </c>
      <c r="D25">
        <f>'Cost Components'!$H$9+'Cost Components'!$H$18 * 10^6</f>
        <v>2146380262.5045991</v>
      </c>
      <c r="E25">
        <f>'Cost Components'!$H$9+'Cost Components'!$H$18 * 10^6</f>
        <v>2146380262.5045991</v>
      </c>
      <c r="F25">
        <f>'Cost Components'!$H$9+'Cost Components'!$H$18 * 10^6</f>
        <v>2146380262.5045991</v>
      </c>
      <c r="G25">
        <f>'Cost Components'!$H$9+'Cost Components'!$H$18 * 10^6</f>
        <v>2146380262.5045991</v>
      </c>
      <c r="H25">
        <f>'Cost Components'!$H$9+'Cost Components'!$H$18 * 10^6</f>
        <v>2146380262.5045991</v>
      </c>
      <c r="I25">
        <f>'Cost Components'!$H$9+'Cost Components'!$H$18 * 10^6</f>
        <v>2146380262.5045991</v>
      </c>
      <c r="J25">
        <f>'Cost Components'!$H$9+'Cost Components'!$H$18 * 10^6</f>
        <v>2146380262.5045991</v>
      </c>
      <c r="K25">
        <f>'Cost Components'!$H$9+'Cost Components'!$H$18 * 10^6</f>
        <v>2146380262.5045991</v>
      </c>
      <c r="L25">
        <f>'Cost Components'!$H$9+'Cost Components'!$H$18 * 10^6</f>
        <v>2146380262.5045991</v>
      </c>
      <c r="M25">
        <f>'Cost Components'!$H$9+'Cost Components'!$H$18 * 10^6</f>
        <v>2146380262.5045991</v>
      </c>
      <c r="N25">
        <f>'Cost Components'!$H$9+'Cost Components'!$H$18 * 10^6</f>
        <v>2146380262.5045991</v>
      </c>
      <c r="O25">
        <f>'Cost Components'!$H$9+'Cost Components'!$H$18 * 10^6</f>
        <v>2146380262.5045991</v>
      </c>
      <c r="P25">
        <f>'Cost Components'!$H$9+'Cost Components'!$H$18 * 10^6</f>
        <v>2146380262.5045991</v>
      </c>
      <c r="Q25">
        <f>'Cost Components'!$H$9+'Cost Components'!$H$18 * 10^6</f>
        <v>2146380262.5045991</v>
      </c>
      <c r="R25">
        <f>'Cost Components'!$H$9+'Cost Components'!$H$18 * 10^6</f>
        <v>2146380262.5045991</v>
      </c>
      <c r="S25">
        <f>'Cost Components'!$H$9+'Cost Components'!$H$18 * 10^6</f>
        <v>2146380262.5045991</v>
      </c>
      <c r="T25">
        <f>'Cost Components'!$H$9+'Cost Components'!$H$18 * 10^6</f>
        <v>2146380262.5045991</v>
      </c>
      <c r="U25">
        <f>'Cost Components'!$H$9+'Cost Components'!$H$18 * 10^6</f>
        <v>2146380262.5045991</v>
      </c>
      <c r="V25">
        <f>'Cost Components'!$H$9+'Cost Components'!$H$18 * 10^6</f>
        <v>2146380262.5045991</v>
      </c>
      <c r="W25">
        <f>'Cost Components'!$H$9+'Cost Components'!$H$18 * 10^6</f>
        <v>2146380262.5045991</v>
      </c>
      <c r="X25">
        <f>'Cost Components'!$H$9+'Cost Components'!$H$18 * 10^6</f>
        <v>2146380262.5045991</v>
      </c>
      <c r="Y25">
        <f>'Cost Components'!$H$9+'Cost Components'!$H$18 * 10^6</f>
        <v>2146380262.5045991</v>
      </c>
      <c r="Z25">
        <f>'Cost Components'!$H$9+'Cost Components'!$H$18 * 10^6</f>
        <v>2146380262.5045991</v>
      </c>
      <c r="AA25">
        <f>'Cost Components'!$H$9+'Cost Components'!$H$18 * 10^6</f>
        <v>2146380262.5045991</v>
      </c>
      <c r="AB25">
        <f>'Cost Components'!$H$9+'Cost Components'!$H$18 * 10^6</f>
        <v>2146380262.5045991</v>
      </c>
      <c r="AC25">
        <f>'Cost Components'!$H$9+'Cost Components'!$H$18 * 10^6</f>
        <v>2146380262.5045991</v>
      </c>
      <c r="AD25">
        <f>'Cost Components'!$H$9+'Cost Components'!$H$18 * 10^6</f>
        <v>2146380262.5045991</v>
      </c>
      <c r="AE25">
        <f>'Cost Components'!$H$9+'Cost Components'!$H$18 * 10^6</f>
        <v>2146380262.5045991</v>
      </c>
      <c r="AF25">
        <f>'Cost Components'!$H$9+'Cost Components'!$H$18 * 10^6</f>
        <v>2146380262.5045991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+C26</f>
        <v>2019998669.7166524</v>
      </c>
      <c r="D27">
        <f>D25/((1+'Study Parameters'!$C$4)^'MFSP Baseline'!D24) +D26</f>
        <v>2280403882.0420465</v>
      </c>
      <c r="E27">
        <f>E25/((1+'Study Parameters'!$C$4)^'MFSP Baseline'!E24) +E26</f>
        <v>2144094613.7328072</v>
      </c>
      <c r="F27">
        <f>F25/((1+'Study Parameters'!$C$4)^'MFSP Baseline'!F24) +F26</f>
        <v>2017882328.2612896</v>
      </c>
      <c r="G27">
        <f>G25/((1+'Study Parameters'!$C$4)^'MFSP Baseline'!G24) +G26</f>
        <v>1901019100.9728475</v>
      </c>
      <c r="H27">
        <f>H25/((1+'Study Parameters'!$C$4)^'MFSP Baseline'!H24) +H26</f>
        <v>1792812409.0391047</v>
      </c>
      <c r="I27">
        <f>I25/((1+'Study Parameters'!$C$4)^'MFSP Baseline'!I24) +I26</f>
        <v>1692621027.6189725</v>
      </c>
      <c r="J27">
        <f>J25/((1+'Study Parameters'!$C$4)^'MFSP Baseline'!J24) +J26</f>
        <v>1599851230.0077391</v>
      </c>
      <c r="K27">
        <f>K25/((1+'Study Parameters'!$C$4)^'MFSP Baseline'!K24) +K26</f>
        <v>1513953269.256597</v>
      </c>
      <c r="L27">
        <f>L25/((1+'Study Parameters'!$C$4)^'MFSP Baseline'!L24) +L26</f>
        <v>1434418120.4129469</v>
      </c>
      <c r="M27">
        <f>M25/((1+'Study Parameters'!$C$4)^'MFSP Baseline'!M24) +M26</f>
        <v>1360774464.0762339</v>
      </c>
      <c r="N27">
        <f>N25/((1+'Study Parameters'!$C$4)^'MFSP Baseline'!N24) +N26</f>
        <v>1292585893.3940921</v>
      </c>
      <c r="O27">
        <f>O25/((1+'Study Parameters'!$C$4)^'MFSP Baseline'!O24) +O26</f>
        <v>1229448327.9476647</v>
      </c>
      <c r="P27">
        <f>P25/((1+'Study Parameters'!$C$4)^'MFSP Baseline'!P24) +P26</f>
        <v>1170987619.2009726</v>
      </c>
      <c r="Q27">
        <f>Q25/((1+'Study Parameters'!$C$4)^'MFSP Baseline'!Q24) +Q26</f>
        <v>1116857333.3244057</v>
      </c>
      <c r="R27">
        <f>R25/((1+'Study Parameters'!$C$4)^'MFSP Baseline'!R24) +R26</f>
        <v>1066736698.2535106</v>
      </c>
      <c r="S27">
        <f>S25/((1+'Study Parameters'!$C$4)^'MFSP Baseline'!S24) +S26</f>
        <v>1020328702.8174967</v>
      </c>
      <c r="T27">
        <f>T25/((1+'Study Parameters'!$C$4)^'MFSP Baseline'!T24) +T26</f>
        <v>977358336.6730392</v>
      </c>
      <c r="U27">
        <f>U25/((1+'Study Parameters'!$C$4)^'MFSP Baseline'!U24) +U26</f>
        <v>937570960.61335635</v>
      </c>
      <c r="V27">
        <f>V25/((1+'Study Parameters'!$C$4)^'MFSP Baseline'!V24) +V26</f>
        <v>900730797.59513152</v>
      </c>
      <c r="W27">
        <f>W25/((1+'Study Parameters'!$C$4)^'MFSP Baseline'!W24) +W26</f>
        <v>866619535.54121971</v>
      </c>
      <c r="X27">
        <f>X25/((1+'Study Parameters'!$C$4)^'MFSP Baseline'!X24) +X26</f>
        <v>835035033.63944936</v>
      </c>
      <c r="Y27">
        <f>Y25/((1+'Study Parameters'!$C$4)^'MFSP Baseline'!Y24) +Y26</f>
        <v>805790124.4711436</v>
      </c>
      <c r="Z27">
        <f>Z25/((1+'Study Parameters'!$C$4)^'MFSP Baseline'!Z24) +Z26</f>
        <v>778711504.87086046</v>
      </c>
      <c r="AA27">
        <f>AA25/((1+'Study Parameters'!$C$4)^'MFSP Baseline'!AA24) +AA26</f>
        <v>753638708.94467235</v>
      </c>
      <c r="AB27">
        <f>AB25/((1+'Study Parameters'!$C$4)^'MFSP Baseline'!AB24) +AB26</f>
        <v>730423157.161165</v>
      </c>
      <c r="AC27">
        <f>AC25/((1+'Study Parameters'!$C$4)^'MFSP Baseline'!AC24) +AC26</f>
        <v>708927275.88013947</v>
      </c>
      <c r="AD27">
        <f>AD25/((1+'Study Parameters'!$C$4)^'MFSP Baseline'!AD24) +AD26</f>
        <v>689023682.10141218</v>
      </c>
      <c r="AE27">
        <f>AE25/((1+'Study Parameters'!$C$4)^'MFSP Baseline'!AE24) +AE26</f>
        <v>670594428.60259068</v>
      </c>
      <c r="AF27">
        <f>AF25/((1+'Study Parameters'!$C$4)^'MFSP Baseline'!AF24) +AF26</f>
        <v>653530304.99257064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4.1041302730930944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145</v>
      </c>
      <c r="B36">
        <v>0</v>
      </c>
      <c r="C36">
        <f>'Cost Components'!$H$38*10^6</f>
        <v>1416975061.9706111</v>
      </c>
      <c r="D36">
        <f>'Cost Components'!$H$29+'Cost Components'!$H$38*10^6</f>
        <v>1751854485.8406277</v>
      </c>
      <c r="E36">
        <f>'Cost Components'!$H$29+'Cost Components'!$H$38*10^6</f>
        <v>1751854485.8406277</v>
      </c>
      <c r="F36">
        <f>'Cost Components'!$H$29+'Cost Components'!$H$38*10^6</f>
        <v>1751854485.8406277</v>
      </c>
      <c r="G36">
        <f>'Cost Components'!$H$29+'Cost Components'!$H$38*10^6</f>
        <v>1751854485.8406277</v>
      </c>
      <c r="H36">
        <f>'Cost Components'!$H$29+'Cost Components'!$H$38*10^6</f>
        <v>1751854485.8406277</v>
      </c>
      <c r="I36">
        <f>'Cost Components'!$H$29+'Cost Components'!$H$38*10^6</f>
        <v>1751854485.8406277</v>
      </c>
      <c r="J36">
        <f>'Cost Components'!$H$29+'Cost Components'!$H$38*10^6</f>
        <v>1751854485.8406277</v>
      </c>
      <c r="K36">
        <f>'Cost Components'!$H$29+'Cost Components'!$H$38*10^6</f>
        <v>1751854485.8406277</v>
      </c>
      <c r="L36">
        <f>'Cost Components'!$H$29+'Cost Components'!$H$38*10^6</f>
        <v>1751854485.8406277</v>
      </c>
      <c r="M36">
        <f>'Cost Components'!$H$29+'Cost Components'!$H$38*10^6</f>
        <v>1751854485.8406277</v>
      </c>
      <c r="N36">
        <f>'Cost Components'!$H$29+'Cost Components'!$H$38*10^6</f>
        <v>1751854485.8406277</v>
      </c>
      <c r="O36">
        <f>'Cost Components'!$H$29+'Cost Components'!$H$38*10^6</f>
        <v>1751854485.8406277</v>
      </c>
      <c r="P36">
        <f>'Cost Components'!$H$29+'Cost Components'!$H$38*10^6</f>
        <v>1751854485.8406277</v>
      </c>
      <c r="Q36">
        <f>'Cost Components'!$H$29+'Cost Components'!$H$38*10^6</f>
        <v>1751854485.8406277</v>
      </c>
      <c r="R36">
        <f>'Cost Components'!$H$29+'Cost Components'!$H$38*10^6</f>
        <v>1751854485.8406277</v>
      </c>
      <c r="S36">
        <f>'Cost Components'!$H$29+'Cost Components'!$H$38*10^6</f>
        <v>1751854485.8406277</v>
      </c>
      <c r="T36">
        <f>'Cost Components'!$H$29+'Cost Components'!$H$38*10^6</f>
        <v>1751854485.8406277</v>
      </c>
      <c r="U36">
        <f>'Cost Components'!$H$29+'Cost Components'!$H$38*10^6</f>
        <v>1751854485.8406277</v>
      </c>
      <c r="V36">
        <f>'Cost Components'!$H$29+'Cost Components'!$H$38*10^6</f>
        <v>1751854485.8406277</v>
      </c>
      <c r="W36">
        <f>'Cost Components'!$H$29+'Cost Components'!$H$38*10^6</f>
        <v>1751854485.8406277</v>
      </c>
      <c r="X36">
        <f>'Cost Components'!$H$29+'Cost Components'!$H$38*10^6</f>
        <v>1751854485.8406277</v>
      </c>
      <c r="Y36">
        <f>'Cost Components'!$H$29+'Cost Components'!$H$38*10^6</f>
        <v>1751854485.8406277</v>
      </c>
      <c r="Z36">
        <f>'Cost Components'!$H$29+'Cost Components'!$H$38*10^6</f>
        <v>1751854485.8406277</v>
      </c>
      <c r="AA36">
        <f>'Cost Components'!$H$29+'Cost Components'!$H$38*10^6</f>
        <v>1751854485.8406277</v>
      </c>
      <c r="AB36">
        <f>'Cost Components'!$H$29+'Cost Components'!$H$38*10^6</f>
        <v>1751854485.8406277</v>
      </c>
      <c r="AC36">
        <f>'Cost Components'!$H$29+'Cost Components'!$H$38*10^6</f>
        <v>1751854485.8406277</v>
      </c>
      <c r="AD36">
        <f>'Cost Components'!$H$29+'Cost Components'!$H$38*10^6</f>
        <v>1751854485.8406277</v>
      </c>
      <c r="AE36">
        <f>'Cost Components'!$H$29+'Cost Components'!$H$38*10^6</f>
        <v>1751854485.8406277</v>
      </c>
      <c r="AF36">
        <f>'Cost Components'!$H$29+'Cost Components'!$H$38*10^6</f>
        <v>1751854485.8406277</v>
      </c>
    </row>
    <row r="37" spans="1:32">
      <c r="A37" t="s">
        <v>153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 +C37</f>
        <v>1646893370.1391008</v>
      </c>
      <c r="D38">
        <f>D36/((1+'Study Parameters'!$C$4)^'MFSP Baseline'!D35) +D37</f>
        <v>1836812282.1010072</v>
      </c>
      <c r="E38">
        <f>E36/((1+'Study Parameters'!$C$4)^'MFSP Baseline'!E35) +E37</f>
        <v>1725557996.306119</v>
      </c>
      <c r="F38">
        <f>F36/((1+'Study Parameters'!$C$4)^'MFSP Baseline'!F35) +F37</f>
        <v>1622544768.7182593</v>
      </c>
      <c r="G38">
        <f>G36/((1+'Study Parameters'!$C$4)^'MFSP Baseline'!G35) +G37</f>
        <v>1527162150.5813525</v>
      </c>
      <c r="H38">
        <f>H36/((1+'Study Parameters'!$C$4)^'MFSP Baseline'!H35) +H37</f>
        <v>1438844911.5656979</v>
      </c>
      <c r="I38">
        <f>I36/((1+'Study Parameters'!$C$4)^'MFSP Baseline'!I35) +I37</f>
        <v>1357069690.2549067</v>
      </c>
      <c r="J38">
        <f>J36/((1+'Study Parameters'!$C$4)^'MFSP Baseline'!J35) +J37</f>
        <v>1281351892.7449148</v>
      </c>
      <c r="K38">
        <f>K36/((1+'Study Parameters'!$C$4)^'MFSP Baseline'!K35) +K37</f>
        <v>1211242820.9764037</v>
      </c>
      <c r="L38">
        <f>L36/((1+'Study Parameters'!$C$4)^'MFSP Baseline'!L35) +L37</f>
        <v>1146327013.7833381</v>
      </c>
      <c r="M38">
        <f>M36/((1+'Study Parameters'!$C$4)^'MFSP Baseline'!M35) +M37</f>
        <v>1086219784.9008698</v>
      </c>
      <c r="N38">
        <f>N36/((1+'Study Parameters'!$C$4)^'MFSP Baseline'!N35) +N37</f>
        <v>1030564943.3430287</v>
      </c>
      <c r="O38">
        <f>O36/((1+'Study Parameters'!$C$4)^'MFSP Baseline'!O35) +O37</f>
        <v>979032682.64132416</v>
      </c>
      <c r="P38">
        <f>P36/((1+'Study Parameters'!$C$4)^'MFSP Baseline'!P35) +P37</f>
        <v>931317626.43604195</v>
      </c>
      <c r="Q38">
        <f>Q36/((1+'Study Parameters'!$C$4)^'MFSP Baseline'!Q35) +Q37</f>
        <v>887137018.83855855</v>
      </c>
      <c r="R38">
        <f>R36/((1+'Study Parameters'!$C$4)^'MFSP Baseline'!R35) +R37</f>
        <v>846229048.84088874</v>
      </c>
      <c r="S38">
        <f>S36/((1+'Study Parameters'!$C$4)^'MFSP Baseline'!S35) +S37</f>
        <v>808351298.84304643</v>
      </c>
      <c r="T38">
        <f>T36/((1+'Study Parameters'!$C$4)^'MFSP Baseline'!T35) +T37</f>
        <v>773279308.10430336</v>
      </c>
      <c r="U38">
        <f>U36/((1+'Study Parameters'!$C$4)^'MFSP Baseline'!U35) +U37</f>
        <v>740805242.60546732</v>
      </c>
      <c r="V38">
        <f>V36/((1+'Study Parameters'!$C$4)^'MFSP Baseline'!V35) +V37</f>
        <v>710736663.43987846</v>
      </c>
      <c r="W38">
        <f>W36/((1+'Study Parameters'!$C$4)^'MFSP Baseline'!W35) +W37</f>
        <v>682895386.43470335</v>
      </c>
      <c r="X38">
        <f>X36/((1+'Study Parameters'!$C$4)^'MFSP Baseline'!X35) +X37</f>
        <v>657116426.24472666</v>
      </c>
      <c r="Y38">
        <f>Y36/((1+'Study Parameters'!$C$4)^'MFSP Baseline'!Y35) +Y37</f>
        <v>633247018.66141474</v>
      </c>
      <c r="Z38">
        <f>Z36/((1+'Study Parameters'!$C$4)^'MFSP Baseline'!Z35) +Z37</f>
        <v>611145715.3435334</v>
      </c>
      <c r="AA38">
        <f>AA36/((1+'Study Parameters'!$C$4)^'MFSP Baseline'!AA35) +AA37</f>
        <v>590681545.60475433</v>
      </c>
      <c r="AB38">
        <f>AB36/((1+'Study Parameters'!$C$4)^'MFSP Baseline'!AB35) +AB37</f>
        <v>571733240.29106998</v>
      </c>
      <c r="AC38">
        <f>AC36/((1+'Study Parameters'!$C$4)^'MFSP Baseline'!AC35) +AC37</f>
        <v>554188513.14876986</v>
      </c>
      <c r="AD38">
        <f>AD36/((1+'Study Parameters'!$C$4)^'MFSP Baseline'!AD35) +AD37</f>
        <v>537943395.42441773</v>
      </c>
      <c r="AE38">
        <f>AE36/((1+'Study Parameters'!$C$4)^'MFSP Baseline'!AE35) +AE37</f>
        <v>522901619.7537213</v>
      </c>
      <c r="AF38">
        <f>AF36/((1+'Study Parameters'!$C$4)^'MFSP Baseline'!AF35) +AF37</f>
        <v>508974049.68826169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3.2708823007043457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Components'!$N$18* 10^6</f>
        <v>1719961502.6372776</v>
      </c>
      <c r="D49">
        <f>'Cost Components'!$N$18* 10^6</f>
        <v>1719961502.6372776</v>
      </c>
      <c r="E49">
        <f>'Cost Components'!$N$18* 10^6</f>
        <v>1719961502.6372776</v>
      </c>
      <c r="F49">
        <f>'Cost Components'!$N$18* 10^6</f>
        <v>1719961502.6372776</v>
      </c>
      <c r="G49">
        <f>'Cost Components'!$N$18* 10^6</f>
        <v>1719961502.6372776</v>
      </c>
      <c r="H49">
        <f>'Cost Components'!$N$18* 10^6</f>
        <v>1719961502.6372776</v>
      </c>
      <c r="I49">
        <f>'Cost Components'!$N$18* 10^6</f>
        <v>1719961502.6372776</v>
      </c>
      <c r="J49">
        <f>'Cost Components'!$N$18* 10^6</f>
        <v>1719961502.6372776</v>
      </c>
      <c r="K49">
        <f>'Cost Components'!$N$18* 10^6</f>
        <v>1719961502.6372776</v>
      </c>
      <c r="L49">
        <f>'Cost Components'!$N$18* 10^6</f>
        <v>1719961502.6372776</v>
      </c>
      <c r="M49">
        <f>'Cost Components'!$N$18* 10^6</f>
        <v>1719961502.6372776</v>
      </c>
      <c r="N49">
        <f>'Cost Components'!$N$18* 10^6</f>
        <v>1719961502.6372776</v>
      </c>
      <c r="O49">
        <f>'Cost Components'!$N$18* 10^6</f>
        <v>1719961502.6372776</v>
      </c>
      <c r="P49">
        <f>'Cost Components'!$N$18* 10^6</f>
        <v>1719961502.6372776</v>
      </c>
      <c r="Q49">
        <f>'Cost Components'!$N$18* 10^6</f>
        <v>1719961502.6372776</v>
      </c>
      <c r="R49">
        <f>'Cost Components'!$N$18* 10^6</f>
        <v>1719961502.6372776</v>
      </c>
      <c r="S49">
        <f>'Cost Components'!$N$18* 10^6</f>
        <v>1719961502.6372776</v>
      </c>
      <c r="T49">
        <f>'Cost Components'!$N$18* 10^6</f>
        <v>1719961502.6372776</v>
      </c>
      <c r="U49">
        <f>'Cost Components'!$N$18* 10^6</f>
        <v>1719961502.6372776</v>
      </c>
      <c r="V49">
        <f>'Cost Components'!$N$18* 10^6</f>
        <v>1719961502.6372776</v>
      </c>
      <c r="W49">
        <f>'Cost Components'!$N$18* 10^6</f>
        <v>1719961502.6372776</v>
      </c>
      <c r="X49">
        <f>'Cost Components'!$N$18* 10^6</f>
        <v>1719961502.6372776</v>
      </c>
      <c r="Y49">
        <f>'Cost Components'!$N$18* 10^6</f>
        <v>1719961502.6372776</v>
      </c>
      <c r="Z49">
        <f>'Cost Components'!$N$18* 10^6</f>
        <v>1719961502.6372776</v>
      </c>
      <c r="AA49">
        <f>'Cost Components'!$N$18* 10^6</f>
        <v>1719961502.6372776</v>
      </c>
      <c r="AB49">
        <f>'Cost Components'!$N$18* 10^6</f>
        <v>1719961502.6372776</v>
      </c>
      <c r="AC49">
        <f>'Cost Components'!$N$18* 10^6</f>
        <v>1719961502.6372776</v>
      </c>
      <c r="AD49">
        <f>'Cost Components'!$N$18* 10^6</f>
        <v>1719961502.6372776</v>
      </c>
      <c r="AE49">
        <f>'Cost Components'!$N$18* 10^6</f>
        <v>1719961502.6372776</v>
      </c>
      <c r="AF49">
        <f>'Cost Components'!$N$18* 10^6</f>
        <v>1719961502.6372776</v>
      </c>
    </row>
    <row r="50" spans="1:32">
      <c r="A50" t="s">
        <v>153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2161407830.29846</v>
      </c>
      <c r="D51">
        <f>D49/((1+'Study Parameters'!$C$4)^'MFSP Baseline'!D48) + D50</f>
        <v>2043440649.0476177</v>
      </c>
      <c r="E51">
        <f>E49/((1+'Study Parameters'!$C$4)^'MFSP Baseline'!E48) + E50</f>
        <v>1934211777.5190601</v>
      </c>
      <c r="F51">
        <f>F49/((1+'Study Parameters'!$C$4)^'MFSP Baseline'!F48) + F50</f>
        <v>1833073933.5111365</v>
      </c>
      <c r="G51">
        <f>G49/((1+'Study Parameters'!$C$4)^'MFSP Baseline'!G48) + G50</f>
        <v>1739427781.651948</v>
      </c>
      <c r="H51">
        <f>H49/((1+'Study Parameters'!$C$4)^'MFSP Baseline'!H48) + H50</f>
        <v>1652718381.7823288</v>
      </c>
      <c r="I51">
        <f>I49/((1+'Study Parameters'!$C$4)^'MFSP Baseline'!I48) + I50</f>
        <v>1572431900.4215705</v>
      </c>
      <c r="J51">
        <f>J49/((1+'Study Parameters'!$C$4)^'MFSP Baseline'!J48) + J50</f>
        <v>1498092565.8282757</v>
      </c>
      <c r="K51">
        <f>K49/((1+'Study Parameters'!$C$4)^'MFSP Baseline'!K48) + K50</f>
        <v>1429259848.612262</v>
      </c>
      <c r="L51">
        <f>L49/((1+'Study Parameters'!$C$4)^'MFSP Baseline'!L48) + L50</f>
        <v>1365525851.1900272</v>
      </c>
      <c r="M51">
        <f>M49/((1+'Study Parameters'!$C$4)^'MFSP Baseline'!M48) + M50</f>
        <v>1306512890.613884</v>
      </c>
      <c r="N51">
        <f>N49/((1+'Study Parameters'!$C$4)^'MFSP Baseline'!N48) + N50</f>
        <v>1251871260.450788</v>
      </c>
      <c r="O51">
        <f>O49/((1+'Study Parameters'!$C$4)^'MFSP Baseline'!O48) + O50</f>
        <v>1201277158.4479218</v>
      </c>
      <c r="P51">
        <f>P49/((1+'Study Parameters'!$C$4)^'MFSP Baseline'!P48) + P50</f>
        <v>1154430767.7045269</v>
      </c>
      <c r="Q51">
        <f>Q49/((1+'Study Parameters'!$C$4)^'MFSP Baseline'!Q48) + Q50</f>
        <v>1111054479.9791613</v>
      </c>
      <c r="R51">
        <f>R49/((1+'Study Parameters'!$C$4)^'MFSP Baseline'!R48) + R50</f>
        <v>1070891250.6038227</v>
      </c>
      <c r="S51">
        <f>S49/((1+'Study Parameters'!$C$4)^'MFSP Baseline'!S48) + S50</f>
        <v>1033703075.2562871</v>
      </c>
      <c r="T51">
        <f>T49/((1+'Study Parameters'!$C$4)^'MFSP Baseline'!T48) + T50</f>
        <v>999269579.56412435</v>
      </c>
      <c r="U51">
        <f>U49/((1+'Study Parameters'!$C$4)^'MFSP Baseline'!U48) + U50</f>
        <v>967386713.18249226</v>
      </c>
      <c r="V51">
        <f>V49/((1+'Study Parameters'!$C$4)^'MFSP Baseline'!V48) + V50</f>
        <v>937865540.60690713</v>
      </c>
      <c r="W51">
        <f>W49/((1+'Study Parameters'!$C$4)^'MFSP Baseline'!W48) + W50</f>
        <v>910531121.55543923</v>
      </c>
      <c r="X51">
        <f>X49/((1+'Study Parameters'!$C$4)^'MFSP Baseline'!X48) + X50</f>
        <v>885221474.28556156</v>
      </c>
      <c r="Y51">
        <f>Y49/((1+'Study Parameters'!$C$4)^'MFSP Baseline'!Y48) + Y50</f>
        <v>861786615.70234168</v>
      </c>
      <c r="Z51">
        <f>Z49/((1+'Study Parameters'!$C$4)^'MFSP Baseline'!Z48) + Z50</f>
        <v>840087672.56973052</v>
      </c>
      <c r="AA51">
        <f>AA49/((1+'Study Parameters'!$C$4)^'MFSP Baseline'!AA48) + AA50</f>
        <v>819996058.55805349</v>
      </c>
      <c r="AB51">
        <f>AB49/((1+'Study Parameters'!$C$4)^'MFSP Baseline'!AB48) + AB50</f>
        <v>801392712.25094533</v>
      </c>
      <c r="AC51">
        <f>AC49/((1+'Study Parameters'!$C$4)^'MFSP Baseline'!AC48) + AC50</f>
        <v>784167391.59621537</v>
      </c>
      <c r="AD51">
        <f>AD49/((1+'Study Parameters'!$C$4)^'MFSP Baseline'!AD48) + AD50</f>
        <v>768218020.61961365</v>
      </c>
      <c r="AE51">
        <f>AE49/((1+'Study Parameters'!$C$4)^'MFSP Baseline'!AE48) + AE50</f>
        <v>753450084.53016758</v>
      </c>
      <c r="AF51">
        <f>AF49/((1+'Study Parameters'!$C$4)^'MFSP Baseline'!AF48) + AF50</f>
        <v>739776069.63253236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4.0448105265557928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Components'!$N$38*10^6</f>
        <v>1414745061.9706111</v>
      </c>
      <c r="D59">
        <f>'Cost Components'!$N$38*10^6</f>
        <v>1414745061.9706111</v>
      </c>
      <c r="E59">
        <f>'Cost Components'!$N$38*10^6</f>
        <v>1414745061.9706111</v>
      </c>
      <c r="F59">
        <f>'Cost Components'!$N$38*10^6</f>
        <v>1414745061.9706111</v>
      </c>
      <c r="G59">
        <f>'Cost Components'!$N$38*10^6</f>
        <v>1414745061.9706111</v>
      </c>
      <c r="H59">
        <f>'Cost Components'!$N$38*10^6</f>
        <v>1414745061.9706111</v>
      </c>
      <c r="I59">
        <f>'Cost Components'!$N$38*10^6</f>
        <v>1414745061.9706111</v>
      </c>
      <c r="J59">
        <f>'Cost Components'!$N$38*10^6</f>
        <v>1414745061.9706111</v>
      </c>
      <c r="K59">
        <f>'Cost Components'!$N$38*10^6</f>
        <v>1414745061.9706111</v>
      </c>
      <c r="L59">
        <f>'Cost Components'!$N$38*10^6</f>
        <v>1414745061.9706111</v>
      </c>
      <c r="M59">
        <f>'Cost Components'!$N$38*10^6</f>
        <v>1414745061.9706111</v>
      </c>
      <c r="N59">
        <f>'Cost Components'!$N$38*10^6</f>
        <v>1414745061.9706111</v>
      </c>
      <c r="O59">
        <f>'Cost Components'!$N$38*10^6</f>
        <v>1414745061.9706111</v>
      </c>
      <c r="P59">
        <f>'Cost Components'!$N$38*10^6</f>
        <v>1414745061.9706111</v>
      </c>
      <c r="Q59">
        <f>'Cost Components'!$N$38*10^6</f>
        <v>1414745061.9706111</v>
      </c>
      <c r="R59">
        <f>'Cost Components'!$N$38*10^6</f>
        <v>1414745061.9706111</v>
      </c>
      <c r="S59">
        <f>'Cost Components'!$N$38*10^6</f>
        <v>1414745061.9706111</v>
      </c>
      <c r="T59">
        <f>'Cost Components'!$N$38*10^6</f>
        <v>1414745061.9706111</v>
      </c>
      <c r="U59">
        <f>'Cost Components'!$N$38*10^6</f>
        <v>1414745061.9706111</v>
      </c>
      <c r="V59">
        <f>'Cost Components'!$N$38*10^6</f>
        <v>1414745061.9706111</v>
      </c>
      <c r="W59">
        <f>'Cost Components'!$N$38*10^6</f>
        <v>1414745061.9706111</v>
      </c>
      <c r="X59">
        <f>'Cost Components'!$N$38*10^6</f>
        <v>1414745061.9706111</v>
      </c>
      <c r="Y59">
        <f>'Cost Components'!$N$38*10^6</f>
        <v>1414745061.9706111</v>
      </c>
      <c r="Z59">
        <f>'Cost Components'!$N$38*10^6</f>
        <v>1414745061.9706111</v>
      </c>
      <c r="AA59">
        <f>'Cost Components'!$N$38*10^6</f>
        <v>1414745061.9706111</v>
      </c>
      <c r="AB59">
        <f>'Cost Components'!$N$38*10^6</f>
        <v>1414745061.9706111</v>
      </c>
      <c r="AC59">
        <f>'Cost Components'!$N$38*10^6</f>
        <v>1414745061.9706111</v>
      </c>
      <c r="AD59">
        <f>'Cost Components'!$N$38*10^6</f>
        <v>1414745061.9706111</v>
      </c>
      <c r="AE59">
        <f>'Cost Components'!$N$38*10^6</f>
        <v>1414745061.9706111</v>
      </c>
      <c r="AF59">
        <f>'Cost Components'!$N$38*10^6</f>
        <v>1414745061.9706111</v>
      </c>
    </row>
    <row r="60" spans="1:32">
      <c r="A60" t="s">
        <v>153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1641008975.6886332</v>
      </c>
      <c r="D61">
        <f>D59/((1+'Study Parameters'!$C$4)^'MFSP Baseline'!D58) + D60</f>
        <v>1543975706.6920207</v>
      </c>
      <c r="E61">
        <f>E59/((1+'Study Parameters'!$C$4)^'MFSP Baseline'!E58) + E60</f>
        <v>1454130087.2507126</v>
      </c>
      <c r="F61">
        <f>F59/((1+'Study Parameters'!$C$4)^'MFSP Baseline'!F58) + F60</f>
        <v>1370939698.8791313</v>
      </c>
      <c r="G61">
        <f>G59/((1+'Study Parameters'!$C$4)^'MFSP Baseline'!G58) + G60</f>
        <v>1293911561.4980373</v>
      </c>
      <c r="H61">
        <f>H59/((1+'Study Parameters'!$C$4)^'MFSP Baseline'!H58) + H60</f>
        <v>1222589212.0710986</v>
      </c>
      <c r="I61">
        <f>I59/((1+'Study Parameters'!$C$4)^'MFSP Baseline'!I58) + I60</f>
        <v>1156549999.6387477</v>
      </c>
      <c r="J61">
        <f>J59/((1+'Study Parameters'!$C$4)^'MFSP Baseline'!J58) + J60</f>
        <v>1095402580.7199044</v>
      </c>
      <c r="K61">
        <f>K59/((1+'Study Parameters'!$C$4)^'MFSP Baseline'!K58) + K60</f>
        <v>1038784600.2394941</v>
      </c>
      <c r="L61">
        <f>L59/((1+'Study Parameters'!$C$4)^'MFSP Baseline'!L58) + L60</f>
        <v>986360544.23911405</v>
      </c>
      <c r="M61">
        <f>M59/((1+'Study Parameters'!$C$4)^'MFSP Baseline'!M58) + M60</f>
        <v>937819751.64616942</v>
      </c>
      <c r="N61">
        <f>N59/((1+'Study Parameters'!$C$4)^'MFSP Baseline'!N58) + N60</f>
        <v>892874573.31936908</v>
      </c>
      <c r="O61">
        <f>O59/((1+'Study Parameters'!$C$4)^'MFSP Baseline'!O58) + O60</f>
        <v>851258667.4612205</v>
      </c>
      <c r="P61">
        <f>P59/((1+'Study Parameters'!$C$4)^'MFSP Baseline'!P58) + P60</f>
        <v>812725421.29626811</v>
      </c>
      <c r="Q61">
        <f>Q59/((1+'Study Parameters'!$C$4)^'MFSP Baseline'!Q58) + Q60</f>
        <v>777046489.66205287</v>
      </c>
      <c r="R61">
        <f>R59/((1+'Study Parameters'!$C$4)^'MFSP Baseline'!R58) + R60</f>
        <v>744010441.85259449</v>
      </c>
      <c r="S61">
        <f>S59/((1+'Study Parameters'!$C$4)^'MFSP Baseline'!S58) + S60</f>
        <v>713421508.69568849</v>
      </c>
      <c r="T61">
        <f>T59/((1+'Study Parameters'!$C$4)^'MFSP Baseline'!T58) + T60</f>
        <v>685098422.4392941</v>
      </c>
      <c r="U61">
        <f>U59/((1+'Study Parameters'!$C$4)^'MFSP Baseline'!U58) + U60</f>
        <v>658873342.57226217</v>
      </c>
      <c r="V61">
        <f>V59/((1+'Study Parameters'!$C$4)^'MFSP Baseline'!V58) + V60</f>
        <v>634590861.21389937</v>
      </c>
      <c r="W61">
        <f>W59/((1+'Study Parameters'!$C$4)^'MFSP Baseline'!W58) + W60</f>
        <v>612107082.17837811</v>
      </c>
      <c r="X61">
        <f>X59/((1+'Study Parameters'!$C$4)^'MFSP Baseline'!X58) + X60</f>
        <v>591288768.25659931</v>
      </c>
      <c r="Y61">
        <f>Y59/((1+'Study Parameters'!$C$4)^'MFSP Baseline'!Y58) + Y60</f>
        <v>572012551.66235971</v>
      </c>
      <c r="Z61">
        <f>Z59/((1+'Study Parameters'!$C$4)^'MFSP Baseline'!Z58) + Z60</f>
        <v>554164202.96398962</v>
      </c>
      <c r="AA61">
        <f>AA59/((1+'Study Parameters'!$C$4)^'MFSP Baseline'!AA58) + AA60</f>
        <v>537637954.16920245</v>
      </c>
      <c r="AB61">
        <f>AB59/((1+'Study Parameters'!$C$4)^'MFSP Baseline'!AB58) + AB60</f>
        <v>522335871.95180702</v>
      </c>
      <c r="AC61">
        <f>AC59/((1+'Study Parameters'!$C$4)^'MFSP Baseline'!AC58) + AC60</f>
        <v>508167277.30607045</v>
      </c>
      <c r="AD61">
        <f>AD59/((1+'Study Parameters'!$C$4)^'MFSP Baseline'!AD58) + AD60</f>
        <v>495048208.18964779</v>
      </c>
      <c r="AE61">
        <f>AE59/((1+'Study Parameters'!$C$4)^'MFSP Baseline'!AE58) + AE60</f>
        <v>482900921.97073781</v>
      </c>
      <c r="AF61">
        <f>AF59/((1+'Study Parameters'!$C$4)^'MFSP Baseline'!AF58) + AF60</f>
        <v>471653434.73100638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2.8712011872480905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F65"/>
  <sheetViews>
    <sheetView topLeftCell="A20" workbookViewId="0">
      <selection activeCell="C25" sqref="C25"/>
    </sheetView>
  </sheetViews>
  <sheetFormatPr defaultColWidth="11" defaultRowHeight="15.6"/>
  <cols>
    <col min="1" max="1" width="26.8984375" bestFit="1" customWidth="1"/>
    <col min="2" max="2" width="17.59765625" bestFit="1" customWidth="1"/>
    <col min="3" max="3" width="11.097656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Components'!$B$43 * 10^6</f>
        <v>1694897237.9706111</v>
      </c>
      <c r="D3">
        <f>'Cost Components'!$B$43 * 10^6</f>
        <v>1694897237.9706111</v>
      </c>
      <c r="E3">
        <f>'Cost Components'!$B$43 * 10^6</f>
        <v>1694897237.9706111</v>
      </c>
      <c r="F3">
        <f>'Cost Components'!$B$43 * 10^6</f>
        <v>1694897237.9706111</v>
      </c>
      <c r="G3">
        <f>'Cost Components'!$B$43 * 10^6</f>
        <v>1694897237.9706111</v>
      </c>
      <c r="H3">
        <f>'Cost Components'!$B$43 * 10^6</f>
        <v>1694897237.9706111</v>
      </c>
      <c r="I3">
        <f>'Cost Components'!$B$43 * 10^6</f>
        <v>1694897237.9706111</v>
      </c>
      <c r="J3">
        <f>'Cost Components'!$B$43 * 10^6</f>
        <v>1694897237.9706111</v>
      </c>
      <c r="K3">
        <f>'Cost Components'!$B$43 * 10^6</f>
        <v>1694897237.9706111</v>
      </c>
      <c r="L3">
        <f>'Cost Components'!$B$43 * 10^6</f>
        <v>1694897237.9706111</v>
      </c>
      <c r="M3">
        <f>'Cost Components'!$B$43 * 10^6</f>
        <v>1694897237.9706111</v>
      </c>
      <c r="N3">
        <f>'Cost Components'!$B$43 * 10^6</f>
        <v>1694897237.9706111</v>
      </c>
      <c r="O3">
        <f>'Cost Components'!$B$43 * 10^6</f>
        <v>1694897237.9706111</v>
      </c>
      <c r="P3">
        <f>'Cost Components'!$B$43 * 10^6</f>
        <v>1694897237.9706111</v>
      </c>
      <c r="Q3">
        <f>'Cost Components'!$B$43 * 10^6</f>
        <v>1694897237.9706111</v>
      </c>
      <c r="R3">
        <f>'Cost Components'!$B$43 * 10^6</f>
        <v>1694897237.9706111</v>
      </c>
      <c r="S3">
        <f>'Cost Components'!$B$43 * 10^6</f>
        <v>1694897237.9706111</v>
      </c>
      <c r="T3">
        <f>'Cost Components'!$B$43 * 10^6</f>
        <v>1694897237.9706111</v>
      </c>
      <c r="U3">
        <f>'Cost Components'!$B$43 * 10^6</f>
        <v>1694897237.9706111</v>
      </c>
      <c r="V3">
        <f>'Cost Components'!$B$43 * 10^6</f>
        <v>1694897237.9706111</v>
      </c>
      <c r="W3">
        <f>'Cost Components'!$B$43 * 10^6</f>
        <v>1694897237.9706111</v>
      </c>
      <c r="X3">
        <f>'Cost Components'!$B$43 * 10^6</f>
        <v>1694897237.9706111</v>
      </c>
      <c r="Y3">
        <f>'Cost Components'!$B$43 * 10^6</f>
        <v>1694897237.9706111</v>
      </c>
      <c r="Z3">
        <f>'Cost Components'!$B$43 * 10^6</f>
        <v>1694897237.9706111</v>
      </c>
      <c r="AA3">
        <f>'Cost Components'!$B$43 * 10^6</f>
        <v>1694897237.9706111</v>
      </c>
      <c r="AB3">
        <f>'Cost Components'!$B$43 * 10^6</f>
        <v>1694897237.9706111</v>
      </c>
      <c r="AC3">
        <f>'Cost Components'!$B$43 * 10^6</f>
        <v>1694897237.9706111</v>
      </c>
      <c r="AD3">
        <f>'Cost Components'!$B$43 * 10^6</f>
        <v>1694897237.9706111</v>
      </c>
      <c r="AE3">
        <f>'Cost Components'!$B$43 * 10^6</f>
        <v>1694897237.9706111</v>
      </c>
      <c r="AF3">
        <f>'Cost Components'!$B$43 * 10^6</f>
        <v>1694897237.9706111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2123632478.7538114</v>
      </c>
      <c r="D5">
        <f>D3/((1+'Study Parameters'!$C$4)^'MFSP Baseline'!D2) + D4</f>
        <v>2007384382.8710535</v>
      </c>
      <c r="E5">
        <f>E3/((1+'Study Parameters'!$C$4)^'MFSP Baseline'!E2) + E4</f>
        <v>1899747257.0536849</v>
      </c>
      <c r="F5">
        <f>F3/((1+'Study Parameters'!$C$4)^'MFSP Baseline'!F2) + F4</f>
        <v>1800083251.6672325</v>
      </c>
      <c r="G5">
        <f>G3/((1+'Study Parameters'!$C$4)^'MFSP Baseline'!G2) + G4</f>
        <v>1707801765.1982954</v>
      </c>
      <c r="H5">
        <f>H3/((1+'Study Parameters'!$C$4)^'MFSP Baseline'!H2) + H4</f>
        <v>1622355944.3937235</v>
      </c>
      <c r="I5">
        <f>I3/((1+'Study Parameters'!$C$4)^'MFSP Baseline'!I2) + I4</f>
        <v>1543239443.6487498</v>
      </c>
      <c r="J5">
        <f>J3/((1+'Study Parameters'!$C$4)^'MFSP Baseline'!J2) + J4</f>
        <v>1469983424.4404409</v>
      </c>
      <c r="K5">
        <f>K3/((1+'Study Parameters'!$C$4)^'MFSP Baseline'!K2) + K4</f>
        <v>1402153777.0253401</v>
      </c>
      <c r="L5">
        <f>L3/((1+'Study Parameters'!$C$4)^'MFSP Baseline'!L2) + L4</f>
        <v>1339348547.9372835</v>
      </c>
      <c r="M5">
        <f>M3/((1+'Study Parameters'!$C$4)^'MFSP Baseline'!M2) + M4</f>
        <v>1281195558.040935</v>
      </c>
      <c r="N5">
        <f>N3/((1+'Study Parameters'!$C$4)^'MFSP Baseline'!N2) + N4</f>
        <v>1227350197.0257976</v>
      </c>
      <c r="O5">
        <f>O3/((1+'Study Parameters'!$C$4)^'MFSP Baseline'!O2) + O4</f>
        <v>1177493381.2710407</v>
      </c>
      <c r="P5">
        <f>P3/((1+'Study Parameters'!$C$4)^'MFSP Baseline'!P2) + P4</f>
        <v>1131329662.979599</v>
      </c>
      <c r="Q5">
        <f>Q3/((1+'Study Parameters'!$C$4)^'MFSP Baseline'!Q2) + Q4</f>
        <v>1088585479.3764124</v>
      </c>
      <c r="R5">
        <f>R3/((1+'Study Parameters'!$C$4)^'MFSP Baseline'!R2) + R4</f>
        <v>1049007531.5956838</v>
      </c>
      <c r="S5">
        <f>S3/((1+'Study Parameters'!$C$4)^'MFSP Baseline'!S2) + S4</f>
        <v>1012361283.6505649</v>
      </c>
      <c r="T5">
        <f>T3/((1+'Study Parameters'!$C$4)^'MFSP Baseline'!T2) + T4</f>
        <v>978429572.59026968</v>
      </c>
      <c r="U5">
        <f>U3/((1+'Study Parameters'!$C$4)^'MFSP Baseline'!U2) + U4</f>
        <v>947011321.60851479</v>
      </c>
      <c r="V5">
        <f>V3/((1+'Study Parameters'!$C$4)^'MFSP Baseline'!V2) + V4</f>
        <v>917920348.47726035</v>
      </c>
      <c r="W5">
        <f>W3/((1+'Study Parameters'!$C$4)^'MFSP Baseline'!W2) + W4</f>
        <v>890984262.24461722</v>
      </c>
      <c r="X5">
        <f>X3/((1+'Study Parameters'!$C$4)^'MFSP Baseline'!X2) + X4</f>
        <v>866043441.6588366</v>
      </c>
      <c r="Y5">
        <f>Y3/((1+'Study Parameters'!$C$4)^'MFSP Baseline'!Y2) + Y4</f>
        <v>842950089.26459527</v>
      </c>
      <c r="Z5">
        <f>Z3/((1+'Study Parameters'!$C$4)^'MFSP Baseline'!Z2) + Z4</f>
        <v>821567355.56622374</v>
      </c>
      <c r="AA5">
        <f>AA3/((1+'Study Parameters'!$C$4)^'MFSP Baseline'!AA2) + AA4</f>
        <v>801768528.0677315</v>
      </c>
      <c r="AB5">
        <f>AB3/((1+'Study Parameters'!$C$4)^'MFSP Baseline'!AB2) + AB4</f>
        <v>783436280.38394248</v>
      </c>
      <c r="AC5">
        <f>AC3/((1+'Study Parameters'!$C$4)^'MFSP Baseline'!AC2) + AC4</f>
        <v>766461976.97302663</v>
      </c>
      <c r="AD5">
        <f>AD3/((1+'Study Parameters'!$C$4)^'MFSP Baseline'!AD2) + AD4</f>
        <v>750745029.37032676</v>
      </c>
      <c r="AE5">
        <f>AE3/((1+'Study Parameters'!$C$4)^'MFSP Baseline'!AE2) + AE4</f>
        <v>736192300.10856771</v>
      </c>
      <c r="AF5">
        <f>AF3/((1+'Study Parameters'!$C$4)^'MFSP Baseline'!AF2) + AF4</f>
        <v>722717550.79212403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3.9649547712511146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Components'!$B$52*10^6</f>
        <v>628830210.6372776</v>
      </c>
      <c r="D13">
        <f>'Cost Components'!$B$52*10^6</f>
        <v>628830210.6372776</v>
      </c>
      <c r="E13">
        <f>'Cost Components'!$B$52*10^6</f>
        <v>628830210.6372776</v>
      </c>
      <c r="F13">
        <f>'Cost Components'!$B$52*10^6</f>
        <v>628830210.6372776</v>
      </c>
      <c r="G13">
        <f>'Cost Components'!$B$52*10^6</f>
        <v>628830210.6372776</v>
      </c>
      <c r="H13">
        <f>'Cost Components'!$B$52*10^6</f>
        <v>628830210.6372776</v>
      </c>
      <c r="I13">
        <f>'Cost Components'!$B$52*10^6</f>
        <v>628830210.6372776</v>
      </c>
      <c r="J13">
        <f>'Cost Components'!$B$52*10^6</f>
        <v>628830210.6372776</v>
      </c>
      <c r="K13">
        <f>'Cost Components'!$B$52*10^6</f>
        <v>628830210.6372776</v>
      </c>
      <c r="L13">
        <f>'Cost Components'!$B$52*10^6</f>
        <v>628830210.6372776</v>
      </c>
      <c r="M13">
        <f>'Cost Components'!$B$52*10^6</f>
        <v>628830210.6372776</v>
      </c>
      <c r="N13">
        <f>'Cost Components'!$B$52*10^6</f>
        <v>628830210.6372776</v>
      </c>
      <c r="O13">
        <f>'Cost Components'!$B$52*10^6</f>
        <v>628830210.6372776</v>
      </c>
      <c r="P13">
        <f>'Cost Components'!$B$52*10^6</f>
        <v>628830210.6372776</v>
      </c>
      <c r="Q13">
        <f>'Cost Components'!$B$52*10^6</f>
        <v>628830210.6372776</v>
      </c>
      <c r="R13">
        <f>'Cost Components'!$B$52*10^6</f>
        <v>628830210.6372776</v>
      </c>
      <c r="S13">
        <f>'Cost Components'!$B$52*10^6</f>
        <v>628830210.6372776</v>
      </c>
      <c r="T13">
        <f>'Cost Components'!$B$52*10^6</f>
        <v>628830210.6372776</v>
      </c>
      <c r="U13">
        <f>'Cost Components'!$B$52*10^6</f>
        <v>628830210.6372776</v>
      </c>
      <c r="V13">
        <f>'Cost Components'!$B$52*10^6</f>
        <v>628830210.6372776</v>
      </c>
      <c r="W13">
        <f>'Cost Components'!$B$52*10^6</f>
        <v>628830210.6372776</v>
      </c>
      <c r="X13">
        <f>'Cost Components'!$B$52*10^6</f>
        <v>628830210.6372776</v>
      </c>
      <c r="Y13">
        <f>'Cost Components'!$B$52*10^6</f>
        <v>628830210.6372776</v>
      </c>
      <c r="Z13">
        <f>'Cost Components'!$B$52*10^6</f>
        <v>628830210.6372776</v>
      </c>
      <c r="AA13">
        <f>'Cost Components'!$B$52*10^6</f>
        <v>628830210.6372776</v>
      </c>
      <c r="AB13">
        <f>'Cost Components'!$B$52*10^6</f>
        <v>628830210.6372776</v>
      </c>
      <c r="AC13">
        <f>'Cost Components'!$B$52*10^6</f>
        <v>628830210.6372776</v>
      </c>
      <c r="AD13">
        <f>'Cost Components'!$B$52*10^6</f>
        <v>628830210.6372776</v>
      </c>
      <c r="AE13">
        <f>'Cost Components'!$B$52*10^6</f>
        <v>628830210.6372776</v>
      </c>
      <c r="AF13">
        <f>'Cost Components'!$B$52*10^6</f>
        <v>628830210.6372776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 C14</f>
        <v>914109486.16936553</v>
      </c>
      <c r="D15">
        <f>D13/((1+'Study Parameters'!$C$4)^'MFSP Baseline'!D12) + D14</f>
        <v>870979842.09273469</v>
      </c>
      <c r="E15">
        <f>E13/((1+'Study Parameters'!$C$4)^'MFSP Baseline'!E12) + E14</f>
        <v>831044986.46622467</v>
      </c>
      <c r="F15">
        <f>F13/((1+'Study Parameters'!$C$4)^'MFSP Baseline'!F12) + F14</f>
        <v>794068268.29353023</v>
      </c>
      <c r="G15">
        <f>G13/((1+'Study Parameters'!$C$4)^'MFSP Baseline'!G12) + G14</f>
        <v>759830566.28177595</v>
      </c>
      <c r="H15">
        <f>H13/((1+'Study Parameters'!$C$4)^'MFSP Baseline'!H12) + H14</f>
        <v>728128990.34496665</v>
      </c>
      <c r="I15">
        <f>I13/((1+'Study Parameters'!$C$4)^'MFSP Baseline'!I12) + I14</f>
        <v>698775679.29236531</v>
      </c>
      <c r="J15">
        <f>J13/((1+'Study Parameters'!$C$4)^'MFSP Baseline'!J12) + J14</f>
        <v>671596687.5769937</v>
      </c>
      <c r="K15">
        <f>K13/((1+'Study Parameters'!$C$4)^'MFSP Baseline'!K12) + K14</f>
        <v>646430954.50720525</v>
      </c>
      <c r="L15">
        <f>L13/((1+'Study Parameters'!$C$4)^'MFSP Baseline'!L12) + L14</f>
        <v>623129349.81295657</v>
      </c>
      <c r="M15">
        <f>M13/((1+'Study Parameters'!$C$4)^'MFSP Baseline'!M12) + M14</f>
        <v>601553789.91087461</v>
      </c>
      <c r="N15">
        <f>N13/((1+'Study Parameters'!$C$4)^'MFSP Baseline'!N12) + N14</f>
        <v>581576419.63116908</v>
      </c>
      <c r="O15">
        <f>O13/((1+'Study Parameters'!$C$4)^'MFSP Baseline'!O12) + O14</f>
        <v>563078854.55736756</v>
      </c>
      <c r="P15">
        <f>P13/((1+'Study Parameters'!$C$4)^'MFSP Baseline'!P12) + P14</f>
        <v>545951479.48903286</v>
      </c>
      <c r="Q15">
        <f>Q13/((1+'Study Parameters'!$C$4)^'MFSP Baseline'!Q12) + Q14</f>
        <v>530092798.87020445</v>
      </c>
      <c r="R15">
        <f>R13/((1+'Study Parameters'!$C$4)^'MFSP Baseline'!R12) + R14</f>
        <v>515408835.33425218</v>
      </c>
      <c r="S15">
        <f>S13/((1+'Study Parameters'!$C$4)^'MFSP Baseline'!S12) + S14</f>
        <v>501812572.80096304</v>
      </c>
      <c r="T15">
        <f>T13/((1+'Study Parameters'!$C$4)^'MFSP Baseline'!T12) + T14</f>
        <v>489223440.8256954</v>
      </c>
      <c r="U15">
        <f>U13/((1+'Study Parameters'!$C$4)^'MFSP Baseline'!U12) + U14</f>
        <v>477566837.14489198</v>
      </c>
      <c r="V15">
        <f>V13/((1+'Study Parameters'!$C$4)^'MFSP Baseline'!V12) + V14</f>
        <v>466773685.58859253</v>
      </c>
      <c r="W15">
        <f>W13/((1+'Study Parameters'!$C$4)^'MFSP Baseline'!W12) + W14</f>
        <v>456780026.74016708</v>
      </c>
      <c r="X15">
        <f>X13/((1+'Study Parameters'!$C$4)^'MFSP Baseline'!X12) + X14</f>
        <v>447526638.91755092</v>
      </c>
      <c r="Y15">
        <f>Y13/((1+'Study Parameters'!$C$4)^'MFSP Baseline'!Y12) + Y14</f>
        <v>438958687.22994339</v>
      </c>
      <c r="Z15">
        <f>Z13/((1+'Study Parameters'!$C$4)^'MFSP Baseline'!Z12) + Z14</f>
        <v>431025398.63030678</v>
      </c>
      <c r="AA15">
        <f>AA13/((1+'Study Parameters'!$C$4)^'MFSP Baseline'!AA12) + AA14</f>
        <v>423679761.03805065</v>
      </c>
      <c r="AB15">
        <f>AB13/((1+'Study Parameters'!$C$4)^'MFSP Baseline'!AB12) + AB14</f>
        <v>416878244.74892467</v>
      </c>
      <c r="AC15">
        <f>AC13/((1+'Study Parameters'!$C$4)^'MFSP Baseline'!AC12) + AC14</f>
        <v>410580544.48121536</v>
      </c>
      <c r="AD15">
        <f>AD13/((1+'Study Parameters'!$C$4)^'MFSP Baseline'!AD12) + AD14</f>
        <v>404749340.52963269</v>
      </c>
      <c r="AE15">
        <f>AE13/((1+'Study Parameters'!$C$4)^'MFSP Baseline'!AE12) + AE14</f>
        <v>399350077.61150062</v>
      </c>
      <c r="AF15">
        <f>AF13/((1+'Study Parameters'!$C$4)^'MFSP Baseline'!AF12) + AF14</f>
        <v>394350760.0947116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1.8914706036926556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Components'!$H$43 * 10^6</f>
        <v>1687007237.9706109</v>
      </c>
      <c r="D25">
        <f xml:space="preserve"> 'Cost Components'!$H$43 * 10^6</f>
        <v>1687007237.9706109</v>
      </c>
      <c r="E25">
        <f xml:space="preserve"> 'Cost Components'!$H$43 * 10^6</f>
        <v>1687007237.9706109</v>
      </c>
      <c r="F25">
        <f xml:space="preserve"> 'Cost Components'!$H$43 * 10^6</f>
        <v>1687007237.9706109</v>
      </c>
      <c r="G25">
        <f xml:space="preserve"> 'Cost Components'!$H$43 * 10^6</f>
        <v>1687007237.9706109</v>
      </c>
      <c r="H25">
        <f xml:space="preserve"> 'Cost Components'!$H$43 * 10^6</f>
        <v>1687007237.9706109</v>
      </c>
      <c r="I25">
        <f xml:space="preserve"> 'Cost Components'!$H$43 * 10^6</f>
        <v>1687007237.9706109</v>
      </c>
      <c r="J25">
        <f xml:space="preserve"> 'Cost Components'!$H$43 * 10^6</f>
        <v>1687007237.9706109</v>
      </c>
      <c r="K25">
        <f xml:space="preserve"> 'Cost Components'!$H$43 * 10^6</f>
        <v>1687007237.9706109</v>
      </c>
      <c r="L25">
        <f xml:space="preserve"> 'Cost Components'!$H$43 * 10^6</f>
        <v>1687007237.9706109</v>
      </c>
      <c r="M25">
        <f xml:space="preserve"> 'Cost Components'!$H$43 * 10^6</f>
        <v>1687007237.9706109</v>
      </c>
      <c r="N25">
        <f xml:space="preserve"> 'Cost Components'!$H$43 * 10^6</f>
        <v>1687007237.9706109</v>
      </c>
      <c r="O25">
        <f xml:space="preserve"> 'Cost Components'!$H$43 * 10^6</f>
        <v>1687007237.9706109</v>
      </c>
      <c r="P25">
        <f xml:space="preserve"> 'Cost Components'!$H$43 * 10^6</f>
        <v>1687007237.9706109</v>
      </c>
      <c r="Q25">
        <f xml:space="preserve"> 'Cost Components'!$H$43 * 10^6</f>
        <v>1687007237.9706109</v>
      </c>
      <c r="R25">
        <f xml:space="preserve"> 'Cost Components'!$H$43 * 10^6</f>
        <v>1687007237.9706109</v>
      </c>
      <c r="S25">
        <f xml:space="preserve"> 'Cost Components'!$H$43 * 10^6</f>
        <v>1687007237.9706109</v>
      </c>
      <c r="T25">
        <f xml:space="preserve"> 'Cost Components'!$H$43 * 10^6</f>
        <v>1687007237.9706109</v>
      </c>
      <c r="U25">
        <f xml:space="preserve"> 'Cost Components'!$H$43 * 10^6</f>
        <v>1687007237.9706109</v>
      </c>
      <c r="V25">
        <f xml:space="preserve"> 'Cost Components'!$H$43 * 10^6</f>
        <v>1687007237.9706109</v>
      </c>
      <c r="W25">
        <f xml:space="preserve"> 'Cost Components'!$H$43 * 10^6</f>
        <v>1687007237.9706109</v>
      </c>
      <c r="X25">
        <f xml:space="preserve"> 'Cost Components'!$H$43 * 10^6</f>
        <v>1687007237.9706109</v>
      </c>
      <c r="Y25">
        <f xml:space="preserve"> 'Cost Components'!$H$43 * 10^6</f>
        <v>1687007237.9706109</v>
      </c>
      <c r="Z25">
        <f xml:space="preserve"> 'Cost Components'!$H$43 * 10^6</f>
        <v>1687007237.9706109</v>
      </c>
      <c r="AA25">
        <f xml:space="preserve"> 'Cost Components'!$H$43 * 10^6</f>
        <v>1687007237.9706109</v>
      </c>
      <c r="AB25">
        <f xml:space="preserve"> 'Cost Components'!$H$43 * 10^6</f>
        <v>1687007237.9706109</v>
      </c>
      <c r="AC25">
        <f xml:space="preserve"> 'Cost Components'!$H$43 * 10^6</f>
        <v>1687007237.9706109</v>
      </c>
      <c r="AD25">
        <f xml:space="preserve"> 'Cost Components'!$H$43 * 10^6</f>
        <v>1687007237.9706109</v>
      </c>
      <c r="AE25">
        <f xml:space="preserve"> 'Cost Components'!$H$43 * 10^6</f>
        <v>1687007237.9706109</v>
      </c>
      <c r="AF25">
        <f xml:space="preserve"> 'Cost Components'!$H$43 * 10^6</f>
        <v>1687007237.9706109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 C26</f>
        <v>2002272498.7289982</v>
      </c>
      <c r="D27">
        <f>D25/((1+'Study Parameters'!$C$4)^'MFSP Baseline'!D24) + D26</f>
        <v>1886565555.1096146</v>
      </c>
      <c r="E27">
        <f>E25/((1+'Study Parameters'!$C$4)^'MFSP Baseline'!E24) + E26</f>
        <v>1779429496.2027781</v>
      </c>
      <c r="F27">
        <f>F25/((1+'Study Parameters'!$C$4)^'MFSP Baseline'!F24) + F26</f>
        <v>1680229441.6594107</v>
      </c>
      <c r="G27">
        <f>G25/((1+'Study Parameters'!$C$4)^'MFSP Baseline'!G24) + G26</f>
        <v>1588377539.3044412</v>
      </c>
      <c r="H27">
        <f>H25/((1+'Study Parameters'!$C$4)^'MFSP Baseline'!H24) + H26</f>
        <v>1503329481.5683582</v>
      </c>
      <c r="I27">
        <f>I25/((1+'Study Parameters'!$C$4)^'MFSP Baseline'!I24) + I26</f>
        <v>1424581279.9608738</v>
      </c>
      <c r="J27">
        <f>J25/((1+'Study Parameters'!$C$4)^'MFSP Baseline'!J24) + J26</f>
        <v>1351666278.4724627</v>
      </c>
      <c r="K27">
        <f>K25/((1+'Study Parameters'!$C$4)^'MFSP Baseline'!K24) + K26</f>
        <v>1284152388.205415</v>
      </c>
      <c r="L27">
        <f>L25/((1+'Study Parameters'!$C$4)^'MFSP Baseline'!L24) + L26</f>
        <v>1221639526.8470378</v>
      </c>
      <c r="M27">
        <f>M25/((1+'Study Parameters'!$C$4)^'MFSP Baseline'!M24) + M26</f>
        <v>1163757247.8115032</v>
      </c>
      <c r="N27">
        <f>N25/((1+'Study Parameters'!$C$4)^'MFSP Baseline'!N24) + N26</f>
        <v>1110162545.000823</v>
      </c>
      <c r="O27">
        <f>O25/((1+'Study Parameters'!$C$4)^'MFSP Baseline'!O24) + O26</f>
        <v>1060537820.1761192</v>
      </c>
      <c r="P27">
        <f>P25/((1+'Study Parameters'!$C$4)^'MFSP Baseline'!P24) + P26</f>
        <v>1014589000.8939859</v>
      </c>
      <c r="Q27">
        <f>Q25/((1+'Study Parameters'!$C$4)^'MFSP Baseline'!Q24) + Q26</f>
        <v>972043797.85497379</v>
      </c>
      <c r="R27">
        <f>R25/((1+'Study Parameters'!$C$4)^'MFSP Baseline'!R24) + R26</f>
        <v>932650091.33736992</v>
      </c>
      <c r="S27">
        <f>S25/((1+'Study Parameters'!$C$4)^'MFSP Baseline'!S24) + S26</f>
        <v>896174437.15440333</v>
      </c>
      <c r="T27">
        <f>T25/((1+'Study Parameters'!$C$4)^'MFSP Baseline'!T24) + T26</f>
        <v>862400683.281286</v>
      </c>
      <c r="U27">
        <f>U25/((1+'Study Parameters'!$C$4)^'MFSP Baseline'!U24) + U26</f>
        <v>831128688.95432568</v>
      </c>
      <c r="V27">
        <f>V25/((1+'Study Parameters'!$C$4)^'MFSP Baseline'!V24) + V26</f>
        <v>802173138.65158463</v>
      </c>
      <c r="W27">
        <f>W25/((1+'Study Parameters'!$C$4)^'MFSP Baseline'!W24) + W26</f>
        <v>775362443.92682445</v>
      </c>
      <c r="X27">
        <f>X25/((1+'Study Parameters'!$C$4)^'MFSP Baseline'!X24) + X26</f>
        <v>750537726.58908343</v>
      </c>
      <c r="Y27">
        <f>Y25/((1+'Study Parameters'!$C$4)^'MFSP Baseline'!Y24) + Y26</f>
        <v>727551877.20228624</v>
      </c>
      <c r="Z27">
        <f>Z25/((1+'Study Parameters'!$C$4)^'MFSP Baseline'!Z24) + Z26</f>
        <v>706268683.3256222</v>
      </c>
      <c r="AA27">
        <f>AA25/((1+'Study Parameters'!$C$4)^'MFSP Baseline'!AA24) + AA26</f>
        <v>686562022.32871103</v>
      </c>
      <c r="AB27">
        <f>AB25/((1+'Study Parameters'!$C$4)^'MFSP Baseline'!AB24) + AB26</f>
        <v>668315113.99823773</v>
      </c>
      <c r="AC27">
        <f>AC25/((1+'Study Parameters'!$C$4)^'MFSP Baseline'!AC24) + AC26</f>
        <v>651419828.50705874</v>
      </c>
      <c r="AD27">
        <f>AD25/((1+'Study Parameters'!$C$4)^'MFSP Baseline'!AD24) + AD26</f>
        <v>635776045.64485598</v>
      </c>
      <c r="AE27">
        <f>AE25/((1+'Study Parameters'!$C$4)^'MFSP Baseline'!AE24) + AE26</f>
        <v>621291061.51318669</v>
      </c>
      <c r="AF27">
        <f>AF25/((1+'Study Parameters'!$C$4)^'MFSP Baseline'!AF24) + AF26</f>
        <v>607879039.16904855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3.5751737040486136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Components'!$H$52*10^6</f>
        <v>632060210.6372776</v>
      </c>
      <c r="D36">
        <f>'Cost Components'!$H$52*10^6</f>
        <v>632060210.6372776</v>
      </c>
      <c r="E36">
        <f>'Cost Components'!$H$52*10^6</f>
        <v>632060210.6372776</v>
      </c>
      <c r="F36">
        <f>'Cost Components'!$H$52*10^6</f>
        <v>632060210.6372776</v>
      </c>
      <c r="G36">
        <f>'Cost Components'!$H$52*10^6</f>
        <v>632060210.6372776</v>
      </c>
      <c r="H36">
        <f>'Cost Components'!$H$52*10^6</f>
        <v>632060210.6372776</v>
      </c>
      <c r="I36">
        <f>'Cost Components'!$H$52*10^6</f>
        <v>632060210.6372776</v>
      </c>
      <c r="J36">
        <f>'Cost Components'!$H$52*10^6</f>
        <v>632060210.6372776</v>
      </c>
      <c r="K36">
        <f>'Cost Components'!$H$52*10^6</f>
        <v>632060210.6372776</v>
      </c>
      <c r="L36">
        <f>'Cost Components'!$H$52*10^6</f>
        <v>632060210.6372776</v>
      </c>
      <c r="M36">
        <f>'Cost Components'!$H$52*10^6</f>
        <v>632060210.6372776</v>
      </c>
      <c r="N36">
        <f>'Cost Components'!$H$52*10^6</f>
        <v>632060210.6372776</v>
      </c>
      <c r="O36">
        <f>'Cost Components'!$H$52*10^6</f>
        <v>632060210.6372776</v>
      </c>
      <c r="P36">
        <f>'Cost Components'!$H$52*10^6</f>
        <v>632060210.6372776</v>
      </c>
      <c r="Q36">
        <f>'Cost Components'!$H$52*10^6</f>
        <v>632060210.6372776</v>
      </c>
      <c r="R36">
        <f>'Cost Components'!$H$52*10^6</f>
        <v>632060210.6372776</v>
      </c>
      <c r="S36">
        <f>'Cost Components'!$H$52*10^6</f>
        <v>632060210.6372776</v>
      </c>
      <c r="T36">
        <f>'Cost Components'!$H$52*10^6</f>
        <v>632060210.6372776</v>
      </c>
      <c r="U36">
        <f>'Cost Components'!$H$52*10^6</f>
        <v>632060210.6372776</v>
      </c>
      <c r="V36">
        <f>'Cost Components'!$H$52*10^6</f>
        <v>632060210.6372776</v>
      </c>
      <c r="W36">
        <f>'Cost Components'!$H$52*10^6</f>
        <v>632060210.6372776</v>
      </c>
      <c r="X36">
        <f>'Cost Components'!$H$52*10^6</f>
        <v>632060210.6372776</v>
      </c>
      <c r="Y36">
        <f>'Cost Components'!$H$52*10^6</f>
        <v>632060210.6372776</v>
      </c>
      <c r="Z36">
        <f>'Cost Components'!$H$52*10^6</f>
        <v>632060210.6372776</v>
      </c>
      <c r="AA36">
        <f>'Cost Components'!$H$52*10^6</f>
        <v>632060210.6372776</v>
      </c>
      <c r="AB36">
        <f>'Cost Components'!$H$52*10^6</f>
        <v>632060210.6372776</v>
      </c>
      <c r="AC36">
        <f>'Cost Components'!$H$52*10^6</f>
        <v>632060210.6372776</v>
      </c>
      <c r="AD36">
        <f>'Cost Components'!$H$52*10^6</f>
        <v>632060210.6372776</v>
      </c>
      <c r="AE36">
        <f>'Cost Components'!$H$52*10^6</f>
        <v>632060210.6372776</v>
      </c>
      <c r="AF36">
        <f>'Cost Components'!$H$52*10^6</f>
        <v>632060210.6372776</v>
      </c>
    </row>
    <row r="37" spans="1:32">
      <c r="A37" t="s">
        <v>146</v>
      </c>
      <c r="B37">
        <v>0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Baseline'!C35)+C37</f>
        <v>920120359.64527357</v>
      </c>
      <c r="D38">
        <f>D36/((1+'Study Parameters'!$C$4)^'MFSP Baseline'!D35)+D37</f>
        <v>876769179.21747673</v>
      </c>
      <c r="E38">
        <f>E36/((1+'Study Parameters'!$C$4)^'MFSP Baseline'!E35)+E37</f>
        <v>836629197.33988714</v>
      </c>
      <c r="F38">
        <f>F36/((1+'Study Parameters'!$C$4)^'MFSP Baseline'!F35)+F37</f>
        <v>799462547.4532299</v>
      </c>
      <c r="G38">
        <f>G36/((1+'Study Parameters'!$C$4)^'MFSP Baseline'!G35)+G37</f>
        <v>765048982.74336231</v>
      </c>
      <c r="H38">
        <f>H36/((1+'Study Parameters'!$C$4)^'MFSP Baseline'!H35)+H37</f>
        <v>733184570.97496629</v>
      </c>
      <c r="I38">
        <f>I36/((1+'Study Parameters'!$C$4)^'MFSP Baseline'!I35)+I37</f>
        <v>703680486.00422931</v>
      </c>
      <c r="J38">
        <f>J36/((1+'Study Parameters'!$C$4)^'MFSP Baseline'!J35)+J37</f>
        <v>676361888.8091023</v>
      </c>
      <c r="K38">
        <f>K36/((1+'Study Parameters'!$C$4)^'MFSP Baseline'!K35)+K37</f>
        <v>651066891.40620708</v>
      </c>
      <c r="L38">
        <f>L36/((1+'Study Parameters'!$C$4)^'MFSP Baseline'!L35)+L37</f>
        <v>627645597.51463747</v>
      </c>
      <c r="M38">
        <f>M36/((1+'Study Parameters'!$C$4)^'MFSP Baseline'!M35)+M37</f>
        <v>605959214.28170252</v>
      </c>
      <c r="N38">
        <f>N36/((1+'Study Parameters'!$C$4)^'MFSP Baseline'!N35)+N37</f>
        <v>585879229.80676281</v>
      </c>
      <c r="O38">
        <f>O36/((1+'Study Parameters'!$C$4)^'MFSP Baseline'!O35)+O37</f>
        <v>567286651.58922601</v>
      </c>
      <c r="P38">
        <f>P36/((1+'Study Parameters'!$C$4)^'MFSP Baseline'!P35)+P37</f>
        <v>550071301.38780308</v>
      </c>
      <c r="Q38">
        <f>Q36/((1+'Study Parameters'!$C$4)^'MFSP Baseline'!Q35)+Q37</f>
        <v>534131162.31241155</v>
      </c>
      <c r="R38">
        <f>R36/((1+'Study Parameters'!$C$4)^'MFSP Baseline'!R35)+R37</f>
        <v>519371774.27964151</v>
      </c>
      <c r="S38">
        <f>S36/((1+'Study Parameters'!$C$4)^'MFSP Baseline'!S35)+S37</f>
        <v>505705674.24929893</v>
      </c>
      <c r="T38">
        <f>T36/((1+'Study Parameters'!$C$4)^'MFSP Baseline'!T35)+T37</f>
        <v>493051877.92490762</v>
      </c>
      <c r="U38">
        <f>U36/((1+'Study Parameters'!$C$4)^'MFSP Baseline'!U35)+U37</f>
        <v>481335399.84676754</v>
      </c>
      <c r="V38">
        <f>V36/((1+'Study Parameters'!$C$4)^'MFSP Baseline'!V35)+V37</f>
        <v>470486809.03367484</v>
      </c>
      <c r="W38">
        <f>W36/((1+'Study Parameters'!$C$4)^'MFSP Baseline'!W35)+W37</f>
        <v>460441817.54007053</v>
      </c>
      <c r="X38">
        <f>X36/((1+'Study Parameters'!$C$4)^'MFSP Baseline'!X35)+X37</f>
        <v>451140899.49043691</v>
      </c>
      <c r="Y38">
        <f>Y36/((1+'Study Parameters'!$C$4)^'MFSP Baseline'!Y35)+Y37</f>
        <v>442528938.33336872</v>
      </c>
      <c r="Z38">
        <f>Z36/((1+'Study Parameters'!$C$4)^'MFSP Baseline'!Z35)+Z37</f>
        <v>434554900.22497225</v>
      </c>
      <c r="AA38">
        <f>AA36/((1+'Study Parameters'!$C$4)^'MFSP Baseline'!AA35)+AA37</f>
        <v>427171531.60608667</v>
      </c>
      <c r="AB38">
        <f>AB36/((1+'Study Parameters'!$C$4)^'MFSP Baseline'!AB35)+AB37</f>
        <v>420335079.18119258</v>
      </c>
      <c r="AC38">
        <f>AC36/((1+'Study Parameters'!$C$4)^'MFSP Baseline'!AC35)+AC37</f>
        <v>414005030.639624</v>
      </c>
      <c r="AD38">
        <f>AD36/((1+'Study Parameters'!$C$4)^'MFSP Baseline'!AD35)+AD37</f>
        <v>408143874.58261603</v>
      </c>
      <c r="AE38">
        <f>AE36/((1+'Study Parameters'!$C$4)^'MFSP Baseline'!AE35)+AE37</f>
        <v>402716878.23353457</v>
      </c>
      <c r="AF38">
        <f>AF36/((1+'Study Parameters'!$C$4)^'MFSP Baseline'!AF35)+AF37</f>
        <v>397691881.61401474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1.905568252668423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Components'!$N$43 * 10^6</f>
        <v>1700817237.9706109</v>
      </c>
      <c r="D49">
        <f>'Cost Components'!$N$43 * 10^6</f>
        <v>1700817237.9706109</v>
      </c>
      <c r="E49">
        <f>'Cost Components'!$N$43 * 10^6</f>
        <v>1700817237.9706109</v>
      </c>
      <c r="F49">
        <f>'Cost Components'!$N$43 * 10^6</f>
        <v>1700817237.9706109</v>
      </c>
      <c r="G49">
        <f>'Cost Components'!$N$43 * 10^6</f>
        <v>1700817237.9706109</v>
      </c>
      <c r="H49">
        <f>'Cost Components'!$N$43 * 10^6</f>
        <v>1700817237.9706109</v>
      </c>
      <c r="I49">
        <f>'Cost Components'!$N$43 * 10^6</f>
        <v>1700817237.9706109</v>
      </c>
      <c r="J49">
        <f>'Cost Components'!$N$43 * 10^6</f>
        <v>1700817237.9706109</v>
      </c>
      <c r="K49">
        <f>'Cost Components'!$N$43 * 10^6</f>
        <v>1700817237.9706109</v>
      </c>
      <c r="L49">
        <f>'Cost Components'!$N$43 * 10^6</f>
        <v>1700817237.9706109</v>
      </c>
      <c r="M49">
        <f>'Cost Components'!$N$43 * 10^6</f>
        <v>1700817237.9706109</v>
      </c>
      <c r="N49">
        <f>'Cost Components'!$N$43 * 10^6</f>
        <v>1700817237.9706109</v>
      </c>
      <c r="O49">
        <f>'Cost Components'!$N$43 * 10^6</f>
        <v>1700817237.9706109</v>
      </c>
      <c r="P49">
        <f>'Cost Components'!$N$43 * 10^6</f>
        <v>1700817237.9706109</v>
      </c>
      <c r="Q49">
        <f>'Cost Components'!$N$43 * 10^6</f>
        <v>1700817237.9706109</v>
      </c>
      <c r="R49">
        <f>'Cost Components'!$N$43 * 10^6</f>
        <v>1700817237.9706109</v>
      </c>
      <c r="S49">
        <f>'Cost Components'!$N$43 * 10^6</f>
        <v>1700817237.9706109</v>
      </c>
      <c r="T49">
        <f>'Cost Components'!$N$43 * 10^6</f>
        <v>1700817237.9706109</v>
      </c>
      <c r="U49">
        <f>'Cost Components'!$N$43 * 10^6</f>
        <v>1700817237.9706109</v>
      </c>
      <c r="V49">
        <f>'Cost Components'!$N$43 * 10^6</f>
        <v>1700817237.9706109</v>
      </c>
      <c r="W49">
        <f>'Cost Components'!$N$43 * 10^6</f>
        <v>1700817237.9706109</v>
      </c>
      <c r="X49">
        <f>'Cost Components'!$N$43 * 10^6</f>
        <v>1700817237.9706109</v>
      </c>
      <c r="Y49">
        <f>'Cost Components'!$N$43 * 10^6</f>
        <v>1700817237.9706109</v>
      </c>
      <c r="Z49">
        <f>'Cost Components'!$N$43 * 10^6</f>
        <v>1700817237.9706109</v>
      </c>
      <c r="AA49">
        <f>'Cost Components'!$N$43 * 10^6</f>
        <v>1700817237.9706109</v>
      </c>
      <c r="AB49">
        <f>'Cost Components'!$N$43 * 10^6</f>
        <v>1700817237.9706109</v>
      </c>
      <c r="AC49">
        <f>'Cost Components'!$N$43 * 10^6</f>
        <v>1700817237.9706109</v>
      </c>
      <c r="AD49">
        <f>'Cost Components'!$N$43 * 10^6</f>
        <v>1700817237.9706109</v>
      </c>
      <c r="AE49">
        <f>'Cost Components'!$N$43 * 10^6</f>
        <v>1700817237.9706109</v>
      </c>
      <c r="AF49">
        <f>'Cost Components'!$N$43 * 10^6</f>
        <v>1700817237.9706109</v>
      </c>
    </row>
    <row r="50" spans="1:32">
      <c r="A50" t="s">
        <v>146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2143681659.3108053</v>
      </c>
      <c r="D51">
        <f>D49/((1+'Study Parameters'!$C$4)^'MFSP Baseline'!D48) + D50</f>
        <v>2027027527.7627525</v>
      </c>
      <c r="E51">
        <f>E49/((1+'Study Parameters'!$C$4)^'MFSP Baseline'!E48) + E50</f>
        <v>1919014442.9960368</v>
      </c>
      <c r="F51">
        <f>F49/((1+'Study Parameters'!$C$4)^'MFSP Baseline'!F48) + F50</f>
        <v>1819002327.4713001</v>
      </c>
      <c r="G51">
        <f>G49/((1+'Study Parameters'!$C$4)^'MFSP Baseline'!G48) + G50</f>
        <v>1726398516.8002477</v>
      </c>
      <c r="H51">
        <f>H49/((1+'Study Parameters'!$C$4)^'MFSP Baseline'!H48) + H50</f>
        <v>1640654247.6603842</v>
      </c>
      <c r="I51">
        <f>I49/((1+'Study Parameters'!$C$4)^'MFSP Baseline'!I48) + I50</f>
        <v>1561261405.8642142</v>
      </c>
      <c r="J51">
        <f>J49/((1+'Study Parameters'!$C$4)^'MFSP Baseline'!J48) + J50</f>
        <v>1487749515.3122051</v>
      </c>
      <c r="K51">
        <f>K49/((1+'Study Parameters'!$C$4)^'MFSP Baseline'!K48) + K50</f>
        <v>1419682949.9862709</v>
      </c>
      <c r="L51">
        <f>L49/((1+'Study Parameters'!$C$4)^'MFSP Baseline'!L48) + L50</f>
        <v>1356658352.4622574</v>
      </c>
      <c r="M51">
        <f>M49/((1+'Study Parameters'!$C$4)^'MFSP Baseline'!M48) + M50</f>
        <v>1298302243.6437268</v>
      </c>
      <c r="N51">
        <f>N49/((1+'Study Parameters'!$C$4)^'MFSP Baseline'!N48) + N50</f>
        <v>1244268809.5524945</v>
      </c>
      <c r="O51">
        <f>O49/((1+'Study Parameters'!$C$4)^'MFSP Baseline'!O48) + O50</f>
        <v>1194237852.0606127</v>
      </c>
      <c r="P51">
        <f>P49/((1+'Study Parameters'!$C$4)^'MFSP Baseline'!P48) + P50</f>
        <v>1147912891.4199815</v>
      </c>
      <c r="Q51">
        <f>Q49/((1+'Study Parameters'!$C$4)^'MFSP Baseline'!Q48) + Q50</f>
        <v>1105019409.3453228</v>
      </c>
      <c r="R51">
        <f>R49/((1+'Study Parameters'!$C$4)^'MFSP Baseline'!R48) + R50</f>
        <v>1065303222.2391577</v>
      </c>
      <c r="S51">
        <f>S49/((1+'Study Parameters'!$C$4)^'MFSP Baseline'!S48) + S50</f>
        <v>1028528974.9186342</v>
      </c>
      <c r="T51">
        <f>T49/((1+'Study Parameters'!$C$4)^'MFSP Baseline'!T48) + T50</f>
        <v>994478745.91814947</v>
      </c>
      <c r="U51">
        <f>U49/((1+'Study Parameters'!$C$4)^'MFSP Baseline'!U48) + U50</f>
        <v>962950756.10288596</v>
      </c>
      <c r="V51">
        <f>V49/((1+'Study Parameters'!$C$4)^'MFSP Baseline'!V48) + V50</f>
        <v>933758172.94060493</v>
      </c>
      <c r="W51">
        <f>W49/((1+'Study Parameters'!$C$4)^'MFSP Baseline'!W48) + W50</f>
        <v>906728003.3459003</v>
      </c>
      <c r="X51">
        <f>X49/((1+'Study Parameters'!$C$4)^'MFSP Baseline'!X48) + X50</f>
        <v>881700068.53598845</v>
      </c>
      <c r="Y51">
        <f>Y49/((1+'Study Parameters'!$C$4)^'MFSP Baseline'!Y48) + Y50</f>
        <v>858526054.82310724</v>
      </c>
      <c r="Z51">
        <f>Z49/((1+'Study Parameters'!$C$4)^'MFSP Baseline'!Z48) + Z50</f>
        <v>837068634.71858752</v>
      </c>
      <c r="AA51">
        <f>AA49/((1+'Study Parameters'!$C$4)^'MFSP Baseline'!AA48) + AA50</f>
        <v>817200653.14032853</v>
      </c>
      <c r="AB51">
        <f>AB49/((1+'Study Parameters'!$C$4)^'MFSP Baseline'!AB48) + AB50</f>
        <v>798804373.90119994</v>
      </c>
      <c r="AC51">
        <f>AC49/((1+'Study Parameters'!$C$4)^'MFSP Baseline'!AC48) + AC50</f>
        <v>781770782.01311779</v>
      </c>
      <c r="AD51">
        <f>AD49/((1+'Study Parameters'!$C$4)^'MFSP Baseline'!AD48) + AD50</f>
        <v>765998937.67230105</v>
      </c>
      <c r="AE51">
        <f>AE49/((1+'Study Parameters'!$C$4)^'MFSP Baseline'!AE48) + AE50</f>
        <v>751395378.09747076</v>
      </c>
      <c r="AF51">
        <f>AF49/((1+'Study Parameters'!$C$4)^'MFSP Baseline'!AF48) + AF50</f>
        <v>737873563.67633152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4.0208801957224605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Components'!$N$52*10^6</f>
        <v>629830210.6372776</v>
      </c>
      <c r="D59">
        <f>'Cost Components'!$N$52*10^6</f>
        <v>629830210.6372776</v>
      </c>
      <c r="E59">
        <f>'Cost Components'!$N$52*10^6</f>
        <v>629830210.6372776</v>
      </c>
      <c r="F59">
        <f>'Cost Components'!$N$52*10^6</f>
        <v>629830210.6372776</v>
      </c>
      <c r="G59">
        <f>'Cost Components'!$N$52*10^6</f>
        <v>629830210.6372776</v>
      </c>
      <c r="H59">
        <f>'Cost Components'!$N$52*10^6</f>
        <v>629830210.6372776</v>
      </c>
      <c r="I59">
        <f>'Cost Components'!$N$52*10^6</f>
        <v>629830210.6372776</v>
      </c>
      <c r="J59">
        <f>'Cost Components'!$N$52*10^6</f>
        <v>629830210.6372776</v>
      </c>
      <c r="K59">
        <f>'Cost Components'!$N$52*10^6</f>
        <v>629830210.6372776</v>
      </c>
      <c r="L59">
        <f>'Cost Components'!$N$52*10^6</f>
        <v>629830210.6372776</v>
      </c>
      <c r="M59">
        <f>'Cost Components'!$N$52*10^6</f>
        <v>629830210.6372776</v>
      </c>
      <c r="N59">
        <f>'Cost Components'!$N$52*10^6</f>
        <v>629830210.6372776</v>
      </c>
      <c r="O59">
        <f>'Cost Components'!$N$52*10^6</f>
        <v>629830210.6372776</v>
      </c>
      <c r="P59">
        <f>'Cost Components'!$N$52*10^6</f>
        <v>629830210.6372776</v>
      </c>
      <c r="Q59">
        <f>'Cost Components'!$N$52*10^6</f>
        <v>629830210.6372776</v>
      </c>
      <c r="R59">
        <f>'Cost Components'!$N$52*10^6</f>
        <v>629830210.6372776</v>
      </c>
      <c r="S59">
        <f>'Cost Components'!$N$52*10^6</f>
        <v>629830210.6372776</v>
      </c>
      <c r="T59">
        <f>'Cost Components'!$N$52*10^6</f>
        <v>629830210.6372776</v>
      </c>
      <c r="U59">
        <f>'Cost Components'!$N$52*10^6</f>
        <v>629830210.6372776</v>
      </c>
      <c r="V59">
        <f>'Cost Components'!$N$52*10^6</f>
        <v>629830210.6372776</v>
      </c>
      <c r="W59">
        <f>'Cost Components'!$N$52*10^6</f>
        <v>629830210.6372776</v>
      </c>
      <c r="X59">
        <f>'Cost Components'!$N$52*10^6</f>
        <v>629830210.6372776</v>
      </c>
      <c r="Y59">
        <f>'Cost Components'!$N$52*10^6</f>
        <v>629830210.6372776</v>
      </c>
      <c r="Z59">
        <f>'Cost Components'!$N$52*10^6</f>
        <v>629830210.6372776</v>
      </c>
      <c r="AA59">
        <f>'Cost Components'!$N$52*10^6</f>
        <v>629830210.6372776</v>
      </c>
      <c r="AB59">
        <f>'Cost Components'!$N$52*10^6</f>
        <v>629830210.6372776</v>
      </c>
      <c r="AC59">
        <f>'Cost Components'!$N$52*10^6</f>
        <v>629830210.6372776</v>
      </c>
      <c r="AD59">
        <f>'Cost Components'!$N$52*10^6</f>
        <v>629830210.6372776</v>
      </c>
      <c r="AE59">
        <f>'Cost Components'!$N$52*10^6</f>
        <v>629830210.6372776</v>
      </c>
      <c r="AF59">
        <f>'Cost Components'!$N$52*10^6</f>
        <v>629830210.6372776</v>
      </c>
    </row>
    <row r="60" spans="1:32">
      <c r="A60" t="s">
        <v>146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914235965.1948061</v>
      </c>
      <c r="D61">
        <f>D59/((1+'Study Parameters'!$C$4)^'MFSP Baseline'!D58) + D60</f>
        <v>871037734.01255107</v>
      </c>
      <c r="E61">
        <f>E59/((1+'Study Parameters'!$C$4)^'MFSP Baseline'!E58) + E60</f>
        <v>831039371.80675936</v>
      </c>
      <c r="F61">
        <f>F59/((1+'Study Parameters'!$C$4)^'MFSP Baseline'!F58) + F60</f>
        <v>794003851.24584115</v>
      </c>
      <c r="G61">
        <f>G59/((1+'Study Parameters'!$C$4)^'MFSP Baseline'!G58) + G60</f>
        <v>759711702.57832432</v>
      </c>
      <c r="H61">
        <f>H59/((1+'Study Parameters'!$C$4)^'MFSP Baseline'!H58) + H60</f>
        <v>727959713.07136416</v>
      </c>
      <c r="I61">
        <f>I59/((1+'Study Parameters'!$C$4)^'MFSP Baseline'!I58) + I60</f>
        <v>698559722.78714204</v>
      </c>
      <c r="J61">
        <f>J59/((1+'Study Parameters'!$C$4)^'MFSP Baseline'!J58) + J60</f>
        <v>671337509.56101024</v>
      </c>
      <c r="K61">
        <f>K59/((1+'Study Parameters'!$C$4)^'MFSP Baseline'!K58) + K60</f>
        <v>646131756.57385123</v>
      </c>
      <c r="L61">
        <f>L59/((1+'Study Parameters'!$C$4)^'MFSP Baseline'!L58) + L60</f>
        <v>622793096.40055585</v>
      </c>
      <c r="M61">
        <f>M59/((1+'Study Parameters'!$C$4)^'MFSP Baseline'!M58) + M60</f>
        <v>601183225.8697269</v>
      </c>
      <c r="N61">
        <f>N59/((1+'Study Parameters'!$C$4)^'MFSP Baseline'!N58) + N60</f>
        <v>581174086.48932958</v>
      </c>
      <c r="O61">
        <f>O59/((1+'Study Parameters'!$C$4)^'MFSP Baseline'!O58) + O60</f>
        <v>562647105.58155429</v>
      </c>
      <c r="P61">
        <f>P59/((1+'Study Parameters'!$C$4)^'MFSP Baseline'!P58) + P60</f>
        <v>545492493.62991047</v>
      </c>
      <c r="Q61">
        <f>Q59/((1+'Study Parameters'!$C$4)^'MFSP Baseline'!Q58) + Q60</f>
        <v>529608593.67468488</v>
      </c>
      <c r="R61">
        <f>R59/((1+'Study Parameters'!$C$4)^'MFSP Baseline'!R58) + R60</f>
        <v>514901278.90132773</v>
      </c>
      <c r="S61">
        <f>S59/((1+'Study Parameters'!$C$4)^'MFSP Baseline'!S58) + S60</f>
        <v>501283394.85192299</v>
      </c>
      <c r="T61">
        <f>T59/((1+'Study Parameters'!$C$4)^'MFSP Baseline'!T58) + T60</f>
        <v>488674242.95432603</v>
      </c>
      <c r="U61">
        <f>U59/((1+'Study Parameters'!$C$4)^'MFSP Baseline'!U58) + U60</f>
        <v>476999102.3084029</v>
      </c>
      <c r="V61">
        <f>V59/((1+'Study Parameters'!$C$4)^'MFSP Baseline'!V58) + V60</f>
        <v>466188786.89551115</v>
      </c>
      <c r="W61">
        <f>W59/((1+'Study Parameters'!$C$4)^'MFSP Baseline'!W58) + W60</f>
        <v>456179235.58727801</v>
      </c>
      <c r="X61">
        <f>X59/((1+'Study Parameters'!$C$4)^'MFSP Baseline'!X58) + X60</f>
        <v>446911132.52409911</v>
      </c>
      <c r="Y61">
        <f>Y59/((1+'Study Parameters'!$C$4)^'MFSP Baseline'!Y58) + Y60</f>
        <v>438329555.61374837</v>
      </c>
      <c r="Z61">
        <f>Z59/((1+'Study Parameters'!$C$4)^'MFSP Baseline'!Z58) + Z60</f>
        <v>430383651.06712729</v>
      </c>
      <c r="AA61">
        <f>AA59/((1+'Study Parameters'!$C$4)^'MFSP Baseline'!AA58) + AA60</f>
        <v>423026332.04247814</v>
      </c>
      <c r="AB61">
        <f>AB59/((1+'Study Parameters'!$C$4)^'MFSP Baseline'!AB58) + AB60</f>
        <v>416213999.61224747</v>
      </c>
      <c r="AC61">
        <f>AC59/((1+'Study Parameters'!$C$4)^'MFSP Baseline'!AC58) + AC60</f>
        <v>409906284.39907086</v>
      </c>
      <c r="AD61">
        <f>AD59/((1+'Study Parameters'!$C$4)^'MFSP Baseline'!AD58) + AD60</f>
        <v>404065807.34983331</v>
      </c>
      <c r="AE61">
        <f>AE59/((1+'Study Parameters'!$C$4)^'MFSP Baseline'!AE58) + AE60</f>
        <v>398657958.23016894</v>
      </c>
      <c r="AF61">
        <f>AF59/((1+'Study Parameters'!$C$4)^'MFSP Baseline'!AF58) + AF60</f>
        <v>393650690.52677596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1.8900576230814237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65"/>
  <sheetViews>
    <sheetView workbookViewId="0">
      <selection activeCell="C57" sqref="C57"/>
    </sheetView>
  </sheetViews>
  <sheetFormatPr defaultColWidth="11" defaultRowHeight="15.6"/>
  <cols>
    <col min="1" max="1" width="26.8984375" bestFit="1" customWidth="1"/>
    <col min="2" max="2" width="17.59765625" bestFit="1" customWidth="1"/>
    <col min="3" max="3" width="17.097656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Components'!$B$45 * 10^6</f>
        <v>4356323237.9706106</v>
      </c>
      <c r="D3">
        <f>'Cost Components'!$B$45 * 10^6</f>
        <v>4356323237.9706106</v>
      </c>
      <c r="E3">
        <f>'Cost Components'!$B$45 * 10^6</f>
        <v>4356323237.9706106</v>
      </c>
      <c r="F3">
        <f>'Cost Components'!$B$45 * 10^6</f>
        <v>4356323237.9706106</v>
      </c>
      <c r="G3">
        <f>'Cost Components'!$B$45 * 10^6</f>
        <v>4356323237.9706106</v>
      </c>
      <c r="H3">
        <f>'Cost Components'!$B$45 * 10^6</f>
        <v>4356323237.9706106</v>
      </c>
      <c r="I3">
        <f>'Cost Components'!$B$45 * 10^6</f>
        <v>4356323237.9706106</v>
      </c>
      <c r="J3">
        <f>'Cost Components'!$B$45 * 10^6</f>
        <v>4356323237.9706106</v>
      </c>
      <c r="K3">
        <f>'Cost Components'!$B$45 * 10^6</f>
        <v>4356323237.9706106</v>
      </c>
      <c r="L3">
        <f>'Cost Components'!$B$45 * 10^6</f>
        <v>4356323237.9706106</v>
      </c>
      <c r="M3">
        <f>'Cost Components'!$B$45 * 10^6</f>
        <v>4356323237.9706106</v>
      </c>
      <c r="N3">
        <f>'Cost Components'!$B$45 * 10^6</f>
        <v>4356323237.9706106</v>
      </c>
      <c r="O3">
        <f>'Cost Components'!$B$45 * 10^6</f>
        <v>4356323237.9706106</v>
      </c>
      <c r="P3">
        <f>'Cost Components'!$B$45 * 10^6</f>
        <v>4356323237.9706106</v>
      </c>
      <c r="Q3">
        <f>'Cost Components'!$B$45 * 10^6</f>
        <v>4356323237.9706106</v>
      </c>
      <c r="R3">
        <f>'Cost Components'!$B$45 * 10^6</f>
        <v>4356323237.9706106</v>
      </c>
      <c r="S3">
        <f>'Cost Components'!$B$45 * 10^6</f>
        <v>4356323237.9706106</v>
      </c>
      <c r="T3">
        <f>'Cost Components'!$B$45 * 10^6</f>
        <v>4356323237.9706106</v>
      </c>
      <c r="U3">
        <f>'Cost Components'!$B$45 * 10^6</f>
        <v>4356323237.9706106</v>
      </c>
      <c r="V3">
        <f>'Cost Components'!$B$45 * 10^6</f>
        <v>4356323237.9706106</v>
      </c>
      <c r="W3">
        <f>'Cost Components'!$B$45 * 10^6</f>
        <v>4356323237.9706106</v>
      </c>
      <c r="X3">
        <f>'Cost Components'!$B$45 * 10^6</f>
        <v>4356323237.9706106</v>
      </c>
      <c r="Y3">
        <f>'Cost Components'!$B$45 * 10^6</f>
        <v>4356323237.9706106</v>
      </c>
      <c r="Z3">
        <f>'Cost Components'!$B$45 * 10^6</f>
        <v>4356323237.9706106</v>
      </c>
      <c r="AA3">
        <f>'Cost Components'!$B$45 * 10^6</f>
        <v>4356323237.9706106</v>
      </c>
      <c r="AB3">
        <f>'Cost Components'!$B$45 * 10^6</f>
        <v>4356323237.9706106</v>
      </c>
      <c r="AC3">
        <f>'Cost Components'!$B$45 * 10^6</f>
        <v>4356323237.9706106</v>
      </c>
      <c r="AD3">
        <f>'Cost Components'!$B$45 * 10^6</f>
        <v>4356323237.9706106</v>
      </c>
      <c r="AE3">
        <f>'Cost Components'!$B$45 * 10^6</f>
        <v>4356323237.9706106</v>
      </c>
      <c r="AF3">
        <f>'Cost Components'!$B$45 * 10^6</f>
        <v>4356323237.9706106</v>
      </c>
    </row>
    <row r="4" spans="1:32">
      <c r="A4" t="s">
        <v>146</v>
      </c>
      <c r="B4">
        <v>0</v>
      </c>
      <c r="C4">
        <f>'Cost Components'!$B$9</f>
        <v>554283184.33657908</v>
      </c>
      <c r="D4">
        <f>'Cost Components'!$B$9</f>
        <v>554283184.33657908</v>
      </c>
      <c r="E4">
        <f>'Cost Components'!$B$9</f>
        <v>554283184.33657908</v>
      </c>
      <c r="F4">
        <f>'Cost Components'!$B$9</f>
        <v>554283184.33657908</v>
      </c>
      <c r="G4">
        <f>'Cost Components'!$B$9</f>
        <v>554283184.33657908</v>
      </c>
      <c r="H4">
        <f>'Cost Components'!$B$9</f>
        <v>554283184.33657908</v>
      </c>
      <c r="I4">
        <f>'Cost Components'!$B$9</f>
        <v>554283184.33657908</v>
      </c>
      <c r="J4">
        <f>'Cost Components'!$B$9</f>
        <v>554283184.33657908</v>
      </c>
      <c r="K4">
        <f>'Cost Components'!$B$9</f>
        <v>554283184.33657908</v>
      </c>
      <c r="L4">
        <f>'Cost Components'!$B$9</f>
        <v>554283184.33657908</v>
      </c>
      <c r="M4">
        <f>'Cost Components'!$B$9</f>
        <v>554283184.33657908</v>
      </c>
      <c r="N4">
        <f>'Cost Components'!$B$9</f>
        <v>554283184.33657908</v>
      </c>
      <c r="O4">
        <f>'Cost Components'!$B$9</f>
        <v>554283184.33657908</v>
      </c>
      <c r="P4">
        <f>'Cost Components'!$B$9</f>
        <v>554283184.33657908</v>
      </c>
      <c r="Q4">
        <f>'Cost Components'!$B$9</f>
        <v>554283184.33657908</v>
      </c>
      <c r="R4">
        <f>'Cost Components'!$B$9</f>
        <v>554283184.33657908</v>
      </c>
      <c r="S4">
        <f>'Cost Components'!$B$9</f>
        <v>554283184.33657908</v>
      </c>
      <c r="T4">
        <f>'Cost Components'!$B$9</f>
        <v>554283184.33657908</v>
      </c>
      <c r="U4">
        <f>'Cost Components'!$B$9</f>
        <v>554283184.33657908</v>
      </c>
      <c r="V4">
        <f>'Cost Components'!$B$9</f>
        <v>554283184.33657908</v>
      </c>
      <c r="W4">
        <f>'Cost Components'!$B$9</f>
        <v>554283184.33657908</v>
      </c>
      <c r="X4">
        <f>'Cost Components'!$B$9</f>
        <v>554283184.33657908</v>
      </c>
      <c r="Y4">
        <f>'Cost Components'!$B$9</f>
        <v>554283184.33657908</v>
      </c>
      <c r="Z4">
        <f>'Cost Components'!$B$9</f>
        <v>554283184.33657908</v>
      </c>
      <c r="AA4">
        <f>'Cost Components'!$B$9</f>
        <v>554283184.33657908</v>
      </c>
      <c r="AB4">
        <f>'Cost Components'!$B$9</f>
        <v>554283184.33657908</v>
      </c>
      <c r="AC4">
        <f>'Cost Components'!$B$9</f>
        <v>554283184.33657908</v>
      </c>
      <c r="AD4">
        <f>'Cost Components'!$B$9</f>
        <v>554283184.33657908</v>
      </c>
      <c r="AE4">
        <f>'Cost Components'!$B$9</f>
        <v>554283184.33657908</v>
      </c>
      <c r="AF4">
        <f>'Cost Components'!$B$9</f>
        <v>554283184.33657908</v>
      </c>
    </row>
    <row r="5" spans="1:32">
      <c r="A5" t="s">
        <v>112</v>
      </c>
      <c r="B5">
        <f>B3/((1+'Study Parameters'!$C$4)^'MFSP Baseline'!B2)</f>
        <v>0</v>
      </c>
      <c r="C5">
        <f>C3/((1+'Study Parameters'!$C$4)^'MFSP Baseline'!C2) + C4</f>
        <v>4587915812.0871439</v>
      </c>
      <c r="D5">
        <f>D3/((1+'Study Parameters'!$C$4)^'MFSP Baseline'!D2) + D4</f>
        <v>4289128210.0315466</v>
      </c>
      <c r="E5">
        <f>E3/((1+'Study Parameters'!$C$4)^'MFSP Baseline'!E2) + E4</f>
        <v>4012473022.9430304</v>
      </c>
      <c r="F5">
        <f>F3/((1+'Study Parameters'!$C$4)^'MFSP Baseline'!F2) + F4</f>
        <v>3756310812.6758852</v>
      </c>
      <c r="G5">
        <f>G3/((1+'Study Parameters'!$C$4)^'MFSP Baseline'!G2) + G4</f>
        <v>3519123580.9470482</v>
      </c>
      <c r="H5">
        <f>H3/((1+'Study Parameters'!$C$4)^'MFSP Baseline'!H2) + H4</f>
        <v>3299505773.7907171</v>
      </c>
      <c r="I5">
        <f>I3/((1+'Study Parameters'!$C$4)^'MFSP Baseline'!I2) + I4</f>
        <v>3096155952.3496695</v>
      </c>
      <c r="J5">
        <f>J3/((1+'Study Parameters'!$C$4)^'MFSP Baseline'!J2) + J4</f>
        <v>2907869080.6449957</v>
      </c>
      <c r="K5">
        <f>K3/((1+'Study Parameters'!$C$4)^'MFSP Baseline'!K2) + K4</f>
        <v>2733529384.6221504</v>
      </c>
      <c r="L5">
        <f>L3/((1+'Study Parameters'!$C$4)^'MFSP Baseline'!L2) + L4</f>
        <v>2572103740.1565523</v>
      </c>
      <c r="M5">
        <f>M3/((1+'Study Parameters'!$C$4)^'MFSP Baseline'!M2) + M4</f>
        <v>2422635550.8365545</v>
      </c>
      <c r="N5">
        <f>N3/((1+'Study Parameters'!$C$4)^'MFSP Baseline'!N2) + N4</f>
        <v>2284239079.2439632</v>
      </c>
      <c r="O5">
        <f>O3/((1+'Study Parameters'!$C$4)^'MFSP Baseline'!O2) + O4</f>
        <v>2156094198.1397123</v>
      </c>
      <c r="P5">
        <f>P3/((1+'Study Parameters'!$C$4)^'MFSP Baseline'!P2) + P4</f>
        <v>2037441530.4505913</v>
      </c>
      <c r="Q5">
        <f>Q3/((1+'Study Parameters'!$C$4)^'MFSP Baseline'!Q2) + Q4</f>
        <v>1927577949.2569606</v>
      </c>
      <c r="R5">
        <f>R3/((1+'Study Parameters'!$C$4)^'MFSP Baseline'!R2) + R4</f>
        <v>1825852411.1147103</v>
      </c>
      <c r="S5">
        <f>S3/((1+'Study Parameters'!$C$4)^'MFSP Baseline'!S2) + S4</f>
        <v>1731662098.0200338</v>
      </c>
      <c r="T5">
        <f>T3/((1+'Study Parameters'!$C$4)^'MFSP Baseline'!T2) + T4</f>
        <v>1644448845.1545928</v>
      </c>
      <c r="U5">
        <f>U3/((1+'Study Parameters'!$C$4)^'MFSP Baseline'!U2) + U4</f>
        <v>1563695833.242147</v>
      </c>
      <c r="V5">
        <f>V3/((1+'Study Parameters'!$C$4)^'MFSP Baseline'!V2) + V4</f>
        <v>1488924525.9158087</v>
      </c>
      <c r="W5">
        <f>W3/((1+'Study Parameters'!$C$4)^'MFSP Baseline'!W2) + W4</f>
        <v>1419691833.9469769</v>
      </c>
      <c r="X5">
        <f>X3/((1+'Study Parameters'!$C$4)^'MFSP Baseline'!X2) + X4</f>
        <v>1355587489.5313916</v>
      </c>
      <c r="Y5">
        <f>Y3/((1+'Study Parameters'!$C$4)^'MFSP Baseline'!Y2) + Y4</f>
        <v>1296231615.0725169</v>
      </c>
      <c r="Z5">
        <f>Z3/((1+'Study Parameters'!$C$4)^'MFSP Baseline'!Z2) + Z4</f>
        <v>1241272472.0550399</v>
      </c>
      <c r="AA5">
        <f>AA3/((1+'Study Parameters'!$C$4)^'MFSP Baseline'!AA2) + AA4</f>
        <v>1190384376.6684871</v>
      </c>
      <c r="AB5">
        <f>AB3/((1+'Study Parameters'!$C$4)^'MFSP Baseline'!AB2) + AB4</f>
        <v>1143265769.8290868</v>
      </c>
      <c r="AC5">
        <f>AC3/((1+'Study Parameters'!$C$4)^'MFSP Baseline'!AC2) + AC4</f>
        <v>1099637430.1629748</v>
      </c>
      <c r="AD5">
        <f>AD3/((1+'Study Parameters'!$C$4)^'MFSP Baseline'!AD2) + AD4</f>
        <v>1059240819.3610196</v>
      </c>
      <c r="AE5">
        <f>AE3/((1+'Study Parameters'!$C$4)^'MFSP Baseline'!AE2) + AE4</f>
        <v>1021836550.09995</v>
      </c>
      <c r="AF5">
        <f>AF3/((1+'Study Parameters'!$C$4)^'MFSP Baseline'!AF2) + AF4</f>
        <v>987202967.45081139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C6/((1+'Study Parameters'!$C$4)^'MFSP Baseline'!C2)</f>
        <v>740740740.74074066</v>
      </c>
      <c r="D7">
        <f>D6/((1+'Study Parameters'!$C$4)^'MFSP Baseline'!D2)</f>
        <v>685871056.24142659</v>
      </c>
      <c r="E7">
        <f>E6/((1+'Study Parameters'!$C$4)^'MFSP Baseline'!E2)</f>
        <v>635065792.81613564</v>
      </c>
      <c r="F7">
        <f>F6/((1+'Study Parameters'!$C$4)^'MFSP Baseline'!F2)</f>
        <v>588023882.23716259</v>
      </c>
      <c r="G7">
        <f>G6/((1+'Study Parameters'!$C$4)^'MFSP Baseline'!G2)</f>
        <v>544466557.62700236</v>
      </c>
      <c r="H7">
        <f>H6/((1+'Study Parameters'!$C$4)^'MFSP Baseline'!H2)</f>
        <v>504135701.50648367</v>
      </c>
      <c r="I7">
        <f>I6/((1+'Study Parameters'!$C$4)^'MFSP Baseline'!I2)</f>
        <v>466792316.20970708</v>
      </c>
      <c r="J7">
        <f>J6/((1+'Study Parameters'!$C$4)^'MFSP Baseline'!J2)</f>
        <v>432215107.60158062</v>
      </c>
      <c r="K7">
        <f>K6/((1+'Study Parameters'!$C$4)^'MFSP Baseline'!K2)</f>
        <v>400199173.70516723</v>
      </c>
      <c r="L7">
        <f>L6/((1+'Study Parameters'!$C$4)^'MFSP Baseline'!L2)</f>
        <v>370554790.46774739</v>
      </c>
      <c r="M7">
        <f>M6/((1+'Study Parameters'!$C$4)^'MFSP Baseline'!M2)</f>
        <v>343106287.47013646</v>
      </c>
      <c r="N7">
        <f>N6/((1+'Study Parameters'!$C$4)^'MFSP Baseline'!N2)</f>
        <v>317691006.91679299</v>
      </c>
      <c r="O7">
        <f>O6/((1+'Study Parameters'!$C$4)^'MFSP Baseline'!O2)</f>
        <v>294158339.73777133</v>
      </c>
      <c r="P7">
        <f>P6/((1+'Study Parameters'!$C$4)^'MFSP Baseline'!P2)</f>
        <v>272368833.09052896</v>
      </c>
      <c r="Q7">
        <f>Q6/((1+'Study Parameters'!$C$4)^'MFSP Baseline'!Q2)</f>
        <v>252193363.97271198</v>
      </c>
      <c r="R7">
        <f>R6/((1+'Study Parameters'!$C$4)^'MFSP Baseline'!R2)</f>
        <v>233512374.04880738</v>
      </c>
      <c r="S7">
        <f>S6/((1+'Study Parameters'!$C$4)^'MFSP Baseline'!S2)</f>
        <v>216215161.15630314</v>
      </c>
      <c r="T7">
        <f>T6/((1+'Study Parameters'!$C$4)^'MFSP Baseline'!T2)</f>
        <v>200199223.29287323</v>
      </c>
      <c r="U7">
        <f>U6/((1+'Study Parameters'!$C$4)^'MFSP Baseline'!U2)</f>
        <v>185369651.19710484</v>
      </c>
      <c r="V7">
        <f>V6/((1+'Study Parameters'!$C$4)^'MFSP Baseline'!V2)</f>
        <v>171638565.92324522</v>
      </c>
      <c r="W7">
        <f>W6/((1+'Study Parameters'!$C$4)^'MFSP Baseline'!W2)</f>
        <v>158924598.07707891</v>
      </c>
      <c r="X7">
        <f>X6/((1+'Study Parameters'!$C$4)^'MFSP Baseline'!X2)</f>
        <v>147152405.6269249</v>
      </c>
      <c r="Y7">
        <f>Y6/((1+'Study Parameters'!$C$4)^'MFSP Baseline'!Y2)</f>
        <v>136252227.43233788</v>
      </c>
      <c r="Z7">
        <f>Z6/((1+'Study Parameters'!$C$4)^'MFSP Baseline'!Z2)</f>
        <v>126159469.84475727</v>
      </c>
      <c r="AA7">
        <f>AA6/((1+'Study Parameters'!$C$4)^'MFSP Baseline'!AA2)</f>
        <v>116814323.9303308</v>
      </c>
      <c r="AB7">
        <f>AB6/((1+'Study Parameters'!$C$4)^'MFSP Baseline'!AB2)</f>
        <v>108161411.04660261</v>
      </c>
      <c r="AC7">
        <f>AC6/((1+'Study Parameters'!$C$4)^'MFSP Baseline'!AC2)</f>
        <v>100149454.67278019</v>
      </c>
      <c r="AD7">
        <f>AD6/((1+'Study Parameters'!$C$4)^'MFSP Baseline'!AD2)</f>
        <v>92730976.548870534</v>
      </c>
      <c r="AE7">
        <f>AE6/((1+'Study Parameters'!$C$4)^'MFSP Baseline'!AE2)</f>
        <v>85862015.323028266</v>
      </c>
      <c r="AF7">
        <f>AF6/((1+'Study Parameters'!$C$4)^'MFSP Baseline'!AF2)</f>
        <v>79501866.039840981</v>
      </c>
    </row>
    <row r="9" spans="1:32">
      <c r="A9" t="s">
        <v>149</v>
      </c>
      <c r="B9">
        <f>SUM(B5:AF5) / SUM(B7:AF7)</f>
        <v>7.2917372712511144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Components'!$B$54*10^6</f>
        <v>1384461210.6372774</v>
      </c>
      <c r="D13">
        <f>'Cost Components'!$B$54*10^6</f>
        <v>1384461210.6372774</v>
      </c>
      <c r="E13">
        <f>'Cost Components'!$B$54*10^6</f>
        <v>1384461210.6372774</v>
      </c>
      <c r="F13">
        <f>'Cost Components'!$B$54*10^6</f>
        <v>1384461210.6372774</v>
      </c>
      <c r="G13">
        <f>'Cost Components'!$B$54*10^6</f>
        <v>1384461210.6372774</v>
      </c>
      <c r="H13">
        <f>'Cost Components'!$B$54*10^6</f>
        <v>1384461210.6372774</v>
      </c>
      <c r="I13">
        <f>'Cost Components'!$B$54*10^6</f>
        <v>1384461210.6372774</v>
      </c>
      <c r="J13">
        <f>'Cost Components'!$B$54*10^6</f>
        <v>1384461210.6372774</v>
      </c>
      <c r="K13">
        <f>'Cost Components'!$B$54*10^6</f>
        <v>1384461210.6372774</v>
      </c>
      <c r="L13">
        <f>'Cost Components'!$B$54*10^6</f>
        <v>1384461210.6372774</v>
      </c>
      <c r="M13">
        <f>'Cost Components'!$B$54*10^6</f>
        <v>1384461210.6372774</v>
      </c>
      <c r="N13">
        <f>'Cost Components'!$B$54*10^6</f>
        <v>1384461210.6372774</v>
      </c>
      <c r="O13">
        <f>'Cost Components'!$B$54*10^6</f>
        <v>1384461210.6372774</v>
      </c>
      <c r="P13">
        <f>'Cost Components'!$B$54*10^6</f>
        <v>1384461210.6372774</v>
      </c>
      <c r="Q13">
        <f>'Cost Components'!$B$54*10^6</f>
        <v>1384461210.6372774</v>
      </c>
      <c r="R13">
        <f>'Cost Components'!$B$54*10^6</f>
        <v>1384461210.6372774</v>
      </c>
      <c r="S13">
        <f>'Cost Components'!$B$54*10^6</f>
        <v>1384461210.6372774</v>
      </c>
      <c r="T13">
        <f>'Cost Components'!$B$54*10^6</f>
        <v>1384461210.6372774</v>
      </c>
      <c r="U13">
        <f>'Cost Components'!$B$54*10^6</f>
        <v>1384461210.6372774</v>
      </c>
      <c r="V13">
        <f>'Cost Components'!$B$54*10^6</f>
        <v>1384461210.6372774</v>
      </c>
      <c r="W13">
        <f>'Cost Components'!$B$54*10^6</f>
        <v>1384461210.6372774</v>
      </c>
      <c r="X13">
        <f>'Cost Components'!$B$54*10^6</f>
        <v>1384461210.6372774</v>
      </c>
      <c r="Y13">
        <f>'Cost Components'!$B$54*10^6</f>
        <v>1384461210.6372774</v>
      </c>
      <c r="Z13">
        <f>'Cost Components'!$B$54*10^6</f>
        <v>1384461210.6372774</v>
      </c>
      <c r="AA13">
        <f>'Cost Components'!$B$54*10^6</f>
        <v>1384461210.6372774</v>
      </c>
      <c r="AB13">
        <f>'Cost Components'!$B$54*10^6</f>
        <v>1384461210.6372774</v>
      </c>
      <c r="AC13">
        <f>'Cost Components'!$B$54*10^6</f>
        <v>1384461210.6372774</v>
      </c>
      <c r="AD13">
        <f>'Cost Components'!$B$54*10^6</f>
        <v>1384461210.6372774</v>
      </c>
      <c r="AE13">
        <f>'Cost Components'!$B$54*10^6</f>
        <v>1384461210.6372774</v>
      </c>
      <c r="AF13">
        <f>'Cost Components'!$B$54*10^6</f>
        <v>1384461210.6372774</v>
      </c>
    </row>
    <row r="14" spans="1:32">
      <c r="A14" t="s">
        <v>146</v>
      </c>
      <c r="B14">
        <v>0</v>
      </c>
      <c r="C14">
        <f>'Cost Components'!$B$29</f>
        <v>331859291.13484931</v>
      </c>
      <c r="D14">
        <f>'Cost Components'!$B$29</f>
        <v>331859291.13484931</v>
      </c>
      <c r="E14">
        <f>'Cost Components'!$B$29</f>
        <v>331859291.13484931</v>
      </c>
      <c r="F14">
        <f>'Cost Components'!$B$29</f>
        <v>331859291.13484931</v>
      </c>
      <c r="G14">
        <f>'Cost Components'!$B$29</f>
        <v>331859291.13484931</v>
      </c>
      <c r="H14">
        <f>'Cost Components'!$B$29</f>
        <v>331859291.13484931</v>
      </c>
      <c r="I14">
        <f>'Cost Components'!$B$29</f>
        <v>331859291.13484931</v>
      </c>
      <c r="J14">
        <f>'Cost Components'!$B$29</f>
        <v>331859291.13484931</v>
      </c>
      <c r="K14">
        <f>'Cost Components'!$B$29</f>
        <v>331859291.13484931</v>
      </c>
      <c r="L14">
        <f>'Cost Components'!$B$29</f>
        <v>331859291.13484931</v>
      </c>
      <c r="M14">
        <f>'Cost Components'!$B$29</f>
        <v>331859291.13484931</v>
      </c>
      <c r="N14">
        <f>'Cost Components'!$B$29</f>
        <v>331859291.13484931</v>
      </c>
      <c r="O14">
        <f>'Cost Components'!$B$29</f>
        <v>331859291.13484931</v>
      </c>
      <c r="P14">
        <f>'Cost Components'!$B$29</f>
        <v>331859291.13484931</v>
      </c>
      <c r="Q14">
        <f>'Cost Components'!$B$29</f>
        <v>331859291.13484931</v>
      </c>
      <c r="R14">
        <f>'Cost Components'!$B$29</f>
        <v>331859291.13484931</v>
      </c>
      <c r="S14">
        <f>'Cost Components'!$B$29</f>
        <v>331859291.13484931</v>
      </c>
      <c r="T14">
        <f>'Cost Components'!$B$29</f>
        <v>331859291.13484931</v>
      </c>
      <c r="U14">
        <f>'Cost Components'!$B$29</f>
        <v>331859291.13484931</v>
      </c>
      <c r="V14">
        <f>'Cost Components'!$B$29</f>
        <v>331859291.13484931</v>
      </c>
      <c r="W14">
        <f>'Cost Components'!$B$29</f>
        <v>331859291.13484931</v>
      </c>
      <c r="X14">
        <f>'Cost Components'!$B$29</f>
        <v>331859291.13484931</v>
      </c>
      <c r="Y14">
        <f>'Cost Components'!$B$29</f>
        <v>331859291.13484931</v>
      </c>
      <c r="Z14">
        <f>'Cost Components'!$B$29</f>
        <v>331859291.13484931</v>
      </c>
      <c r="AA14">
        <f>'Cost Components'!$B$29</f>
        <v>331859291.13484931</v>
      </c>
      <c r="AB14">
        <f>'Cost Components'!$B$29</f>
        <v>331859291.13484931</v>
      </c>
      <c r="AC14">
        <f>'Cost Components'!$B$29</f>
        <v>331859291.13484931</v>
      </c>
      <c r="AD14">
        <f>'Cost Components'!$B$29</f>
        <v>331859291.13484931</v>
      </c>
      <c r="AE14">
        <f>'Cost Components'!$B$29</f>
        <v>331859291.13484931</v>
      </c>
      <c r="AF14">
        <f>'Cost Components'!$B$29</f>
        <v>331859291.13484931</v>
      </c>
    </row>
    <row r="15" spans="1:32">
      <c r="A15" t="s">
        <v>112</v>
      </c>
      <c r="B15">
        <v>0</v>
      </c>
      <c r="C15">
        <f>C13/((1+'Study Parameters'!$C$4)^'MFSP Baseline'!C12) +C14</f>
        <v>1613767819.5026987</v>
      </c>
      <c r="D15">
        <f>D13/((1+'Study Parameters'!$C$4)^'MFSP Baseline'!D12) +D14</f>
        <v>1518811632.2161913</v>
      </c>
      <c r="E15">
        <f>E13/((1+'Study Parameters'!$C$4)^'MFSP Baseline'!E12) +E14</f>
        <v>1430889236.5805364</v>
      </c>
      <c r="F15">
        <f>F13/((1+'Study Parameters'!$C$4)^'MFSP Baseline'!F12) +F14</f>
        <v>1349479610.9919667</v>
      </c>
      <c r="G15">
        <f>G13/((1+'Study Parameters'!$C$4)^'MFSP Baseline'!G12) +G14</f>
        <v>1274100328.0395877</v>
      </c>
      <c r="H15">
        <f>H13/((1+'Study Parameters'!$C$4)^'MFSP Baseline'!H12) +H14</f>
        <v>1204304695.6762736</v>
      </c>
      <c r="I15">
        <f>I13/((1+'Study Parameters'!$C$4)^'MFSP Baseline'!I12) +I14</f>
        <v>1139679110.1546865</v>
      </c>
      <c r="J15">
        <f>J13/((1+'Study Parameters'!$C$4)^'MFSP Baseline'!J12) +J14</f>
        <v>1079840605.0421062</v>
      </c>
      <c r="K15">
        <f>K13/((1+'Study Parameters'!$C$4)^'MFSP Baseline'!K12) +K14</f>
        <v>1024434581.7897166</v>
      </c>
      <c r="L15">
        <f>L13/((1+'Study Parameters'!$C$4)^'MFSP Baseline'!L12) +L14</f>
        <v>973132708.40787458</v>
      </c>
      <c r="M15">
        <f>M13/((1+'Study Parameters'!$C$4)^'MFSP Baseline'!M12) +M14</f>
        <v>925630973.79505789</v>
      </c>
      <c r="N15">
        <f>N13/((1+'Study Parameters'!$C$4)^'MFSP Baseline'!N12) +N14</f>
        <v>881647886.19059801</v>
      </c>
      <c r="O15">
        <f>O13/((1+'Study Parameters'!$C$4)^'MFSP Baseline'!O12) +O14</f>
        <v>840922805.07535732</v>
      </c>
      <c r="P15">
        <f>P13/((1+'Study Parameters'!$C$4)^'MFSP Baseline'!P12) +P14</f>
        <v>803214396.63531959</v>
      </c>
      <c r="Q15">
        <f>Q13/((1+'Study Parameters'!$C$4)^'MFSP Baseline'!Q12) +Q14</f>
        <v>768299203.63528466</v>
      </c>
      <c r="R15">
        <f>R13/((1+'Study Parameters'!$C$4)^'MFSP Baseline'!R12) +R14</f>
        <v>735970321.22784507</v>
      </c>
      <c r="S15">
        <f>S13/((1+'Study Parameters'!$C$4)^'MFSP Baseline'!S12) +S14</f>
        <v>706036170.85058618</v>
      </c>
      <c r="T15">
        <f>T13/((1+'Study Parameters'!$C$4)^'MFSP Baseline'!T12) +T14</f>
        <v>678319364.94571662</v>
      </c>
      <c r="U15">
        <f>U13/((1+'Study Parameters'!$C$4)^'MFSP Baseline'!U12) +U14</f>
        <v>652655655.77454138</v>
      </c>
      <c r="V15">
        <f>V13/((1+'Study Parameters'!$C$4)^'MFSP Baseline'!V12) +V14</f>
        <v>628892962.09752703</v>
      </c>
      <c r="W15">
        <f>W13/((1+'Study Parameters'!$C$4)^'MFSP Baseline'!W12) +W14</f>
        <v>606890467.95214355</v>
      </c>
      <c r="X15">
        <f>X13/((1+'Study Parameters'!$C$4)^'MFSP Baseline'!X12) +X14</f>
        <v>586517788.18789947</v>
      </c>
      <c r="Y15">
        <f>Y13/((1+'Study Parameters'!$C$4)^'MFSP Baseline'!Y12) +Y14</f>
        <v>567654195.81359947</v>
      </c>
      <c r="Z15">
        <f>Z13/((1+'Study Parameters'!$C$4)^'MFSP Baseline'!Z12) +Z14</f>
        <v>550187906.57813644</v>
      </c>
      <c r="AA15">
        <f>AA13/((1+'Study Parameters'!$C$4)^'MFSP Baseline'!AA12) +AA14</f>
        <v>534015416.54530036</v>
      </c>
      <c r="AB15">
        <f>AB13/((1+'Study Parameters'!$C$4)^'MFSP Baseline'!AB12) +AB14</f>
        <v>519040888.73711884</v>
      </c>
      <c r="AC15">
        <f>AC13/((1+'Study Parameters'!$C$4)^'MFSP Baseline'!AC12) +AC14</f>
        <v>505175585.21102476</v>
      </c>
      <c r="AD15">
        <f>AD13/((1+'Study Parameters'!$C$4)^'MFSP Baseline'!AD12) +AD14</f>
        <v>492337341.20538217</v>
      </c>
      <c r="AE15">
        <f>AE13/((1+'Study Parameters'!$C$4)^'MFSP Baseline'!AE12) +AE14</f>
        <v>480450078.23719454</v>
      </c>
      <c r="AF15">
        <f>AF13/((1+'Study Parameters'!$C$4)^'MFSP Baseline'!AF12) +AF14</f>
        <v>469443353.26665044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C16/((1+'Study Parameters'!$C$4)^'MFSP Baseline'!C12)</f>
        <v>740740740.74074066</v>
      </c>
      <c r="D17">
        <f>D16/((1+'Study Parameters'!$C$4)^'MFSP Baseline'!D12)</f>
        <v>685871056.24142659</v>
      </c>
      <c r="E17">
        <f>E16/((1+'Study Parameters'!$C$4)^'MFSP Baseline'!E12)</f>
        <v>635065792.81613564</v>
      </c>
      <c r="F17">
        <f>F16/((1+'Study Parameters'!$C$4)^'MFSP Baseline'!F12)</f>
        <v>588023882.23716259</v>
      </c>
      <c r="G17">
        <f>G16/((1+'Study Parameters'!$C$4)^'MFSP Baseline'!G12)</f>
        <v>544466557.62700236</v>
      </c>
      <c r="H17">
        <f>H16/((1+'Study Parameters'!$C$4)^'MFSP Baseline'!H12)</f>
        <v>504135701.50648367</v>
      </c>
      <c r="I17">
        <f>I16/((1+'Study Parameters'!$C$4)^'MFSP Baseline'!I12)</f>
        <v>466792316.20970708</v>
      </c>
      <c r="J17">
        <f>J16/((1+'Study Parameters'!$C$4)^'MFSP Baseline'!J12)</f>
        <v>432215107.60158062</v>
      </c>
      <c r="K17">
        <f>K16/((1+'Study Parameters'!$C$4)^'MFSP Baseline'!K12)</f>
        <v>400199173.70516723</v>
      </c>
      <c r="L17">
        <f>L16/((1+'Study Parameters'!$C$4)^'MFSP Baseline'!L12)</f>
        <v>370554790.46774739</v>
      </c>
      <c r="M17">
        <f>M16/((1+'Study Parameters'!$C$4)^'MFSP Baseline'!M12)</f>
        <v>343106287.47013646</v>
      </c>
      <c r="N17">
        <f>N16/((1+'Study Parameters'!$C$4)^'MFSP Baseline'!N12)</f>
        <v>317691006.91679299</v>
      </c>
      <c r="O17">
        <f>O16/((1+'Study Parameters'!$C$4)^'MFSP Baseline'!O12)</f>
        <v>294158339.73777133</v>
      </c>
      <c r="P17">
        <f>P16/((1+'Study Parameters'!$C$4)^'MFSP Baseline'!P12)</f>
        <v>272368833.09052896</v>
      </c>
      <c r="Q17">
        <f>Q16/((1+'Study Parameters'!$C$4)^'MFSP Baseline'!Q12)</f>
        <v>252193363.97271198</v>
      </c>
      <c r="R17">
        <f>R16/((1+'Study Parameters'!$C$4)^'MFSP Baseline'!R12)</f>
        <v>233512374.04880738</v>
      </c>
      <c r="S17">
        <f>S16/((1+'Study Parameters'!$C$4)^'MFSP Baseline'!S12)</f>
        <v>216215161.15630314</v>
      </c>
      <c r="T17">
        <f>T16/((1+'Study Parameters'!$C$4)^'MFSP Baseline'!T12)</f>
        <v>200199223.29287323</v>
      </c>
      <c r="U17">
        <f>U16/((1+'Study Parameters'!$C$4)^'MFSP Baseline'!U12)</f>
        <v>185369651.19710484</v>
      </c>
      <c r="V17">
        <f>V16/((1+'Study Parameters'!$C$4)^'MFSP Baseline'!V12)</f>
        <v>171638565.92324522</v>
      </c>
      <c r="W17">
        <f>W16/((1+'Study Parameters'!$C$4)^'MFSP Baseline'!W12)</f>
        <v>158924598.07707891</v>
      </c>
      <c r="X17">
        <f>X16/((1+'Study Parameters'!$C$4)^'MFSP Baseline'!X12)</f>
        <v>147152405.6269249</v>
      </c>
      <c r="Y17">
        <f>Y16/((1+'Study Parameters'!$C$4)^'MFSP Baseline'!Y12)</f>
        <v>136252227.43233788</v>
      </c>
      <c r="Z17">
        <f>Z16/((1+'Study Parameters'!$C$4)^'MFSP Baseline'!Z12)</f>
        <v>126159469.84475727</v>
      </c>
      <c r="AA17">
        <f>AA16/((1+'Study Parameters'!$C$4)^'MFSP Baseline'!AA12)</f>
        <v>116814323.9303308</v>
      </c>
      <c r="AB17">
        <f>AB16/((1+'Study Parameters'!$C$4)^'MFSP Baseline'!AB12)</f>
        <v>108161411.04660261</v>
      </c>
      <c r="AC17">
        <f>AC16/((1+'Study Parameters'!$C$4)^'MFSP Baseline'!AC12)</f>
        <v>100149454.67278019</v>
      </c>
      <c r="AD17">
        <f>AD16/((1+'Study Parameters'!$C$4)^'MFSP Baseline'!AD12)</f>
        <v>92730976.548870534</v>
      </c>
      <c r="AE17">
        <f>AE16/((1+'Study Parameters'!$C$4)^'MFSP Baseline'!AE12)</f>
        <v>85862015.323028266</v>
      </c>
      <c r="AF17">
        <f>AF16/((1+'Study Parameters'!$C$4)^'MFSP Baseline'!AF12)</f>
        <v>79501866.039840981</v>
      </c>
    </row>
    <row r="19" spans="1:32">
      <c r="A19" t="s">
        <v>149</v>
      </c>
      <c r="B19">
        <f>SUM(B15:AF15) / SUM(B17:AF17)</f>
        <v>2.8360093536926558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Components'!$H$45 * 10^6</f>
        <v>4348433237.9706106</v>
      </c>
      <c r="D25">
        <f xml:space="preserve"> 'Cost Components'!$H$45 * 10^6</f>
        <v>4348433237.9706106</v>
      </c>
      <c r="E25">
        <f xml:space="preserve"> 'Cost Components'!$H$45 * 10^6</f>
        <v>4348433237.9706106</v>
      </c>
      <c r="F25">
        <f xml:space="preserve"> 'Cost Components'!$H$45 * 10^6</f>
        <v>4348433237.9706106</v>
      </c>
      <c r="G25">
        <f xml:space="preserve"> 'Cost Components'!$H$45 * 10^6</f>
        <v>4348433237.9706106</v>
      </c>
      <c r="H25">
        <f xml:space="preserve"> 'Cost Components'!$H$45 * 10^6</f>
        <v>4348433237.9706106</v>
      </c>
      <c r="I25">
        <f xml:space="preserve"> 'Cost Components'!$H$45 * 10^6</f>
        <v>4348433237.9706106</v>
      </c>
      <c r="J25">
        <f xml:space="preserve"> 'Cost Components'!$H$45 * 10^6</f>
        <v>4348433237.9706106</v>
      </c>
      <c r="K25">
        <f xml:space="preserve"> 'Cost Components'!$H$45 * 10^6</f>
        <v>4348433237.9706106</v>
      </c>
      <c r="L25">
        <f xml:space="preserve"> 'Cost Components'!$H$45 * 10^6</f>
        <v>4348433237.9706106</v>
      </c>
      <c r="M25">
        <f xml:space="preserve"> 'Cost Components'!$H$45 * 10^6</f>
        <v>4348433237.9706106</v>
      </c>
      <c r="N25">
        <f xml:space="preserve"> 'Cost Components'!$H$45 * 10^6</f>
        <v>4348433237.9706106</v>
      </c>
      <c r="O25">
        <f xml:space="preserve"> 'Cost Components'!$H$45 * 10^6</f>
        <v>4348433237.9706106</v>
      </c>
      <c r="P25">
        <f xml:space="preserve"> 'Cost Components'!$H$45 * 10^6</f>
        <v>4348433237.9706106</v>
      </c>
      <c r="Q25">
        <f xml:space="preserve"> 'Cost Components'!$H$45 * 10^6</f>
        <v>4348433237.9706106</v>
      </c>
      <c r="R25">
        <f xml:space="preserve"> 'Cost Components'!$H$45 * 10^6</f>
        <v>4348433237.9706106</v>
      </c>
      <c r="S25">
        <f xml:space="preserve"> 'Cost Components'!$H$45 * 10^6</f>
        <v>4348433237.9706106</v>
      </c>
      <c r="T25">
        <f xml:space="preserve"> 'Cost Components'!$H$45 * 10^6</f>
        <v>4348433237.9706106</v>
      </c>
      <c r="U25">
        <f xml:space="preserve"> 'Cost Components'!$H$45 * 10^6</f>
        <v>4348433237.9706106</v>
      </c>
      <c r="V25">
        <f xml:space="preserve"> 'Cost Components'!$H$45 * 10^6</f>
        <v>4348433237.9706106</v>
      </c>
      <c r="W25">
        <f xml:space="preserve"> 'Cost Components'!$H$45 * 10^6</f>
        <v>4348433237.9706106</v>
      </c>
      <c r="X25">
        <f xml:space="preserve"> 'Cost Components'!$H$45 * 10^6</f>
        <v>4348433237.9706106</v>
      </c>
      <c r="Y25">
        <f xml:space="preserve"> 'Cost Components'!$H$45 * 10^6</f>
        <v>4348433237.9706106</v>
      </c>
      <c r="Z25">
        <f xml:space="preserve"> 'Cost Components'!$H$45 * 10^6</f>
        <v>4348433237.9706106</v>
      </c>
      <c r="AA25">
        <f xml:space="preserve"> 'Cost Components'!$H$45 * 10^6</f>
        <v>4348433237.9706106</v>
      </c>
      <c r="AB25">
        <f xml:space="preserve"> 'Cost Components'!$H$45 * 10^6</f>
        <v>4348433237.9706106</v>
      </c>
      <c r="AC25">
        <f xml:space="preserve"> 'Cost Components'!$H$45 * 10^6</f>
        <v>4348433237.9706106</v>
      </c>
      <c r="AD25">
        <f xml:space="preserve"> 'Cost Components'!$H$45 * 10^6</f>
        <v>4348433237.9706106</v>
      </c>
      <c r="AE25">
        <f xml:space="preserve"> 'Cost Components'!$H$45 * 10^6</f>
        <v>4348433237.9706106</v>
      </c>
      <c r="AF25">
        <f xml:space="preserve"> 'Cost Components'!$H$45 * 10^6</f>
        <v>4348433237.9706106</v>
      </c>
    </row>
    <row r="26" spans="1:32">
      <c r="A26" t="s">
        <v>146</v>
      </c>
      <c r="B26">
        <v>0</v>
      </c>
      <c r="C26">
        <f>'Cost Components'!$H$9</f>
        <v>440228759.86732149</v>
      </c>
      <c r="D26">
        <f>'Cost Components'!$H$9</f>
        <v>440228759.86732149</v>
      </c>
      <c r="E26">
        <f>'Cost Components'!$H$9</f>
        <v>440228759.86732149</v>
      </c>
      <c r="F26">
        <f>'Cost Components'!$H$9</f>
        <v>440228759.86732149</v>
      </c>
      <c r="G26">
        <f>'Cost Components'!$H$9</f>
        <v>440228759.86732149</v>
      </c>
      <c r="H26">
        <f>'Cost Components'!$H$9</f>
        <v>440228759.86732149</v>
      </c>
      <c r="I26">
        <f>'Cost Components'!$H$9</f>
        <v>440228759.86732149</v>
      </c>
      <c r="J26">
        <f>'Cost Components'!$H$9</f>
        <v>440228759.86732149</v>
      </c>
      <c r="K26">
        <f>'Cost Components'!$H$9</f>
        <v>440228759.86732149</v>
      </c>
      <c r="L26">
        <f>'Cost Components'!$H$9</f>
        <v>440228759.86732149</v>
      </c>
      <c r="M26">
        <f>'Cost Components'!$H$9</f>
        <v>440228759.86732149</v>
      </c>
      <c r="N26">
        <f>'Cost Components'!$H$9</f>
        <v>440228759.86732149</v>
      </c>
      <c r="O26">
        <f>'Cost Components'!$H$9</f>
        <v>440228759.86732149</v>
      </c>
      <c r="P26">
        <f>'Cost Components'!$H$9</f>
        <v>440228759.86732149</v>
      </c>
      <c r="Q26">
        <f>'Cost Components'!$H$9</f>
        <v>440228759.86732149</v>
      </c>
      <c r="R26">
        <f>'Cost Components'!$H$9</f>
        <v>440228759.86732149</v>
      </c>
      <c r="S26">
        <f>'Cost Components'!$H$9</f>
        <v>440228759.86732149</v>
      </c>
      <c r="T26">
        <f>'Cost Components'!$H$9</f>
        <v>440228759.86732149</v>
      </c>
      <c r="U26">
        <f>'Cost Components'!$H$9</f>
        <v>440228759.86732149</v>
      </c>
      <c r="V26">
        <f>'Cost Components'!$H$9</f>
        <v>440228759.86732149</v>
      </c>
      <c r="W26">
        <f>'Cost Components'!$H$9</f>
        <v>440228759.86732149</v>
      </c>
      <c r="X26">
        <f>'Cost Components'!$H$9</f>
        <v>440228759.86732149</v>
      </c>
      <c r="Y26">
        <f>'Cost Components'!$H$9</f>
        <v>440228759.86732149</v>
      </c>
      <c r="Z26">
        <f>'Cost Components'!$H$9</f>
        <v>440228759.86732149</v>
      </c>
      <c r="AA26">
        <f>'Cost Components'!$H$9</f>
        <v>440228759.86732149</v>
      </c>
      <c r="AB26">
        <f>'Cost Components'!$H$9</f>
        <v>440228759.86732149</v>
      </c>
      <c r="AC26">
        <f>'Cost Components'!$H$9</f>
        <v>440228759.86732149</v>
      </c>
      <c r="AD26">
        <f>'Cost Components'!$H$9</f>
        <v>440228759.86732149</v>
      </c>
      <c r="AE26">
        <f>'Cost Components'!$H$9</f>
        <v>440228759.86732149</v>
      </c>
      <c r="AF26">
        <f>'Cost Components'!$H$9</f>
        <v>440228759.86732149</v>
      </c>
    </row>
    <row r="27" spans="1:32">
      <c r="A27" t="s">
        <v>112</v>
      </c>
      <c r="B27">
        <f>B25/((1+'Study Parameters'!$C$4)^'MFSP Baseline'!B24)</f>
        <v>0</v>
      </c>
      <c r="C27">
        <f>C25/((1+'Study Parameters'!$C$4)^'MFSP Baseline'!C24) + C26</f>
        <v>4466555832.0623312</v>
      </c>
      <c r="D27">
        <f>D25/((1+'Study Parameters'!$C$4)^'MFSP Baseline'!D24) + D26</f>
        <v>4168309382.2701082</v>
      </c>
      <c r="E27">
        <f>E25/((1+'Study Parameters'!$C$4)^'MFSP Baseline'!E24) + E26</f>
        <v>3892155262.0921235</v>
      </c>
      <c r="F27">
        <f>F25/((1+'Study Parameters'!$C$4)^'MFSP Baseline'!F24) + F26</f>
        <v>3636457002.6680641</v>
      </c>
      <c r="G27">
        <f>G25/((1+'Study Parameters'!$C$4)^'MFSP Baseline'!G24) + G26</f>
        <v>3399699355.053194</v>
      </c>
      <c r="H27">
        <f>H25/((1+'Study Parameters'!$C$4)^'MFSP Baseline'!H24) + H26</f>
        <v>3180479310.9653516</v>
      </c>
      <c r="I27">
        <f>I25/((1+'Study Parameters'!$C$4)^'MFSP Baseline'!I24) + I26</f>
        <v>2977497788.6617937</v>
      </c>
      <c r="J27">
        <f>J25/((1+'Study Parameters'!$C$4)^'MFSP Baseline'!J24) + J26</f>
        <v>2789551934.6770177</v>
      </c>
      <c r="K27">
        <f>K25/((1+'Study Parameters'!$C$4)^'MFSP Baseline'!K24) + K26</f>
        <v>2615527995.8022251</v>
      </c>
      <c r="L27">
        <f>L25/((1+'Study Parameters'!$C$4)^'MFSP Baseline'!L24) + L26</f>
        <v>2454394719.0663066</v>
      </c>
      <c r="M27">
        <f>M25/((1+'Study Parameters'!$C$4)^'MFSP Baseline'!M24) + M26</f>
        <v>2305197240.6071224</v>
      </c>
      <c r="N27">
        <f>N25/((1+'Study Parameters'!$C$4)^'MFSP Baseline'!N24) + N26</f>
        <v>2167051427.2189889</v>
      </c>
      <c r="O27">
        <f>O25/((1+'Study Parameters'!$C$4)^'MFSP Baseline'!O24) + O26</f>
        <v>2039138637.0447912</v>
      </c>
      <c r="P27">
        <f>P25/((1+'Study Parameters'!$C$4)^'MFSP Baseline'!P24) + P26</f>
        <v>1920700868.3649786</v>
      </c>
      <c r="Q27">
        <f>Q25/((1+'Study Parameters'!$C$4)^'MFSP Baseline'!Q24) + Q26</f>
        <v>1811036267.7355223</v>
      </c>
      <c r="R27">
        <f>R25/((1+'Study Parameters'!$C$4)^'MFSP Baseline'!R24) + R26</f>
        <v>1709494970.8563964</v>
      </c>
      <c r="S27">
        <f>S25/((1+'Study Parameters'!$C$4)^'MFSP Baseline'!S24) + S26</f>
        <v>1615475251.5238721</v>
      </c>
      <c r="T27">
        <f>T25/((1+'Study Parameters'!$C$4)^'MFSP Baseline'!T24) + T26</f>
        <v>1528419955.8456092</v>
      </c>
      <c r="U27">
        <f>U25/((1+'Study Parameters'!$C$4)^'MFSP Baseline'!U24) + U26</f>
        <v>1447813200.5879581</v>
      </c>
      <c r="V27">
        <f>V25/((1+'Study Parameters'!$C$4)^'MFSP Baseline'!V24) + V26</f>
        <v>1373177316.0901332</v>
      </c>
      <c r="W27">
        <f>W25/((1+'Study Parameters'!$C$4)^'MFSP Baseline'!W24) + W26</f>
        <v>1304070015.6291842</v>
      </c>
      <c r="X27">
        <f>X25/((1+'Study Parameters'!$C$4)^'MFSP Baseline'!X24) + X26</f>
        <v>1240081774.4616387</v>
      </c>
      <c r="Y27">
        <f>Y25/((1+'Study Parameters'!$C$4)^'MFSP Baseline'!Y24) + Y26</f>
        <v>1180833403.0102077</v>
      </c>
      <c r="Z27">
        <f>Z25/((1+'Study Parameters'!$C$4)^'MFSP Baseline'!Z24) + Z26</f>
        <v>1125973799.8144383</v>
      </c>
      <c r="AA27">
        <f>AA25/((1+'Study Parameters'!$C$4)^'MFSP Baseline'!AA24) + AA26</f>
        <v>1075177870.9294667</v>
      </c>
      <c r="AB27">
        <f>AB25/((1+'Study Parameters'!$C$4)^'MFSP Baseline'!AB24) + AB26</f>
        <v>1028144603.4433819</v>
      </c>
      <c r="AC27">
        <f>AC25/((1+'Study Parameters'!$C$4)^'MFSP Baseline'!AC24) + AC26</f>
        <v>984595281.69700706</v>
      </c>
      <c r="AD27">
        <f>AD25/((1+'Study Parameters'!$C$4)^'MFSP Baseline'!AD24) + AD26</f>
        <v>944271835.63554883</v>
      </c>
      <c r="AE27">
        <f>AE25/((1+'Study Parameters'!$C$4)^'MFSP Baseline'!AE24) + AE26</f>
        <v>906935311.50456905</v>
      </c>
      <c r="AF27">
        <f>AF25/((1+'Study Parameters'!$C$4)^'MFSP Baseline'!AF24) + AF26</f>
        <v>872364455.82773578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C28/((1+'Study Parameters'!$C$4)^'MFSP Baseline'!C24)</f>
        <v>740740740.74074066</v>
      </c>
      <c r="D29">
        <f>D28/((1+'Study Parameters'!$C$4)^'MFSP Baseline'!D24)</f>
        <v>685871056.24142659</v>
      </c>
      <c r="E29">
        <f>E28/((1+'Study Parameters'!$C$4)^'MFSP Baseline'!E24)</f>
        <v>635065792.81613564</v>
      </c>
      <c r="F29">
        <f>F28/((1+'Study Parameters'!$C$4)^'MFSP Baseline'!F24)</f>
        <v>588023882.23716259</v>
      </c>
      <c r="G29">
        <f>G28/((1+'Study Parameters'!$C$4)^'MFSP Baseline'!G24)</f>
        <v>544466557.62700236</v>
      </c>
      <c r="H29">
        <f>H28/((1+'Study Parameters'!$C$4)^'MFSP Baseline'!H24)</f>
        <v>504135701.50648367</v>
      </c>
      <c r="I29">
        <f>I28/((1+'Study Parameters'!$C$4)^'MFSP Baseline'!I24)</f>
        <v>466792316.20970708</v>
      </c>
      <c r="J29">
        <f>J28/((1+'Study Parameters'!$C$4)^'MFSP Baseline'!J24)</f>
        <v>432215107.60158062</v>
      </c>
      <c r="K29">
        <f>K28/((1+'Study Parameters'!$C$4)^'MFSP Baseline'!K24)</f>
        <v>400199173.70516723</v>
      </c>
      <c r="L29">
        <f>L28/((1+'Study Parameters'!$C$4)^'MFSP Baseline'!L24)</f>
        <v>370554790.46774739</v>
      </c>
      <c r="M29">
        <f>M28/((1+'Study Parameters'!$C$4)^'MFSP Baseline'!M24)</f>
        <v>343106287.47013646</v>
      </c>
      <c r="N29">
        <f>N28/((1+'Study Parameters'!$C$4)^'MFSP Baseline'!N24)</f>
        <v>317691006.91679299</v>
      </c>
      <c r="O29">
        <f>O28/((1+'Study Parameters'!$C$4)^'MFSP Baseline'!O24)</f>
        <v>294158339.73777133</v>
      </c>
      <c r="P29">
        <f>P28/((1+'Study Parameters'!$C$4)^'MFSP Baseline'!P24)</f>
        <v>272368833.09052896</v>
      </c>
      <c r="Q29">
        <f>Q28/((1+'Study Parameters'!$C$4)^'MFSP Baseline'!Q24)</f>
        <v>252193363.97271198</v>
      </c>
      <c r="R29">
        <f>R28/((1+'Study Parameters'!$C$4)^'MFSP Baseline'!R24)</f>
        <v>233512374.04880738</v>
      </c>
      <c r="S29">
        <f>S28/((1+'Study Parameters'!$C$4)^'MFSP Baseline'!S24)</f>
        <v>216215161.15630314</v>
      </c>
      <c r="T29">
        <f>T28/((1+'Study Parameters'!$C$4)^'MFSP Baseline'!T24)</f>
        <v>200199223.29287323</v>
      </c>
      <c r="U29">
        <f>U28/((1+'Study Parameters'!$C$4)^'MFSP Baseline'!U24)</f>
        <v>185369651.19710484</v>
      </c>
      <c r="V29">
        <f>V28/((1+'Study Parameters'!$C$4)^'MFSP Baseline'!V24)</f>
        <v>171638565.92324522</v>
      </c>
      <c r="W29">
        <f>W28/((1+'Study Parameters'!$C$4)^'MFSP Baseline'!W24)</f>
        <v>158924598.07707891</v>
      </c>
      <c r="X29">
        <f>X28/((1+'Study Parameters'!$C$4)^'MFSP Baseline'!X24)</f>
        <v>147152405.6269249</v>
      </c>
      <c r="Y29">
        <f>Y28/((1+'Study Parameters'!$C$4)^'MFSP Baseline'!Y24)</f>
        <v>136252227.43233788</v>
      </c>
      <c r="Z29">
        <f>Z28/((1+'Study Parameters'!$C$4)^'MFSP Baseline'!Z24)</f>
        <v>126159469.84475727</v>
      </c>
      <c r="AA29">
        <f>AA28/((1+'Study Parameters'!$C$4)^'MFSP Baseline'!AA24)</f>
        <v>116814323.9303308</v>
      </c>
      <c r="AB29">
        <f>AB28/((1+'Study Parameters'!$C$4)^'MFSP Baseline'!AB24)</f>
        <v>108161411.04660261</v>
      </c>
      <c r="AC29">
        <f>AC28/((1+'Study Parameters'!$C$4)^'MFSP Baseline'!AC24)</f>
        <v>100149454.67278019</v>
      </c>
      <c r="AD29">
        <f>AD28/((1+'Study Parameters'!$C$4)^'MFSP Baseline'!AD24)</f>
        <v>92730976.548870534</v>
      </c>
      <c r="AE29">
        <f>AE28/((1+'Study Parameters'!$C$4)^'MFSP Baseline'!AE24)</f>
        <v>85862015.323028266</v>
      </c>
      <c r="AF29">
        <f>AF28/((1+'Study Parameters'!$C$4)^'MFSP Baseline'!AF24)</f>
        <v>79501866.039840981</v>
      </c>
    </row>
    <row r="31" spans="1:32">
      <c r="A31" t="s">
        <v>149</v>
      </c>
      <c r="B31">
        <f>SUM(B27:AF27) / SUM(B29:AF29)</f>
        <v>6.9019562040486138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Components'!$H$54*10^6</f>
        <v>1387691210.6372774</v>
      </c>
      <c r="D36">
        <f>'Cost Components'!$H$54*10^6</f>
        <v>1387691210.6372774</v>
      </c>
      <c r="E36">
        <f>'Cost Components'!$H$54*10^6</f>
        <v>1387691210.6372774</v>
      </c>
      <c r="F36">
        <f>'Cost Components'!$H$54*10^6</f>
        <v>1387691210.6372774</v>
      </c>
      <c r="G36">
        <f>'Cost Components'!$H$54*10^6</f>
        <v>1387691210.6372774</v>
      </c>
      <c r="H36">
        <f>'Cost Components'!$H$54*10^6</f>
        <v>1387691210.6372774</v>
      </c>
      <c r="I36">
        <f>'Cost Components'!$H$54*10^6</f>
        <v>1387691210.6372774</v>
      </c>
      <c r="J36">
        <f>'Cost Components'!$H$54*10^6</f>
        <v>1387691210.6372774</v>
      </c>
      <c r="K36">
        <f>'Cost Components'!$H$54*10^6</f>
        <v>1387691210.6372774</v>
      </c>
      <c r="L36">
        <f>'Cost Components'!$H$54*10^6</f>
        <v>1387691210.6372774</v>
      </c>
      <c r="M36">
        <f>'Cost Components'!$H$54*10^6</f>
        <v>1387691210.6372774</v>
      </c>
      <c r="N36">
        <f>'Cost Components'!$H$54*10^6</f>
        <v>1387691210.6372774</v>
      </c>
      <c r="O36">
        <f>'Cost Components'!$H$54*10^6</f>
        <v>1387691210.6372774</v>
      </c>
      <c r="P36">
        <f>'Cost Components'!$H$54*10^6</f>
        <v>1387691210.6372774</v>
      </c>
      <c r="Q36">
        <f>'Cost Components'!$H$54*10^6</f>
        <v>1387691210.6372774</v>
      </c>
      <c r="R36">
        <f>'Cost Components'!$H$54*10^6</f>
        <v>1387691210.6372774</v>
      </c>
      <c r="S36">
        <f>'Cost Components'!$H$54*10^6</f>
        <v>1387691210.6372774</v>
      </c>
      <c r="T36">
        <f>'Cost Components'!$H$54*10^6</f>
        <v>1387691210.6372774</v>
      </c>
      <c r="U36">
        <f>'Cost Components'!$H$54*10^6</f>
        <v>1387691210.6372774</v>
      </c>
      <c r="V36">
        <f>'Cost Components'!$H$54*10^6</f>
        <v>1387691210.6372774</v>
      </c>
      <c r="W36">
        <f>'Cost Components'!$H$54*10^6</f>
        <v>1387691210.6372774</v>
      </c>
      <c r="X36">
        <f>'Cost Components'!$H$54*10^6</f>
        <v>1387691210.6372774</v>
      </c>
      <c r="Y36">
        <f>'Cost Components'!$H$54*10^6</f>
        <v>1387691210.6372774</v>
      </c>
      <c r="Z36">
        <f>'Cost Components'!$H$54*10^6</f>
        <v>1387691210.6372774</v>
      </c>
      <c r="AA36">
        <f>'Cost Components'!$H$54*10^6</f>
        <v>1387691210.6372774</v>
      </c>
      <c r="AB36">
        <f>'Cost Components'!$H$54*10^6</f>
        <v>1387691210.6372774</v>
      </c>
      <c r="AC36">
        <f>'Cost Components'!$H$54*10^6</f>
        <v>1387691210.6372774</v>
      </c>
      <c r="AD36">
        <f>'Cost Components'!$H$54*10^6</f>
        <v>1387691210.6372774</v>
      </c>
      <c r="AE36">
        <f>'Cost Components'!$H$54*10^6</f>
        <v>1387691210.6372774</v>
      </c>
      <c r="AF36">
        <f>'Cost Components'!$H$54*10^6</f>
        <v>1387691210.6372774</v>
      </c>
    </row>
    <row r="37" spans="1:32">
      <c r="A37" t="s">
        <v>146</v>
      </c>
      <c r="B37">
        <v>0</v>
      </c>
      <c r="C37">
        <f>'Cost Components'!$H$29</f>
        <v>334879423.87001657</v>
      </c>
      <c r="D37">
        <f>'Cost Components'!$H$29</f>
        <v>334879423.87001657</v>
      </c>
      <c r="E37">
        <f>'Cost Components'!$H$29</f>
        <v>334879423.87001657</v>
      </c>
      <c r="F37">
        <f>'Cost Components'!$H$29</f>
        <v>334879423.87001657</v>
      </c>
      <c r="G37">
        <f>'Cost Components'!$H$29</f>
        <v>334879423.87001657</v>
      </c>
      <c r="H37">
        <f>'Cost Components'!$H$29</f>
        <v>334879423.87001657</v>
      </c>
      <c r="I37">
        <f>'Cost Components'!$H$29</f>
        <v>334879423.87001657</v>
      </c>
      <c r="J37">
        <f>'Cost Components'!$H$29</f>
        <v>334879423.87001657</v>
      </c>
      <c r="K37">
        <f>'Cost Components'!$H$29</f>
        <v>334879423.87001657</v>
      </c>
      <c r="L37">
        <f>'Cost Components'!$H$29</f>
        <v>334879423.87001657</v>
      </c>
      <c r="M37">
        <f>'Cost Components'!$H$29</f>
        <v>334879423.87001657</v>
      </c>
      <c r="N37">
        <f>'Cost Components'!$H$29</f>
        <v>334879423.87001657</v>
      </c>
      <c r="O37">
        <f>'Cost Components'!$H$29</f>
        <v>334879423.87001657</v>
      </c>
      <c r="P37">
        <f>'Cost Components'!$H$29</f>
        <v>334879423.87001657</v>
      </c>
      <c r="Q37">
        <f>'Cost Components'!$H$29</f>
        <v>334879423.87001657</v>
      </c>
      <c r="R37">
        <f>'Cost Components'!$H$29</f>
        <v>334879423.87001657</v>
      </c>
      <c r="S37">
        <f>'Cost Components'!$H$29</f>
        <v>334879423.87001657</v>
      </c>
      <c r="T37">
        <f>'Cost Components'!$H$29</f>
        <v>334879423.87001657</v>
      </c>
      <c r="U37">
        <f>'Cost Components'!$H$29</f>
        <v>334879423.87001657</v>
      </c>
      <c r="V37">
        <f>'Cost Components'!$H$29</f>
        <v>334879423.87001657</v>
      </c>
      <c r="W37">
        <f>'Cost Components'!$H$29</f>
        <v>334879423.87001657</v>
      </c>
      <c r="X37">
        <f>'Cost Components'!$H$29</f>
        <v>334879423.87001657</v>
      </c>
      <c r="Y37">
        <f>'Cost Components'!$H$29</f>
        <v>334879423.87001657</v>
      </c>
      <c r="Z37">
        <f>'Cost Components'!$H$29</f>
        <v>334879423.87001657</v>
      </c>
      <c r="AA37">
        <f>'Cost Components'!$H$29</f>
        <v>334879423.87001657</v>
      </c>
      <c r="AB37">
        <f>'Cost Components'!$H$29</f>
        <v>334879423.87001657</v>
      </c>
      <c r="AC37">
        <f>'Cost Components'!$H$29</f>
        <v>334879423.87001657</v>
      </c>
      <c r="AD37">
        <f>'Cost Components'!$H$29</f>
        <v>334879423.87001657</v>
      </c>
      <c r="AE37">
        <f>'Cost Components'!$H$29</f>
        <v>334879423.87001657</v>
      </c>
      <c r="AF37">
        <f>'Cost Components'!$H$29</f>
        <v>334879423.87001657</v>
      </c>
    </row>
    <row r="38" spans="1:32">
      <c r="A38" t="s">
        <v>112</v>
      </c>
      <c r="B38">
        <f>B36/((1+'Study Parameters'!$C$4)^'MFSP Baseline'!B35)</f>
        <v>0</v>
      </c>
      <c r="C38">
        <f>C36/((1+'Study Parameters'!$C$4)^'MFSP Baseline'!C35) + C37</f>
        <v>1619778692.9786067</v>
      </c>
      <c r="D38">
        <f>D36/((1+'Study Parameters'!$C$4)^'MFSP Baseline'!D35) + D37</f>
        <v>1524600969.3409333</v>
      </c>
      <c r="E38">
        <f>E36/((1+'Study Parameters'!$C$4)^'MFSP Baseline'!E35) + E37</f>
        <v>1436473447.4541986</v>
      </c>
      <c r="F38">
        <f>F36/((1+'Study Parameters'!$C$4)^'MFSP Baseline'!F35) + F37</f>
        <v>1354873890.1516666</v>
      </c>
      <c r="G38">
        <f>G36/((1+'Study Parameters'!$C$4)^'MFSP Baseline'!G35) + G37</f>
        <v>1279318744.501174</v>
      </c>
      <c r="H38">
        <f>H36/((1+'Study Parameters'!$C$4)^'MFSP Baseline'!H35) + H37</f>
        <v>1209360276.3062735</v>
      </c>
      <c r="I38">
        <f>I36/((1+'Study Parameters'!$C$4)^'MFSP Baseline'!I35) + I37</f>
        <v>1144583916.8665504</v>
      </c>
      <c r="J38">
        <f>J36/((1+'Study Parameters'!$C$4)^'MFSP Baseline'!J35) + J37</f>
        <v>1084605806.2742147</v>
      </c>
      <c r="K38">
        <f>K36/((1+'Study Parameters'!$C$4)^'MFSP Baseline'!K35) + K37</f>
        <v>1029070518.6887186</v>
      </c>
      <c r="L38">
        <f>L36/((1+'Study Parameters'!$C$4)^'MFSP Baseline'!L35) + L37</f>
        <v>977648956.10955536</v>
      </c>
      <c r="M38">
        <f>M36/((1+'Study Parameters'!$C$4)^'MFSP Baseline'!M35) + M37</f>
        <v>930036398.16588581</v>
      </c>
      <c r="N38">
        <f>N36/((1+'Study Parameters'!$C$4)^'MFSP Baseline'!N35) + N37</f>
        <v>885950696.36619174</v>
      </c>
      <c r="O38">
        <f>O36/((1+'Study Parameters'!$C$4)^'MFSP Baseline'!O35) + O37</f>
        <v>845130602.10721588</v>
      </c>
      <c r="P38">
        <f>P36/((1+'Study Parameters'!$C$4)^'MFSP Baseline'!P35) + P37</f>
        <v>807334218.5340898</v>
      </c>
      <c r="Q38">
        <f>Q36/((1+'Study Parameters'!$C$4)^'MFSP Baseline'!Q35) + Q37</f>
        <v>772337567.07749176</v>
      </c>
      <c r="R38">
        <f>R36/((1+'Study Parameters'!$C$4)^'MFSP Baseline'!R35) + R37</f>
        <v>739933260.17323446</v>
      </c>
      <c r="S38">
        <f>S36/((1+'Study Parameters'!$C$4)^'MFSP Baseline'!S35) + S37</f>
        <v>709929272.29892194</v>
      </c>
      <c r="T38">
        <f>T36/((1+'Study Parameters'!$C$4)^'MFSP Baseline'!T35) + T37</f>
        <v>682147802.04492903</v>
      </c>
      <c r="U38">
        <f>U36/((1+'Study Parameters'!$C$4)^'MFSP Baseline'!U35) + U37</f>
        <v>656424218.47641683</v>
      </c>
      <c r="V38">
        <f>V36/((1+'Study Parameters'!$C$4)^'MFSP Baseline'!V35) + V37</f>
        <v>632606085.54260945</v>
      </c>
      <c r="W38">
        <f>W36/((1+'Study Parameters'!$C$4)^'MFSP Baseline'!W35) + W37</f>
        <v>610552258.75204706</v>
      </c>
      <c r="X38">
        <f>X36/((1+'Study Parameters'!$C$4)^'MFSP Baseline'!X35) + X37</f>
        <v>590132048.76078546</v>
      </c>
      <c r="Y38">
        <f>Y36/((1+'Study Parameters'!$C$4)^'MFSP Baseline'!Y35) + Y37</f>
        <v>571224446.91702485</v>
      </c>
      <c r="Z38">
        <f>Z36/((1+'Study Parameters'!$C$4)^'MFSP Baseline'!Z35) + Z37</f>
        <v>553717408.17280197</v>
      </c>
      <c r="AA38">
        <f>AA36/((1+'Study Parameters'!$C$4)^'MFSP Baseline'!AA35) + AA37</f>
        <v>537507187.11333632</v>
      </c>
      <c r="AB38">
        <f>AB36/((1+'Study Parameters'!$C$4)^'MFSP Baseline'!AB35) + AB37</f>
        <v>522497723.16938674</v>
      </c>
      <c r="AC38">
        <f>AC36/((1+'Study Parameters'!$C$4)^'MFSP Baseline'!AC35) + AC37</f>
        <v>508600071.3694334</v>
      </c>
      <c r="AD38">
        <f>AD36/((1+'Study Parameters'!$C$4)^'MFSP Baseline'!AD35) + AD37</f>
        <v>495731875.25836551</v>
      </c>
      <c r="AE38">
        <f>AE36/((1+'Study Parameters'!$C$4)^'MFSP Baseline'!AE35) + AE37</f>
        <v>483816878.85922849</v>
      </c>
      <c r="AF38">
        <f>AF36/((1+'Study Parameters'!$C$4)^'MFSP Baseline'!AF35) + AF37</f>
        <v>472784474.78595352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C39/((1+'Study Parameters'!$C$4)^'MFSP Baseline'!C35)</f>
        <v>740740740.74074066</v>
      </c>
      <c r="D40">
        <f>D39/((1+'Study Parameters'!$C$4)^'MFSP Baseline'!D35)</f>
        <v>685871056.24142659</v>
      </c>
      <c r="E40">
        <f>E39/((1+'Study Parameters'!$C$4)^'MFSP Baseline'!E35)</f>
        <v>635065792.81613564</v>
      </c>
      <c r="F40">
        <f>F39/((1+'Study Parameters'!$C$4)^'MFSP Baseline'!F35)</f>
        <v>588023882.23716259</v>
      </c>
      <c r="G40">
        <f>G39/((1+'Study Parameters'!$C$4)^'MFSP Baseline'!G35)</f>
        <v>544466557.62700236</v>
      </c>
      <c r="H40">
        <f>H39/((1+'Study Parameters'!$C$4)^'MFSP Baseline'!H35)</f>
        <v>504135701.50648367</v>
      </c>
      <c r="I40">
        <f>I39/((1+'Study Parameters'!$C$4)^'MFSP Baseline'!I35)</f>
        <v>466792316.20970708</v>
      </c>
      <c r="J40">
        <f>J39/((1+'Study Parameters'!$C$4)^'MFSP Baseline'!J35)</f>
        <v>432215107.60158062</v>
      </c>
      <c r="K40">
        <f>K39/((1+'Study Parameters'!$C$4)^'MFSP Baseline'!K35)</f>
        <v>400199173.70516723</v>
      </c>
      <c r="L40">
        <f>L39/((1+'Study Parameters'!$C$4)^'MFSP Baseline'!L35)</f>
        <v>370554790.46774739</v>
      </c>
      <c r="M40">
        <f>M39/((1+'Study Parameters'!$C$4)^'MFSP Baseline'!M35)</f>
        <v>343106287.47013646</v>
      </c>
      <c r="N40">
        <f>N39/((1+'Study Parameters'!$C$4)^'MFSP Baseline'!N35)</f>
        <v>317691006.91679299</v>
      </c>
      <c r="O40">
        <f>O39/((1+'Study Parameters'!$C$4)^'MFSP Baseline'!O35)</f>
        <v>294158339.73777133</v>
      </c>
      <c r="P40">
        <f>P39/((1+'Study Parameters'!$C$4)^'MFSP Baseline'!P35)</f>
        <v>272368833.09052896</v>
      </c>
      <c r="Q40">
        <f>Q39/((1+'Study Parameters'!$C$4)^'MFSP Baseline'!Q35)</f>
        <v>252193363.97271198</v>
      </c>
      <c r="R40">
        <f>R39/((1+'Study Parameters'!$C$4)^'MFSP Baseline'!R35)</f>
        <v>233512374.04880738</v>
      </c>
      <c r="S40">
        <f>S39/((1+'Study Parameters'!$C$4)^'MFSP Baseline'!S35)</f>
        <v>216215161.15630314</v>
      </c>
      <c r="T40">
        <f>T39/((1+'Study Parameters'!$C$4)^'MFSP Baseline'!T35)</f>
        <v>200199223.29287323</v>
      </c>
      <c r="U40">
        <f>U39/((1+'Study Parameters'!$C$4)^'MFSP Baseline'!U35)</f>
        <v>185369651.19710484</v>
      </c>
      <c r="V40">
        <f>V39/((1+'Study Parameters'!$C$4)^'MFSP Baseline'!V35)</f>
        <v>171638565.92324522</v>
      </c>
      <c r="W40">
        <f>W39/((1+'Study Parameters'!$C$4)^'MFSP Baseline'!W35)</f>
        <v>158924598.07707891</v>
      </c>
      <c r="X40">
        <f>X39/((1+'Study Parameters'!$C$4)^'MFSP Baseline'!X35)</f>
        <v>147152405.6269249</v>
      </c>
      <c r="Y40">
        <f>Y39/((1+'Study Parameters'!$C$4)^'MFSP Baseline'!Y35)</f>
        <v>136252227.43233788</v>
      </c>
      <c r="Z40">
        <f>Z39/((1+'Study Parameters'!$C$4)^'MFSP Baseline'!Z35)</f>
        <v>126159469.84475727</v>
      </c>
      <c r="AA40">
        <f>AA39/((1+'Study Parameters'!$C$4)^'MFSP Baseline'!AA35)</f>
        <v>116814323.9303308</v>
      </c>
      <c r="AB40">
        <f>AB39/((1+'Study Parameters'!$C$4)^'MFSP Baseline'!AB35)</f>
        <v>108161411.04660261</v>
      </c>
      <c r="AC40">
        <f>AC39/((1+'Study Parameters'!$C$4)^'MFSP Baseline'!AC35)</f>
        <v>100149454.67278019</v>
      </c>
      <c r="AD40">
        <f>AD39/((1+'Study Parameters'!$C$4)^'MFSP Baseline'!AD35)</f>
        <v>92730976.548870534</v>
      </c>
      <c r="AE40">
        <f>AE39/((1+'Study Parameters'!$C$4)^'MFSP Baseline'!AE35)</f>
        <v>85862015.323028266</v>
      </c>
      <c r="AF40">
        <f>AF39/((1+'Study Parameters'!$C$4)^'MFSP Baseline'!AF35)</f>
        <v>79501866.039840981</v>
      </c>
    </row>
    <row r="42" spans="1:32">
      <c r="A42" t="s">
        <v>149</v>
      </c>
      <c r="B42">
        <f>SUM(B38:AF38) / SUM(B40:AF40)</f>
        <v>2.8501070026684241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>'Cost Components'!$N$45 * 10^6</f>
        <v>4362243237.9706106</v>
      </c>
      <c r="D49">
        <f>'Cost Components'!$N$45 * 10^6</f>
        <v>4362243237.9706106</v>
      </c>
      <c r="E49">
        <f>'Cost Components'!$N$45 * 10^6</f>
        <v>4362243237.9706106</v>
      </c>
      <c r="F49">
        <f>'Cost Components'!$N$45 * 10^6</f>
        <v>4362243237.9706106</v>
      </c>
      <c r="G49">
        <f>'Cost Components'!$N$45 * 10^6</f>
        <v>4362243237.9706106</v>
      </c>
      <c r="H49">
        <f>'Cost Components'!$N$45 * 10^6</f>
        <v>4362243237.9706106</v>
      </c>
      <c r="I49">
        <f>'Cost Components'!$N$45 * 10^6</f>
        <v>4362243237.9706106</v>
      </c>
      <c r="J49">
        <f>'Cost Components'!$N$45 * 10^6</f>
        <v>4362243237.9706106</v>
      </c>
      <c r="K49">
        <f>'Cost Components'!$N$45 * 10^6</f>
        <v>4362243237.9706106</v>
      </c>
      <c r="L49">
        <f>'Cost Components'!$N$45 * 10^6</f>
        <v>4362243237.9706106</v>
      </c>
      <c r="M49">
        <f>'Cost Components'!$N$45 * 10^6</f>
        <v>4362243237.9706106</v>
      </c>
      <c r="N49">
        <f>'Cost Components'!$N$45 * 10^6</f>
        <v>4362243237.9706106</v>
      </c>
      <c r="O49">
        <f>'Cost Components'!$N$45 * 10^6</f>
        <v>4362243237.9706106</v>
      </c>
      <c r="P49">
        <f>'Cost Components'!$N$45 * 10^6</f>
        <v>4362243237.9706106</v>
      </c>
      <c r="Q49">
        <f>'Cost Components'!$N$45 * 10^6</f>
        <v>4362243237.9706106</v>
      </c>
      <c r="R49">
        <f>'Cost Components'!$N$45 * 10^6</f>
        <v>4362243237.9706106</v>
      </c>
      <c r="S49">
        <f>'Cost Components'!$N$45 * 10^6</f>
        <v>4362243237.9706106</v>
      </c>
      <c r="T49">
        <f>'Cost Components'!$N$45 * 10^6</f>
        <v>4362243237.9706106</v>
      </c>
      <c r="U49">
        <f>'Cost Components'!$N$45 * 10^6</f>
        <v>4362243237.9706106</v>
      </c>
      <c r="V49">
        <f>'Cost Components'!$N$45 * 10^6</f>
        <v>4362243237.9706106</v>
      </c>
      <c r="W49">
        <f>'Cost Components'!$N$45 * 10^6</f>
        <v>4362243237.9706106</v>
      </c>
      <c r="X49">
        <f>'Cost Components'!$N$45 * 10^6</f>
        <v>4362243237.9706106</v>
      </c>
      <c r="Y49">
        <f>'Cost Components'!$N$45 * 10^6</f>
        <v>4362243237.9706106</v>
      </c>
      <c r="Z49">
        <f>'Cost Components'!$N$45 * 10^6</f>
        <v>4362243237.9706106</v>
      </c>
      <c r="AA49">
        <f>'Cost Components'!$N$45 * 10^6</f>
        <v>4362243237.9706106</v>
      </c>
      <c r="AB49">
        <f>'Cost Components'!$N$45 * 10^6</f>
        <v>4362243237.9706106</v>
      </c>
      <c r="AC49">
        <f>'Cost Components'!$N$45 * 10^6</f>
        <v>4362243237.9706106</v>
      </c>
      <c r="AD49">
        <f>'Cost Components'!$N$45 * 10^6</f>
        <v>4362243237.9706106</v>
      </c>
      <c r="AE49">
        <f>'Cost Components'!$N$45 * 10^6</f>
        <v>4362243237.9706106</v>
      </c>
      <c r="AF49">
        <f>'Cost Components'!$N$45 * 10^6</f>
        <v>4362243237.9706106</v>
      </c>
    </row>
    <row r="50" spans="1:32">
      <c r="A50" t="s">
        <v>146</v>
      </c>
      <c r="B50">
        <v>0</v>
      </c>
      <c r="C50">
        <f>'Cost Components'!$N$9</f>
        <v>568850883.41209173</v>
      </c>
      <c r="D50">
        <f>'Cost Components'!$N$9</f>
        <v>568850883.41209173</v>
      </c>
      <c r="E50">
        <f>'Cost Components'!$N$9</f>
        <v>568850883.41209173</v>
      </c>
      <c r="F50">
        <f>'Cost Components'!$N$9</f>
        <v>568850883.41209173</v>
      </c>
      <c r="G50">
        <f>'Cost Components'!$N$9</f>
        <v>568850883.41209173</v>
      </c>
      <c r="H50">
        <f>'Cost Components'!$N$9</f>
        <v>568850883.41209173</v>
      </c>
      <c r="I50">
        <f>'Cost Components'!$N$9</f>
        <v>568850883.41209173</v>
      </c>
      <c r="J50">
        <f>'Cost Components'!$N$9</f>
        <v>568850883.41209173</v>
      </c>
      <c r="K50">
        <f>'Cost Components'!$N$9</f>
        <v>568850883.41209173</v>
      </c>
      <c r="L50">
        <f>'Cost Components'!$N$9</f>
        <v>568850883.41209173</v>
      </c>
      <c r="M50">
        <f>'Cost Components'!$N$9</f>
        <v>568850883.41209173</v>
      </c>
      <c r="N50">
        <f>'Cost Components'!$N$9</f>
        <v>568850883.41209173</v>
      </c>
      <c r="O50">
        <f>'Cost Components'!$N$9</f>
        <v>568850883.41209173</v>
      </c>
      <c r="P50">
        <f>'Cost Components'!$N$9</f>
        <v>568850883.41209173</v>
      </c>
      <c r="Q50">
        <f>'Cost Components'!$N$9</f>
        <v>568850883.41209173</v>
      </c>
      <c r="R50">
        <f>'Cost Components'!$N$9</f>
        <v>568850883.41209173</v>
      </c>
      <c r="S50">
        <f>'Cost Components'!$N$9</f>
        <v>568850883.41209173</v>
      </c>
      <c r="T50">
        <f>'Cost Components'!$N$9</f>
        <v>568850883.41209173</v>
      </c>
      <c r="U50">
        <f>'Cost Components'!$N$9</f>
        <v>568850883.41209173</v>
      </c>
      <c r="V50">
        <f>'Cost Components'!$N$9</f>
        <v>568850883.41209173</v>
      </c>
      <c r="W50">
        <f>'Cost Components'!$N$9</f>
        <v>568850883.41209173</v>
      </c>
      <c r="X50">
        <f>'Cost Components'!$N$9</f>
        <v>568850883.41209173</v>
      </c>
      <c r="Y50">
        <f>'Cost Components'!$N$9</f>
        <v>568850883.41209173</v>
      </c>
      <c r="Z50">
        <f>'Cost Components'!$N$9</f>
        <v>568850883.41209173</v>
      </c>
      <c r="AA50">
        <f>'Cost Components'!$N$9</f>
        <v>568850883.41209173</v>
      </c>
      <c r="AB50">
        <f>'Cost Components'!$N$9</f>
        <v>568850883.41209173</v>
      </c>
      <c r="AC50">
        <f>'Cost Components'!$N$9</f>
        <v>568850883.41209173</v>
      </c>
      <c r="AD50">
        <f>'Cost Components'!$N$9</f>
        <v>568850883.41209173</v>
      </c>
      <c r="AE50">
        <f>'Cost Components'!$N$9</f>
        <v>568850883.41209173</v>
      </c>
      <c r="AF50">
        <f>'Cost Components'!$N$9</f>
        <v>568850883.41209173</v>
      </c>
    </row>
    <row r="51" spans="1:32">
      <c r="A51" t="s">
        <v>112</v>
      </c>
      <c r="B51">
        <v>0</v>
      </c>
      <c r="C51">
        <f>C49/((1+'Study Parameters'!$C$4)^'MFSP Baseline'!C48) + C50</f>
        <v>4607964992.6441383</v>
      </c>
      <c r="D51">
        <f>D49/((1+'Study Parameters'!$C$4)^'MFSP Baseline'!D48) + D50</f>
        <v>4308771354.9232464</v>
      </c>
      <c r="E51">
        <f>E49/((1+'Study Parameters'!$C$4)^'MFSP Baseline'!E48) + E50</f>
        <v>4031740208.8853827</v>
      </c>
      <c r="F51">
        <f>F49/((1+'Study Parameters'!$C$4)^'MFSP Baseline'!F48) + F50</f>
        <v>3775229888.4799533</v>
      </c>
      <c r="G51">
        <f>G49/((1+'Study Parameters'!$C$4)^'MFSP Baseline'!G48) + G50</f>
        <v>3537720332.5490007</v>
      </c>
      <c r="H51">
        <f>H49/((1+'Study Parameters'!$C$4)^'MFSP Baseline'!H48) + H50</f>
        <v>3317804077.0573773</v>
      </c>
      <c r="I51">
        <f>I49/((1+'Study Parameters'!$C$4)^'MFSP Baseline'!I48) + I50</f>
        <v>3114177914.565134</v>
      </c>
      <c r="J51">
        <f>J49/((1+'Study Parameters'!$C$4)^'MFSP Baseline'!J48) + J50</f>
        <v>2925635171.5167603</v>
      </c>
      <c r="K51">
        <f>K49/((1+'Study Parameters'!$C$4)^'MFSP Baseline'!K48) + K50</f>
        <v>2751058557.5830812</v>
      </c>
      <c r="L51">
        <f>L49/((1+'Study Parameters'!$C$4)^'MFSP Baseline'!L48) + L50</f>
        <v>2589413544.6815262</v>
      </c>
      <c r="M51">
        <f>M49/((1+'Study Parameters'!$C$4)^'MFSP Baseline'!M48) + M50</f>
        <v>2439742236.4393458</v>
      </c>
      <c r="N51">
        <f>N49/((1+'Study Parameters'!$C$4)^'MFSP Baseline'!N48) + N50</f>
        <v>2301157691.7706604</v>
      </c>
      <c r="O51">
        <f>O49/((1+'Study Parameters'!$C$4)^'MFSP Baseline'!O48) + O50</f>
        <v>2172838668.929285</v>
      </c>
      <c r="P51">
        <f>P49/((1+'Study Parameters'!$C$4)^'MFSP Baseline'!P48) + P50</f>
        <v>2054024758.890974</v>
      </c>
      <c r="Q51">
        <f>Q49/((1+'Study Parameters'!$C$4)^'MFSP Baseline'!Q48) + Q50</f>
        <v>1944011879.2258716</v>
      </c>
      <c r="R51">
        <f>R49/((1+'Study Parameters'!$C$4)^'MFSP Baseline'!R48) + R50</f>
        <v>1842148101.7581842</v>
      </c>
      <c r="S51">
        <f>S49/((1+'Study Parameters'!$C$4)^'MFSP Baseline'!S48) + S50</f>
        <v>1747829789.2881031</v>
      </c>
      <c r="T51">
        <f>T49/((1+'Study Parameters'!$C$4)^'MFSP Baseline'!T48) + T50</f>
        <v>1660498018.4824727</v>
      </c>
      <c r="U51">
        <f>U49/((1+'Study Parameters'!$C$4)^'MFSP Baseline'!U48) + U50</f>
        <v>1579635267.7365184</v>
      </c>
      <c r="V51">
        <f>V49/((1+'Study Parameters'!$C$4)^'MFSP Baseline'!V48) + V50</f>
        <v>1504762350.3791535</v>
      </c>
      <c r="W51">
        <f>W49/((1+'Study Parameters'!$C$4)^'MFSP Baseline'!W48) + W50</f>
        <v>1435435575.04826</v>
      </c>
      <c r="X51">
        <f>X49/((1+'Study Parameters'!$C$4)^'MFSP Baseline'!X48) + X50</f>
        <v>1371244116.4085436</v>
      </c>
      <c r="Y51">
        <f>Y49/((1+'Study Parameters'!$C$4)^'MFSP Baseline'!Y48) + Y50</f>
        <v>1311807580.6310287</v>
      </c>
      <c r="Z51">
        <f>Z49/((1+'Study Parameters'!$C$4)^'MFSP Baseline'!Z48) + Z50</f>
        <v>1256773751.2074037</v>
      </c>
      <c r="AA51">
        <f>AA49/((1+'Study Parameters'!$C$4)^'MFSP Baseline'!AA48) + AA50</f>
        <v>1205816501.7410841</v>
      </c>
      <c r="AB51">
        <f>AB49/((1+'Study Parameters'!$C$4)^'MFSP Baseline'!AB48) + AB50</f>
        <v>1158633863.346344</v>
      </c>
      <c r="AC51">
        <f>AC49/((1+'Study Parameters'!$C$4)^'MFSP Baseline'!AC48) + AC50</f>
        <v>1114946235.2030661</v>
      </c>
      <c r="AD51">
        <f>AD49/((1+'Study Parameters'!$C$4)^'MFSP Baseline'!AD48) + AD50</f>
        <v>1074494727.6629939</v>
      </c>
      <c r="AE51">
        <f>AE49/((1+'Study Parameters'!$C$4)^'MFSP Baseline'!AE48) + AE50</f>
        <v>1037039628.088853</v>
      </c>
      <c r="AF51">
        <f>AF49/((1+'Study Parameters'!$C$4)^'MFSP Baseline'!AF48) + AF50</f>
        <v>1002358980.3350189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C52/((1+'Study Parameters'!$C$4)^'MFSP Baseline'!C48)</f>
        <v>740740740.74074066</v>
      </c>
      <c r="D53">
        <f>D52/((1+'Study Parameters'!$C$4)^'MFSP Baseline'!D48)</f>
        <v>685871056.24142659</v>
      </c>
      <c r="E53">
        <f>E52/((1+'Study Parameters'!$C$4)^'MFSP Baseline'!E48)</f>
        <v>635065792.81613564</v>
      </c>
      <c r="F53">
        <f>F52/((1+'Study Parameters'!$C$4)^'MFSP Baseline'!F48)</f>
        <v>588023882.23716259</v>
      </c>
      <c r="G53">
        <f>G52/((1+'Study Parameters'!$C$4)^'MFSP Baseline'!G48)</f>
        <v>544466557.62700236</v>
      </c>
      <c r="H53">
        <f>H52/((1+'Study Parameters'!$C$4)^'MFSP Baseline'!H48)</f>
        <v>504135701.50648367</v>
      </c>
      <c r="I53">
        <f>I52/((1+'Study Parameters'!$C$4)^'MFSP Baseline'!I48)</f>
        <v>466792316.20970708</v>
      </c>
      <c r="J53">
        <f>J52/((1+'Study Parameters'!$C$4)^'MFSP Baseline'!J48)</f>
        <v>432215107.60158062</v>
      </c>
      <c r="K53">
        <f>K52/((1+'Study Parameters'!$C$4)^'MFSP Baseline'!K48)</f>
        <v>400199173.70516723</v>
      </c>
      <c r="L53">
        <f>L52/((1+'Study Parameters'!$C$4)^'MFSP Baseline'!L48)</f>
        <v>370554790.46774739</v>
      </c>
      <c r="M53">
        <f>M52/((1+'Study Parameters'!$C$4)^'MFSP Baseline'!M48)</f>
        <v>343106287.47013646</v>
      </c>
      <c r="N53">
        <f>N52/((1+'Study Parameters'!$C$4)^'MFSP Baseline'!N48)</f>
        <v>317691006.91679299</v>
      </c>
      <c r="O53">
        <f>O52/((1+'Study Parameters'!$C$4)^'MFSP Baseline'!O48)</f>
        <v>294158339.73777133</v>
      </c>
      <c r="P53">
        <f>P52/((1+'Study Parameters'!$C$4)^'MFSP Baseline'!P48)</f>
        <v>272368833.09052896</v>
      </c>
      <c r="Q53">
        <f>Q52/((1+'Study Parameters'!$C$4)^'MFSP Baseline'!Q48)</f>
        <v>252193363.97271198</v>
      </c>
      <c r="R53">
        <f>R52/((1+'Study Parameters'!$C$4)^'MFSP Baseline'!R48)</f>
        <v>233512374.04880738</v>
      </c>
      <c r="S53">
        <f>S52/((1+'Study Parameters'!$C$4)^'MFSP Baseline'!S48)</f>
        <v>216215161.15630314</v>
      </c>
      <c r="T53">
        <f>T52/((1+'Study Parameters'!$C$4)^'MFSP Baseline'!T48)</f>
        <v>200199223.29287323</v>
      </c>
      <c r="U53">
        <f>U52/((1+'Study Parameters'!$C$4)^'MFSP Baseline'!U48)</f>
        <v>185369651.19710484</v>
      </c>
      <c r="V53">
        <f>V52/((1+'Study Parameters'!$C$4)^'MFSP Baseline'!V48)</f>
        <v>171638565.92324522</v>
      </c>
      <c r="W53">
        <f>W52/((1+'Study Parameters'!$C$4)^'MFSP Baseline'!W48)</f>
        <v>158924598.07707891</v>
      </c>
      <c r="X53">
        <f>X52/((1+'Study Parameters'!$C$4)^'MFSP Baseline'!X48)</f>
        <v>147152405.6269249</v>
      </c>
      <c r="Y53">
        <f>Y52/((1+'Study Parameters'!$C$4)^'MFSP Baseline'!Y48)</f>
        <v>136252227.43233788</v>
      </c>
      <c r="Z53">
        <f>Z52/((1+'Study Parameters'!$C$4)^'MFSP Baseline'!Z48)</f>
        <v>126159469.84475727</v>
      </c>
      <c r="AA53">
        <f>AA52/((1+'Study Parameters'!$C$4)^'MFSP Baseline'!AA48)</f>
        <v>116814323.9303308</v>
      </c>
      <c r="AB53">
        <f>AB52/((1+'Study Parameters'!$C$4)^'MFSP Baseline'!AB48)</f>
        <v>108161411.04660261</v>
      </c>
      <c r="AC53">
        <f>AC52/((1+'Study Parameters'!$C$4)^'MFSP Baseline'!AC48)</f>
        <v>100149454.67278019</v>
      </c>
      <c r="AD53">
        <f>AD52/((1+'Study Parameters'!$C$4)^'MFSP Baseline'!AD48)</f>
        <v>92730976.548870534</v>
      </c>
      <c r="AE53">
        <f>AE52/((1+'Study Parameters'!$C$4)^'MFSP Baseline'!AE48)</f>
        <v>85862015.323028266</v>
      </c>
      <c r="AF53">
        <f>AF52/((1+'Study Parameters'!$C$4)^'MFSP Baseline'!AF48)</f>
        <v>79501866.039840981</v>
      </c>
    </row>
    <row r="55" spans="1:32">
      <c r="A55" t="s">
        <v>149</v>
      </c>
      <c r="B55">
        <f>SUM(B51:AF51) / SUM(B53:AF53)</f>
        <v>7.3476626957224616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Components'!$N$54*10^6</f>
        <v>1385461210.6372774</v>
      </c>
      <c r="D59">
        <f>'Cost Components'!$N$54*10^6</f>
        <v>1385461210.6372774</v>
      </c>
      <c r="E59">
        <f>'Cost Components'!$N$54*10^6</f>
        <v>1385461210.6372774</v>
      </c>
      <c r="F59">
        <f>'Cost Components'!$N$54*10^6</f>
        <v>1385461210.6372774</v>
      </c>
      <c r="G59">
        <f>'Cost Components'!$N$54*10^6</f>
        <v>1385461210.6372774</v>
      </c>
      <c r="H59">
        <f>'Cost Components'!$N$54*10^6</f>
        <v>1385461210.6372774</v>
      </c>
      <c r="I59">
        <f>'Cost Components'!$N$54*10^6</f>
        <v>1385461210.6372774</v>
      </c>
      <c r="J59">
        <f>'Cost Components'!$N$54*10^6</f>
        <v>1385461210.6372774</v>
      </c>
      <c r="K59">
        <f>'Cost Components'!$N$54*10^6</f>
        <v>1385461210.6372774</v>
      </c>
      <c r="L59">
        <f>'Cost Components'!$N$54*10^6</f>
        <v>1385461210.6372774</v>
      </c>
      <c r="M59">
        <f>'Cost Components'!$N$54*10^6</f>
        <v>1385461210.6372774</v>
      </c>
      <c r="N59">
        <f>'Cost Components'!$N$54*10^6</f>
        <v>1385461210.6372774</v>
      </c>
      <c r="O59">
        <f>'Cost Components'!$N$54*10^6</f>
        <v>1385461210.6372774</v>
      </c>
      <c r="P59">
        <f>'Cost Components'!$N$54*10^6</f>
        <v>1385461210.6372774</v>
      </c>
      <c r="Q59">
        <f>'Cost Components'!$N$54*10^6</f>
        <v>1385461210.6372774</v>
      </c>
      <c r="R59">
        <f>'Cost Components'!$N$54*10^6</f>
        <v>1385461210.6372774</v>
      </c>
      <c r="S59">
        <f>'Cost Components'!$N$54*10^6</f>
        <v>1385461210.6372774</v>
      </c>
      <c r="T59">
        <f>'Cost Components'!$N$54*10^6</f>
        <v>1385461210.6372774</v>
      </c>
      <c r="U59">
        <f>'Cost Components'!$N$54*10^6</f>
        <v>1385461210.6372774</v>
      </c>
      <c r="V59">
        <f>'Cost Components'!$N$54*10^6</f>
        <v>1385461210.6372774</v>
      </c>
      <c r="W59">
        <f>'Cost Components'!$N$54*10^6</f>
        <v>1385461210.6372774</v>
      </c>
      <c r="X59">
        <f>'Cost Components'!$N$54*10^6</f>
        <v>1385461210.6372774</v>
      </c>
      <c r="Y59">
        <f>'Cost Components'!$N$54*10^6</f>
        <v>1385461210.6372774</v>
      </c>
      <c r="Z59">
        <f>'Cost Components'!$N$54*10^6</f>
        <v>1385461210.6372774</v>
      </c>
      <c r="AA59">
        <f>'Cost Components'!$N$54*10^6</f>
        <v>1385461210.6372774</v>
      </c>
      <c r="AB59">
        <f>'Cost Components'!$N$54*10^6</f>
        <v>1385461210.6372774</v>
      </c>
      <c r="AC59">
        <f>'Cost Components'!$N$54*10^6</f>
        <v>1385461210.6372774</v>
      </c>
      <c r="AD59">
        <f>'Cost Components'!$N$54*10^6</f>
        <v>1385461210.6372774</v>
      </c>
      <c r="AE59">
        <f>'Cost Components'!$N$54*10^6</f>
        <v>1385461210.6372774</v>
      </c>
      <c r="AF59">
        <f>'Cost Components'!$N$54*10^6</f>
        <v>1385461210.6372774</v>
      </c>
    </row>
    <row r="60" spans="1:32">
      <c r="A60" t="s">
        <v>146</v>
      </c>
      <c r="B60">
        <v>0</v>
      </c>
      <c r="C60">
        <f>'Cost Components'!$N$29</f>
        <v>331059844.23436385</v>
      </c>
      <c r="D60">
        <f>'Cost Components'!$N$29</f>
        <v>331059844.23436385</v>
      </c>
      <c r="E60">
        <f>'Cost Components'!$N$29</f>
        <v>331059844.23436385</v>
      </c>
      <c r="F60">
        <f>'Cost Components'!$N$29</f>
        <v>331059844.23436385</v>
      </c>
      <c r="G60">
        <f>'Cost Components'!$N$29</f>
        <v>331059844.23436385</v>
      </c>
      <c r="H60">
        <f>'Cost Components'!$N$29</f>
        <v>331059844.23436385</v>
      </c>
      <c r="I60">
        <f>'Cost Components'!$N$29</f>
        <v>331059844.23436385</v>
      </c>
      <c r="J60">
        <f>'Cost Components'!$N$29</f>
        <v>331059844.23436385</v>
      </c>
      <c r="K60">
        <f>'Cost Components'!$N$29</f>
        <v>331059844.23436385</v>
      </c>
      <c r="L60">
        <f>'Cost Components'!$N$29</f>
        <v>331059844.23436385</v>
      </c>
      <c r="M60">
        <f>'Cost Components'!$N$29</f>
        <v>331059844.23436385</v>
      </c>
      <c r="N60">
        <f>'Cost Components'!$N$29</f>
        <v>331059844.23436385</v>
      </c>
      <c r="O60">
        <f>'Cost Components'!$N$29</f>
        <v>331059844.23436385</v>
      </c>
      <c r="P60">
        <f>'Cost Components'!$N$29</f>
        <v>331059844.23436385</v>
      </c>
      <c r="Q60">
        <f>'Cost Components'!$N$29</f>
        <v>331059844.23436385</v>
      </c>
      <c r="R60">
        <f>'Cost Components'!$N$29</f>
        <v>331059844.23436385</v>
      </c>
      <c r="S60">
        <f>'Cost Components'!$N$29</f>
        <v>331059844.23436385</v>
      </c>
      <c r="T60">
        <f>'Cost Components'!$N$29</f>
        <v>331059844.23436385</v>
      </c>
      <c r="U60">
        <f>'Cost Components'!$N$29</f>
        <v>331059844.23436385</v>
      </c>
      <c r="V60">
        <f>'Cost Components'!$N$29</f>
        <v>331059844.23436385</v>
      </c>
      <c r="W60">
        <f>'Cost Components'!$N$29</f>
        <v>331059844.23436385</v>
      </c>
      <c r="X60">
        <f>'Cost Components'!$N$29</f>
        <v>331059844.23436385</v>
      </c>
      <c r="Y60">
        <f>'Cost Components'!$N$29</f>
        <v>331059844.23436385</v>
      </c>
      <c r="Z60">
        <f>'Cost Components'!$N$29</f>
        <v>331059844.23436385</v>
      </c>
      <c r="AA60">
        <f>'Cost Components'!$N$29</f>
        <v>331059844.23436385</v>
      </c>
      <c r="AB60">
        <f>'Cost Components'!$N$29</f>
        <v>331059844.23436385</v>
      </c>
      <c r="AC60">
        <f>'Cost Components'!$N$29</f>
        <v>331059844.23436385</v>
      </c>
      <c r="AD60">
        <f>'Cost Components'!$N$29</f>
        <v>331059844.23436385</v>
      </c>
      <c r="AE60">
        <f>'Cost Components'!$N$29</f>
        <v>331059844.23436385</v>
      </c>
      <c r="AF60">
        <f>'Cost Components'!$N$29</f>
        <v>331059844.23436385</v>
      </c>
    </row>
    <row r="61" spans="1:32">
      <c r="A61" t="s">
        <v>112</v>
      </c>
      <c r="B61">
        <v>0</v>
      </c>
      <c r="C61">
        <f>C59/((1+'Study Parameters'!$C$4)^'MFSP Baseline'!C58) + C60</f>
        <v>1613894298.5281391</v>
      </c>
      <c r="D61">
        <f>D59/((1+'Study Parameters'!$C$4)^'MFSP Baseline'!D58) + D60</f>
        <v>1518869524.1360075</v>
      </c>
      <c r="E61">
        <f>E59/((1+'Study Parameters'!$C$4)^'MFSP Baseline'!E58) + E60</f>
        <v>1430883621.9210708</v>
      </c>
      <c r="F61">
        <f>F59/((1+'Study Parameters'!$C$4)^'MFSP Baseline'!F58) + F60</f>
        <v>1349415193.9442778</v>
      </c>
      <c r="G61">
        <f>G59/((1+'Study Parameters'!$C$4)^'MFSP Baseline'!G58) + G60</f>
        <v>1273981464.3361359</v>
      </c>
      <c r="H61">
        <f>H59/((1+'Study Parameters'!$C$4)^'MFSP Baseline'!H58) + H60</f>
        <v>1204135418.4026713</v>
      </c>
      <c r="I61">
        <f>I59/((1+'Study Parameters'!$C$4)^'MFSP Baseline'!I58) + I60</f>
        <v>1139463153.6494632</v>
      </c>
      <c r="J61">
        <f>J59/((1+'Study Parameters'!$C$4)^'MFSP Baseline'!J58) + J60</f>
        <v>1079581427.0261226</v>
      </c>
      <c r="K61">
        <f>K59/((1+'Study Parameters'!$C$4)^'MFSP Baseline'!K58) + K60</f>
        <v>1024135383.8563626</v>
      </c>
      <c r="L61">
        <f>L59/((1+'Study Parameters'!$C$4)^'MFSP Baseline'!L58) + L60</f>
        <v>972796454.99547386</v>
      </c>
      <c r="M61">
        <f>M59/((1+'Study Parameters'!$C$4)^'MFSP Baseline'!M58) + M60</f>
        <v>925260409.75391006</v>
      </c>
      <c r="N61">
        <f>N59/((1+'Study Parameters'!$C$4)^'MFSP Baseline'!N58) + N60</f>
        <v>881245553.04875851</v>
      </c>
      <c r="O61">
        <f>O59/((1+'Study Parameters'!$C$4)^'MFSP Baseline'!O58) + O60</f>
        <v>840491056.09954405</v>
      </c>
      <c r="P61">
        <f>P59/((1+'Study Parameters'!$C$4)^'MFSP Baseline'!P58) + P60</f>
        <v>802755410.77619731</v>
      </c>
      <c r="Q61">
        <f>Q59/((1+'Study Parameters'!$C$4)^'MFSP Baseline'!Q58) + Q60</f>
        <v>767814998.43976521</v>
      </c>
      <c r="R61">
        <f>R59/((1+'Study Parameters'!$C$4)^'MFSP Baseline'!R58) + R60</f>
        <v>735462764.79492068</v>
      </c>
      <c r="S61">
        <f>S59/((1+'Study Parameters'!$C$4)^'MFSP Baseline'!S58) + S60</f>
        <v>705506992.901546</v>
      </c>
      <c r="T61">
        <f>T59/((1+'Study Parameters'!$C$4)^'MFSP Baseline'!T58) + T60</f>
        <v>677770167.07434726</v>
      </c>
      <c r="U61">
        <f>U59/((1+'Study Parameters'!$C$4)^'MFSP Baseline'!U58) + U60</f>
        <v>652087920.93805218</v>
      </c>
      <c r="V61">
        <f>V59/((1+'Study Parameters'!$C$4)^'MFSP Baseline'!V58) + V60</f>
        <v>628308063.40444565</v>
      </c>
      <c r="W61">
        <f>W59/((1+'Study Parameters'!$C$4)^'MFSP Baseline'!W58) + W60</f>
        <v>606289676.79925442</v>
      </c>
      <c r="X61">
        <f>X59/((1+'Study Parameters'!$C$4)^'MFSP Baseline'!X58) + X60</f>
        <v>585902281.79444766</v>
      </c>
      <c r="Y61">
        <f>Y59/((1+'Study Parameters'!$C$4)^'MFSP Baseline'!Y58) + Y60</f>
        <v>567025064.19740438</v>
      </c>
      <c r="Z61">
        <f>Z59/((1+'Study Parameters'!$C$4)^'MFSP Baseline'!Z58) + Z60</f>
        <v>549546159.01495695</v>
      </c>
      <c r="AA61">
        <f>AA59/((1+'Study Parameters'!$C$4)^'MFSP Baseline'!AA58) + AA60</f>
        <v>533361987.5497278</v>
      </c>
      <c r="AB61">
        <f>AB59/((1+'Study Parameters'!$C$4)^'MFSP Baseline'!AB58) + AB60</f>
        <v>518376643.60044163</v>
      </c>
      <c r="AC61">
        <f>AC59/((1+'Study Parameters'!$C$4)^'MFSP Baseline'!AC58) + AC60</f>
        <v>504501325.12888032</v>
      </c>
      <c r="AD61">
        <f>AD59/((1+'Study Parameters'!$C$4)^'MFSP Baseline'!AD58) + AD60</f>
        <v>491653808.02558279</v>
      </c>
      <c r="AE61">
        <f>AE59/((1+'Study Parameters'!$C$4)^'MFSP Baseline'!AE58) + AE60</f>
        <v>479757958.85586286</v>
      </c>
      <c r="AF61">
        <f>AF59/((1+'Study Parameters'!$C$4)^'MFSP Baseline'!AF58) + AF60</f>
        <v>468743283.69871473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C62/((1+'Study Parameters'!$C$4)^'MFSP Baseline'!C58)</f>
        <v>740740740.74074066</v>
      </c>
      <c r="D63">
        <f>D62/((1+'Study Parameters'!$C$4)^'MFSP Baseline'!D58)</f>
        <v>685871056.24142659</v>
      </c>
      <c r="E63">
        <f>E62/((1+'Study Parameters'!$C$4)^'MFSP Baseline'!E58)</f>
        <v>635065792.81613564</v>
      </c>
      <c r="F63">
        <f>F62/((1+'Study Parameters'!$C$4)^'MFSP Baseline'!F58)</f>
        <v>588023882.23716259</v>
      </c>
      <c r="G63">
        <f>G62/((1+'Study Parameters'!$C$4)^'MFSP Baseline'!G58)</f>
        <v>544466557.62700236</v>
      </c>
      <c r="H63">
        <f>H62/((1+'Study Parameters'!$C$4)^'MFSP Baseline'!H58)</f>
        <v>504135701.50648367</v>
      </c>
      <c r="I63">
        <f>I62/((1+'Study Parameters'!$C$4)^'MFSP Baseline'!I58)</f>
        <v>466792316.20970708</v>
      </c>
      <c r="J63">
        <f>J62/((1+'Study Parameters'!$C$4)^'MFSP Baseline'!J58)</f>
        <v>432215107.60158062</v>
      </c>
      <c r="K63">
        <f>K62/((1+'Study Parameters'!$C$4)^'MFSP Baseline'!K58)</f>
        <v>400199173.70516723</v>
      </c>
      <c r="L63">
        <f>L62/((1+'Study Parameters'!$C$4)^'MFSP Baseline'!L58)</f>
        <v>370554790.46774739</v>
      </c>
      <c r="M63">
        <f>M62/((1+'Study Parameters'!$C$4)^'MFSP Baseline'!M58)</f>
        <v>343106287.47013646</v>
      </c>
      <c r="N63">
        <f>N62/((1+'Study Parameters'!$C$4)^'MFSP Baseline'!N58)</f>
        <v>317691006.91679299</v>
      </c>
      <c r="O63">
        <f>O62/((1+'Study Parameters'!$C$4)^'MFSP Baseline'!O58)</f>
        <v>294158339.73777133</v>
      </c>
      <c r="P63">
        <f>P62/((1+'Study Parameters'!$C$4)^'MFSP Baseline'!P58)</f>
        <v>272368833.09052896</v>
      </c>
      <c r="Q63">
        <f>Q62/((1+'Study Parameters'!$C$4)^'MFSP Baseline'!Q58)</f>
        <v>252193363.97271198</v>
      </c>
      <c r="R63">
        <f>R62/((1+'Study Parameters'!$C$4)^'MFSP Baseline'!R58)</f>
        <v>233512374.04880738</v>
      </c>
      <c r="S63">
        <f>S62/((1+'Study Parameters'!$C$4)^'MFSP Baseline'!S58)</f>
        <v>216215161.15630314</v>
      </c>
      <c r="T63">
        <f>T62/((1+'Study Parameters'!$C$4)^'MFSP Baseline'!T58)</f>
        <v>200199223.29287323</v>
      </c>
      <c r="U63">
        <f>U62/((1+'Study Parameters'!$C$4)^'MFSP Baseline'!U58)</f>
        <v>185369651.19710484</v>
      </c>
      <c r="V63">
        <f>V62/((1+'Study Parameters'!$C$4)^'MFSP Baseline'!V58)</f>
        <v>171638565.92324522</v>
      </c>
      <c r="W63">
        <f>W62/((1+'Study Parameters'!$C$4)^'MFSP Baseline'!W58)</f>
        <v>158924598.07707891</v>
      </c>
      <c r="X63">
        <f>X62/((1+'Study Parameters'!$C$4)^'MFSP Baseline'!X58)</f>
        <v>147152405.6269249</v>
      </c>
      <c r="Y63">
        <f>Y62/((1+'Study Parameters'!$C$4)^'MFSP Baseline'!Y58)</f>
        <v>136252227.43233788</v>
      </c>
      <c r="Z63">
        <f>Z62/((1+'Study Parameters'!$C$4)^'MFSP Baseline'!Z58)</f>
        <v>126159469.84475727</v>
      </c>
      <c r="AA63">
        <f>AA62/((1+'Study Parameters'!$C$4)^'MFSP Baseline'!AA58)</f>
        <v>116814323.9303308</v>
      </c>
      <c r="AB63">
        <f>AB62/((1+'Study Parameters'!$C$4)^'MFSP Baseline'!AB58)</f>
        <v>108161411.04660261</v>
      </c>
      <c r="AC63">
        <f>AC62/((1+'Study Parameters'!$C$4)^'MFSP Baseline'!AC58)</f>
        <v>100149454.67278019</v>
      </c>
      <c r="AD63">
        <f>AD62/((1+'Study Parameters'!$C$4)^'MFSP Baseline'!AD58)</f>
        <v>92730976.548870534</v>
      </c>
      <c r="AE63">
        <f>AE62/((1+'Study Parameters'!$C$4)^'MFSP Baseline'!AE58)</f>
        <v>85862015.323028266</v>
      </c>
      <c r="AF63">
        <f>AF62/((1+'Study Parameters'!$C$4)^'MFSP Baseline'!AF58)</f>
        <v>79501866.039840981</v>
      </c>
    </row>
    <row r="65" spans="1:2">
      <c r="A65" t="s">
        <v>149</v>
      </c>
      <c r="B65">
        <f>SUM(B61:AF61) / SUM(B63:AF63)</f>
        <v>2.8345963730814239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1"/>
  <sheetViews>
    <sheetView topLeftCell="A63" workbookViewId="0">
      <selection activeCell="C75" sqref="C75"/>
    </sheetView>
  </sheetViews>
  <sheetFormatPr defaultColWidth="11" defaultRowHeight="15.6"/>
  <cols>
    <col min="1" max="1" width="26.8984375" bestFit="1" customWidth="1"/>
    <col min="2" max="2" width="17.59765625" bestFit="1" customWidth="1"/>
    <col min="3" max="3" width="17.09765625" bestFit="1" customWidth="1"/>
  </cols>
  <sheetData>
    <row r="1" spans="1:32">
      <c r="A1" t="s">
        <v>144</v>
      </c>
    </row>
    <row r="2" spans="1:32">
      <c r="A2" t="s">
        <v>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>
      <c r="A3" t="s">
        <v>111</v>
      </c>
      <c r="B3">
        <v>0</v>
      </c>
      <c r="C3">
        <f>'Cost Components'!$B$45 * 10^6</f>
        <v>4356323237.9706106</v>
      </c>
      <c r="D3">
        <f>'Cost Components'!$B$45 * 10^6</f>
        <v>4356323237.9706106</v>
      </c>
      <c r="E3">
        <f>'Cost Components'!$B$45 * 10^6</f>
        <v>4356323237.9706106</v>
      </c>
      <c r="F3">
        <f>'Cost Components'!$B$45 * 10^6</f>
        <v>4356323237.9706106</v>
      </c>
      <c r="G3">
        <f>'Cost Components'!$B$45 * 10^6</f>
        <v>4356323237.9706106</v>
      </c>
      <c r="H3">
        <f>'Cost Components'!$B$45 * 10^6</f>
        <v>4356323237.9706106</v>
      </c>
      <c r="I3">
        <f>'Cost Components'!$B$45 * 10^6</f>
        <v>4356323237.9706106</v>
      </c>
      <c r="J3">
        <f>'Cost Components'!$B$45 * 10^6</f>
        <v>4356323237.9706106</v>
      </c>
      <c r="K3">
        <f>'Cost Components'!$B$45 * 10^6</f>
        <v>4356323237.9706106</v>
      </c>
      <c r="L3">
        <f>'Cost Components'!$B$45 * 10^6</f>
        <v>4356323237.9706106</v>
      </c>
      <c r="M3">
        <f>'Cost Components'!$B$45 * 10^6</f>
        <v>4356323237.9706106</v>
      </c>
      <c r="N3">
        <f>'Cost Components'!$B$45 * 10^6</f>
        <v>4356323237.9706106</v>
      </c>
      <c r="O3">
        <f>'Cost Components'!$B$45 * 10^6</f>
        <v>4356323237.9706106</v>
      </c>
      <c r="P3">
        <f>'Cost Components'!$B$45 * 10^6</f>
        <v>4356323237.9706106</v>
      </c>
      <c r="Q3">
        <f>'Cost Components'!$B$45 * 10^6</f>
        <v>4356323237.9706106</v>
      </c>
      <c r="R3">
        <f>'Cost Components'!$B$45 * 10^6</f>
        <v>4356323237.9706106</v>
      </c>
      <c r="S3">
        <f>'Cost Components'!$B$45 * 10^6</f>
        <v>4356323237.9706106</v>
      </c>
      <c r="T3">
        <f>'Cost Components'!$B$45 * 10^6</f>
        <v>4356323237.9706106</v>
      </c>
      <c r="U3">
        <f>'Cost Components'!$B$45 * 10^6</f>
        <v>4356323237.9706106</v>
      </c>
      <c r="V3">
        <f>'Cost Components'!$B$45 * 10^6</f>
        <v>4356323237.9706106</v>
      </c>
      <c r="W3">
        <f>'Cost Components'!$B$45 * 10^6</f>
        <v>4356323237.9706106</v>
      </c>
      <c r="X3">
        <f>'Cost Components'!$B$45 * 10^6</f>
        <v>4356323237.9706106</v>
      </c>
      <c r="Y3">
        <f>'Cost Components'!$B$45 * 10^6</f>
        <v>4356323237.9706106</v>
      </c>
      <c r="Z3">
        <f>'Cost Components'!$B$45 * 10^6</f>
        <v>4356323237.9706106</v>
      </c>
      <c r="AA3">
        <f>'Cost Components'!$B$45 * 10^6</f>
        <v>4356323237.9706106</v>
      </c>
      <c r="AB3">
        <f>'Cost Components'!$B$45 * 10^6</f>
        <v>4356323237.9706106</v>
      </c>
      <c r="AC3">
        <f>'Cost Components'!$B$45 * 10^6</f>
        <v>4356323237.9706106</v>
      </c>
      <c r="AD3">
        <f>'Cost Components'!$B$45 * 10^6</f>
        <v>4356323237.9706106</v>
      </c>
      <c r="AE3">
        <f>'Cost Components'!$B$45 * 10^6</f>
        <v>4356323237.9706106</v>
      </c>
      <c r="AF3">
        <f>'Cost Components'!$B$45 * 10^6</f>
        <v>4356323237.9706106</v>
      </c>
    </row>
    <row r="4" spans="1:32">
      <c r="A4" t="s">
        <v>146</v>
      </c>
      <c r="B4">
        <v>0</v>
      </c>
      <c r="C4">
        <f xml:space="preserve"> 'Cost Components'!$B$47</f>
        <v>502859157.90933394</v>
      </c>
      <c r="D4">
        <f xml:space="preserve"> 'Cost Components'!$B$47</f>
        <v>502859157.90933394</v>
      </c>
      <c r="E4">
        <f xml:space="preserve"> 'Cost Components'!$B$47</f>
        <v>502859157.90933394</v>
      </c>
      <c r="F4">
        <f xml:space="preserve"> 'Cost Components'!$B$47</f>
        <v>502859157.90933394</v>
      </c>
      <c r="G4">
        <f xml:space="preserve"> 'Cost Components'!$B$47</f>
        <v>502859157.90933394</v>
      </c>
      <c r="H4">
        <f xml:space="preserve"> 'Cost Components'!$B$47</f>
        <v>502859157.90933394</v>
      </c>
      <c r="I4">
        <f xml:space="preserve"> 'Cost Components'!$B$47</f>
        <v>502859157.90933394</v>
      </c>
      <c r="J4">
        <f xml:space="preserve"> 'Cost Components'!$B$47</f>
        <v>502859157.90933394</v>
      </c>
      <c r="K4">
        <f xml:space="preserve"> 'Cost Components'!$B$47</f>
        <v>502859157.90933394</v>
      </c>
      <c r="L4">
        <f xml:space="preserve"> 'Cost Components'!$B$47</f>
        <v>502859157.90933394</v>
      </c>
      <c r="M4">
        <f xml:space="preserve"> 'Cost Components'!$B$47</f>
        <v>502859157.90933394</v>
      </c>
      <c r="N4">
        <f xml:space="preserve"> 'Cost Components'!$B$47</f>
        <v>502859157.90933394</v>
      </c>
      <c r="O4">
        <f xml:space="preserve"> 'Cost Components'!$B$47</f>
        <v>502859157.90933394</v>
      </c>
      <c r="P4">
        <f xml:space="preserve"> 'Cost Components'!$B$47</f>
        <v>502859157.90933394</v>
      </c>
      <c r="Q4">
        <f xml:space="preserve"> 'Cost Components'!$B$47</f>
        <v>502859157.90933394</v>
      </c>
      <c r="R4">
        <f xml:space="preserve"> 'Cost Components'!$B$47</f>
        <v>502859157.90933394</v>
      </c>
      <c r="S4">
        <f xml:space="preserve"> 'Cost Components'!$B$47</f>
        <v>502859157.90933394</v>
      </c>
      <c r="T4">
        <f xml:space="preserve"> 'Cost Components'!$B$47</f>
        <v>502859157.90933394</v>
      </c>
      <c r="U4">
        <f xml:space="preserve"> 'Cost Components'!$B$47</f>
        <v>502859157.90933394</v>
      </c>
      <c r="V4">
        <f xml:space="preserve"> 'Cost Components'!$B$47</f>
        <v>502859157.90933394</v>
      </c>
      <c r="W4">
        <f xml:space="preserve"> 'Cost Components'!$B$47</f>
        <v>502859157.90933394</v>
      </c>
      <c r="X4">
        <f xml:space="preserve"> 'Cost Components'!$B$47</f>
        <v>502859157.90933394</v>
      </c>
      <c r="Y4">
        <f xml:space="preserve"> 'Cost Components'!$B$47</f>
        <v>502859157.90933394</v>
      </c>
      <c r="Z4">
        <f xml:space="preserve"> 'Cost Components'!$B$47</f>
        <v>502859157.90933394</v>
      </c>
      <c r="AA4">
        <f xml:space="preserve"> 'Cost Components'!$B$47</f>
        <v>502859157.90933394</v>
      </c>
      <c r="AB4">
        <f xml:space="preserve"> 'Cost Components'!$B$47</f>
        <v>502859157.90933394</v>
      </c>
      <c r="AC4">
        <f xml:space="preserve"> 'Cost Components'!$B$47</f>
        <v>502859157.90933394</v>
      </c>
      <c r="AD4">
        <f xml:space="preserve"> 'Cost Components'!$B$47</f>
        <v>502859157.90933394</v>
      </c>
      <c r="AE4">
        <f xml:space="preserve"> 'Cost Components'!$B$47</f>
        <v>502859157.90933394</v>
      </c>
      <c r="AF4">
        <f xml:space="preserve"> 'Cost Components'!$B$47</f>
        <v>502859157.90933394</v>
      </c>
    </row>
    <row r="5" spans="1:32">
      <c r="A5" t="s">
        <v>112</v>
      </c>
      <c r="B5">
        <f>B3/((1+'Study Parameters'!$C$4)^'MFSP Baseline'!B2)</f>
        <v>0</v>
      </c>
      <c r="C5">
        <f>C3/((1+'Cost Components'!$B$46)^'MFSP Baseline'!C2)+C4</f>
        <v>4574189286.8538294</v>
      </c>
      <c r="D5">
        <f>D3/((1+'Cost Components'!$B$46)^'MFSP Baseline'!D2)+D4</f>
        <v>4307840586.8294239</v>
      </c>
      <c r="E5">
        <f>E3/((1+'Cost Components'!$B$46)^'MFSP Baseline'!E2)+E4</f>
        <v>4058916568.1150246</v>
      </c>
      <c r="F5">
        <f>F3/((1+'Cost Components'!$B$46)^'MFSP Baseline'!F2)+F4</f>
        <v>3826277298.2884846</v>
      </c>
      <c r="G5">
        <f>G3/((1+'Cost Components'!$B$46)^'MFSP Baseline'!G2)+G4</f>
        <v>3608857419.9459229</v>
      </c>
      <c r="H5">
        <f>H3/((1+'Cost Components'!$B$46)^'MFSP Baseline'!H2)+H4</f>
        <v>3405661271.9622211</v>
      </c>
      <c r="I5">
        <f>I3/((1+'Cost Components'!$B$46)^'MFSP Baseline'!I2)+I4</f>
        <v>3215758329.9213781</v>
      </c>
      <c r="J5">
        <f>J3/((1+'Cost Components'!$B$46)^'MFSP Baseline'!J2)+J4</f>
        <v>3038278944.8364782</v>
      </c>
      <c r="K5">
        <f>K3/((1+'Cost Components'!$B$46)^'MFSP Baseline'!K2)+K4</f>
        <v>2872410360.6449823</v>
      </c>
      <c r="L5">
        <f>L3/((1+'Cost Components'!$B$46)^'MFSP Baseline'!L2)+L4</f>
        <v>2717392992.2417154</v>
      </c>
      <c r="M5">
        <f>M3/((1+'Cost Components'!$B$46)^'MFSP Baseline'!M2)+M4</f>
        <v>2572516947.0050173</v>
      </c>
      <c r="N5">
        <f>N3/((1+'Cost Components'!$B$46)^'MFSP Baseline'!N2)+N4</f>
        <v>2437118773.8866086</v>
      </c>
      <c r="O5">
        <f>O3/((1+'Cost Components'!$B$46)^'MFSP Baseline'!O2)+O4</f>
        <v>2310578425.177815</v>
      </c>
      <c r="P5">
        <f>P3/((1+'Cost Components'!$B$46)^'MFSP Baseline'!P2)+P4</f>
        <v>2192316417.0387554</v>
      </c>
      <c r="Q5">
        <f>Q3/((1+'Cost Components'!$B$46)^'MFSP Baseline'!Q2)+Q4</f>
        <v>2081791175.7872977</v>
      </c>
      <c r="R5">
        <f>R3/((1+'Cost Components'!$B$46)^'MFSP Baseline'!R2)+R4</f>
        <v>1978496557.7952816</v>
      </c>
      <c r="S5">
        <f>S3/((1+'Cost Components'!$B$46)^'MFSP Baseline'!S2)+S4</f>
        <v>1881959531.6345186</v>
      </c>
      <c r="T5">
        <f>T3/((1+'Cost Components'!$B$46)^'MFSP Baseline'!T2)+T4</f>
        <v>1791738011.8581047</v>
      </c>
      <c r="U5">
        <f>U3/((1+'Cost Components'!$B$46)^'MFSP Baseline'!U2)+U4</f>
        <v>1707418834.4969702</v>
      </c>
      <c r="V5">
        <f>V3/((1+'Cost Components'!$B$46)^'MFSP Baseline'!V2)+V4</f>
        <v>1628615865.0005827</v>
      </c>
      <c r="W5">
        <f>W3/((1+'Cost Components'!$B$46)^'MFSP Baseline'!W2)+W4</f>
        <v>1554968229.9572301</v>
      </c>
      <c r="X5">
        <f>X3/((1+'Cost Components'!$B$46)^'MFSP Baseline'!X2)+X4</f>
        <v>1486138664.4961526</v>
      </c>
      <c r="Y5">
        <f>Y3/((1+'Cost Components'!$B$46)^'MFSP Baseline'!Y2)+Y4</f>
        <v>1421811967.8035569</v>
      </c>
      <c r="Z5">
        <f>Z3/((1+'Cost Components'!$B$46)^'MFSP Baseline'!Z2)+Z4</f>
        <v>1361693559.679636</v>
      </c>
      <c r="AA5">
        <f>AA3/((1+'Cost Components'!$B$46)^'MFSP Baseline'!AA2)+AA4</f>
        <v>1305508131.5264385</v>
      </c>
      <c r="AB5">
        <f>AB3/((1+'Cost Components'!$B$46)^'MFSP Baseline'!AB2)+AB4</f>
        <v>1252998385.588871</v>
      </c>
      <c r="AC5">
        <f>AC3/((1+'Cost Components'!$B$46)^'MFSP Baseline'!AC2)+AC4</f>
        <v>1203923856.6752563</v>
      </c>
      <c r="AD5">
        <f>AD3/((1+'Cost Components'!$B$46)^'MFSP Baseline'!AD2)+AD4</f>
        <v>1158059810.9615979</v>
      </c>
      <c r="AE5">
        <f>AE3/((1+'Cost Components'!$B$46)^'MFSP Baseline'!AE2)+AE4</f>
        <v>1115196216.8366833</v>
      </c>
      <c r="AF5">
        <f>AF3/((1+'Cost Components'!$B$46)^'MFSP Baseline'!AF2)+AF4</f>
        <v>1075136783.0750811</v>
      </c>
    </row>
    <row r="6" spans="1:32">
      <c r="A6" t="s">
        <v>147</v>
      </c>
      <c r="B6">
        <v>0</v>
      </c>
      <c r="C6">
        <f>'Study Parameters'!$C$19</f>
        <v>800000000</v>
      </c>
      <c r="D6">
        <f>'Study Parameters'!$C$19</f>
        <v>800000000</v>
      </c>
      <c r="E6">
        <f>'Study Parameters'!$C$19</f>
        <v>800000000</v>
      </c>
      <c r="F6">
        <f>'Study Parameters'!$C$19</f>
        <v>800000000</v>
      </c>
      <c r="G6">
        <f>'Study Parameters'!$C$19</f>
        <v>800000000</v>
      </c>
      <c r="H6">
        <f>'Study Parameters'!$C$19</f>
        <v>800000000</v>
      </c>
      <c r="I6">
        <f>'Study Parameters'!$C$19</f>
        <v>800000000</v>
      </c>
      <c r="J6">
        <f>'Study Parameters'!$C$19</f>
        <v>800000000</v>
      </c>
      <c r="K6">
        <f>'Study Parameters'!$C$19</f>
        <v>800000000</v>
      </c>
      <c r="L6">
        <f>'Study Parameters'!$C$19</f>
        <v>800000000</v>
      </c>
      <c r="M6">
        <f>'Study Parameters'!$C$19</f>
        <v>800000000</v>
      </c>
      <c r="N6">
        <f>'Study Parameters'!$C$19</f>
        <v>800000000</v>
      </c>
      <c r="O6">
        <f>'Study Parameters'!$C$19</f>
        <v>800000000</v>
      </c>
      <c r="P6">
        <f>'Study Parameters'!$C$19</f>
        <v>800000000</v>
      </c>
      <c r="Q6">
        <f>'Study Parameters'!$C$19</f>
        <v>800000000</v>
      </c>
      <c r="R6">
        <f>'Study Parameters'!$C$19</f>
        <v>800000000</v>
      </c>
      <c r="S6">
        <f>'Study Parameters'!$C$19</f>
        <v>800000000</v>
      </c>
      <c r="T6">
        <f>'Study Parameters'!$C$19</f>
        <v>800000000</v>
      </c>
      <c r="U6">
        <f>'Study Parameters'!$C$19</f>
        <v>800000000</v>
      </c>
      <c r="V6">
        <f>'Study Parameters'!$C$19</f>
        <v>800000000</v>
      </c>
      <c r="W6">
        <f>'Study Parameters'!$C$19</f>
        <v>800000000</v>
      </c>
      <c r="X6">
        <f>'Study Parameters'!$C$19</f>
        <v>800000000</v>
      </c>
      <c r="Y6">
        <f>'Study Parameters'!$C$19</f>
        <v>800000000</v>
      </c>
      <c r="Z6">
        <f>'Study Parameters'!$C$19</f>
        <v>800000000</v>
      </c>
      <c r="AA6">
        <f>'Study Parameters'!$C$19</f>
        <v>800000000</v>
      </c>
      <c r="AB6">
        <f>'Study Parameters'!$C$19</f>
        <v>800000000</v>
      </c>
      <c r="AC6">
        <f>'Study Parameters'!$C$19</f>
        <v>800000000</v>
      </c>
      <c r="AD6">
        <f>'Study Parameters'!$C$19</f>
        <v>800000000</v>
      </c>
      <c r="AE6">
        <f>'Study Parameters'!$C$19</f>
        <v>800000000</v>
      </c>
      <c r="AF6">
        <f>'Study Parameters'!$C$19</f>
        <v>800000000</v>
      </c>
    </row>
    <row r="7" spans="1:32">
      <c r="A7" t="s">
        <v>148</v>
      </c>
      <c r="B7">
        <f>B6/((1+'Study Parameters'!$C$4)^'MFSP Baseline'!B2)</f>
        <v>0</v>
      </c>
      <c r="C7">
        <f>C6/((1+'Cost Components'!$B$46)^'MFSP Baseline'!C2)</f>
        <v>747663551.40186906</v>
      </c>
      <c r="D7">
        <f>D6/((1+'Cost Components'!$B$46)^'MFSP Baseline'!D2)</f>
        <v>698750982.61856925</v>
      </c>
      <c r="E7">
        <f>E6/((1+'Cost Components'!$B$46)^'MFSP Baseline'!E2)</f>
        <v>653038301.51268148</v>
      </c>
      <c r="F7">
        <f>F6/((1+'Cost Components'!$B$46)^'MFSP Baseline'!F2)</f>
        <v>610316169.63802016</v>
      </c>
      <c r="G7">
        <f>G6/((1+'Cost Components'!$B$46)^'MFSP Baseline'!G2)</f>
        <v>570388943.58693469</v>
      </c>
      <c r="H7">
        <f>H6/((1+'Cost Components'!$B$46)^'MFSP Baseline'!H2)</f>
        <v>533073779.05321002</v>
      </c>
      <c r="I7">
        <f>I6/((1+'Cost Components'!$B$46)^'MFSP Baseline'!I2)</f>
        <v>498199793.50767291</v>
      </c>
      <c r="J7">
        <f>J6/((1+'Cost Components'!$B$46)^'MFSP Baseline'!J2)</f>
        <v>465607283.65203077</v>
      </c>
      <c r="K7">
        <f>K6/((1+'Cost Components'!$B$46)^'MFSP Baseline'!K2)</f>
        <v>435146994.06731838</v>
      </c>
      <c r="L7">
        <f>L6/((1+'Cost Components'!$B$46)^'MFSP Baseline'!L2)</f>
        <v>406679433.70777422</v>
      </c>
      <c r="M7">
        <f>M6/((1+'Cost Components'!$B$46)^'MFSP Baseline'!M2)</f>
        <v>380074237.11006933</v>
      </c>
      <c r="N7">
        <f>N6/((1+'Cost Components'!$B$46)^'MFSP Baseline'!N2)</f>
        <v>355209567.39258826</v>
      </c>
      <c r="O7">
        <f>O6/((1+'Cost Components'!$B$46)^'MFSP Baseline'!O2)</f>
        <v>331971558.31083012</v>
      </c>
      <c r="P7">
        <f>P6/((1+'Cost Components'!$B$46)^'MFSP Baseline'!P2)</f>
        <v>310253792.81385994</v>
      </c>
      <c r="Q7">
        <f>Q6/((1+'Cost Components'!$B$46)^'MFSP Baseline'!Q2)</f>
        <v>289956815.71388775</v>
      </c>
      <c r="R7">
        <f>R6/((1+'Cost Components'!$B$46)^'MFSP Baseline'!R2)</f>
        <v>270987678.23727828</v>
      </c>
      <c r="S7">
        <f>S6/((1+'Cost Components'!$B$46)^'MFSP Baseline'!S2)</f>
        <v>253259512.37128812</v>
      </c>
      <c r="T7">
        <f>T6/((1+'Cost Components'!$B$46)^'MFSP Baseline'!T2)</f>
        <v>236691133.0572786</v>
      </c>
      <c r="U7">
        <f>U6/((1+'Cost Components'!$B$46)^'MFSP Baseline'!U2)</f>
        <v>221206666.40867159</v>
      </c>
      <c r="V7">
        <f>V6/((1+'Cost Components'!$B$46)^'MFSP Baseline'!V2)</f>
        <v>206735202.25109497</v>
      </c>
      <c r="W7">
        <f>W6/((1+'Cost Components'!$B$46)^'MFSP Baseline'!W2)</f>
        <v>193210469.39354667</v>
      </c>
      <c r="X7">
        <f>X6/((1+'Cost Components'!$B$46)^'MFSP Baseline'!X2)</f>
        <v>180570532.14350158</v>
      </c>
      <c r="Y7">
        <f>Y6/((1+'Cost Components'!$B$46)^'MFSP Baseline'!Y2)</f>
        <v>168757506.67616969</v>
      </c>
      <c r="Z7">
        <f>Z6/((1+'Cost Components'!$B$46)^'MFSP Baseline'!Z2)</f>
        <v>157717295.9590371</v>
      </c>
      <c r="AA7">
        <f>AA6/((1+'Cost Components'!$B$46)^'MFSP Baseline'!AA2)</f>
        <v>147399342.01779166</v>
      </c>
      <c r="AB7">
        <f>AB6/((1+'Cost Components'!$B$46)^'MFSP Baseline'!AB2)</f>
        <v>137756394.40915111</v>
      </c>
      <c r="AC7">
        <f>AC6/((1+'Cost Components'!$B$46)^'MFSP Baseline'!AC2)</f>
        <v>128744293.8403281</v>
      </c>
      <c r="AD7">
        <f>AD6/((1+'Cost Components'!$B$46)^'MFSP Baseline'!AD2)</f>
        <v>120321769.9442319</v>
      </c>
      <c r="AE7">
        <f>AE6/((1+'Cost Components'!$B$46)^'MFSP Baseline'!AE2)</f>
        <v>112450252.28432886</v>
      </c>
      <c r="AF7">
        <f>AF6/((1+'Cost Components'!$B$46)^'MFSP Baseline'!AF2)</f>
        <v>105093693.72367184</v>
      </c>
    </row>
    <row r="9" spans="1:32">
      <c r="A9" t="s">
        <v>149</v>
      </c>
      <c r="B9">
        <f>SUM(B5:AF5) / SUM(B7:AF7)</f>
        <v>6.965039460283486</v>
      </c>
    </row>
    <row r="11" spans="1:32">
      <c r="A11" t="s">
        <v>150</v>
      </c>
    </row>
    <row r="12" spans="1:32">
      <c r="A12" t="s">
        <v>1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15</v>
      </c>
      <c r="R12">
        <v>16</v>
      </c>
      <c r="S12">
        <v>17</v>
      </c>
      <c r="T12">
        <v>18</v>
      </c>
      <c r="U12">
        <v>19</v>
      </c>
      <c r="V12">
        <v>20</v>
      </c>
      <c r="W12">
        <v>21</v>
      </c>
      <c r="X12">
        <v>22</v>
      </c>
      <c r="Y12">
        <v>23</v>
      </c>
      <c r="Z12">
        <v>24</v>
      </c>
      <c r="AA12">
        <v>25</v>
      </c>
      <c r="AB12">
        <v>26</v>
      </c>
      <c r="AC12">
        <v>27</v>
      </c>
      <c r="AD12">
        <v>28</v>
      </c>
      <c r="AE12">
        <v>29</v>
      </c>
      <c r="AF12">
        <v>30</v>
      </c>
    </row>
    <row r="13" spans="1:32">
      <c r="A13" t="s">
        <v>111</v>
      </c>
      <c r="B13">
        <v>0</v>
      </c>
      <c r="C13">
        <f>'Cost Components'!$B$54*10^6</f>
        <v>1384461210.6372774</v>
      </c>
      <c r="D13">
        <f>'Cost Components'!$B$54*10^6</f>
        <v>1384461210.6372774</v>
      </c>
      <c r="E13">
        <f>'Cost Components'!$B$54*10^6</f>
        <v>1384461210.6372774</v>
      </c>
      <c r="F13">
        <f>'Cost Components'!$B$54*10^6</f>
        <v>1384461210.6372774</v>
      </c>
      <c r="G13">
        <f>'Cost Components'!$B$54*10^6</f>
        <v>1384461210.6372774</v>
      </c>
      <c r="H13">
        <f>'Cost Components'!$B$54*10^6</f>
        <v>1384461210.6372774</v>
      </c>
      <c r="I13">
        <f>'Cost Components'!$B$54*10^6</f>
        <v>1384461210.6372774</v>
      </c>
      <c r="J13">
        <f>'Cost Components'!$B$54*10^6</f>
        <v>1384461210.6372774</v>
      </c>
      <c r="K13">
        <f>'Cost Components'!$B$54*10^6</f>
        <v>1384461210.6372774</v>
      </c>
      <c r="L13">
        <f>'Cost Components'!$B$54*10^6</f>
        <v>1384461210.6372774</v>
      </c>
      <c r="M13">
        <f>'Cost Components'!$B$54*10^6</f>
        <v>1384461210.6372774</v>
      </c>
      <c r="N13">
        <f>'Cost Components'!$B$54*10^6</f>
        <v>1384461210.6372774</v>
      </c>
      <c r="O13">
        <f>'Cost Components'!$B$54*10^6</f>
        <v>1384461210.6372774</v>
      </c>
      <c r="P13">
        <f>'Cost Components'!$B$54*10^6</f>
        <v>1384461210.6372774</v>
      </c>
      <c r="Q13">
        <f>'Cost Components'!$B$54*10^6</f>
        <v>1384461210.6372774</v>
      </c>
      <c r="R13">
        <f>'Cost Components'!$B$54*10^6</f>
        <v>1384461210.6372774</v>
      </c>
      <c r="S13">
        <f>'Cost Components'!$B$54*10^6</f>
        <v>1384461210.6372774</v>
      </c>
      <c r="T13">
        <f>'Cost Components'!$B$54*10^6</f>
        <v>1384461210.6372774</v>
      </c>
      <c r="U13">
        <f>'Cost Components'!$B$54*10^6</f>
        <v>1384461210.6372774</v>
      </c>
      <c r="V13">
        <f>'Cost Components'!$B$54*10^6</f>
        <v>1384461210.6372774</v>
      </c>
      <c r="W13">
        <f>'Cost Components'!$B$54*10^6</f>
        <v>1384461210.6372774</v>
      </c>
      <c r="X13">
        <f>'Cost Components'!$B$54*10^6</f>
        <v>1384461210.6372774</v>
      </c>
      <c r="Y13">
        <f>'Cost Components'!$B$54*10^6</f>
        <v>1384461210.6372774</v>
      </c>
      <c r="Z13">
        <f>'Cost Components'!$B$54*10^6</f>
        <v>1384461210.6372774</v>
      </c>
      <c r="AA13">
        <f>'Cost Components'!$B$54*10^6</f>
        <v>1384461210.6372774</v>
      </c>
      <c r="AB13">
        <f>'Cost Components'!$B$54*10^6</f>
        <v>1384461210.6372774</v>
      </c>
      <c r="AC13">
        <f>'Cost Components'!$B$54*10^6</f>
        <v>1384461210.6372774</v>
      </c>
      <c r="AD13">
        <f>'Cost Components'!$B$54*10^6</f>
        <v>1384461210.6372774</v>
      </c>
      <c r="AE13">
        <f>'Cost Components'!$B$54*10^6</f>
        <v>1384461210.6372774</v>
      </c>
      <c r="AF13">
        <f>'Cost Components'!$B$54*10^6</f>
        <v>1384461210.6372774</v>
      </c>
    </row>
    <row r="14" spans="1:32">
      <c r="A14" t="s">
        <v>146</v>
      </c>
      <c r="B14">
        <v>0</v>
      </c>
      <c r="C14">
        <f>'Cost Components'!$B$56</f>
        <v>301070803.51751143</v>
      </c>
      <c r="D14">
        <f>'Cost Components'!$B$56</f>
        <v>301070803.51751143</v>
      </c>
      <c r="E14">
        <f>'Cost Components'!$B$56</f>
        <v>301070803.51751143</v>
      </c>
      <c r="F14">
        <f>'Cost Components'!$B$56</f>
        <v>301070803.51751143</v>
      </c>
      <c r="G14">
        <f>'Cost Components'!$B$56</f>
        <v>301070803.51751143</v>
      </c>
      <c r="H14">
        <f>'Cost Components'!$B$56</f>
        <v>301070803.51751143</v>
      </c>
      <c r="I14">
        <f>'Cost Components'!$B$56</f>
        <v>301070803.51751143</v>
      </c>
      <c r="J14">
        <f>'Cost Components'!$B$56</f>
        <v>301070803.51751143</v>
      </c>
      <c r="K14">
        <f>'Cost Components'!$B$56</f>
        <v>301070803.51751143</v>
      </c>
      <c r="L14">
        <f>'Cost Components'!$B$56</f>
        <v>301070803.51751143</v>
      </c>
      <c r="M14">
        <f>'Cost Components'!$B$56</f>
        <v>301070803.51751143</v>
      </c>
      <c r="N14">
        <f>'Cost Components'!$B$56</f>
        <v>301070803.51751143</v>
      </c>
      <c r="O14">
        <f>'Cost Components'!$B$56</f>
        <v>301070803.51751143</v>
      </c>
      <c r="P14">
        <f>'Cost Components'!$B$56</f>
        <v>301070803.51751143</v>
      </c>
      <c r="Q14">
        <f>'Cost Components'!$B$56</f>
        <v>301070803.51751143</v>
      </c>
      <c r="R14">
        <f>'Cost Components'!$B$56</f>
        <v>301070803.51751143</v>
      </c>
      <c r="S14">
        <f>'Cost Components'!$B$56</f>
        <v>301070803.51751143</v>
      </c>
      <c r="T14">
        <f>'Cost Components'!$B$56</f>
        <v>301070803.51751143</v>
      </c>
      <c r="U14">
        <f>'Cost Components'!$B$56</f>
        <v>301070803.51751143</v>
      </c>
      <c r="V14">
        <f>'Cost Components'!$B$56</f>
        <v>301070803.51751143</v>
      </c>
      <c r="W14">
        <f>'Cost Components'!$B$56</f>
        <v>301070803.51751143</v>
      </c>
      <c r="X14">
        <f>'Cost Components'!$B$56</f>
        <v>301070803.51751143</v>
      </c>
      <c r="Y14">
        <f>'Cost Components'!$B$56</f>
        <v>301070803.51751143</v>
      </c>
      <c r="Z14">
        <f>'Cost Components'!$B$56</f>
        <v>301070803.51751143</v>
      </c>
      <c r="AA14">
        <f>'Cost Components'!$B$56</f>
        <v>301070803.51751143</v>
      </c>
      <c r="AB14">
        <f>'Cost Components'!$B$56</f>
        <v>301070803.51751143</v>
      </c>
      <c r="AC14">
        <f>'Cost Components'!$B$56</f>
        <v>301070803.51751143</v>
      </c>
      <c r="AD14">
        <f>'Cost Components'!$B$56</f>
        <v>301070803.51751143</v>
      </c>
      <c r="AE14">
        <f>'Cost Components'!$B$56</f>
        <v>301070803.51751143</v>
      </c>
      <c r="AF14">
        <f>'Cost Components'!$B$56</f>
        <v>301070803.51751143</v>
      </c>
    </row>
    <row r="15" spans="1:32">
      <c r="A15" t="s">
        <v>112</v>
      </c>
      <c r="B15">
        <v>0</v>
      </c>
      <c r="C15">
        <f>C13/((1+'Cost Components'!$B$55)^'MFSP Baseline'!C12) + C14</f>
        <v>1594959785.4215088</v>
      </c>
      <c r="D15">
        <f>D13/((1+'Cost Components'!$B$55)^'MFSP Baseline'!D12) + D14</f>
        <v>1510312842.680126</v>
      </c>
      <c r="E15">
        <f>E13/((1+'Cost Components'!$B$55)^'MFSP Baseline'!E12) + E14</f>
        <v>1431203550.3984594</v>
      </c>
      <c r="F15">
        <f>F13/((1+'Cost Components'!$B$55)^'MFSP Baseline'!F12) + F14</f>
        <v>1357269632.3782105</v>
      </c>
      <c r="G15">
        <f>G13/((1+'Cost Components'!$B$55)^'MFSP Baseline'!G12) + G14</f>
        <v>1288172512.7331181</v>
      </c>
      <c r="H15">
        <f>H13/((1+'Cost Components'!$B$55)^'MFSP Baseline'!H12) + H14</f>
        <v>1223595765.4012561</v>
      </c>
      <c r="I15">
        <f>I13/((1+'Cost Components'!$B$55)^'MFSP Baseline'!I12) + I14</f>
        <v>1163243665.0911045</v>
      </c>
      <c r="J15">
        <f>J13/((1+'Cost Components'!$B$55)^'MFSP Baseline'!J12) + J14</f>
        <v>1106839833.0255423</v>
      </c>
      <c r="K15">
        <f>K13/((1+'Cost Components'!$B$55)^'MFSP Baseline'!K12) + K14</f>
        <v>1054125971.2820261</v>
      </c>
      <c r="L15">
        <f>L13/((1+'Cost Components'!$B$55)^'MFSP Baseline'!L12) + L14</f>
        <v>1004860679.9329457</v>
      </c>
      <c r="M15">
        <f>M13/((1+'Cost Components'!$B$55)^'MFSP Baseline'!M12) + M14</f>
        <v>958818351.56931925</v>
      </c>
      <c r="N15">
        <f>N13/((1+'Cost Components'!$B$55)^'MFSP Baseline'!N12) + N14</f>
        <v>915788138.14536929</v>
      </c>
      <c r="O15">
        <f>O13/((1+'Cost Components'!$B$55)^'MFSP Baseline'!O12) + O14</f>
        <v>875572985.41270566</v>
      </c>
      <c r="P15">
        <f>P13/((1+'Cost Components'!$B$55)^'MFSP Baseline'!P12) + P14</f>
        <v>837988730.52236581</v>
      </c>
      <c r="Q15">
        <f>Q13/((1+'Cost Components'!$B$55)^'MFSP Baseline'!Q12) + Q14</f>
        <v>802863258.66223502</v>
      </c>
      <c r="R15">
        <f>R13/((1+'Cost Components'!$B$55)^'MFSP Baseline'!R12) + R14</f>
        <v>770035714.8677206</v>
      </c>
      <c r="S15">
        <f>S13/((1+'Cost Components'!$B$55)^'MFSP Baseline'!S12) + S14</f>
        <v>739355767.3962115</v>
      </c>
      <c r="T15">
        <f>T13/((1+'Cost Components'!$B$55)^'MFSP Baseline'!T12) + T14</f>
        <v>710682919.29199743</v>
      </c>
      <c r="U15">
        <f>U13/((1+'Cost Components'!$B$55)^'MFSP Baseline'!U12) + U14</f>
        <v>683885864.98899364</v>
      </c>
      <c r="V15">
        <f>V13/((1+'Cost Components'!$B$55)^'MFSP Baseline'!V12) + V14</f>
        <v>658841889.00487804</v>
      </c>
      <c r="W15">
        <f>W13/((1+'Cost Components'!$B$55)^'MFSP Baseline'!W12) + W14</f>
        <v>635436303.97299433</v>
      </c>
      <c r="X15">
        <f>X13/((1+'Cost Components'!$B$55)^'MFSP Baseline'!X12) + X14</f>
        <v>613561925.43852341</v>
      </c>
      <c r="Y15">
        <f>Y13/((1+'Cost Components'!$B$55)^'MFSP Baseline'!Y12) + Y14</f>
        <v>593118581.01378429</v>
      </c>
      <c r="Z15">
        <f>Z13/((1+'Cost Components'!$B$55)^'MFSP Baseline'!Z12) + Z14</f>
        <v>574012651.64486933</v>
      </c>
      <c r="AA15">
        <f>AA13/((1+'Cost Components'!$B$55)^'MFSP Baseline'!AA12) + AA14</f>
        <v>556156642.88887382</v>
      </c>
      <c r="AB15">
        <f>AB13/((1+'Cost Components'!$B$55)^'MFSP Baseline'!AB12) + AB14</f>
        <v>539468784.23841095</v>
      </c>
      <c r="AC15">
        <f>AC13/((1+'Cost Components'!$B$55)^'MFSP Baseline'!AC12) + AC14</f>
        <v>523872654.65853894</v>
      </c>
      <c r="AD15">
        <f>AD13/((1+'Cost Components'!$B$55)^'MFSP Baseline'!AD12) + AD14</f>
        <v>509296832.62127554</v>
      </c>
      <c r="AE15">
        <f>AE13/((1+'Cost Components'!$B$55)^'MFSP Baseline'!AE12) + AE14</f>
        <v>495674569.03504795</v>
      </c>
      <c r="AF15">
        <f>AF13/((1+'Cost Components'!$B$55)^'MFSP Baseline'!AF12) + AF14</f>
        <v>482943481.57128388</v>
      </c>
    </row>
    <row r="16" spans="1:32">
      <c r="A16" t="s">
        <v>147</v>
      </c>
      <c r="B16">
        <v>0</v>
      </c>
      <c r="C16">
        <f>'Study Parameters'!$C$19</f>
        <v>800000000</v>
      </c>
      <c r="D16">
        <f>'Study Parameters'!$C$19</f>
        <v>800000000</v>
      </c>
      <c r="E16">
        <f>'Study Parameters'!$C$19</f>
        <v>800000000</v>
      </c>
      <c r="F16">
        <f>'Study Parameters'!$C$19</f>
        <v>800000000</v>
      </c>
      <c r="G16">
        <f>'Study Parameters'!$C$19</f>
        <v>800000000</v>
      </c>
      <c r="H16">
        <f>'Study Parameters'!$C$19</f>
        <v>800000000</v>
      </c>
      <c r="I16">
        <f>'Study Parameters'!$C$19</f>
        <v>800000000</v>
      </c>
      <c r="J16">
        <f>'Study Parameters'!$C$19</f>
        <v>800000000</v>
      </c>
      <c r="K16">
        <f>'Study Parameters'!$C$19</f>
        <v>800000000</v>
      </c>
      <c r="L16">
        <f>'Study Parameters'!$C$19</f>
        <v>800000000</v>
      </c>
      <c r="M16">
        <f>'Study Parameters'!$C$19</f>
        <v>800000000</v>
      </c>
      <c r="N16">
        <f>'Study Parameters'!$C$19</f>
        <v>800000000</v>
      </c>
      <c r="O16">
        <f>'Study Parameters'!$C$19</f>
        <v>800000000</v>
      </c>
      <c r="P16">
        <f>'Study Parameters'!$C$19</f>
        <v>800000000</v>
      </c>
      <c r="Q16">
        <f>'Study Parameters'!$C$19</f>
        <v>800000000</v>
      </c>
      <c r="R16">
        <f>'Study Parameters'!$C$19</f>
        <v>800000000</v>
      </c>
      <c r="S16">
        <f>'Study Parameters'!$C$19</f>
        <v>800000000</v>
      </c>
      <c r="T16">
        <f>'Study Parameters'!$C$19</f>
        <v>800000000</v>
      </c>
      <c r="U16">
        <f>'Study Parameters'!$C$19</f>
        <v>800000000</v>
      </c>
      <c r="V16">
        <f>'Study Parameters'!$C$19</f>
        <v>800000000</v>
      </c>
      <c r="W16">
        <f>'Study Parameters'!$C$19</f>
        <v>800000000</v>
      </c>
      <c r="X16">
        <f>'Study Parameters'!$C$19</f>
        <v>800000000</v>
      </c>
      <c r="Y16">
        <f>'Study Parameters'!$C$19</f>
        <v>800000000</v>
      </c>
      <c r="Z16">
        <f>'Study Parameters'!$C$19</f>
        <v>800000000</v>
      </c>
      <c r="AA16">
        <f>'Study Parameters'!$C$19</f>
        <v>800000000</v>
      </c>
      <c r="AB16">
        <f>'Study Parameters'!$C$19</f>
        <v>800000000</v>
      </c>
      <c r="AC16">
        <f>'Study Parameters'!$C$19</f>
        <v>800000000</v>
      </c>
      <c r="AD16">
        <f>'Study Parameters'!$C$19</f>
        <v>800000000</v>
      </c>
      <c r="AE16">
        <f>'Study Parameters'!$C$19</f>
        <v>800000000</v>
      </c>
      <c r="AF16">
        <f>'Study Parameters'!$C$19</f>
        <v>800000000</v>
      </c>
    </row>
    <row r="17" spans="1:32">
      <c r="A17" t="s">
        <v>148</v>
      </c>
      <c r="B17">
        <v>0</v>
      </c>
      <c r="C17">
        <f>C16/((1+'Cost Components'!$B$55)^'MFSP Baseline'!C12)</f>
        <v>747663551.40186906</v>
      </c>
      <c r="D17">
        <f>D16/((1+'Cost Components'!$B$55)^'MFSP Baseline'!D12)</f>
        <v>698750982.61856925</v>
      </c>
      <c r="E17">
        <f>E16/((1+'Cost Components'!$B$55)^'MFSP Baseline'!E12)</f>
        <v>653038301.51268148</v>
      </c>
      <c r="F17">
        <f>F16/((1+'Cost Components'!$B$55)^'MFSP Baseline'!F12)</f>
        <v>610316169.63802016</v>
      </c>
      <c r="G17">
        <f>G16/((1+'Cost Components'!$B$55)^'MFSP Baseline'!G12)</f>
        <v>570388943.58693469</v>
      </c>
      <c r="H17">
        <f>H16/((1+'Cost Components'!$B$55)^'MFSP Baseline'!H12)</f>
        <v>533073779.05321002</v>
      </c>
      <c r="I17">
        <f>I16/((1+'Cost Components'!$B$55)^'MFSP Baseline'!I12)</f>
        <v>498199793.50767291</v>
      </c>
      <c r="J17">
        <f>J16/((1+'Cost Components'!$B$55)^'MFSP Baseline'!J12)</f>
        <v>465607283.65203077</v>
      </c>
      <c r="K17">
        <f>K16/((1+'Cost Components'!$B$55)^'MFSP Baseline'!K12)</f>
        <v>435146994.06731838</v>
      </c>
      <c r="L17">
        <f>L16/((1+'Cost Components'!$B$55)^'MFSP Baseline'!L12)</f>
        <v>406679433.70777422</v>
      </c>
      <c r="M17">
        <f>M16/((1+'Cost Components'!$B$55)^'MFSP Baseline'!M12)</f>
        <v>380074237.11006933</v>
      </c>
      <c r="N17">
        <f>N16/((1+'Cost Components'!$B$55)^'MFSP Baseline'!N12)</f>
        <v>355209567.39258826</v>
      </c>
      <c r="O17">
        <f>O16/((1+'Cost Components'!$B$55)^'MFSP Baseline'!O12)</f>
        <v>331971558.31083012</v>
      </c>
      <c r="P17">
        <f>P16/((1+'Cost Components'!$B$55)^'MFSP Baseline'!P12)</f>
        <v>310253792.81385994</v>
      </c>
      <c r="Q17">
        <f>Q16/((1+'Cost Components'!$B$55)^'MFSP Baseline'!Q12)</f>
        <v>289956815.71388775</v>
      </c>
      <c r="R17">
        <f>R16/((1+'Cost Components'!$B$55)^'MFSP Baseline'!R12)</f>
        <v>270987678.23727828</v>
      </c>
      <c r="S17">
        <f>S16/((1+'Cost Components'!$B$55)^'MFSP Baseline'!S12)</f>
        <v>253259512.37128812</v>
      </c>
      <c r="T17">
        <f>T16/((1+'Cost Components'!$B$55)^'MFSP Baseline'!T12)</f>
        <v>236691133.0572786</v>
      </c>
      <c r="U17">
        <f>U16/((1+'Cost Components'!$B$55)^'MFSP Baseline'!U12)</f>
        <v>221206666.40867159</v>
      </c>
      <c r="V17">
        <f>V16/((1+'Cost Components'!$B$55)^'MFSP Baseline'!V12)</f>
        <v>206735202.25109497</v>
      </c>
      <c r="W17">
        <f>W16/((1+'Cost Components'!$B$55)^'MFSP Baseline'!W12)</f>
        <v>193210469.39354667</v>
      </c>
      <c r="X17">
        <f>X16/((1+'Cost Components'!$B$55)^'MFSP Baseline'!X12)</f>
        <v>180570532.14350158</v>
      </c>
      <c r="Y17">
        <f>Y16/((1+'Cost Components'!$B$55)^'MFSP Baseline'!Y12)</f>
        <v>168757506.67616969</v>
      </c>
      <c r="Z17">
        <f>Z16/((1+'Cost Components'!$B$55)^'MFSP Baseline'!Z12)</f>
        <v>157717295.9590371</v>
      </c>
      <c r="AA17">
        <f>AA16/((1+'Cost Components'!$B$55)^'MFSP Baseline'!AA12)</f>
        <v>147399342.01779166</v>
      </c>
      <c r="AB17">
        <f>AB16/((1+'Cost Components'!$B$55)^'MFSP Baseline'!AB12)</f>
        <v>137756394.40915111</v>
      </c>
      <c r="AC17">
        <f>AC16/((1+'Cost Components'!$B$55)^'MFSP Baseline'!AC12)</f>
        <v>128744293.8403281</v>
      </c>
      <c r="AD17">
        <f>AD16/((1+'Cost Components'!$B$55)^'MFSP Baseline'!AD12)</f>
        <v>120321769.9442319</v>
      </c>
      <c r="AE17">
        <f>AE16/((1+'Cost Components'!$B$55)^'MFSP Baseline'!AE12)</f>
        <v>112450252.28432886</v>
      </c>
      <c r="AF17">
        <f>AF16/((1+'Cost Components'!$B$55)^'MFSP Baseline'!AF12)</f>
        <v>105093693.72367184</v>
      </c>
    </row>
    <row r="19" spans="1:32">
      <c r="A19" t="s">
        <v>149</v>
      </c>
      <c r="B19">
        <f>SUM(B15:AF15) / SUM(B17:AF17)</f>
        <v>2.6404095104594716</v>
      </c>
    </row>
    <row r="21" spans="1:32" s="24" customFormat="1"/>
    <row r="23" spans="1:32">
      <c r="A23" t="s">
        <v>151</v>
      </c>
    </row>
    <row r="24" spans="1:32">
      <c r="A24" t="s">
        <v>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>
      <c r="A25" t="s">
        <v>111</v>
      </c>
      <c r="B25">
        <v>0</v>
      </c>
      <c r="C25">
        <f xml:space="preserve"> 'Cost Components'!$H$45 * 10^6</f>
        <v>4348433237.9706106</v>
      </c>
      <c r="D25">
        <f xml:space="preserve"> 'Cost Components'!$H$45 * 10^6</f>
        <v>4348433237.9706106</v>
      </c>
      <c r="E25">
        <f xml:space="preserve"> 'Cost Components'!$H$45 * 10^6</f>
        <v>4348433237.9706106</v>
      </c>
      <c r="F25">
        <f xml:space="preserve"> 'Cost Components'!$H$45 * 10^6</f>
        <v>4348433237.9706106</v>
      </c>
      <c r="G25">
        <f xml:space="preserve"> 'Cost Components'!$H$45 * 10^6</f>
        <v>4348433237.9706106</v>
      </c>
      <c r="H25">
        <f xml:space="preserve"> 'Cost Components'!$H$45 * 10^6</f>
        <v>4348433237.9706106</v>
      </c>
      <c r="I25">
        <f xml:space="preserve"> 'Cost Components'!$H$45 * 10^6</f>
        <v>4348433237.9706106</v>
      </c>
      <c r="J25">
        <f xml:space="preserve"> 'Cost Components'!$H$45 * 10^6</f>
        <v>4348433237.9706106</v>
      </c>
      <c r="K25">
        <f xml:space="preserve"> 'Cost Components'!$H$45 * 10^6</f>
        <v>4348433237.9706106</v>
      </c>
      <c r="L25">
        <f xml:space="preserve"> 'Cost Components'!$H$45 * 10^6</f>
        <v>4348433237.9706106</v>
      </c>
      <c r="M25">
        <f xml:space="preserve"> 'Cost Components'!$H$45 * 10^6</f>
        <v>4348433237.9706106</v>
      </c>
      <c r="N25">
        <f xml:space="preserve"> 'Cost Components'!$H$45 * 10^6</f>
        <v>4348433237.9706106</v>
      </c>
      <c r="O25">
        <f xml:space="preserve"> 'Cost Components'!$H$45 * 10^6</f>
        <v>4348433237.9706106</v>
      </c>
      <c r="P25">
        <f xml:space="preserve"> 'Cost Components'!$H$45 * 10^6</f>
        <v>4348433237.9706106</v>
      </c>
      <c r="Q25">
        <f xml:space="preserve"> 'Cost Components'!$H$45 * 10^6</f>
        <v>4348433237.9706106</v>
      </c>
      <c r="R25">
        <f xml:space="preserve"> 'Cost Components'!$H$45 * 10^6</f>
        <v>4348433237.9706106</v>
      </c>
      <c r="S25">
        <f xml:space="preserve"> 'Cost Components'!$H$45 * 10^6</f>
        <v>4348433237.9706106</v>
      </c>
      <c r="T25">
        <f xml:space="preserve"> 'Cost Components'!$H$45 * 10^6</f>
        <v>4348433237.9706106</v>
      </c>
      <c r="U25">
        <f xml:space="preserve"> 'Cost Components'!$H$45 * 10^6</f>
        <v>4348433237.9706106</v>
      </c>
      <c r="V25">
        <f xml:space="preserve"> 'Cost Components'!$H$45 * 10^6</f>
        <v>4348433237.9706106</v>
      </c>
      <c r="W25">
        <f xml:space="preserve"> 'Cost Components'!$H$45 * 10^6</f>
        <v>4348433237.9706106</v>
      </c>
      <c r="X25">
        <f xml:space="preserve"> 'Cost Components'!$H$45 * 10^6</f>
        <v>4348433237.9706106</v>
      </c>
      <c r="Y25">
        <f xml:space="preserve"> 'Cost Components'!$H$45 * 10^6</f>
        <v>4348433237.9706106</v>
      </c>
      <c r="Z25">
        <f xml:space="preserve"> 'Cost Components'!$H$45 * 10^6</f>
        <v>4348433237.9706106</v>
      </c>
      <c r="AA25">
        <f xml:space="preserve"> 'Cost Components'!$H$45 * 10^6</f>
        <v>4348433237.9706106</v>
      </c>
      <c r="AB25">
        <f xml:space="preserve"> 'Cost Components'!$H$45 * 10^6</f>
        <v>4348433237.9706106</v>
      </c>
      <c r="AC25">
        <f xml:space="preserve"> 'Cost Components'!$H$45 * 10^6</f>
        <v>4348433237.9706106</v>
      </c>
      <c r="AD25">
        <f xml:space="preserve"> 'Cost Components'!$H$45 * 10^6</f>
        <v>4348433237.9706106</v>
      </c>
      <c r="AE25">
        <f xml:space="preserve"> 'Cost Components'!$H$45 * 10^6</f>
        <v>4348433237.9706106</v>
      </c>
      <c r="AF25">
        <f xml:space="preserve"> 'Cost Components'!$H$45 * 10^6</f>
        <v>4348433237.9706106</v>
      </c>
    </row>
    <row r="26" spans="1:32">
      <c r="A26" t="s">
        <v>146</v>
      </c>
      <c r="B26">
        <v>0</v>
      </c>
      <c r="C26">
        <f>'Cost Components'!$H$47</f>
        <v>399386215.80106711</v>
      </c>
      <c r="D26">
        <f>'Cost Components'!$H$47</f>
        <v>399386215.80106711</v>
      </c>
      <c r="E26">
        <f>'Cost Components'!$H$47</f>
        <v>399386215.80106711</v>
      </c>
      <c r="F26">
        <f>'Cost Components'!$H$47</f>
        <v>399386215.80106711</v>
      </c>
      <c r="G26">
        <f>'Cost Components'!$H$47</f>
        <v>399386215.80106711</v>
      </c>
      <c r="H26">
        <f>'Cost Components'!$H$47</f>
        <v>399386215.80106711</v>
      </c>
      <c r="I26">
        <f>'Cost Components'!$H$47</f>
        <v>399386215.80106711</v>
      </c>
      <c r="J26">
        <f>'Cost Components'!$H$47</f>
        <v>399386215.80106711</v>
      </c>
      <c r="K26">
        <f>'Cost Components'!$H$47</f>
        <v>399386215.80106711</v>
      </c>
      <c r="L26">
        <f>'Cost Components'!$H$47</f>
        <v>399386215.80106711</v>
      </c>
      <c r="M26">
        <f>'Cost Components'!$H$47</f>
        <v>399386215.80106711</v>
      </c>
      <c r="N26">
        <f>'Cost Components'!$H$47</f>
        <v>399386215.80106711</v>
      </c>
      <c r="O26">
        <f>'Cost Components'!$H$47</f>
        <v>399386215.80106711</v>
      </c>
      <c r="P26">
        <f>'Cost Components'!$H$47</f>
        <v>399386215.80106711</v>
      </c>
      <c r="Q26">
        <f>'Cost Components'!$H$47</f>
        <v>399386215.80106711</v>
      </c>
      <c r="R26">
        <f>'Cost Components'!$H$47</f>
        <v>399386215.80106711</v>
      </c>
      <c r="S26">
        <f>'Cost Components'!$H$47</f>
        <v>399386215.80106711</v>
      </c>
      <c r="T26">
        <f>'Cost Components'!$H$47</f>
        <v>399386215.80106711</v>
      </c>
      <c r="U26">
        <f>'Cost Components'!$H$47</f>
        <v>399386215.80106711</v>
      </c>
      <c r="V26">
        <f>'Cost Components'!$H$47</f>
        <v>399386215.80106711</v>
      </c>
      <c r="W26">
        <f>'Cost Components'!$H$47</f>
        <v>399386215.80106711</v>
      </c>
      <c r="X26">
        <f>'Cost Components'!$H$47</f>
        <v>399386215.80106711</v>
      </c>
      <c r="Y26">
        <f>'Cost Components'!$H$47</f>
        <v>399386215.80106711</v>
      </c>
      <c r="Z26">
        <f>'Cost Components'!$H$47</f>
        <v>399386215.80106711</v>
      </c>
      <c r="AA26">
        <f>'Cost Components'!$H$47</f>
        <v>399386215.80106711</v>
      </c>
      <c r="AB26">
        <f>'Cost Components'!$H$47</f>
        <v>399386215.80106711</v>
      </c>
      <c r="AC26">
        <f>'Cost Components'!$H$47</f>
        <v>399386215.80106711</v>
      </c>
      <c r="AD26">
        <f>'Cost Components'!$H$47</f>
        <v>399386215.80106711</v>
      </c>
      <c r="AE26">
        <f>'Cost Components'!$H$47</f>
        <v>399386215.80106711</v>
      </c>
      <c r="AF26">
        <f>'Cost Components'!$H$47</f>
        <v>399386215.80106711</v>
      </c>
    </row>
    <row r="27" spans="1:32">
      <c r="A27" t="s">
        <v>112</v>
      </c>
      <c r="B27">
        <f>B25/((1+'Study Parameters'!$C$4)^'MFSP Baseline'!B24)</f>
        <v>0</v>
      </c>
      <c r="C27">
        <f>C25/((1+'Cost Components'!$H$46)^'MFSP Baseline'!C24) + C26</f>
        <v>4463342512.969862</v>
      </c>
      <c r="D27">
        <f>D25/((1+'Cost Components'!$H$46)^'MFSP Baseline'!D24) + D26</f>
        <v>4197476213.1550808</v>
      </c>
      <c r="E27">
        <f>E25/((1+'Cost Components'!$H$46)^'MFSP Baseline'!E24) + E26</f>
        <v>3949003035.7580891</v>
      </c>
      <c r="F27">
        <f>F25/((1+'Cost Components'!$H$46)^'MFSP Baseline'!F24) + F26</f>
        <v>3716785112.9571629</v>
      </c>
      <c r="G27">
        <f>G25/((1+'Cost Components'!$H$46)^'MFSP Baseline'!G24) + G26</f>
        <v>3499759016.8815298</v>
      </c>
      <c r="H27">
        <f>H25/((1+'Cost Components'!$H$46)^'MFSP Baseline'!H24) + H26</f>
        <v>3296930889.7080421</v>
      </c>
      <c r="I27">
        <f>I25/((1+'Cost Components'!$H$46)^'MFSP Baseline'!I24) + I26</f>
        <v>3107371892.3496418</v>
      </c>
      <c r="J27">
        <f>J25/((1+'Cost Components'!$H$46)^'MFSP Baseline'!J24) + J26</f>
        <v>2930213950.8931932</v>
      </c>
      <c r="K27">
        <f>K25/((1+'Cost Components'!$H$46)^'MFSP Baseline'!K24) + K26</f>
        <v>2764645781.3077269</v>
      </c>
      <c r="L27">
        <f>L25/((1+'Cost Components'!$H$46)^'MFSP Baseline'!L24) + L26</f>
        <v>2609909174.2185059</v>
      </c>
      <c r="M27">
        <f>M25/((1+'Cost Components'!$H$46)^'MFSP Baseline'!M24) + M26</f>
        <v>2465295522.7332525</v>
      </c>
      <c r="N27">
        <f>N25/((1+'Cost Components'!$H$46)^'MFSP Baseline'!N24) + N26</f>
        <v>2330142577.4199324</v>
      </c>
      <c r="O27">
        <f>O25/((1+'Cost Components'!$H$46)^'MFSP Baseline'!O24) + O26</f>
        <v>2203831413.5757074</v>
      </c>
      <c r="P27">
        <f>P25/((1+'Cost Components'!$H$46)^'MFSP Baseline'!P24) + P26</f>
        <v>2085783596.8988619</v>
      </c>
      <c r="Q27">
        <f>Q25/((1+'Cost Components'!$H$46)^'MFSP Baseline'!Q24) + Q26</f>
        <v>1975458534.5840528</v>
      </c>
      <c r="R27">
        <f>R25/((1+'Cost Components'!$H$46)^'MFSP Baseline'!R24) + R26</f>
        <v>1872350999.7103996</v>
      </c>
      <c r="S27">
        <f>S25/((1+'Cost Components'!$H$46)^'MFSP Baseline'!S24) + S26</f>
        <v>1775988817.58549</v>
      </c>
      <c r="T27">
        <f>T25/((1+'Cost Components'!$H$46)^'MFSP Baseline'!T24) + T26</f>
        <v>1685930703.4500604</v>
      </c>
      <c r="U27">
        <f>U25/((1+'Cost Components'!$H$46)^'MFSP Baseline'!U24) + U26</f>
        <v>1601764241.6412477</v>
      </c>
      <c r="V27">
        <f>V25/((1+'Cost Components'!$H$46)^'MFSP Baseline'!V24) + V26</f>
        <v>1523103996.9601145</v>
      </c>
      <c r="W27">
        <f>W25/((1+'Cost Components'!$H$46)^'MFSP Baseline'!W24) + W26</f>
        <v>1449589749.5945692</v>
      </c>
      <c r="X27">
        <f>X25/((1+'Cost Components'!$H$46)^'MFSP Baseline'!X24) + X26</f>
        <v>1380884845.5146205</v>
      </c>
      <c r="Y27">
        <f>Y25/((1+'Cost Components'!$H$46)^'MFSP Baseline'!Y24) + Y26</f>
        <v>1316674654.7856965</v>
      </c>
      <c r="Z27">
        <f>Z25/((1+'Cost Components'!$H$46)^'MFSP Baseline'!Z24) + Z26</f>
        <v>1256665130.7399731</v>
      </c>
      <c r="AA27">
        <f>AA25/((1+'Cost Components'!$H$46)^'MFSP Baseline'!AA24) + AA26</f>
        <v>1200581463.4075212</v>
      </c>
      <c r="AB27">
        <f>AB25/((1+'Cost Components'!$H$46)^'MFSP Baseline'!AB24) + AB26</f>
        <v>1148166821.0407438</v>
      </c>
      <c r="AC27">
        <f>AC25/((1+'Cost Components'!$H$46)^'MFSP Baseline'!AC24) + AC26</f>
        <v>1099181173.9689894</v>
      </c>
      <c r="AD27">
        <f>AD25/((1+'Cost Components'!$H$46)^'MFSP Baseline'!AD24) + AD26</f>
        <v>1053400195.3972561</v>
      </c>
      <c r="AE27">
        <f>AE25/((1+'Cost Components'!$H$46)^'MFSP Baseline'!AE24) + AE26</f>
        <v>1010614234.1152624</v>
      </c>
      <c r="AF27">
        <f>AF25/((1+'Cost Components'!$H$46)^'MFSP Baseline'!AF24) + AF26</f>
        <v>970627354.41246462</v>
      </c>
    </row>
    <row r="28" spans="1:32">
      <c r="A28" t="s">
        <v>147</v>
      </c>
      <c r="B28">
        <v>0</v>
      </c>
      <c r="C28">
        <f>'Study Parameters'!$C$19</f>
        <v>800000000</v>
      </c>
      <c r="D28">
        <f>'Study Parameters'!$C$19</f>
        <v>800000000</v>
      </c>
      <c r="E28">
        <f>'Study Parameters'!$C$19</f>
        <v>800000000</v>
      </c>
      <c r="F28">
        <f>'Study Parameters'!$C$19</f>
        <v>800000000</v>
      </c>
      <c r="G28">
        <f>'Study Parameters'!$C$19</f>
        <v>800000000</v>
      </c>
      <c r="H28">
        <f>'Study Parameters'!$C$19</f>
        <v>800000000</v>
      </c>
      <c r="I28">
        <f>'Study Parameters'!$C$19</f>
        <v>800000000</v>
      </c>
      <c r="J28">
        <f>'Study Parameters'!$C$19</f>
        <v>800000000</v>
      </c>
      <c r="K28">
        <f>'Study Parameters'!$C$19</f>
        <v>800000000</v>
      </c>
      <c r="L28">
        <f>'Study Parameters'!$C$19</f>
        <v>800000000</v>
      </c>
      <c r="M28">
        <f>'Study Parameters'!$C$19</f>
        <v>800000000</v>
      </c>
      <c r="N28">
        <f>'Study Parameters'!$C$19</f>
        <v>800000000</v>
      </c>
      <c r="O28">
        <f>'Study Parameters'!$C$19</f>
        <v>800000000</v>
      </c>
      <c r="P28">
        <f>'Study Parameters'!$C$19</f>
        <v>800000000</v>
      </c>
      <c r="Q28">
        <f>'Study Parameters'!$C$19</f>
        <v>800000000</v>
      </c>
      <c r="R28">
        <f>'Study Parameters'!$C$19</f>
        <v>800000000</v>
      </c>
      <c r="S28">
        <f>'Study Parameters'!$C$19</f>
        <v>800000000</v>
      </c>
      <c r="T28">
        <f>'Study Parameters'!$C$19</f>
        <v>800000000</v>
      </c>
      <c r="U28">
        <f>'Study Parameters'!$C$19</f>
        <v>800000000</v>
      </c>
      <c r="V28">
        <f>'Study Parameters'!$C$19</f>
        <v>800000000</v>
      </c>
      <c r="W28">
        <f>'Study Parameters'!$C$19</f>
        <v>800000000</v>
      </c>
      <c r="X28">
        <f>'Study Parameters'!$C$19</f>
        <v>800000000</v>
      </c>
      <c r="Y28">
        <f>'Study Parameters'!$C$19</f>
        <v>800000000</v>
      </c>
      <c r="Z28">
        <f>'Study Parameters'!$C$19</f>
        <v>800000000</v>
      </c>
      <c r="AA28">
        <f>'Study Parameters'!$C$19</f>
        <v>800000000</v>
      </c>
      <c r="AB28">
        <f>'Study Parameters'!$C$19</f>
        <v>800000000</v>
      </c>
      <c r="AC28">
        <f>'Study Parameters'!$C$19</f>
        <v>800000000</v>
      </c>
      <c r="AD28">
        <f>'Study Parameters'!$C$19</f>
        <v>800000000</v>
      </c>
      <c r="AE28">
        <f>'Study Parameters'!$C$19</f>
        <v>800000000</v>
      </c>
      <c r="AF28">
        <f>'Study Parameters'!$C$19</f>
        <v>800000000</v>
      </c>
    </row>
    <row r="29" spans="1:32">
      <c r="A29" t="s">
        <v>148</v>
      </c>
      <c r="B29">
        <f>B28/((1+'Study Parameters'!$C$4)^'MFSP Baseline'!B24)</f>
        <v>0</v>
      </c>
      <c r="C29">
        <f>C28/((1+'Cost Components'!$H$46)^'MFSP Baseline'!C24)</f>
        <v>747663551.40186906</v>
      </c>
      <c r="D29">
        <f>D28/((1+'Cost Components'!$H$46)^'MFSP Baseline'!D24)</f>
        <v>698750982.61856925</v>
      </c>
      <c r="E29">
        <f>E28/((1+'Cost Components'!$H$46)^'MFSP Baseline'!E24)</f>
        <v>653038301.51268148</v>
      </c>
      <c r="F29">
        <f>F28/((1+'Cost Components'!$H$46)^'MFSP Baseline'!F24)</f>
        <v>610316169.63802016</v>
      </c>
      <c r="G29">
        <f>G28/((1+'Cost Components'!$H$46)^'MFSP Baseline'!G24)</f>
        <v>570388943.58693469</v>
      </c>
      <c r="H29">
        <f>H28/((1+'Cost Components'!$H$46)^'MFSP Baseline'!H24)</f>
        <v>533073779.05321002</v>
      </c>
      <c r="I29">
        <f>I28/((1+'Cost Components'!$H$46)^'MFSP Baseline'!I24)</f>
        <v>498199793.50767291</v>
      </c>
      <c r="J29">
        <f>J28/((1+'Cost Components'!$H$46)^'MFSP Baseline'!J24)</f>
        <v>465607283.65203077</v>
      </c>
      <c r="K29">
        <f>K28/((1+'Cost Components'!$H$46)^'MFSP Baseline'!K24)</f>
        <v>435146994.06731838</v>
      </c>
      <c r="L29">
        <f>L28/((1+'Cost Components'!$H$46)^'MFSP Baseline'!L24)</f>
        <v>406679433.70777422</v>
      </c>
      <c r="M29">
        <f>M28/((1+'Cost Components'!$H$46)^'MFSP Baseline'!M24)</f>
        <v>380074237.11006933</v>
      </c>
      <c r="N29">
        <f>N28/((1+'Cost Components'!$H$46)^'MFSP Baseline'!N24)</f>
        <v>355209567.39258826</v>
      </c>
      <c r="O29">
        <f>O28/((1+'Cost Components'!$H$46)^'MFSP Baseline'!O24)</f>
        <v>331971558.31083012</v>
      </c>
      <c r="P29">
        <f>P28/((1+'Cost Components'!$H$46)^'MFSP Baseline'!P24)</f>
        <v>310253792.81385994</v>
      </c>
      <c r="Q29">
        <f>Q28/((1+'Cost Components'!$H$46)^'MFSP Baseline'!Q24)</f>
        <v>289956815.71388775</v>
      </c>
      <c r="R29">
        <f>R28/((1+'Cost Components'!$H$46)^'MFSP Baseline'!R24)</f>
        <v>270987678.23727828</v>
      </c>
      <c r="S29">
        <f>S28/((1+'Cost Components'!$H$46)^'MFSP Baseline'!S24)</f>
        <v>253259512.37128812</v>
      </c>
      <c r="T29">
        <f>T28/((1+'Cost Components'!$H$46)^'MFSP Baseline'!T24)</f>
        <v>236691133.0572786</v>
      </c>
      <c r="U29">
        <f>U28/((1+'Cost Components'!$H$46)^'MFSP Baseline'!U24)</f>
        <v>221206666.40867159</v>
      </c>
      <c r="V29">
        <f>V28/((1+'Cost Components'!$H$46)^'MFSP Baseline'!V24)</f>
        <v>206735202.25109497</v>
      </c>
      <c r="W29">
        <f>W28/((1+'Cost Components'!$H$46)^'MFSP Baseline'!W24)</f>
        <v>193210469.39354667</v>
      </c>
      <c r="X29">
        <f>X28/((1+'Cost Components'!$H$46)^'MFSP Baseline'!X24)</f>
        <v>180570532.14350158</v>
      </c>
      <c r="Y29">
        <f>Y28/((1+'Cost Components'!$H$46)^'MFSP Baseline'!Y24)</f>
        <v>168757506.67616969</v>
      </c>
      <c r="Z29">
        <f>Z28/((1+'Cost Components'!$H$46)^'MFSP Baseline'!Z24)</f>
        <v>157717295.9590371</v>
      </c>
      <c r="AA29">
        <f>AA28/((1+'Cost Components'!$H$46)^'MFSP Baseline'!AA24)</f>
        <v>147399342.01779166</v>
      </c>
      <c r="AB29">
        <f>AB28/((1+'Cost Components'!$H$46)^'MFSP Baseline'!AB24)</f>
        <v>137756394.40915111</v>
      </c>
      <c r="AC29">
        <f>AC28/((1+'Cost Components'!$H$46)^'MFSP Baseline'!AC24)</f>
        <v>128744293.8403281</v>
      </c>
      <c r="AD29">
        <f>AD28/((1+'Cost Components'!$H$46)^'MFSP Baseline'!AD24)</f>
        <v>120321769.9442319</v>
      </c>
      <c r="AE29">
        <f>AE28/((1+'Cost Components'!$H$46)^'MFSP Baseline'!AE24)</f>
        <v>112450252.28432886</v>
      </c>
      <c r="AF29">
        <f>AF28/((1+'Cost Components'!$H$46)^'MFSP Baseline'!AF24)</f>
        <v>105093693.72367184</v>
      </c>
    </row>
    <row r="31" spans="1:32">
      <c r="A31" t="s">
        <v>149</v>
      </c>
      <c r="B31">
        <f>SUM(B27:AF27) / SUM(B29:AF29)</f>
        <v>6.6424827503377841</v>
      </c>
    </row>
    <row r="33" spans="1:32">
      <c r="A33" t="s">
        <v>152</v>
      </c>
    </row>
    <row r="35" spans="1:32">
      <c r="A35" t="s">
        <v>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>
      <c r="A36" t="s">
        <v>111</v>
      </c>
      <c r="B36">
        <v>0</v>
      </c>
      <c r="C36">
        <f>'Cost Components'!$H$54*10^6</f>
        <v>1387691210.6372774</v>
      </c>
      <c r="D36">
        <f>'Cost Components'!$H$54*10^6</f>
        <v>1387691210.6372774</v>
      </c>
      <c r="E36">
        <f>'Cost Components'!$H$54*10^6</f>
        <v>1387691210.6372774</v>
      </c>
      <c r="F36">
        <f>'Cost Components'!$H$54*10^6</f>
        <v>1387691210.6372774</v>
      </c>
      <c r="G36">
        <f>'Cost Components'!$H$54*10^6</f>
        <v>1387691210.6372774</v>
      </c>
      <c r="H36">
        <f>'Cost Components'!$H$54*10^6</f>
        <v>1387691210.6372774</v>
      </c>
      <c r="I36">
        <f>'Cost Components'!$H$54*10^6</f>
        <v>1387691210.6372774</v>
      </c>
      <c r="J36">
        <f>'Cost Components'!$H$54*10^6</f>
        <v>1387691210.6372774</v>
      </c>
      <c r="K36">
        <f>'Cost Components'!$H$54*10^6</f>
        <v>1387691210.6372774</v>
      </c>
      <c r="L36">
        <f>'Cost Components'!$H$54*10^6</f>
        <v>1387691210.6372774</v>
      </c>
      <c r="M36">
        <f>'Cost Components'!$H$54*10^6</f>
        <v>1387691210.6372774</v>
      </c>
      <c r="N36">
        <f>'Cost Components'!$H$54*10^6</f>
        <v>1387691210.6372774</v>
      </c>
      <c r="O36">
        <f>'Cost Components'!$H$54*10^6</f>
        <v>1387691210.6372774</v>
      </c>
      <c r="P36">
        <f>'Cost Components'!$H$54*10^6</f>
        <v>1387691210.6372774</v>
      </c>
      <c r="Q36">
        <f>'Cost Components'!$H$54*10^6</f>
        <v>1387691210.6372774</v>
      </c>
      <c r="R36">
        <f>'Cost Components'!$H$54*10^6</f>
        <v>1387691210.6372774</v>
      </c>
      <c r="S36">
        <f>'Cost Components'!$H$54*10^6</f>
        <v>1387691210.6372774</v>
      </c>
      <c r="T36">
        <f>'Cost Components'!$H$54*10^6</f>
        <v>1387691210.6372774</v>
      </c>
      <c r="U36">
        <f>'Cost Components'!$H$54*10^6</f>
        <v>1387691210.6372774</v>
      </c>
      <c r="V36">
        <f>'Cost Components'!$H$54*10^6</f>
        <v>1387691210.6372774</v>
      </c>
      <c r="W36">
        <f>'Cost Components'!$H$54*10^6</f>
        <v>1387691210.6372774</v>
      </c>
      <c r="X36">
        <f>'Cost Components'!$H$54*10^6</f>
        <v>1387691210.6372774</v>
      </c>
      <c r="Y36">
        <f>'Cost Components'!$H$54*10^6</f>
        <v>1387691210.6372774</v>
      </c>
      <c r="Z36">
        <f>'Cost Components'!$H$54*10^6</f>
        <v>1387691210.6372774</v>
      </c>
      <c r="AA36">
        <f>'Cost Components'!$H$54*10^6</f>
        <v>1387691210.6372774</v>
      </c>
      <c r="AB36">
        <f>'Cost Components'!$H$54*10^6</f>
        <v>1387691210.6372774</v>
      </c>
      <c r="AC36">
        <f>'Cost Components'!$H$54*10^6</f>
        <v>1387691210.6372774</v>
      </c>
      <c r="AD36">
        <f>'Cost Components'!$H$54*10^6</f>
        <v>1387691210.6372774</v>
      </c>
      <c r="AE36">
        <f>'Cost Components'!$H$54*10^6</f>
        <v>1387691210.6372774</v>
      </c>
      <c r="AF36">
        <f>'Cost Components'!$H$54*10^6</f>
        <v>1387691210.6372774</v>
      </c>
    </row>
    <row r="37" spans="1:32">
      <c r="A37" t="s">
        <v>146</v>
      </c>
      <c r="B37">
        <v>0</v>
      </c>
      <c r="C37">
        <f>'Cost Components'!$H$56</f>
        <v>303810741.23688918</v>
      </c>
      <c r="D37">
        <f>'Cost Components'!$H$56</f>
        <v>303810741.23688918</v>
      </c>
      <c r="E37">
        <f>'Cost Components'!$H$56</f>
        <v>303810741.23688918</v>
      </c>
      <c r="F37">
        <f>'Cost Components'!$H$56</f>
        <v>303810741.23688918</v>
      </c>
      <c r="G37">
        <f>'Cost Components'!$H$56</f>
        <v>303810741.23688918</v>
      </c>
      <c r="H37">
        <f>'Cost Components'!$H$56</f>
        <v>303810741.23688918</v>
      </c>
      <c r="I37">
        <f>'Cost Components'!$H$56</f>
        <v>303810741.23688918</v>
      </c>
      <c r="J37">
        <f>'Cost Components'!$H$56</f>
        <v>303810741.23688918</v>
      </c>
      <c r="K37">
        <f>'Cost Components'!$H$56</f>
        <v>303810741.23688918</v>
      </c>
      <c r="L37">
        <f>'Cost Components'!$H$56</f>
        <v>303810741.23688918</v>
      </c>
      <c r="M37">
        <f>'Cost Components'!$H$56</f>
        <v>303810741.23688918</v>
      </c>
      <c r="N37">
        <f>'Cost Components'!$H$56</f>
        <v>303810741.23688918</v>
      </c>
      <c r="O37">
        <f>'Cost Components'!$H$56</f>
        <v>303810741.23688918</v>
      </c>
      <c r="P37">
        <f>'Cost Components'!$H$56</f>
        <v>303810741.23688918</v>
      </c>
      <c r="Q37">
        <f>'Cost Components'!$H$56</f>
        <v>303810741.23688918</v>
      </c>
      <c r="R37">
        <f>'Cost Components'!$H$56</f>
        <v>303810741.23688918</v>
      </c>
      <c r="S37">
        <f>'Cost Components'!$H$56</f>
        <v>303810741.23688918</v>
      </c>
      <c r="T37">
        <f>'Cost Components'!$H$56</f>
        <v>303810741.23688918</v>
      </c>
      <c r="U37">
        <f>'Cost Components'!$H$56</f>
        <v>303810741.23688918</v>
      </c>
      <c r="V37">
        <f>'Cost Components'!$H$56</f>
        <v>303810741.23688918</v>
      </c>
      <c r="W37">
        <f>'Cost Components'!$H$56</f>
        <v>303810741.23688918</v>
      </c>
      <c r="X37">
        <f>'Cost Components'!$H$56</f>
        <v>303810741.23688918</v>
      </c>
      <c r="Y37">
        <f>'Cost Components'!$H$56</f>
        <v>303810741.23688918</v>
      </c>
      <c r="Z37">
        <f>'Cost Components'!$H$56</f>
        <v>303810741.23688918</v>
      </c>
      <c r="AA37">
        <f>'Cost Components'!$H$56</f>
        <v>303810741.23688918</v>
      </c>
      <c r="AB37">
        <f>'Cost Components'!$H$56</f>
        <v>303810741.23688918</v>
      </c>
      <c r="AC37">
        <f>'Cost Components'!$H$56</f>
        <v>303810741.23688918</v>
      </c>
      <c r="AD37">
        <f>'Cost Components'!$H$56</f>
        <v>303810741.23688918</v>
      </c>
      <c r="AE37">
        <f>'Cost Components'!$H$56</f>
        <v>303810741.23688918</v>
      </c>
      <c r="AF37">
        <f>'Cost Components'!$H$56</f>
        <v>303810741.23688918</v>
      </c>
    </row>
    <row r="38" spans="1:32">
      <c r="A38" t="s">
        <v>112</v>
      </c>
      <c r="B38">
        <f>B36/((1+'Study Parameters'!$C$4)^'MFSP Baseline'!B35)</f>
        <v>0</v>
      </c>
      <c r="C38">
        <f>C36/((1+'Cost Components'!$H$55)^'MFSP Baseline'!C35) + C37</f>
        <v>1600718414.7296717</v>
      </c>
      <c r="D38">
        <f>D36/((1+'Cost Components'!$H$55)^'MFSP Baseline'!D35) + D37</f>
        <v>1515873987.4918261</v>
      </c>
      <c r="E38">
        <f>E36/((1+'Cost Components'!$H$55)^'MFSP Baseline'!E35) + E37</f>
        <v>1436580130.2601945</v>
      </c>
      <c r="F38">
        <f>F36/((1+'Cost Components'!$H$55)^'MFSP Baseline'!F35) + F37</f>
        <v>1362473721.6325018</v>
      </c>
      <c r="G38">
        <f>G36/((1+'Cost Components'!$H$55)^'MFSP Baseline'!G35) + G37</f>
        <v>1293215395.812228</v>
      </c>
      <c r="H38">
        <f>H36/((1+'Cost Components'!$H$55)^'MFSP Baseline'!H35) + H37</f>
        <v>1228487988.503561</v>
      </c>
      <c r="I38">
        <f>I36/((1+'Cost Components'!$H$55)^'MFSP Baseline'!I35) + I37</f>
        <v>1167995084.4767694</v>
      </c>
      <c r="J38">
        <f>J36/((1+'Cost Components'!$H$55)^'MFSP Baseline'!J35) + J37</f>
        <v>1111459660.1526651</v>
      </c>
      <c r="K38">
        <f>K36/((1+'Cost Components'!$H$55)^'MFSP Baseline'!K35) + K37</f>
        <v>1058622814.9899507</v>
      </c>
      <c r="L38">
        <f>L36/((1+'Cost Components'!$H$55)^'MFSP Baseline'!L35) + L37</f>
        <v>1009242585.8659186</v>
      </c>
      <c r="M38">
        <f>M36/((1+'Cost Components'!$H$55)^'MFSP Baseline'!M35) + M37</f>
        <v>963092839.02102876</v>
      </c>
      <c r="N38">
        <f>N36/((1+'Cost Components'!$H$55)^'MFSP Baseline'!N35) + N37</f>
        <v>919962234.49309468</v>
      </c>
      <c r="O38">
        <f>O36/((1+'Cost Components'!$H$55)^'MFSP Baseline'!O35) + O37</f>
        <v>879653258.29876328</v>
      </c>
      <c r="P38">
        <f>P36/((1+'Cost Components'!$H$55)^'MFSP Baseline'!P35) + P37</f>
        <v>841981317.93022966</v>
      </c>
      <c r="Q38">
        <f>Q36/((1+'Cost Components'!$H$55)^'MFSP Baseline'!Q35) + Q37</f>
        <v>806773897.02505767</v>
      </c>
      <c r="R38">
        <f>R36/((1+'Cost Components'!$H$55)^'MFSP Baseline'!R35) + R37</f>
        <v>773869765.33798122</v>
      </c>
      <c r="S38">
        <f>S36/((1+'Cost Components'!$H$55)^'MFSP Baseline'!S35) + S37</f>
        <v>743118240.39678836</v>
      </c>
      <c r="T38">
        <f>T36/((1+'Cost Components'!$H$55)^'MFSP Baseline'!T35) + T37</f>
        <v>714378497.46109402</v>
      </c>
      <c r="U38">
        <f>U36/((1+'Cost Components'!$H$55)^'MFSP Baseline'!U35) + U37</f>
        <v>687518924.6239965</v>
      </c>
      <c r="V38">
        <f>V36/((1+'Cost Components'!$H$55)^'MFSP Baseline'!V35) + V37</f>
        <v>662416520.10334468</v>
      </c>
      <c r="W38">
        <f>W36/((1+'Cost Components'!$H$55)^'MFSP Baseline'!W35) + W37</f>
        <v>638956328.96254849</v>
      </c>
      <c r="X38">
        <f>X36/((1+'Cost Components'!$H$55)^'MFSP Baseline'!X35) + X37</f>
        <v>617030916.68143058</v>
      </c>
      <c r="Y38">
        <f>Y36/((1+'Cost Components'!$H$55)^'MFSP Baseline'!Y35) + Y37</f>
        <v>596539877.16636705</v>
      </c>
      <c r="Z38">
        <f>Z36/((1+'Cost Components'!$H$55)^'MFSP Baseline'!Z35) + Z37</f>
        <v>577389372.94668162</v>
      </c>
      <c r="AA38">
        <f>AA36/((1+'Cost Components'!$H$55)^'MFSP Baseline'!AA35) + AA37</f>
        <v>559491705.45164847</v>
      </c>
      <c r="AB38">
        <f>AB36/((1+'Cost Components'!$H$55)^'MFSP Baseline'!AB35) + AB37</f>
        <v>542764913.40021563</v>
      </c>
      <c r="AC38">
        <f>AC36/((1+'Cost Components'!$H$55)^'MFSP Baseline'!AC35) + AC37</f>
        <v>527132397.46429706</v>
      </c>
      <c r="AD38">
        <f>AD36/((1+'Cost Components'!$H$55)^'MFSP Baseline'!AD35) + AD37</f>
        <v>512522569.48680305</v>
      </c>
      <c r="AE38">
        <f>AE36/((1+'Cost Components'!$H$55)^'MFSP Baseline'!AE35) + AE37</f>
        <v>498868524.64802366</v>
      </c>
      <c r="AF38">
        <f>AF36/((1+'Cost Components'!$H$55)^'MFSP Baseline'!AF35) + AF37</f>
        <v>486107735.07907093</v>
      </c>
    </row>
    <row r="39" spans="1:32">
      <c r="A39" t="s">
        <v>147</v>
      </c>
      <c r="B39">
        <v>0</v>
      </c>
      <c r="C39">
        <f>'Study Parameters'!$C$19</f>
        <v>800000000</v>
      </c>
      <c r="D39">
        <f>'Study Parameters'!$C$19</f>
        <v>800000000</v>
      </c>
      <c r="E39">
        <f>'Study Parameters'!$C$19</f>
        <v>800000000</v>
      </c>
      <c r="F39">
        <f>'Study Parameters'!$C$19</f>
        <v>800000000</v>
      </c>
      <c r="G39">
        <f>'Study Parameters'!$C$19</f>
        <v>800000000</v>
      </c>
      <c r="H39">
        <f>'Study Parameters'!$C$19</f>
        <v>800000000</v>
      </c>
      <c r="I39">
        <f>'Study Parameters'!$C$19</f>
        <v>800000000</v>
      </c>
      <c r="J39">
        <f>'Study Parameters'!$C$19</f>
        <v>800000000</v>
      </c>
      <c r="K39">
        <f>'Study Parameters'!$C$19</f>
        <v>800000000</v>
      </c>
      <c r="L39">
        <f>'Study Parameters'!$C$19</f>
        <v>800000000</v>
      </c>
      <c r="M39">
        <f>'Study Parameters'!$C$19</f>
        <v>800000000</v>
      </c>
      <c r="N39">
        <f>'Study Parameters'!$C$19</f>
        <v>800000000</v>
      </c>
      <c r="O39">
        <f>'Study Parameters'!$C$19</f>
        <v>800000000</v>
      </c>
      <c r="P39">
        <f>'Study Parameters'!$C$19</f>
        <v>800000000</v>
      </c>
      <c r="Q39">
        <f>'Study Parameters'!$C$19</f>
        <v>800000000</v>
      </c>
      <c r="R39">
        <f>'Study Parameters'!$C$19</f>
        <v>800000000</v>
      </c>
      <c r="S39">
        <f>'Study Parameters'!$C$19</f>
        <v>800000000</v>
      </c>
      <c r="T39">
        <f>'Study Parameters'!$C$19</f>
        <v>800000000</v>
      </c>
      <c r="U39">
        <f>'Study Parameters'!$C$19</f>
        <v>800000000</v>
      </c>
      <c r="V39">
        <f>'Study Parameters'!$C$19</f>
        <v>800000000</v>
      </c>
      <c r="W39">
        <f>'Study Parameters'!$C$19</f>
        <v>800000000</v>
      </c>
      <c r="X39">
        <f>'Study Parameters'!$C$19</f>
        <v>800000000</v>
      </c>
      <c r="Y39">
        <f>'Study Parameters'!$C$19</f>
        <v>800000000</v>
      </c>
      <c r="Z39">
        <f>'Study Parameters'!$C$19</f>
        <v>800000000</v>
      </c>
      <c r="AA39">
        <f>'Study Parameters'!$C$19</f>
        <v>800000000</v>
      </c>
      <c r="AB39">
        <f>'Study Parameters'!$C$19</f>
        <v>800000000</v>
      </c>
      <c r="AC39">
        <f>'Study Parameters'!$C$19</f>
        <v>800000000</v>
      </c>
      <c r="AD39">
        <f>'Study Parameters'!$C$19</f>
        <v>800000000</v>
      </c>
      <c r="AE39">
        <f>'Study Parameters'!$C$19</f>
        <v>800000000</v>
      </c>
      <c r="AF39">
        <f>'Study Parameters'!$C$19</f>
        <v>800000000</v>
      </c>
    </row>
    <row r="40" spans="1:32">
      <c r="A40" t="s">
        <v>148</v>
      </c>
      <c r="B40">
        <f>B39/((1+'Study Parameters'!$C$4)^'MFSP Baseline'!B35)</f>
        <v>0</v>
      </c>
      <c r="C40">
        <f>C39/((1+'Cost Components'!$H$55)^'MFSP Baseline'!C35)</f>
        <v>747663551.40186906</v>
      </c>
      <c r="D40">
        <f>D39/((1+'Cost Components'!$H$55)^'MFSP Baseline'!D35)</f>
        <v>698750982.61856925</v>
      </c>
      <c r="E40">
        <f>E39/((1+'Cost Components'!$H$55)^'MFSP Baseline'!E35)</f>
        <v>653038301.51268148</v>
      </c>
      <c r="F40">
        <f>F39/((1+'Cost Components'!$H$55)^'MFSP Baseline'!F35)</f>
        <v>610316169.63802016</v>
      </c>
      <c r="G40">
        <f>G39/((1+'Cost Components'!$H$55)^'MFSP Baseline'!G35)</f>
        <v>570388943.58693469</v>
      </c>
      <c r="H40">
        <f>H39/((1+'Cost Components'!$H$55)^'MFSP Baseline'!H35)</f>
        <v>533073779.05321002</v>
      </c>
      <c r="I40">
        <f>I39/((1+'Cost Components'!$H$55)^'MFSP Baseline'!I35)</f>
        <v>498199793.50767291</v>
      </c>
      <c r="J40">
        <f>J39/((1+'Cost Components'!$H$55)^'MFSP Baseline'!J35)</f>
        <v>465607283.65203077</v>
      </c>
      <c r="K40">
        <f>K39/((1+'Cost Components'!$H$55)^'MFSP Baseline'!K35)</f>
        <v>435146994.06731838</v>
      </c>
      <c r="L40">
        <f>L39/((1+'Cost Components'!$H$55)^'MFSP Baseline'!L35)</f>
        <v>406679433.70777422</v>
      </c>
      <c r="M40">
        <f>M39/((1+'Cost Components'!$H$55)^'MFSP Baseline'!M35)</f>
        <v>380074237.11006933</v>
      </c>
      <c r="N40">
        <f>N39/((1+'Cost Components'!$H$55)^'MFSP Baseline'!N35)</f>
        <v>355209567.39258826</v>
      </c>
      <c r="O40">
        <f>O39/((1+'Cost Components'!$H$55)^'MFSP Baseline'!O35)</f>
        <v>331971558.31083012</v>
      </c>
      <c r="P40">
        <f>P39/((1+'Cost Components'!$H$55)^'MFSP Baseline'!P35)</f>
        <v>310253792.81385994</v>
      </c>
      <c r="Q40">
        <f>Q39/((1+'Cost Components'!$H$55)^'MFSP Baseline'!Q35)</f>
        <v>289956815.71388775</v>
      </c>
      <c r="R40">
        <f>R39/((1+'Cost Components'!$H$55)^'MFSP Baseline'!R35)</f>
        <v>270987678.23727828</v>
      </c>
      <c r="S40">
        <f>S39/((1+'Cost Components'!$H$55)^'MFSP Baseline'!S35)</f>
        <v>253259512.37128812</v>
      </c>
      <c r="T40">
        <f>T39/((1+'Cost Components'!$H$55)^'MFSP Baseline'!T35)</f>
        <v>236691133.0572786</v>
      </c>
      <c r="U40">
        <f>U39/((1+'Cost Components'!$H$55)^'MFSP Baseline'!U35)</f>
        <v>221206666.40867159</v>
      </c>
      <c r="V40">
        <f>V39/((1+'Cost Components'!$H$55)^'MFSP Baseline'!V35)</f>
        <v>206735202.25109497</v>
      </c>
      <c r="W40">
        <f>W39/((1+'Cost Components'!$H$55)^'MFSP Baseline'!W35)</f>
        <v>193210469.39354667</v>
      </c>
      <c r="X40">
        <f>X39/((1+'Cost Components'!$H$55)^'MFSP Baseline'!X35)</f>
        <v>180570532.14350158</v>
      </c>
      <c r="Y40">
        <f>Y39/((1+'Cost Components'!$H$55)^'MFSP Baseline'!Y35)</f>
        <v>168757506.67616969</v>
      </c>
      <c r="Z40">
        <f>Z39/((1+'Cost Components'!$H$55)^'MFSP Baseline'!Z35)</f>
        <v>157717295.9590371</v>
      </c>
      <c r="AA40">
        <f>AA39/((1+'Cost Components'!$H$55)^'MFSP Baseline'!AA35)</f>
        <v>147399342.01779166</v>
      </c>
      <c r="AB40">
        <f>AB39/((1+'Cost Components'!$H$55)^'MFSP Baseline'!AB35)</f>
        <v>137756394.40915111</v>
      </c>
      <c r="AC40">
        <f>AC39/((1+'Cost Components'!$H$55)^'MFSP Baseline'!AC35)</f>
        <v>128744293.8403281</v>
      </c>
      <c r="AD40">
        <f>AD39/((1+'Cost Components'!$H$55)^'MFSP Baseline'!AD35)</f>
        <v>120321769.9442319</v>
      </c>
      <c r="AE40">
        <f>AE39/((1+'Cost Components'!$H$55)^'MFSP Baseline'!AE35)</f>
        <v>112450252.28432886</v>
      </c>
      <c r="AF40">
        <f>AF39/((1+'Cost Components'!$H$55)^'MFSP Baseline'!AF35)</f>
        <v>105093693.72367184</v>
      </c>
    </row>
    <row r="42" spans="1:32">
      <c r="A42" t="s">
        <v>149</v>
      </c>
      <c r="B42">
        <f>SUM(B38:AF38) / SUM(B40:AF40)</f>
        <v>2.6527270752088126</v>
      </c>
    </row>
    <row r="44" spans="1:32" s="24" customFormat="1"/>
    <row r="46" spans="1:32">
      <c r="A46" t="s">
        <v>154</v>
      </c>
    </row>
    <row r="48" spans="1:32">
      <c r="A48" t="s">
        <v>1</v>
      </c>
      <c r="B48">
        <v>0</v>
      </c>
      <c r="C48">
        <v>1</v>
      </c>
      <c r="D48">
        <v>2</v>
      </c>
      <c r="E48">
        <v>3</v>
      </c>
      <c r="F48">
        <v>4</v>
      </c>
      <c r="G48">
        <v>5</v>
      </c>
      <c r="H48">
        <v>6</v>
      </c>
      <c r="I48">
        <v>7</v>
      </c>
      <c r="J48">
        <v>8</v>
      </c>
      <c r="K48">
        <v>9</v>
      </c>
      <c r="L48">
        <v>10</v>
      </c>
      <c r="M48">
        <v>11</v>
      </c>
      <c r="N48">
        <v>12</v>
      </c>
      <c r="O48">
        <v>13</v>
      </c>
      <c r="P48">
        <v>14</v>
      </c>
      <c r="Q48">
        <v>15</v>
      </c>
      <c r="R48">
        <v>16</v>
      </c>
      <c r="S48">
        <v>17</v>
      </c>
      <c r="T48">
        <v>18</v>
      </c>
      <c r="U48">
        <v>19</v>
      </c>
      <c r="V48">
        <v>20</v>
      </c>
      <c r="W48">
        <v>21</v>
      </c>
      <c r="X48">
        <v>22</v>
      </c>
      <c r="Y48">
        <v>23</v>
      </c>
      <c r="Z48">
        <v>24</v>
      </c>
      <c r="AA48">
        <v>25</v>
      </c>
      <c r="AB48">
        <v>26</v>
      </c>
      <c r="AC48">
        <v>27</v>
      </c>
      <c r="AD48">
        <v>28</v>
      </c>
      <c r="AE48">
        <v>29</v>
      </c>
      <c r="AF48">
        <v>30</v>
      </c>
    </row>
    <row r="49" spans="1:32">
      <c r="A49" t="s">
        <v>111</v>
      </c>
      <c r="B49">
        <v>0</v>
      </c>
      <c r="C49">
        <f xml:space="preserve"> 'Cost Components'!$N$45 * 10^6</f>
        <v>4362243237.9706106</v>
      </c>
      <c r="D49">
        <f xml:space="preserve"> 'Cost Components'!$N$45 * 10^6</f>
        <v>4362243237.9706106</v>
      </c>
      <c r="E49">
        <f xml:space="preserve"> 'Cost Components'!$N$45 * 10^6</f>
        <v>4362243237.9706106</v>
      </c>
      <c r="F49">
        <f xml:space="preserve"> 'Cost Components'!$N$45 * 10^6</f>
        <v>4362243237.9706106</v>
      </c>
      <c r="G49">
        <f xml:space="preserve"> 'Cost Components'!$N$45 * 10^6</f>
        <v>4362243237.9706106</v>
      </c>
      <c r="H49">
        <f xml:space="preserve"> 'Cost Components'!$N$45 * 10^6</f>
        <v>4362243237.9706106</v>
      </c>
      <c r="I49">
        <f xml:space="preserve"> 'Cost Components'!$N$45 * 10^6</f>
        <v>4362243237.9706106</v>
      </c>
      <c r="J49">
        <f xml:space="preserve"> 'Cost Components'!$N$45 * 10^6</f>
        <v>4362243237.9706106</v>
      </c>
      <c r="K49">
        <f xml:space="preserve"> 'Cost Components'!$N$45 * 10^6</f>
        <v>4362243237.9706106</v>
      </c>
      <c r="L49">
        <f xml:space="preserve"> 'Cost Components'!$N$45 * 10^6</f>
        <v>4362243237.9706106</v>
      </c>
      <c r="M49">
        <f xml:space="preserve"> 'Cost Components'!$N$45 * 10^6</f>
        <v>4362243237.9706106</v>
      </c>
      <c r="N49">
        <f xml:space="preserve"> 'Cost Components'!$N$45 * 10^6</f>
        <v>4362243237.9706106</v>
      </c>
      <c r="O49">
        <f xml:space="preserve"> 'Cost Components'!$N$45 * 10^6</f>
        <v>4362243237.9706106</v>
      </c>
      <c r="P49">
        <f xml:space="preserve"> 'Cost Components'!$N$45 * 10^6</f>
        <v>4362243237.9706106</v>
      </c>
      <c r="Q49">
        <f xml:space="preserve"> 'Cost Components'!$N$45 * 10^6</f>
        <v>4362243237.9706106</v>
      </c>
      <c r="R49">
        <f xml:space="preserve"> 'Cost Components'!$N$45 * 10^6</f>
        <v>4362243237.9706106</v>
      </c>
      <c r="S49">
        <f xml:space="preserve"> 'Cost Components'!$N$45 * 10^6</f>
        <v>4362243237.9706106</v>
      </c>
      <c r="T49">
        <f xml:space="preserve"> 'Cost Components'!$N$45 * 10^6</f>
        <v>4362243237.9706106</v>
      </c>
      <c r="U49">
        <f xml:space="preserve"> 'Cost Components'!$N$45 * 10^6</f>
        <v>4362243237.9706106</v>
      </c>
      <c r="V49">
        <f xml:space="preserve"> 'Cost Components'!$N$45 * 10^6</f>
        <v>4362243237.9706106</v>
      </c>
      <c r="W49">
        <f xml:space="preserve"> 'Cost Components'!$N$45 * 10^6</f>
        <v>4362243237.9706106</v>
      </c>
      <c r="X49">
        <f xml:space="preserve"> 'Cost Components'!$N$45 * 10^6</f>
        <v>4362243237.9706106</v>
      </c>
      <c r="Y49">
        <f xml:space="preserve"> 'Cost Components'!$N$45 * 10^6</f>
        <v>4362243237.9706106</v>
      </c>
      <c r="Z49">
        <f xml:space="preserve"> 'Cost Components'!$N$45 * 10^6</f>
        <v>4362243237.9706106</v>
      </c>
      <c r="AA49">
        <f xml:space="preserve"> 'Cost Components'!$N$45 * 10^6</f>
        <v>4362243237.9706106</v>
      </c>
      <c r="AB49">
        <f xml:space="preserve"> 'Cost Components'!$N$45 * 10^6</f>
        <v>4362243237.9706106</v>
      </c>
      <c r="AC49">
        <f xml:space="preserve"> 'Cost Components'!$N$45 * 10^6</f>
        <v>4362243237.9706106</v>
      </c>
      <c r="AD49">
        <f xml:space="preserve"> 'Cost Components'!$N$45 * 10^6</f>
        <v>4362243237.9706106</v>
      </c>
      <c r="AE49">
        <f xml:space="preserve"> 'Cost Components'!$N$45 * 10^6</f>
        <v>4362243237.9706106</v>
      </c>
      <c r="AF49">
        <f xml:space="preserve"> 'Cost Components'!$N$45 * 10^6</f>
        <v>4362243237.9706106</v>
      </c>
    </row>
    <row r="50" spans="1:32">
      <c r="A50" t="s">
        <v>146</v>
      </c>
      <c r="B50">
        <v>0</v>
      </c>
      <c r="C50">
        <f>'Cost Components'!$N$47</f>
        <v>516075328.08515614</v>
      </c>
      <c r="D50">
        <f>'Cost Components'!$N$47</f>
        <v>516075328.08515614</v>
      </c>
      <c r="E50">
        <f>'Cost Components'!$N$47</f>
        <v>516075328.08515614</v>
      </c>
      <c r="F50">
        <f>'Cost Components'!$N$47</f>
        <v>516075328.08515614</v>
      </c>
      <c r="G50">
        <f>'Cost Components'!$N$47</f>
        <v>516075328.08515614</v>
      </c>
      <c r="H50">
        <f>'Cost Components'!$N$47</f>
        <v>516075328.08515614</v>
      </c>
      <c r="I50">
        <f>'Cost Components'!$N$47</f>
        <v>516075328.08515614</v>
      </c>
      <c r="J50">
        <f>'Cost Components'!$N$47</f>
        <v>516075328.08515614</v>
      </c>
      <c r="K50">
        <f>'Cost Components'!$N$47</f>
        <v>516075328.08515614</v>
      </c>
      <c r="L50">
        <f>'Cost Components'!$N$47</f>
        <v>516075328.08515614</v>
      </c>
      <c r="M50">
        <f>'Cost Components'!$N$47</f>
        <v>516075328.08515614</v>
      </c>
      <c r="N50">
        <f>'Cost Components'!$N$47</f>
        <v>516075328.08515614</v>
      </c>
      <c r="O50">
        <f>'Cost Components'!$N$47</f>
        <v>516075328.08515614</v>
      </c>
      <c r="P50">
        <f>'Cost Components'!$N$47</f>
        <v>516075328.08515614</v>
      </c>
      <c r="Q50">
        <f>'Cost Components'!$N$47</f>
        <v>516075328.08515614</v>
      </c>
      <c r="R50">
        <f>'Cost Components'!$N$47</f>
        <v>516075328.08515614</v>
      </c>
      <c r="S50">
        <f>'Cost Components'!$N$47</f>
        <v>516075328.08515614</v>
      </c>
      <c r="T50">
        <f>'Cost Components'!$N$47</f>
        <v>516075328.08515614</v>
      </c>
      <c r="U50">
        <f>'Cost Components'!$N$47</f>
        <v>516075328.08515614</v>
      </c>
      <c r="V50">
        <f>'Cost Components'!$N$47</f>
        <v>516075328.08515614</v>
      </c>
      <c r="W50">
        <f>'Cost Components'!$N$47</f>
        <v>516075328.08515614</v>
      </c>
      <c r="X50">
        <f>'Cost Components'!$N$47</f>
        <v>516075328.08515614</v>
      </c>
      <c r="Y50">
        <f>'Cost Components'!$N$47</f>
        <v>516075328.08515614</v>
      </c>
      <c r="Z50">
        <f>'Cost Components'!$N$47</f>
        <v>516075328.08515614</v>
      </c>
      <c r="AA50">
        <f>'Cost Components'!$N$47</f>
        <v>516075328.08515614</v>
      </c>
      <c r="AB50">
        <f>'Cost Components'!$N$47</f>
        <v>516075328.08515614</v>
      </c>
      <c r="AC50">
        <f>'Cost Components'!$N$47</f>
        <v>516075328.08515614</v>
      </c>
      <c r="AD50">
        <f>'Cost Components'!$N$47</f>
        <v>516075328.08515614</v>
      </c>
      <c r="AE50">
        <f>'Cost Components'!$N$47</f>
        <v>516075328.08515614</v>
      </c>
      <c r="AF50">
        <f>'Cost Components'!$N$47</f>
        <v>516075328.08515614</v>
      </c>
    </row>
    <row r="51" spans="1:32">
      <c r="A51" t="s">
        <v>112</v>
      </c>
      <c r="B51">
        <v>0</v>
      </c>
      <c r="C51">
        <f>C49/((1+'Cost Components'!$N$46)^'MFSP Baseline'!C48) + C50</f>
        <v>4592938167.3100262</v>
      </c>
      <c r="D51">
        <f>D49/((1+'Cost Components'!$N$46)^'MFSP Baseline'!D48) + D50</f>
        <v>4326227514.2766228</v>
      </c>
      <c r="E51">
        <f>E49/((1+'Cost Components'!$N$46)^'MFSP Baseline'!E48) + E50</f>
        <v>4076965221.7220407</v>
      </c>
      <c r="F51">
        <f>F49/((1+'Cost Components'!$N$46)^'MFSP Baseline'!F48) + F50</f>
        <v>3844009808.119628</v>
      </c>
      <c r="G51">
        <f>G49/((1+'Cost Components'!$N$46)^'MFSP Baseline'!G48) + G50</f>
        <v>3626294468.3042884</v>
      </c>
      <c r="H51">
        <f>H49/((1+'Cost Components'!$N$46)^'MFSP Baseline'!H48) + H50</f>
        <v>3422822188.1030369</v>
      </c>
      <c r="I51">
        <f>I49/((1+'Cost Components'!$N$46)^'MFSP Baseline'!I48) + I50</f>
        <v>3232661178.5691566</v>
      </c>
      <c r="J51">
        <f>J49/((1+'Cost Components'!$N$46)^'MFSP Baseline'!J48) + J50</f>
        <v>3054940608.911325</v>
      </c>
      <c r="K51">
        <f>K49/((1+'Cost Components'!$N$46)^'MFSP Baseline'!K48) + K50</f>
        <v>2888846618.5769024</v>
      </c>
      <c r="L51">
        <f>L49/((1+'Cost Components'!$N$46)^'MFSP Baseline'!L48) + L50</f>
        <v>2733618590.226975</v>
      </c>
      <c r="M51">
        <f>M49/((1+'Cost Components'!$N$46)^'MFSP Baseline'!M48) + M50</f>
        <v>2588545666.5354543</v>
      </c>
      <c r="N51">
        <f>N49/((1+'Cost Components'!$N$46)^'MFSP Baseline'!N48) + N50</f>
        <v>2452963494.861136</v>
      </c>
      <c r="O51">
        <f>O49/((1+'Cost Components'!$N$46)^'MFSP Baseline'!O48) + O50</f>
        <v>2326251184.8851371</v>
      </c>
      <c r="P51">
        <f>P49/((1+'Cost Components'!$N$46)^'MFSP Baseline'!P48) + P50</f>
        <v>2207828465.2814002</v>
      </c>
      <c r="Q51">
        <f>Q49/((1+'Cost Components'!$N$46)^'MFSP Baseline'!Q48) + Q50</f>
        <v>2097153026.3994029</v>
      </c>
      <c r="R51">
        <f>R49/((1+'Cost Components'!$N$46)^'MFSP Baseline'!R48) + R50</f>
        <v>1993718036.7900598</v>
      </c>
      <c r="S51">
        <f>S49/((1+'Cost Components'!$N$46)^'MFSP Baseline'!S48) + S50</f>
        <v>1897049822.2018886</v>
      </c>
      <c r="T51">
        <f>T49/((1+'Cost Components'!$N$46)^'MFSP Baseline'!T48) + T50</f>
        <v>1806705696.4185507</v>
      </c>
      <c r="U51">
        <f>U49/((1+'Cost Components'!$N$46)^'MFSP Baseline'!U48) + U50</f>
        <v>1722271934.0042164</v>
      </c>
      <c r="V51">
        <f>V49/((1+'Cost Components'!$N$46)^'MFSP Baseline'!V48) + V50</f>
        <v>1643361875.673063</v>
      </c>
      <c r="W51">
        <f>W49/((1+'Cost Components'!$N$46)^'MFSP Baseline'!W48) + W50</f>
        <v>1569614157.6065645</v>
      </c>
      <c r="X51">
        <f>X49/((1+'Cost Components'!$N$46)^'MFSP Baseline'!X48) + X50</f>
        <v>1500691056.6098368</v>
      </c>
      <c r="Y51">
        <f>Y49/((1+'Cost Components'!$N$46)^'MFSP Baseline'!Y48) + Y50</f>
        <v>1436276943.5287828</v>
      </c>
      <c r="Z51">
        <f>Z49/((1+'Cost Components'!$N$46)^'MFSP Baseline'!Z48) + Z50</f>
        <v>1376076837.8455551</v>
      </c>
      <c r="AA51">
        <f>AA49/((1+'Cost Components'!$N$46)^'MFSP Baseline'!AA48) + AA50</f>
        <v>1319815056.8331923</v>
      </c>
      <c r="AB51">
        <f>AB49/((1+'Cost Components'!$N$46)^'MFSP Baseline'!AB48) + AB50</f>
        <v>1267233953.0833209</v>
      </c>
      <c r="AC51">
        <f>AC49/((1+'Cost Components'!$N$46)^'MFSP Baseline'!AC48) + AC50</f>
        <v>1218092734.6254969</v>
      </c>
      <c r="AD51">
        <f>AD49/((1+'Cost Components'!$N$46)^'MFSP Baseline'!AD48) + AD50</f>
        <v>1172166362.2350075</v>
      </c>
      <c r="AE51">
        <f>AE49/((1+'Cost Components'!$N$46)^'MFSP Baseline'!AE48) + AE50</f>
        <v>1129244518.8794098</v>
      </c>
      <c r="AF51">
        <f>AF49/((1+'Cost Components'!$N$46)^'MFSP Baseline'!AF48) + AF50</f>
        <v>1089130646.5844586</v>
      </c>
    </row>
    <row r="52" spans="1:32">
      <c r="A52" t="s">
        <v>147</v>
      </c>
      <c r="B52">
        <v>0</v>
      </c>
      <c r="C52">
        <f>'Study Parameters'!$C$19</f>
        <v>800000000</v>
      </c>
      <c r="D52">
        <f>'Study Parameters'!$C$19</f>
        <v>800000000</v>
      </c>
      <c r="E52">
        <f>'Study Parameters'!$C$19</f>
        <v>800000000</v>
      </c>
      <c r="F52">
        <f>'Study Parameters'!$C$19</f>
        <v>800000000</v>
      </c>
      <c r="G52">
        <f>'Study Parameters'!$C$19</f>
        <v>800000000</v>
      </c>
      <c r="H52">
        <f>'Study Parameters'!$C$19</f>
        <v>800000000</v>
      </c>
      <c r="I52">
        <f>'Study Parameters'!$C$19</f>
        <v>800000000</v>
      </c>
      <c r="J52">
        <f>'Study Parameters'!$C$19</f>
        <v>800000000</v>
      </c>
      <c r="K52">
        <f>'Study Parameters'!$C$19</f>
        <v>800000000</v>
      </c>
      <c r="L52">
        <f>'Study Parameters'!$C$19</f>
        <v>800000000</v>
      </c>
      <c r="M52">
        <f>'Study Parameters'!$C$19</f>
        <v>800000000</v>
      </c>
      <c r="N52">
        <f>'Study Parameters'!$C$19</f>
        <v>800000000</v>
      </c>
      <c r="O52">
        <f>'Study Parameters'!$C$19</f>
        <v>800000000</v>
      </c>
      <c r="P52">
        <f>'Study Parameters'!$C$19</f>
        <v>800000000</v>
      </c>
      <c r="Q52">
        <f>'Study Parameters'!$C$19</f>
        <v>800000000</v>
      </c>
      <c r="R52">
        <f>'Study Parameters'!$C$19</f>
        <v>800000000</v>
      </c>
      <c r="S52">
        <f>'Study Parameters'!$C$19</f>
        <v>800000000</v>
      </c>
      <c r="T52">
        <f>'Study Parameters'!$C$19</f>
        <v>800000000</v>
      </c>
      <c r="U52">
        <f>'Study Parameters'!$C$19</f>
        <v>800000000</v>
      </c>
      <c r="V52">
        <f>'Study Parameters'!$C$19</f>
        <v>800000000</v>
      </c>
      <c r="W52">
        <f>'Study Parameters'!$C$19</f>
        <v>800000000</v>
      </c>
      <c r="X52">
        <f>'Study Parameters'!$C$19</f>
        <v>800000000</v>
      </c>
      <c r="Y52">
        <f>'Study Parameters'!$C$19</f>
        <v>800000000</v>
      </c>
      <c r="Z52">
        <f>'Study Parameters'!$C$19</f>
        <v>800000000</v>
      </c>
      <c r="AA52">
        <f>'Study Parameters'!$C$19</f>
        <v>800000000</v>
      </c>
      <c r="AB52">
        <f>'Study Parameters'!$C$19</f>
        <v>800000000</v>
      </c>
      <c r="AC52">
        <f>'Study Parameters'!$C$19</f>
        <v>800000000</v>
      </c>
      <c r="AD52">
        <f>'Study Parameters'!$C$19</f>
        <v>800000000</v>
      </c>
      <c r="AE52">
        <f>'Study Parameters'!$C$19</f>
        <v>800000000</v>
      </c>
      <c r="AF52">
        <f>'Study Parameters'!$C$19</f>
        <v>800000000</v>
      </c>
    </row>
    <row r="53" spans="1:32">
      <c r="A53" t="s">
        <v>148</v>
      </c>
      <c r="B53">
        <v>0</v>
      </c>
      <c r="C53">
        <f>C52/((1+'Cost Components'!$N$46)^'MFSP Baseline'!C48)</f>
        <v>747663551.40186906</v>
      </c>
      <c r="D53">
        <f>D52/((1+'Cost Components'!$N$46)^'MFSP Baseline'!D48)</f>
        <v>698750982.61856925</v>
      </c>
      <c r="E53">
        <f>E52/((1+'Cost Components'!$N$46)^'MFSP Baseline'!E48)</f>
        <v>653038301.51268148</v>
      </c>
      <c r="F53">
        <f>F52/((1+'Cost Components'!$N$46)^'MFSP Baseline'!F48)</f>
        <v>610316169.63802016</v>
      </c>
      <c r="G53">
        <f>G52/((1+'Cost Components'!$N$46)^'MFSP Baseline'!G48)</f>
        <v>570388943.58693469</v>
      </c>
      <c r="H53">
        <f>H52/((1+'Cost Components'!$N$46)^'MFSP Baseline'!H48)</f>
        <v>533073779.05321002</v>
      </c>
      <c r="I53">
        <f>I52/((1+'Cost Components'!$N$46)^'MFSP Baseline'!I48)</f>
        <v>498199793.50767291</v>
      </c>
      <c r="J53">
        <f>J52/((1+'Cost Components'!$N$46)^'MFSP Baseline'!J48)</f>
        <v>465607283.65203077</v>
      </c>
      <c r="K53">
        <f>K52/((1+'Cost Components'!$N$46)^'MFSP Baseline'!K48)</f>
        <v>435146994.06731838</v>
      </c>
      <c r="L53">
        <f>L52/((1+'Cost Components'!$N$46)^'MFSP Baseline'!L48)</f>
        <v>406679433.70777422</v>
      </c>
      <c r="M53">
        <f>M52/((1+'Cost Components'!$N$46)^'MFSP Baseline'!M48)</f>
        <v>380074237.11006933</v>
      </c>
      <c r="N53">
        <f>N52/((1+'Cost Components'!$N$46)^'MFSP Baseline'!N48)</f>
        <v>355209567.39258826</v>
      </c>
      <c r="O53">
        <f>O52/((1+'Cost Components'!$N$46)^'MFSP Baseline'!O48)</f>
        <v>331971558.31083012</v>
      </c>
      <c r="P53">
        <f>P52/((1+'Cost Components'!$N$46)^'MFSP Baseline'!P48)</f>
        <v>310253792.81385994</v>
      </c>
      <c r="Q53">
        <f>Q52/((1+'Cost Components'!$N$46)^'MFSP Baseline'!Q48)</f>
        <v>289956815.71388775</v>
      </c>
      <c r="R53">
        <f>R52/((1+'Cost Components'!$N$46)^'MFSP Baseline'!R48)</f>
        <v>270987678.23727828</v>
      </c>
      <c r="S53">
        <f>S52/((1+'Cost Components'!$N$46)^'MFSP Baseline'!S48)</f>
        <v>253259512.37128812</v>
      </c>
      <c r="T53">
        <f>T52/((1+'Cost Components'!$N$46)^'MFSP Baseline'!T48)</f>
        <v>236691133.0572786</v>
      </c>
      <c r="U53">
        <f>U52/((1+'Cost Components'!$N$46)^'MFSP Baseline'!U48)</f>
        <v>221206666.40867159</v>
      </c>
      <c r="V53">
        <f>V52/((1+'Cost Components'!$N$46)^'MFSP Baseline'!V48)</f>
        <v>206735202.25109497</v>
      </c>
      <c r="W53">
        <f>W52/((1+'Cost Components'!$N$46)^'MFSP Baseline'!W48)</f>
        <v>193210469.39354667</v>
      </c>
      <c r="X53">
        <f>X52/((1+'Cost Components'!$N$46)^'MFSP Baseline'!X48)</f>
        <v>180570532.14350158</v>
      </c>
      <c r="Y53">
        <f>Y52/((1+'Cost Components'!$N$46)^'MFSP Baseline'!Y48)</f>
        <v>168757506.67616969</v>
      </c>
      <c r="Z53">
        <f>Z52/((1+'Cost Components'!$N$46)^'MFSP Baseline'!Z48)</f>
        <v>157717295.9590371</v>
      </c>
      <c r="AA53">
        <f>AA52/((1+'Cost Components'!$N$46)^'MFSP Baseline'!AA48)</f>
        <v>147399342.01779166</v>
      </c>
      <c r="AB53">
        <f>AB52/((1+'Cost Components'!$N$46)^'MFSP Baseline'!AB48)</f>
        <v>137756394.40915111</v>
      </c>
      <c r="AC53">
        <f>AC52/((1+'Cost Components'!$N$46)^'MFSP Baseline'!AC48)</f>
        <v>128744293.8403281</v>
      </c>
      <c r="AD53">
        <f>AD52/((1+'Cost Components'!$N$46)^'MFSP Baseline'!AD48)</f>
        <v>120321769.9442319</v>
      </c>
      <c r="AE53">
        <f>AE52/((1+'Cost Components'!$N$46)^'MFSP Baseline'!AE48)</f>
        <v>112450252.28432886</v>
      </c>
      <c r="AF53">
        <f>AF52/((1+'Cost Components'!$N$46)^'MFSP Baseline'!AF48)</f>
        <v>105093693.72367184</v>
      </c>
    </row>
    <row r="55" spans="1:32">
      <c r="A55" t="s">
        <v>149</v>
      </c>
      <c r="B55">
        <f>SUM(B51:AF51) / SUM(B53:AF53)</f>
        <v>7.0123785961332468</v>
      </c>
    </row>
    <row r="57" spans="1:32">
      <c r="A57" t="s">
        <v>152</v>
      </c>
    </row>
    <row r="58" spans="1:32">
      <c r="A58" t="s">
        <v>1</v>
      </c>
      <c r="B58">
        <v>0</v>
      </c>
      <c r="C58">
        <v>1</v>
      </c>
      <c r="D58">
        <v>2</v>
      </c>
      <c r="E58">
        <v>3</v>
      </c>
      <c r="F58">
        <v>4</v>
      </c>
      <c r="G58">
        <v>5</v>
      </c>
      <c r="H58">
        <v>6</v>
      </c>
      <c r="I58">
        <v>7</v>
      </c>
      <c r="J58">
        <v>8</v>
      </c>
      <c r="K58">
        <v>9</v>
      </c>
      <c r="L58">
        <v>10</v>
      </c>
      <c r="M58">
        <v>11</v>
      </c>
      <c r="N58">
        <v>12</v>
      </c>
      <c r="O58">
        <v>13</v>
      </c>
      <c r="P58">
        <v>14</v>
      </c>
      <c r="Q58">
        <v>15</v>
      </c>
      <c r="R58">
        <v>16</v>
      </c>
      <c r="S58">
        <v>17</v>
      </c>
      <c r="T58">
        <v>18</v>
      </c>
      <c r="U58">
        <v>19</v>
      </c>
      <c r="V58">
        <v>20</v>
      </c>
      <c r="W58">
        <v>21</v>
      </c>
      <c r="X58">
        <v>22</v>
      </c>
      <c r="Y58">
        <v>23</v>
      </c>
      <c r="Z58">
        <v>24</v>
      </c>
      <c r="AA58">
        <v>25</v>
      </c>
      <c r="AB58">
        <v>26</v>
      </c>
      <c r="AC58">
        <v>27</v>
      </c>
      <c r="AD58">
        <v>28</v>
      </c>
      <c r="AE58">
        <v>29</v>
      </c>
      <c r="AF58">
        <v>30</v>
      </c>
    </row>
    <row r="59" spans="1:32">
      <c r="A59" t="s">
        <v>111</v>
      </c>
      <c r="B59">
        <v>0</v>
      </c>
      <c r="C59">
        <f>'Cost Components'!$N$54*10^6</f>
        <v>1385461210.6372774</v>
      </c>
      <c r="D59">
        <f>'Cost Components'!$N$54*10^6</f>
        <v>1385461210.6372774</v>
      </c>
      <c r="E59">
        <f>'Cost Components'!$N$54*10^6</f>
        <v>1385461210.6372774</v>
      </c>
      <c r="F59">
        <f>'Cost Components'!$N$54*10^6</f>
        <v>1385461210.6372774</v>
      </c>
      <c r="G59">
        <f>'Cost Components'!$N$54*10^6</f>
        <v>1385461210.6372774</v>
      </c>
      <c r="H59">
        <f>'Cost Components'!$N$54*10^6</f>
        <v>1385461210.6372774</v>
      </c>
      <c r="I59">
        <f>'Cost Components'!$N$54*10^6</f>
        <v>1385461210.6372774</v>
      </c>
      <c r="J59">
        <f>'Cost Components'!$N$54*10^6</f>
        <v>1385461210.6372774</v>
      </c>
      <c r="K59">
        <f>'Cost Components'!$N$54*10^6</f>
        <v>1385461210.6372774</v>
      </c>
      <c r="L59">
        <f>'Cost Components'!$N$54*10^6</f>
        <v>1385461210.6372774</v>
      </c>
      <c r="M59">
        <f>'Cost Components'!$N$54*10^6</f>
        <v>1385461210.6372774</v>
      </c>
      <c r="N59">
        <f>'Cost Components'!$N$54*10^6</f>
        <v>1385461210.6372774</v>
      </c>
      <c r="O59">
        <f>'Cost Components'!$N$54*10^6</f>
        <v>1385461210.6372774</v>
      </c>
      <c r="P59">
        <f>'Cost Components'!$N$54*10^6</f>
        <v>1385461210.6372774</v>
      </c>
      <c r="Q59">
        <f>'Cost Components'!$N$54*10^6</f>
        <v>1385461210.6372774</v>
      </c>
      <c r="R59">
        <f>'Cost Components'!$N$54*10^6</f>
        <v>1385461210.6372774</v>
      </c>
      <c r="S59">
        <f>'Cost Components'!$N$54*10^6</f>
        <v>1385461210.6372774</v>
      </c>
      <c r="T59">
        <f>'Cost Components'!$N$54*10^6</f>
        <v>1385461210.6372774</v>
      </c>
      <c r="U59">
        <f>'Cost Components'!$N$54*10^6</f>
        <v>1385461210.6372774</v>
      </c>
      <c r="V59">
        <f>'Cost Components'!$N$54*10^6</f>
        <v>1385461210.6372774</v>
      </c>
      <c r="W59">
        <f>'Cost Components'!$N$54*10^6</f>
        <v>1385461210.6372774</v>
      </c>
      <c r="X59">
        <f>'Cost Components'!$N$54*10^6</f>
        <v>1385461210.6372774</v>
      </c>
      <c r="Y59">
        <f>'Cost Components'!$N$54*10^6</f>
        <v>1385461210.6372774</v>
      </c>
      <c r="Z59">
        <f>'Cost Components'!$N$54*10^6</f>
        <v>1385461210.6372774</v>
      </c>
      <c r="AA59">
        <f>'Cost Components'!$N$54*10^6</f>
        <v>1385461210.6372774</v>
      </c>
      <c r="AB59">
        <f>'Cost Components'!$N$54*10^6</f>
        <v>1385461210.6372774</v>
      </c>
      <c r="AC59">
        <f>'Cost Components'!$N$54*10^6</f>
        <v>1385461210.6372774</v>
      </c>
      <c r="AD59">
        <f>'Cost Components'!$N$54*10^6</f>
        <v>1385461210.6372774</v>
      </c>
      <c r="AE59">
        <f>'Cost Components'!$N$54*10^6</f>
        <v>1385461210.6372774</v>
      </c>
      <c r="AF59">
        <f>'Cost Components'!$N$54*10^6</f>
        <v>1385461210.6372774</v>
      </c>
    </row>
    <row r="60" spans="1:32">
      <c r="A60" t="s">
        <v>146</v>
      </c>
      <c r="B60">
        <v>0</v>
      </c>
      <c r="C60">
        <f>'Cost Components'!$N$56</f>
        <v>300345525.88591146</v>
      </c>
      <c r="D60">
        <f>'Cost Components'!$N$56</f>
        <v>300345525.88591146</v>
      </c>
      <c r="E60">
        <f>'Cost Components'!$N$56</f>
        <v>300345525.88591146</v>
      </c>
      <c r="F60">
        <f>'Cost Components'!$N$56</f>
        <v>300345525.88591146</v>
      </c>
      <c r="G60">
        <f>'Cost Components'!$N$56</f>
        <v>300345525.88591146</v>
      </c>
      <c r="H60">
        <f>'Cost Components'!$N$56</f>
        <v>300345525.88591146</v>
      </c>
      <c r="I60">
        <f>'Cost Components'!$N$56</f>
        <v>300345525.88591146</v>
      </c>
      <c r="J60">
        <f>'Cost Components'!$N$56</f>
        <v>300345525.88591146</v>
      </c>
      <c r="K60">
        <f>'Cost Components'!$N$56</f>
        <v>300345525.88591146</v>
      </c>
      <c r="L60">
        <f>'Cost Components'!$N$56</f>
        <v>300345525.88591146</v>
      </c>
      <c r="M60">
        <f>'Cost Components'!$N$56</f>
        <v>300345525.88591146</v>
      </c>
      <c r="N60">
        <f>'Cost Components'!$N$56</f>
        <v>300345525.88591146</v>
      </c>
      <c r="O60">
        <f>'Cost Components'!$N$56</f>
        <v>300345525.88591146</v>
      </c>
      <c r="P60">
        <f>'Cost Components'!$N$56</f>
        <v>300345525.88591146</v>
      </c>
      <c r="Q60">
        <f>'Cost Components'!$N$56</f>
        <v>300345525.88591146</v>
      </c>
      <c r="R60">
        <f>'Cost Components'!$N$56</f>
        <v>300345525.88591146</v>
      </c>
      <c r="S60">
        <f>'Cost Components'!$N$56</f>
        <v>300345525.88591146</v>
      </c>
      <c r="T60">
        <f>'Cost Components'!$N$56</f>
        <v>300345525.88591146</v>
      </c>
      <c r="U60">
        <f>'Cost Components'!$N$56</f>
        <v>300345525.88591146</v>
      </c>
      <c r="V60">
        <f>'Cost Components'!$N$56</f>
        <v>300345525.88591146</v>
      </c>
      <c r="W60">
        <f>'Cost Components'!$N$56</f>
        <v>300345525.88591146</v>
      </c>
      <c r="X60">
        <f>'Cost Components'!$N$56</f>
        <v>300345525.88591146</v>
      </c>
      <c r="Y60">
        <f>'Cost Components'!$N$56</f>
        <v>300345525.88591146</v>
      </c>
      <c r="Z60">
        <f>'Cost Components'!$N$56</f>
        <v>300345525.88591146</v>
      </c>
      <c r="AA60">
        <f>'Cost Components'!$N$56</f>
        <v>300345525.88591146</v>
      </c>
      <c r="AB60">
        <f>'Cost Components'!$N$56</f>
        <v>300345525.88591146</v>
      </c>
      <c r="AC60">
        <f>'Cost Components'!$N$56</f>
        <v>300345525.88591146</v>
      </c>
      <c r="AD60">
        <f>'Cost Components'!$N$56</f>
        <v>300345525.88591146</v>
      </c>
      <c r="AE60">
        <f>'Cost Components'!$N$56</f>
        <v>300345525.88591146</v>
      </c>
      <c r="AF60">
        <f>'Cost Components'!$N$56</f>
        <v>300345525.88591146</v>
      </c>
    </row>
    <row r="61" spans="1:32">
      <c r="A61" t="s">
        <v>112</v>
      </c>
      <c r="B61">
        <v>0</v>
      </c>
      <c r="C61">
        <f>C59/((1+'Cost Components'!$N$55)^'MFSP Baseline'!C58) + C60</f>
        <v>1595169087.2291613</v>
      </c>
      <c r="D61">
        <f>D59/((1+'Cost Components'!$N$55)^'MFSP Baseline'!D58) + D60</f>
        <v>1510461003.7767992</v>
      </c>
      <c r="E61">
        <f>E59/((1+'Cost Components'!$N$55)^'MFSP Baseline'!E58) + E60</f>
        <v>1431294570.6437504</v>
      </c>
      <c r="F61">
        <f>F59/((1+'Cost Components'!$N$55)^'MFSP Baseline'!F58) + F60</f>
        <v>1357307249.9586582</v>
      </c>
      <c r="G61">
        <f>G59/((1+'Cost Components'!$N$55)^'MFSP Baseline'!G58) + G60</f>
        <v>1288160221.2810018</v>
      </c>
      <c r="H61">
        <f>H59/((1+'Cost Components'!$N$55)^'MFSP Baseline'!H58) + H60</f>
        <v>1223536829.9934726</v>
      </c>
      <c r="I61">
        <f>I59/((1+'Cost Components'!$N$55)^'MFSP Baseline'!I58) + I60</f>
        <v>1163141137.2013891</v>
      </c>
      <c r="J61">
        <f>J59/((1+'Cost Components'!$N$55)^'MFSP Baseline'!J58) + J60</f>
        <v>1106696564.4985075</v>
      </c>
      <c r="K61">
        <f>K59/((1+'Cost Components'!$N$55)^'MFSP Baseline'!K58) + K60</f>
        <v>1053944627.3930104</v>
      </c>
      <c r="L61">
        <f>L59/((1+'Cost Components'!$N$55)^'MFSP Baseline'!L58) + L60</f>
        <v>1004643751.5934806</v>
      </c>
      <c r="M61">
        <f>M59/((1+'Cost Components'!$N$55)^'MFSP Baseline'!M58) + M60</f>
        <v>958568166.73410678</v>
      </c>
      <c r="N61">
        <f>N59/((1+'Cost Components'!$N$55)^'MFSP Baseline'!N58) + N60</f>
        <v>915506872.47301006</v>
      </c>
      <c r="O61">
        <f>O59/((1+'Cost Components'!$N$55)^'MFSP Baseline'!O58) + O60</f>
        <v>875262672.22899413</v>
      </c>
      <c r="P61">
        <f>P59/((1+'Cost Components'!$N$55)^'MFSP Baseline'!P58) + P60</f>
        <v>837651270.13178325</v>
      </c>
      <c r="Q61">
        <f>Q59/((1+'Cost Components'!$N$55)^'MFSP Baseline'!Q58) + Q60</f>
        <v>802500427.05027747</v>
      </c>
      <c r="R61">
        <f>R59/((1+'Cost Components'!$N$55)^'MFSP Baseline'!R58) + R60</f>
        <v>769649171.83391714</v>
      </c>
      <c r="S61">
        <f>S59/((1+'Cost Components'!$N$55)^'MFSP Baseline'!S58) + S60</f>
        <v>738947064.15507567</v>
      </c>
      <c r="T61">
        <f>T59/((1+'Cost Components'!$N$55)^'MFSP Baseline'!T58) + T60</f>
        <v>710253505.57671905</v>
      </c>
      <c r="U61">
        <f>U59/((1+'Cost Components'!$N$55)^'MFSP Baseline'!U58) + U60</f>
        <v>683437095.69040465</v>
      </c>
      <c r="V61">
        <f>V59/((1+'Cost Components'!$N$55)^'MFSP Baseline'!V58) + V60</f>
        <v>658375030.37609196</v>
      </c>
      <c r="W61">
        <f>W59/((1+'Cost Components'!$N$55)^'MFSP Baseline'!W58) + W60</f>
        <v>634952539.42813623</v>
      </c>
      <c r="X61">
        <f>X59/((1+'Cost Components'!$N$55)^'MFSP Baseline'!X58) + X60</f>
        <v>613062360.97210288</v>
      </c>
      <c r="Y61">
        <f>Y59/((1+'Cost Components'!$N$55)^'MFSP Baseline'!Y58) + Y60</f>
        <v>592604250.26552963</v>
      </c>
      <c r="Z61">
        <f>Z59/((1+'Cost Components'!$N$55)^'MFSP Baseline'!Z58) + Z60</f>
        <v>573484520.63321805</v>
      </c>
      <c r="AA61">
        <f>AA59/((1+'Cost Components'!$N$55)^'MFSP Baseline'!AA58) + AA60</f>
        <v>555615614.43479609</v>
      </c>
      <c r="AB61">
        <f>AB59/((1+'Cost Components'!$N$55)^'MFSP Baseline'!AB58) + AB60</f>
        <v>538915702.0998224</v>
      </c>
      <c r="AC61">
        <f>AC59/((1+'Cost Components'!$N$55)^'MFSP Baseline'!AC58) + AC60</f>
        <v>523308307.39423943</v>
      </c>
      <c r="AD61">
        <f>AD59/((1+'Cost Components'!$N$55)^'MFSP Baseline'!AD58) + AD60</f>
        <v>508721957.20210582</v>
      </c>
      <c r="AE61">
        <f>AE59/((1+'Cost Components'!$N$55)^'MFSP Baseline'!AE58) + AE60</f>
        <v>495089854.21880341</v>
      </c>
      <c r="AF61">
        <f>AF59/((1+'Cost Components'!$N$55)^'MFSP Baseline'!AF58) + AF60</f>
        <v>482349571.05683851</v>
      </c>
    </row>
    <row r="62" spans="1:32">
      <c r="A62" t="s">
        <v>147</v>
      </c>
      <c r="B62">
        <v>0</v>
      </c>
      <c r="C62">
        <f>'Study Parameters'!$C$19</f>
        <v>800000000</v>
      </c>
      <c r="D62">
        <f>'Study Parameters'!$C$19</f>
        <v>800000000</v>
      </c>
      <c r="E62">
        <f>'Study Parameters'!$C$19</f>
        <v>800000000</v>
      </c>
      <c r="F62">
        <f>'Study Parameters'!$C$19</f>
        <v>800000000</v>
      </c>
      <c r="G62">
        <f>'Study Parameters'!$C$19</f>
        <v>800000000</v>
      </c>
      <c r="H62">
        <f>'Study Parameters'!$C$19</f>
        <v>800000000</v>
      </c>
      <c r="I62">
        <f>'Study Parameters'!$C$19</f>
        <v>800000000</v>
      </c>
      <c r="J62">
        <f>'Study Parameters'!$C$19</f>
        <v>800000000</v>
      </c>
      <c r="K62">
        <f>'Study Parameters'!$C$19</f>
        <v>800000000</v>
      </c>
      <c r="L62">
        <f>'Study Parameters'!$C$19</f>
        <v>800000000</v>
      </c>
      <c r="M62">
        <f>'Study Parameters'!$C$19</f>
        <v>800000000</v>
      </c>
      <c r="N62">
        <f>'Study Parameters'!$C$19</f>
        <v>800000000</v>
      </c>
      <c r="O62">
        <f>'Study Parameters'!$C$19</f>
        <v>800000000</v>
      </c>
      <c r="P62">
        <f>'Study Parameters'!$C$19</f>
        <v>800000000</v>
      </c>
      <c r="Q62">
        <f>'Study Parameters'!$C$19</f>
        <v>800000000</v>
      </c>
      <c r="R62">
        <f>'Study Parameters'!$C$19</f>
        <v>800000000</v>
      </c>
      <c r="S62">
        <f>'Study Parameters'!$C$19</f>
        <v>800000000</v>
      </c>
      <c r="T62">
        <f>'Study Parameters'!$C$19</f>
        <v>800000000</v>
      </c>
      <c r="U62">
        <f>'Study Parameters'!$C$19</f>
        <v>800000000</v>
      </c>
      <c r="V62">
        <f>'Study Parameters'!$C$19</f>
        <v>800000000</v>
      </c>
      <c r="W62">
        <f>'Study Parameters'!$C$19</f>
        <v>800000000</v>
      </c>
      <c r="X62">
        <f>'Study Parameters'!$C$19</f>
        <v>800000000</v>
      </c>
      <c r="Y62">
        <f>'Study Parameters'!$C$19</f>
        <v>800000000</v>
      </c>
      <c r="Z62">
        <f>'Study Parameters'!$C$19</f>
        <v>800000000</v>
      </c>
      <c r="AA62">
        <f>'Study Parameters'!$C$19</f>
        <v>800000000</v>
      </c>
      <c r="AB62">
        <f>'Study Parameters'!$C$19</f>
        <v>800000000</v>
      </c>
      <c r="AC62">
        <f>'Study Parameters'!$C$19</f>
        <v>800000000</v>
      </c>
      <c r="AD62">
        <f>'Study Parameters'!$C$19</f>
        <v>800000000</v>
      </c>
      <c r="AE62">
        <f>'Study Parameters'!$C$19</f>
        <v>800000000</v>
      </c>
      <c r="AF62">
        <f>'Study Parameters'!$C$19</f>
        <v>800000000</v>
      </c>
    </row>
    <row r="63" spans="1:32">
      <c r="A63" t="s">
        <v>148</v>
      </c>
      <c r="B63">
        <v>0</v>
      </c>
      <c r="C63">
        <f>C62/((1+'Cost Components'!$N$55)^'MFSP Baseline'!C58)</f>
        <v>747663551.40186906</v>
      </c>
      <c r="D63">
        <f>D62/((1+'Cost Components'!$N$55)^'MFSP Baseline'!D58)</f>
        <v>698750982.61856925</v>
      </c>
      <c r="E63">
        <f>E62/((1+'Cost Components'!$N$55)^'MFSP Baseline'!E58)</f>
        <v>653038301.51268148</v>
      </c>
      <c r="F63">
        <f>F62/((1+'Cost Components'!$N$55)^'MFSP Baseline'!F58)</f>
        <v>610316169.63802016</v>
      </c>
      <c r="G63">
        <f>G62/((1+'Cost Components'!$N$55)^'MFSP Baseline'!G58)</f>
        <v>570388943.58693469</v>
      </c>
      <c r="H63">
        <f>H62/((1+'Cost Components'!$N$55)^'MFSP Baseline'!H58)</f>
        <v>533073779.05321002</v>
      </c>
      <c r="I63">
        <f>I62/((1+'Cost Components'!$N$55)^'MFSP Baseline'!I58)</f>
        <v>498199793.50767291</v>
      </c>
      <c r="J63">
        <f>J62/((1+'Cost Components'!$N$55)^'MFSP Baseline'!J58)</f>
        <v>465607283.65203077</v>
      </c>
      <c r="K63">
        <f>K62/((1+'Cost Components'!$N$55)^'MFSP Baseline'!K58)</f>
        <v>435146994.06731838</v>
      </c>
      <c r="L63">
        <f>L62/((1+'Cost Components'!$N$55)^'MFSP Baseline'!L58)</f>
        <v>406679433.70777422</v>
      </c>
      <c r="M63">
        <f>M62/((1+'Cost Components'!$N$55)^'MFSP Baseline'!M58)</f>
        <v>380074237.11006933</v>
      </c>
      <c r="N63">
        <f>N62/((1+'Cost Components'!$N$55)^'MFSP Baseline'!N58)</f>
        <v>355209567.39258826</v>
      </c>
      <c r="O63">
        <f>O62/((1+'Cost Components'!$N$55)^'MFSP Baseline'!O58)</f>
        <v>331971558.31083012</v>
      </c>
      <c r="P63">
        <f>P62/((1+'Cost Components'!$N$55)^'MFSP Baseline'!P58)</f>
        <v>310253792.81385994</v>
      </c>
      <c r="Q63">
        <f>Q62/((1+'Cost Components'!$N$55)^'MFSP Baseline'!Q58)</f>
        <v>289956815.71388775</v>
      </c>
      <c r="R63">
        <f>R62/((1+'Cost Components'!$N$55)^'MFSP Baseline'!R58)</f>
        <v>270987678.23727828</v>
      </c>
      <c r="S63">
        <f>S62/((1+'Cost Components'!$N$55)^'MFSP Baseline'!S58)</f>
        <v>253259512.37128812</v>
      </c>
      <c r="T63">
        <f>T62/((1+'Cost Components'!$N$55)^'MFSP Baseline'!T58)</f>
        <v>236691133.0572786</v>
      </c>
      <c r="U63">
        <f>U62/((1+'Cost Components'!$N$55)^'MFSP Baseline'!U58)</f>
        <v>221206666.40867159</v>
      </c>
      <c r="V63">
        <f>V62/((1+'Cost Components'!$N$55)^'MFSP Baseline'!V58)</f>
        <v>206735202.25109497</v>
      </c>
      <c r="W63">
        <f>W62/((1+'Cost Components'!$N$55)^'MFSP Baseline'!W58)</f>
        <v>193210469.39354667</v>
      </c>
      <c r="X63">
        <f>X62/((1+'Cost Components'!$N$55)^'MFSP Baseline'!X58)</f>
        <v>180570532.14350158</v>
      </c>
      <c r="Y63">
        <f>Y62/((1+'Cost Components'!$N$55)^'MFSP Baseline'!Y58)</f>
        <v>168757506.67616969</v>
      </c>
      <c r="Z63">
        <f>Z62/((1+'Cost Components'!$N$55)^'MFSP Baseline'!Z58)</f>
        <v>157717295.9590371</v>
      </c>
      <c r="AA63">
        <f>AA62/((1+'Cost Components'!$N$55)^'MFSP Baseline'!AA58)</f>
        <v>147399342.01779166</v>
      </c>
      <c r="AB63">
        <f>AB62/((1+'Cost Components'!$N$55)^'MFSP Baseline'!AB58)</f>
        <v>137756394.40915111</v>
      </c>
      <c r="AC63">
        <f>AC62/((1+'Cost Components'!$N$55)^'MFSP Baseline'!AC58)</f>
        <v>128744293.8403281</v>
      </c>
      <c r="AD63">
        <f>AD62/((1+'Cost Components'!$N$55)^'MFSP Baseline'!AD58)</f>
        <v>120321769.9442319</v>
      </c>
      <c r="AE63">
        <f>AE62/((1+'Cost Components'!$N$55)^'MFSP Baseline'!AE58)</f>
        <v>112450252.28432886</v>
      </c>
      <c r="AF63">
        <f>AF62/((1+'Cost Components'!$N$55)^'MFSP Baseline'!AF58)</f>
        <v>105093693.72367184</v>
      </c>
    </row>
    <row r="65" spans="1:32">
      <c r="A65" t="s">
        <v>149</v>
      </c>
      <c r="B65">
        <f>SUM(B61:AF61) / SUM(B63:AF63)</f>
        <v>2.6394677286140569</v>
      </c>
    </row>
    <row r="71" spans="1:3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5BC8F-95DE-8D40-846F-5575FFAD0FB7}">
  <dimension ref="A1:AF24"/>
  <sheetViews>
    <sheetView workbookViewId="0">
      <selection activeCell="A12" sqref="A12"/>
    </sheetView>
  </sheetViews>
  <sheetFormatPr defaultColWidth="11" defaultRowHeight="15.6"/>
  <cols>
    <col min="1" max="1" width="13.59765625" bestFit="1" customWidth="1"/>
    <col min="2" max="2" width="12.09765625" bestFit="1" customWidth="1"/>
    <col min="3" max="3" width="11.09765625" bestFit="1" customWidth="1"/>
  </cols>
  <sheetData>
    <row r="1" spans="1:32">
      <c r="A1" s="35" t="s">
        <v>1</v>
      </c>
      <c r="B1" s="35">
        <v>0</v>
      </c>
      <c r="C1" s="35">
        <v>1</v>
      </c>
      <c r="D1" s="35">
        <v>2</v>
      </c>
      <c r="E1" s="35">
        <v>3</v>
      </c>
      <c r="F1" s="35">
        <v>4</v>
      </c>
      <c r="G1" s="35">
        <v>5</v>
      </c>
      <c r="H1" s="35">
        <v>6</v>
      </c>
      <c r="I1" s="35">
        <v>7</v>
      </c>
      <c r="J1" s="35">
        <v>8</v>
      </c>
      <c r="K1" s="35">
        <v>9</v>
      </c>
      <c r="L1" s="35">
        <v>10</v>
      </c>
      <c r="M1" s="35">
        <v>11</v>
      </c>
      <c r="N1" s="35">
        <v>12</v>
      </c>
      <c r="O1" s="35">
        <v>13</v>
      </c>
      <c r="P1" s="35">
        <v>14</v>
      </c>
      <c r="Q1" s="35">
        <v>15</v>
      </c>
      <c r="R1" s="35">
        <v>16</v>
      </c>
      <c r="S1" s="35">
        <v>17</v>
      </c>
      <c r="T1" s="35">
        <v>18</v>
      </c>
      <c r="U1" s="35">
        <v>19</v>
      </c>
      <c r="V1" s="35">
        <v>20</v>
      </c>
      <c r="W1" s="35">
        <v>21</v>
      </c>
      <c r="X1" s="35">
        <v>22</v>
      </c>
      <c r="Y1" s="35">
        <v>23</v>
      </c>
      <c r="Z1" s="35">
        <v>24</v>
      </c>
      <c r="AA1" s="35">
        <v>25</v>
      </c>
      <c r="AB1" s="35">
        <v>26</v>
      </c>
      <c r="AC1" s="35">
        <v>27</v>
      </c>
      <c r="AD1" s="35">
        <v>28</v>
      </c>
      <c r="AE1" s="35">
        <v>29</v>
      </c>
      <c r="AF1" s="35">
        <v>30</v>
      </c>
    </row>
    <row r="2" spans="1:32" s="3" customFormat="1">
      <c r="A2" s="2" t="s">
        <v>155</v>
      </c>
    </row>
    <row r="3" spans="1:32">
      <c r="A3" t="s">
        <v>156</v>
      </c>
      <c r="B3">
        <v>0</v>
      </c>
      <c r="C3">
        <f>('Cost Components'!$B$44 * 10^6) / (1+'Cost Components'!$B$55) ^'Cost Breakdown'!C1</f>
        <v>2856036448.5981302</v>
      </c>
      <c r="D3">
        <f>('Cost Components'!$B$44 * 10^6) / (1+'Cost Components'!$B$55) ^'Cost Breakdown'!D1</f>
        <v>2669192942.6150751</v>
      </c>
      <c r="E3">
        <f>('Cost Components'!$B$44 * 10^6) / (1+'Cost Components'!$B$55) ^'Cost Breakdown'!E1</f>
        <v>2494572843.5654907</v>
      </c>
      <c r="F3">
        <f>('Cost Components'!$B$44 * 10^6) / (1+'Cost Components'!$B$55) ^'Cost Breakdown'!F1</f>
        <v>2331376489.3135428</v>
      </c>
      <c r="G3">
        <f>('Cost Components'!$B$44 * 10^6) / (1+'Cost Components'!$B$55) ^'Cost Breakdown'!G1</f>
        <v>2178856532.0687313</v>
      </c>
      <c r="H3">
        <f>('Cost Components'!$B$44 * 10^6) / (1+'Cost Components'!$B$55) ^'Cost Breakdown'!H1</f>
        <v>2036314515.9520855</v>
      </c>
      <c r="I3">
        <f>('Cost Components'!$B$44 * 10^6) / (1+'Cost Components'!$B$55) ^'Cost Breakdown'!I1</f>
        <v>1903097678.4598927</v>
      </c>
      <c r="J3">
        <f>('Cost Components'!$B$44 * 10^6) / (1+'Cost Components'!$B$55) ^'Cost Breakdown'!J1</f>
        <v>1778595961.17747</v>
      </c>
      <c r="K3">
        <f>('Cost Components'!$B$44 * 10^6) / (1+'Cost Components'!$B$55) ^'Cost Breakdown'!K1</f>
        <v>1662239216.0537102</v>
      </c>
      <c r="L3">
        <f>('Cost Components'!$B$44 * 10^6) / (1+'Cost Components'!$B$55) ^'Cost Breakdown'!L1</f>
        <v>1553494594.4427199</v>
      </c>
      <c r="M3">
        <f>('Cost Components'!$B$44 * 10^6) / (1+'Cost Components'!$B$55) ^'Cost Breakdown'!M1</f>
        <v>1451864106.9558127</v>
      </c>
      <c r="N3">
        <f>('Cost Components'!$B$44 * 10^6) / (1+'Cost Components'!$B$55) ^'Cost Breakdown'!N1</f>
        <v>1356882342.949358</v>
      </c>
      <c r="O3">
        <f>('Cost Components'!$B$44 * 10^6) / (1+'Cost Components'!$B$55) ^'Cost Breakdown'!O1</f>
        <v>1268114339.2050073</v>
      </c>
      <c r="P3">
        <f>('Cost Components'!$B$44 * 10^6) / (1+'Cost Components'!$B$55) ^'Cost Breakdown'!P1</f>
        <v>1185153588.042063</v>
      </c>
      <c r="Q3">
        <f>('Cost Components'!$B$44 * 10^6) / (1+'Cost Components'!$B$55) ^'Cost Breakdown'!Q1</f>
        <v>1107620175.7402456</v>
      </c>
      <c r="R3">
        <f>('Cost Components'!$B$44 * 10^6) / (1+'Cost Components'!$B$55) ^'Cost Breakdown'!R1</f>
        <v>1035159042.7478932</v>
      </c>
      <c r="S3">
        <f>('Cost Components'!$B$44 * 10^6) / (1+'Cost Components'!$B$55) ^'Cost Breakdown'!S1</f>
        <v>967438357.70831144</v>
      </c>
      <c r="T3">
        <f>('Cost Components'!$B$44 * 10^6) / (1+'Cost Components'!$B$55) ^'Cost Breakdown'!T1</f>
        <v>904147997.858235</v>
      </c>
      <c r="U3">
        <f>('Cost Components'!$B$44 * 10^6) / (1+'Cost Components'!$B$55) ^'Cost Breakdown'!U1</f>
        <v>844998128.83947194</v>
      </c>
      <c r="V3">
        <f>('Cost Components'!$B$44 * 10^6) / (1+'Cost Components'!$B$55) ^'Cost Breakdown'!V1</f>
        <v>789717877.42006731</v>
      </c>
      <c r="W3">
        <f>('Cost Components'!$B$44 * 10^6) / (1+'Cost Components'!$B$55) ^'Cost Breakdown'!W1</f>
        <v>738054091.04679179</v>
      </c>
      <c r="X3">
        <f>('Cost Components'!$B$44 * 10^6) / (1+'Cost Components'!$B$55) ^'Cost Breakdown'!X1</f>
        <v>689770178.5484035</v>
      </c>
      <c r="Y3">
        <f>('Cost Components'!$B$44 * 10^6) / (1+'Cost Components'!$B$55) ^'Cost Breakdown'!Y1</f>
        <v>644645026.68075097</v>
      </c>
      <c r="Z3">
        <f>('Cost Components'!$B$44 * 10^6) / (1+'Cost Components'!$B$55) ^'Cost Breakdown'!Z1</f>
        <v>602471987.55210364</v>
      </c>
      <c r="AA3">
        <f>('Cost Components'!$B$44 * 10^6) / (1+'Cost Components'!$B$55) ^'Cost Breakdown'!AA1</f>
        <v>563057932.2916857</v>
      </c>
      <c r="AB3">
        <f>('Cost Components'!$B$44 * 10^6) / (1+'Cost Components'!$B$55) ^'Cost Breakdown'!AB1</f>
        <v>526222366.62774366</v>
      </c>
      <c r="AC3">
        <f>('Cost Components'!$B$44 * 10^6) / (1+'Cost Components'!$B$55) ^'Cost Breakdown'!AC1</f>
        <v>491796604.32499397</v>
      </c>
      <c r="AD3">
        <f>('Cost Components'!$B$44 * 10^6) / (1+'Cost Components'!$B$55) ^'Cost Breakdown'!AD1</f>
        <v>459622994.6962561</v>
      </c>
      <c r="AE3">
        <f>('Cost Components'!$B$44 * 10^6) / (1+'Cost Components'!$B$55) ^'Cost Breakdown'!AE1</f>
        <v>429554200.65070665</v>
      </c>
      <c r="AF3">
        <f>('Cost Components'!$B$44 * 10^6) / (1+'Cost Components'!$B$55) ^'Cost Breakdown'!AF1</f>
        <v>401452523.97262305</v>
      </c>
    </row>
    <row r="4" spans="1:32">
      <c r="A4" t="s">
        <v>101</v>
      </c>
      <c r="B4">
        <v>0</v>
      </c>
      <c r="C4">
        <f>('Cost Components'!$B$42 * 10^6) / (1+'Cost Components'!$B$46) ^ 'Cost Breakdown'!C1</f>
        <v>1145077512.7725856</v>
      </c>
      <c r="D4">
        <f>('Cost Components'!$B$42 * 10^6) / (1+'Cost Components'!$B$46) ^ 'Cost Breakdown'!D1</f>
        <v>1070165899.7874633</v>
      </c>
      <c r="E4">
        <f>('Cost Components'!$B$42 * 10^6) / (1+'Cost Components'!$B$46) ^ 'Cost Breakdown'!E1</f>
        <v>1000155046.5303395</v>
      </c>
      <c r="F4">
        <f>('Cost Components'!$B$42 * 10^6) / (1+'Cost Components'!$B$46) ^ 'Cost Breakdown'!F1</f>
        <v>934724342.55171919</v>
      </c>
      <c r="G4">
        <f>('Cost Components'!$B$42 * 10^6) / (1+'Cost Components'!$B$46) ^ 'Cost Breakdown'!G1</f>
        <v>873574151.91749454</v>
      </c>
      <c r="H4">
        <f>('Cost Components'!$B$42 * 10^6) / (1+'Cost Components'!$B$46) ^ 'Cost Breakdown'!H1</f>
        <v>816424441.04438746</v>
      </c>
      <c r="I4">
        <f>('Cost Components'!$B$42 * 10^6) / (1+'Cost Components'!$B$46) ^ 'Cost Breakdown'!I1</f>
        <v>763013496.30316579</v>
      </c>
      <c r="J4">
        <f>('Cost Components'!$B$42 * 10^6) / (1+'Cost Components'!$B$46) ^ 'Cost Breakdown'!J1</f>
        <v>713096725.51697743</v>
      </c>
      <c r="K4">
        <f>('Cost Components'!$B$42 * 10^6) / (1+'Cost Components'!$B$46) ^ 'Cost Breakdown'!K1</f>
        <v>666445537.86633396</v>
      </c>
      <c r="L4">
        <f>('Cost Components'!$B$42 * 10^6) / (1+'Cost Components'!$B$46) ^ 'Cost Breakdown'!L1</f>
        <v>622846297.0713402</v>
      </c>
      <c r="M4">
        <f>('Cost Components'!$B$42 * 10^6) / (1+'Cost Components'!$B$46) ^ 'Cost Breakdown'!M1</f>
        <v>582099343.05732715</v>
      </c>
      <c r="N4">
        <f>('Cost Components'!$B$42 * 10^6) / (1+'Cost Components'!$B$46) ^ 'Cost Breakdown'!N1</f>
        <v>544018077.62367034</v>
      </c>
      <c r="O4">
        <f>('Cost Components'!$B$42 * 10^6) / (1+'Cost Components'!$B$46) ^ 'Cost Breakdown'!O1</f>
        <v>508428109.92866385</v>
      </c>
      <c r="P4">
        <f>('Cost Components'!$B$42 * 10^6) / (1+'Cost Components'!$B$46) ^ 'Cost Breakdown'!P1</f>
        <v>475166457.87725598</v>
      </c>
      <c r="Q4">
        <f>('Cost Components'!$B$42 * 10^6) / (1+'Cost Components'!$B$46) ^ 'Cost Breakdown'!Q1</f>
        <v>444080801.75444478</v>
      </c>
      <c r="R4">
        <f>('Cost Components'!$B$42 * 10^6) / (1+'Cost Components'!$B$46) ^ 'Cost Breakdown'!R1</f>
        <v>415028786.68639702</v>
      </c>
      <c r="S4">
        <f>('Cost Components'!$B$42 * 10^6) / (1+'Cost Components'!$B$46) ^ 'Cost Breakdown'!S1</f>
        <v>387877370.73495048</v>
      </c>
      <c r="T4">
        <f>('Cost Components'!$B$42 * 10^6) / (1+'Cost Components'!$B$46) ^ 'Cost Breakdown'!T1</f>
        <v>362502215.64014065</v>
      </c>
      <c r="U4">
        <f>('Cost Components'!$B$42 * 10^6) / (1+'Cost Components'!$B$46) ^ 'Cost Breakdown'!U1</f>
        <v>338787117.42069215</v>
      </c>
      <c r="V4">
        <f>('Cost Components'!$B$42 * 10^6) / (1+'Cost Components'!$B$46) ^ 'Cost Breakdown'!V1</f>
        <v>316623474.22494596</v>
      </c>
      <c r="W4">
        <f>('Cost Components'!$B$42 * 10^6) / (1+'Cost Components'!$B$46) ^ 'Cost Breakdown'!W1</f>
        <v>295909788.99527657</v>
      </c>
      <c r="X4">
        <f>('Cost Components'!$B$42 * 10^6) / (1+'Cost Components'!$B$46) ^ 'Cost Breakdown'!X1</f>
        <v>276551204.66848278</v>
      </c>
      <c r="Y4">
        <f>('Cost Components'!$B$42 * 10^6) / (1+'Cost Components'!$B$46) ^ 'Cost Breakdown'!Y1</f>
        <v>258459069.78362879</v>
      </c>
      <c r="Z4">
        <f>('Cost Components'!$B$42 * 10^6) / (1+'Cost Components'!$B$46) ^ 'Cost Breakdown'!Z1</f>
        <v>241550532.50806427</v>
      </c>
      <c r="AA4">
        <f>('Cost Components'!$B$42 * 10^6) / (1+'Cost Components'!$B$46) ^ 'Cost Breakdown'!AA1</f>
        <v>225748161.22248995</v>
      </c>
      <c r="AB4">
        <f>('Cost Components'!$B$42 * 10^6) / (1+'Cost Components'!$B$46) ^ 'Cost Breakdown'!AB1</f>
        <v>210979589.92756072</v>
      </c>
      <c r="AC4">
        <f>('Cost Components'!$B$42 * 10^6) / (1+'Cost Components'!$B$46) ^ 'Cost Breakdown'!AC1</f>
        <v>197177186.84818757</v>
      </c>
      <c r="AD4">
        <f>('Cost Components'!$B$42 * 10^6) / (1+'Cost Components'!$B$46) ^ 'Cost Breakdown'!AD1</f>
        <v>184277744.71793234</v>
      </c>
      <c r="AE4">
        <f>('Cost Components'!$B$42 * 10^6) / (1+'Cost Components'!$B$46) ^ 'Cost Breakdown'!AE1</f>
        <v>172222191.3251704</v>
      </c>
      <c r="AF4">
        <f>('Cost Components'!$B$42 * 10^6) / (1+'Cost Components'!$B$46) ^ 'Cost Breakdown'!AF1</f>
        <v>160955318.99548635</v>
      </c>
    </row>
    <row r="5" spans="1:32">
      <c r="A5" t="s">
        <v>87</v>
      </c>
      <c r="B5">
        <f>'Cost Components'!$B$9</f>
        <v>554283184.33657908</v>
      </c>
      <c r="C5">
        <f>'Cost Components'!$B$9</f>
        <v>554283184.33657908</v>
      </c>
      <c r="D5">
        <f>'Cost Components'!$B$9</f>
        <v>554283184.33657908</v>
      </c>
      <c r="E5">
        <f>'Cost Components'!$B$9</f>
        <v>554283184.33657908</v>
      </c>
      <c r="F5">
        <f>'Cost Components'!$B$9</f>
        <v>554283184.33657908</v>
      </c>
      <c r="G5">
        <f>'Cost Components'!$B$9</f>
        <v>554283184.33657908</v>
      </c>
      <c r="H5">
        <f>'Cost Components'!$B$9</f>
        <v>554283184.33657908</v>
      </c>
      <c r="I5">
        <f>'Cost Components'!$B$9</f>
        <v>554283184.33657908</v>
      </c>
      <c r="J5">
        <f>'Cost Components'!$B$9</f>
        <v>554283184.33657908</v>
      </c>
      <c r="K5">
        <f>'Cost Components'!$B$9</f>
        <v>554283184.33657908</v>
      </c>
      <c r="L5">
        <f>'Cost Components'!$B$9</f>
        <v>554283184.33657908</v>
      </c>
      <c r="M5">
        <f>'Cost Components'!$B$9</f>
        <v>554283184.33657908</v>
      </c>
      <c r="N5">
        <f>'Cost Components'!$B$9</f>
        <v>554283184.33657908</v>
      </c>
      <c r="O5">
        <f>'Cost Components'!$B$9</f>
        <v>554283184.33657908</v>
      </c>
      <c r="P5">
        <f>'Cost Components'!$B$9</f>
        <v>554283184.33657908</v>
      </c>
      <c r="Q5">
        <f>'Cost Components'!$B$9</f>
        <v>554283184.33657908</v>
      </c>
      <c r="R5">
        <f>'Cost Components'!$B$9</f>
        <v>554283184.33657908</v>
      </c>
      <c r="S5">
        <f>'Cost Components'!$B$9</f>
        <v>554283184.33657908</v>
      </c>
      <c r="T5">
        <f>'Cost Components'!$B$9</f>
        <v>554283184.33657908</v>
      </c>
      <c r="U5">
        <f>'Cost Components'!$B$9</f>
        <v>554283184.33657908</v>
      </c>
      <c r="V5">
        <f>'Cost Components'!$B$9</f>
        <v>554283184.33657908</v>
      </c>
      <c r="W5">
        <f>'Cost Components'!$B$9</f>
        <v>554283184.33657908</v>
      </c>
      <c r="X5">
        <f>'Cost Components'!$B$9</f>
        <v>554283184.33657908</v>
      </c>
      <c r="Y5">
        <f>'Cost Components'!$B$9</f>
        <v>554283184.33657908</v>
      </c>
      <c r="Z5">
        <f>'Cost Components'!$B$9</f>
        <v>554283184.33657908</v>
      </c>
      <c r="AA5">
        <f>'Cost Components'!$B$9</f>
        <v>554283184.33657908</v>
      </c>
      <c r="AB5">
        <f>'Cost Components'!$B$9</f>
        <v>554283184.33657908</v>
      </c>
      <c r="AC5">
        <f>'Cost Components'!$B$9</f>
        <v>554283184.33657908</v>
      </c>
      <c r="AD5">
        <f>'Cost Components'!$B$9</f>
        <v>554283184.33657908</v>
      </c>
      <c r="AE5">
        <f>'Cost Components'!$B$9</f>
        <v>554283184.33657908</v>
      </c>
      <c r="AF5">
        <f>'Cost Components'!$B$9</f>
        <v>554283184.33657908</v>
      </c>
    </row>
    <row r="6" spans="1:32">
      <c r="A6" t="s">
        <v>157</v>
      </c>
      <c r="B6">
        <v>0</v>
      </c>
      <c r="C6">
        <f>('Cost Components'!$B$18-'Cost Components'!$B$17-'Cost Components'!$B$16) * 10^6</f>
        <v>75131299.303944394</v>
      </c>
      <c r="D6">
        <f>('Cost Components'!$B$18-'Cost Components'!$B$17-'Cost Components'!$B$16) * 10^6</f>
        <v>75131299.303944394</v>
      </c>
      <c r="E6">
        <f>('Cost Components'!$B$18-'Cost Components'!$B$17-'Cost Components'!$B$16) * 10^6</f>
        <v>75131299.303944394</v>
      </c>
      <c r="F6">
        <f>('Cost Components'!$B$18-'Cost Components'!$B$17-'Cost Components'!$B$16) * 10^6</f>
        <v>75131299.303944394</v>
      </c>
      <c r="G6">
        <f>('Cost Components'!$B$18-'Cost Components'!$B$17-'Cost Components'!$B$16) * 10^6</f>
        <v>75131299.303944394</v>
      </c>
      <c r="H6">
        <f>('Cost Components'!$B$18-'Cost Components'!$B$17-'Cost Components'!$B$16) * 10^6</f>
        <v>75131299.303944394</v>
      </c>
      <c r="I6">
        <f>('Cost Components'!$B$18-'Cost Components'!$B$17-'Cost Components'!$B$16) * 10^6</f>
        <v>75131299.303944394</v>
      </c>
      <c r="J6">
        <f>('Cost Components'!$B$18-'Cost Components'!$B$17-'Cost Components'!$B$16) * 10^6</f>
        <v>75131299.303944394</v>
      </c>
      <c r="K6">
        <f>('Cost Components'!$B$18-'Cost Components'!$B$17-'Cost Components'!$B$16) * 10^6</f>
        <v>75131299.303944394</v>
      </c>
      <c r="L6">
        <f>('Cost Components'!$B$18-'Cost Components'!$B$17-'Cost Components'!$B$16) * 10^6</f>
        <v>75131299.303944394</v>
      </c>
      <c r="M6">
        <f>('Cost Components'!$B$18-'Cost Components'!$B$17-'Cost Components'!$B$16) * 10^6</f>
        <v>75131299.303944394</v>
      </c>
      <c r="N6">
        <f>('Cost Components'!$B$18-'Cost Components'!$B$17-'Cost Components'!$B$16) * 10^6</f>
        <v>75131299.303944394</v>
      </c>
      <c r="O6">
        <f>('Cost Components'!$B$18-'Cost Components'!$B$17-'Cost Components'!$B$16) * 10^6</f>
        <v>75131299.303944394</v>
      </c>
      <c r="P6">
        <f>('Cost Components'!$B$18-'Cost Components'!$B$17-'Cost Components'!$B$16) * 10^6</f>
        <v>75131299.303944394</v>
      </c>
      <c r="Q6">
        <f>('Cost Components'!$B$18-'Cost Components'!$B$17-'Cost Components'!$B$16) * 10^6</f>
        <v>75131299.303944394</v>
      </c>
      <c r="R6">
        <f>('Cost Components'!$B$18-'Cost Components'!$B$17-'Cost Components'!$B$16) * 10^6</f>
        <v>75131299.303944394</v>
      </c>
      <c r="S6">
        <f>('Cost Components'!$B$18-'Cost Components'!$B$17-'Cost Components'!$B$16) * 10^6</f>
        <v>75131299.303944394</v>
      </c>
      <c r="T6">
        <f>('Cost Components'!$B$18-'Cost Components'!$B$17-'Cost Components'!$B$16) * 10^6</f>
        <v>75131299.303944394</v>
      </c>
      <c r="U6">
        <f>('Cost Components'!$B$18-'Cost Components'!$B$17-'Cost Components'!$B$16) * 10^6</f>
        <v>75131299.303944394</v>
      </c>
      <c r="V6">
        <f>('Cost Components'!$B$18-'Cost Components'!$B$17-'Cost Components'!$B$16) * 10^6</f>
        <v>75131299.303944394</v>
      </c>
      <c r="W6">
        <f>('Cost Components'!$B$18-'Cost Components'!$B$17-'Cost Components'!$B$16) * 10^6</f>
        <v>75131299.303944394</v>
      </c>
      <c r="X6">
        <f>('Cost Components'!$B$18-'Cost Components'!$B$17-'Cost Components'!$B$16) * 10^6</f>
        <v>75131299.303944394</v>
      </c>
      <c r="Y6">
        <f>('Cost Components'!$B$18-'Cost Components'!$B$17-'Cost Components'!$B$16) * 10^6</f>
        <v>75131299.303944394</v>
      </c>
      <c r="Z6">
        <f>('Cost Components'!$B$18-'Cost Components'!$B$17-'Cost Components'!$B$16) * 10^6</f>
        <v>75131299.303944394</v>
      </c>
      <c r="AA6">
        <f>('Cost Components'!$B$18-'Cost Components'!$B$17-'Cost Components'!$B$16) * 10^6</f>
        <v>75131299.303944394</v>
      </c>
      <c r="AB6">
        <f>('Cost Components'!$B$18-'Cost Components'!$B$17-'Cost Components'!$B$16) * 10^6</f>
        <v>75131299.303944394</v>
      </c>
      <c r="AC6">
        <f>('Cost Components'!$B$18-'Cost Components'!$B$17-'Cost Components'!$B$16) * 10^6</f>
        <v>75131299.303944394</v>
      </c>
      <c r="AD6">
        <f>('Cost Components'!$B$18-'Cost Components'!$B$17-'Cost Components'!$B$16) * 10^6</f>
        <v>75131299.303944394</v>
      </c>
      <c r="AE6">
        <f>('Cost Components'!$B$18-'Cost Components'!$B$17-'Cost Components'!$B$16) * 10^6</f>
        <v>75131299.303944394</v>
      </c>
      <c r="AF6">
        <f>('Cost Components'!$B$18-'Cost Components'!$B$17-'Cost Components'!$B$16) * 10^6</f>
        <v>75131299.303944394</v>
      </c>
    </row>
    <row r="8" spans="1:32">
      <c r="A8" t="s">
        <v>158</v>
      </c>
    </row>
    <row r="9" spans="1:32">
      <c r="A9" t="s">
        <v>156</v>
      </c>
      <c r="B9" s="36">
        <f>SUM(B3:AF3) / SUM($B$3:$AF$6)</f>
        <v>0.52260706801444123</v>
      </c>
    </row>
    <row r="10" spans="1:32">
      <c r="A10" t="s">
        <v>101</v>
      </c>
      <c r="B10" s="36">
        <f t="shared" ref="B10:B11" si="0">SUM(B4:AF4) / SUM($B$3:$AF$6)</f>
        <v>0.20953009962218225</v>
      </c>
    </row>
    <row r="11" spans="1:32">
      <c r="A11" t="s">
        <v>87</v>
      </c>
      <c r="B11" s="36">
        <f t="shared" si="0"/>
        <v>0.23680067009710556</v>
      </c>
    </row>
    <row r="12" spans="1:32">
      <c r="A12" t="s">
        <v>157</v>
      </c>
      <c r="B12" s="36">
        <f>SUM(B6:AF6) / SUM($B$3:$AF$6)</f>
        <v>3.106216226627288E-2</v>
      </c>
    </row>
    <row r="14" spans="1:32" s="2" customFormat="1">
      <c r="A14" s="2" t="s">
        <v>159</v>
      </c>
    </row>
    <row r="15" spans="1:32">
      <c r="A15" t="s">
        <v>156</v>
      </c>
      <c r="B15">
        <v>0</v>
      </c>
      <c r="C15">
        <f>('Cost Components'!$B$53 * 10^6) / (1+'Cost Components'!$B$55) ^'Cost Breakdown'!C13</f>
        <v>1107812999.9999998</v>
      </c>
      <c r="D15">
        <f>('Cost Components'!$B$53 * 10^6) / (1+'Cost Components'!$B$55) ^'Cost Breakdown'!D13</f>
        <v>1107812999.9999998</v>
      </c>
      <c r="E15">
        <f>('Cost Components'!$B$53 * 10^6) / (1+'Cost Components'!$B$55) ^'Cost Breakdown'!E13</f>
        <v>1107812999.9999998</v>
      </c>
      <c r="F15">
        <f>('Cost Components'!$B$53 * 10^6) / (1+'Cost Components'!$B$55) ^'Cost Breakdown'!F13</f>
        <v>1107812999.9999998</v>
      </c>
      <c r="G15">
        <f>('Cost Components'!$B$53 * 10^6) / (1+'Cost Components'!$B$55) ^'Cost Breakdown'!G13</f>
        <v>1107812999.9999998</v>
      </c>
      <c r="H15">
        <f>('Cost Components'!$B$53 * 10^6) / (1+'Cost Components'!$B$55) ^'Cost Breakdown'!H13</f>
        <v>1107812999.9999998</v>
      </c>
      <c r="I15">
        <f>('Cost Components'!$B$53 * 10^6) / (1+'Cost Components'!$B$55) ^'Cost Breakdown'!I13</f>
        <v>1107812999.9999998</v>
      </c>
      <c r="J15">
        <f>('Cost Components'!$B$53 * 10^6) / (1+'Cost Components'!$B$55) ^'Cost Breakdown'!J13</f>
        <v>1107812999.9999998</v>
      </c>
      <c r="K15">
        <f>('Cost Components'!$B$53 * 10^6) / (1+'Cost Components'!$B$55) ^'Cost Breakdown'!K13</f>
        <v>1107812999.9999998</v>
      </c>
      <c r="L15">
        <f>('Cost Components'!$B$53 * 10^6) / (1+'Cost Components'!$B$55) ^'Cost Breakdown'!L13</f>
        <v>1107812999.9999998</v>
      </c>
      <c r="M15">
        <f>('Cost Components'!$B$53 * 10^6) / (1+'Cost Components'!$B$55) ^'Cost Breakdown'!M13</f>
        <v>1107812999.9999998</v>
      </c>
      <c r="N15">
        <f>('Cost Components'!$B$53 * 10^6) / (1+'Cost Components'!$B$55) ^'Cost Breakdown'!N13</f>
        <v>1107812999.9999998</v>
      </c>
      <c r="O15">
        <f>('Cost Components'!$B$53 * 10^6) / (1+'Cost Components'!$B$55) ^'Cost Breakdown'!O13</f>
        <v>1107812999.9999998</v>
      </c>
      <c r="P15">
        <f>('Cost Components'!$B$53 * 10^6) / (1+'Cost Components'!$B$55) ^'Cost Breakdown'!P13</f>
        <v>1107812999.9999998</v>
      </c>
      <c r="Q15">
        <f>('Cost Components'!$B$53 * 10^6) / (1+'Cost Components'!$B$55) ^'Cost Breakdown'!Q13</f>
        <v>1107812999.9999998</v>
      </c>
      <c r="R15">
        <f>('Cost Components'!$B$53 * 10^6) / (1+'Cost Components'!$B$55) ^'Cost Breakdown'!R13</f>
        <v>1107812999.9999998</v>
      </c>
      <c r="S15">
        <f>('Cost Components'!$B$53 * 10^6) / (1+'Cost Components'!$B$55) ^'Cost Breakdown'!S13</f>
        <v>1107812999.9999998</v>
      </c>
      <c r="T15">
        <f>('Cost Components'!$B$53 * 10^6) / (1+'Cost Components'!$B$55) ^'Cost Breakdown'!T13</f>
        <v>1107812999.9999998</v>
      </c>
      <c r="U15">
        <f>('Cost Components'!$B$53 * 10^6) / (1+'Cost Components'!$B$55) ^'Cost Breakdown'!U13</f>
        <v>1107812999.9999998</v>
      </c>
      <c r="V15">
        <f>('Cost Components'!$B$53 * 10^6) / (1+'Cost Components'!$B$55) ^'Cost Breakdown'!V13</f>
        <v>1107812999.9999998</v>
      </c>
      <c r="W15">
        <f>('Cost Components'!$B$53 * 10^6) / (1+'Cost Components'!$B$55) ^'Cost Breakdown'!W13</f>
        <v>1107812999.9999998</v>
      </c>
      <c r="X15">
        <f>('Cost Components'!$B$53 * 10^6) / (1+'Cost Components'!$B$55) ^'Cost Breakdown'!X13</f>
        <v>1107812999.9999998</v>
      </c>
      <c r="Y15">
        <f>('Cost Components'!$B$53 * 10^6) / (1+'Cost Components'!$B$55) ^'Cost Breakdown'!Y13</f>
        <v>1107812999.9999998</v>
      </c>
      <c r="Z15">
        <f>('Cost Components'!$B$53 * 10^6) / (1+'Cost Components'!$B$55) ^'Cost Breakdown'!Z13</f>
        <v>1107812999.9999998</v>
      </c>
      <c r="AA15">
        <f>('Cost Components'!$B$53 * 10^6) / (1+'Cost Components'!$B$55) ^'Cost Breakdown'!AA13</f>
        <v>1107812999.9999998</v>
      </c>
      <c r="AB15">
        <f>('Cost Components'!$B$53 * 10^6) / (1+'Cost Components'!$B$55) ^'Cost Breakdown'!AB13</f>
        <v>1107812999.9999998</v>
      </c>
      <c r="AC15">
        <f>('Cost Components'!$B$53 * 10^6) / (1+'Cost Components'!$B$55) ^'Cost Breakdown'!AC13</f>
        <v>1107812999.9999998</v>
      </c>
      <c r="AD15">
        <f>('Cost Components'!$B$53 * 10^6) / (1+'Cost Components'!$B$55) ^'Cost Breakdown'!AD13</f>
        <v>1107812999.9999998</v>
      </c>
      <c r="AE15">
        <f>('Cost Components'!$B$53 * 10^6) / (1+'Cost Components'!$B$55) ^'Cost Breakdown'!AE13</f>
        <v>1107812999.9999998</v>
      </c>
      <c r="AF15">
        <f>('Cost Components'!$B$53 * 10^6) / (1+'Cost Components'!$B$55) ^'Cost Breakdown'!AF13</f>
        <v>1107812999.9999998</v>
      </c>
    </row>
    <row r="16" spans="1:32">
      <c r="A16" t="s">
        <v>101</v>
      </c>
      <c r="B16">
        <v>0</v>
      </c>
      <c r="C16">
        <f>('Cost Components'!$B$51 * 10^6) / (1+'Cost Components'!$B$46) ^ 'Cost Breakdown'!C13</f>
        <v>210586911.33333334</v>
      </c>
      <c r="D16">
        <f>('Cost Components'!$B$51 * 10^6) / (1+'Cost Components'!$B$46) ^ 'Cost Breakdown'!D13</f>
        <v>210586911.33333334</v>
      </c>
      <c r="E16">
        <f>('Cost Components'!$B$51 * 10^6) / (1+'Cost Components'!$B$46) ^ 'Cost Breakdown'!E13</f>
        <v>210586911.33333334</v>
      </c>
      <c r="F16">
        <f>('Cost Components'!$B$51 * 10^6) / (1+'Cost Components'!$B$46) ^ 'Cost Breakdown'!F13</f>
        <v>210586911.33333334</v>
      </c>
      <c r="G16">
        <f>('Cost Components'!$B$51 * 10^6) / (1+'Cost Components'!$B$46) ^ 'Cost Breakdown'!G13</f>
        <v>210586911.33333334</v>
      </c>
      <c r="H16">
        <f>('Cost Components'!$B$51 * 10^6) / (1+'Cost Components'!$B$46) ^ 'Cost Breakdown'!H13</f>
        <v>210586911.33333334</v>
      </c>
      <c r="I16">
        <f>('Cost Components'!$B$51 * 10^6) / (1+'Cost Components'!$B$46) ^ 'Cost Breakdown'!I13</f>
        <v>210586911.33333334</v>
      </c>
      <c r="J16">
        <f>('Cost Components'!$B$51 * 10^6) / (1+'Cost Components'!$B$46) ^ 'Cost Breakdown'!J13</f>
        <v>210586911.33333334</v>
      </c>
      <c r="K16">
        <f>('Cost Components'!$B$51 * 10^6) / (1+'Cost Components'!$B$46) ^ 'Cost Breakdown'!K13</f>
        <v>210586911.33333334</v>
      </c>
      <c r="L16">
        <f>('Cost Components'!$B$51 * 10^6) / (1+'Cost Components'!$B$46) ^ 'Cost Breakdown'!L13</f>
        <v>210586911.33333334</v>
      </c>
      <c r="M16">
        <f>('Cost Components'!$B$51 * 10^6) / (1+'Cost Components'!$B$46) ^ 'Cost Breakdown'!M13</f>
        <v>210586911.33333334</v>
      </c>
      <c r="N16">
        <f>('Cost Components'!$B$51 * 10^6) / (1+'Cost Components'!$B$46) ^ 'Cost Breakdown'!N13</f>
        <v>210586911.33333334</v>
      </c>
      <c r="O16">
        <f>('Cost Components'!$B$51 * 10^6) / (1+'Cost Components'!$B$46) ^ 'Cost Breakdown'!O13</f>
        <v>210586911.33333334</v>
      </c>
      <c r="P16">
        <f>('Cost Components'!$B$51 * 10^6) / (1+'Cost Components'!$B$46) ^ 'Cost Breakdown'!P13</f>
        <v>210586911.33333334</v>
      </c>
      <c r="Q16">
        <f>('Cost Components'!$B$51 * 10^6) / (1+'Cost Components'!$B$46) ^ 'Cost Breakdown'!Q13</f>
        <v>210586911.33333334</v>
      </c>
      <c r="R16">
        <f>('Cost Components'!$B$51 * 10^6) / (1+'Cost Components'!$B$46) ^ 'Cost Breakdown'!R13</f>
        <v>210586911.33333334</v>
      </c>
      <c r="S16">
        <f>('Cost Components'!$B$51 * 10^6) / (1+'Cost Components'!$B$46) ^ 'Cost Breakdown'!S13</f>
        <v>210586911.33333334</v>
      </c>
      <c r="T16">
        <f>('Cost Components'!$B$51 * 10^6) / (1+'Cost Components'!$B$46) ^ 'Cost Breakdown'!T13</f>
        <v>210586911.33333334</v>
      </c>
      <c r="U16">
        <f>('Cost Components'!$B$51 * 10^6) / (1+'Cost Components'!$B$46) ^ 'Cost Breakdown'!U13</f>
        <v>210586911.33333334</v>
      </c>
      <c r="V16">
        <f>('Cost Components'!$B$51 * 10^6) / (1+'Cost Components'!$B$46) ^ 'Cost Breakdown'!V13</f>
        <v>210586911.33333334</v>
      </c>
      <c r="W16">
        <f>('Cost Components'!$B$51 * 10^6) / (1+'Cost Components'!$B$46) ^ 'Cost Breakdown'!W13</f>
        <v>210586911.33333334</v>
      </c>
      <c r="X16">
        <f>('Cost Components'!$B$51 * 10^6) / (1+'Cost Components'!$B$46) ^ 'Cost Breakdown'!X13</f>
        <v>210586911.33333334</v>
      </c>
      <c r="Y16">
        <f>('Cost Components'!$B$51 * 10^6) / (1+'Cost Components'!$B$46) ^ 'Cost Breakdown'!Y13</f>
        <v>210586911.33333334</v>
      </c>
      <c r="Z16">
        <f>('Cost Components'!$B$51 * 10^6) / (1+'Cost Components'!$B$46) ^ 'Cost Breakdown'!Z13</f>
        <v>210586911.33333334</v>
      </c>
      <c r="AA16">
        <f>('Cost Components'!$B$51 * 10^6) / (1+'Cost Components'!$B$46) ^ 'Cost Breakdown'!AA13</f>
        <v>210586911.33333334</v>
      </c>
      <c r="AB16">
        <f>('Cost Components'!$B$51 * 10^6) / (1+'Cost Components'!$B$46) ^ 'Cost Breakdown'!AB13</f>
        <v>210586911.33333334</v>
      </c>
      <c r="AC16">
        <f>('Cost Components'!$B$51 * 10^6) / (1+'Cost Components'!$B$46) ^ 'Cost Breakdown'!AC13</f>
        <v>210586911.33333334</v>
      </c>
      <c r="AD16">
        <f>('Cost Components'!$B$51 * 10^6) / (1+'Cost Components'!$B$46) ^ 'Cost Breakdown'!AD13</f>
        <v>210586911.33333334</v>
      </c>
      <c r="AE16">
        <f>('Cost Components'!$B$51 * 10^6) / (1+'Cost Components'!$B$46) ^ 'Cost Breakdown'!AE13</f>
        <v>210586911.33333334</v>
      </c>
      <c r="AF16">
        <f>('Cost Components'!$B$51 * 10^6) / (1+'Cost Components'!$B$46) ^ 'Cost Breakdown'!AF13</f>
        <v>210586911.33333334</v>
      </c>
    </row>
    <row r="17" spans="1:32">
      <c r="A17" t="s">
        <v>87</v>
      </c>
      <c r="B17">
        <f>'Cost Components'!$B$56</f>
        <v>301070803.51751143</v>
      </c>
      <c r="C17">
        <f>'Cost Components'!$B$56</f>
        <v>301070803.51751143</v>
      </c>
      <c r="D17">
        <f>'Cost Components'!$B$56</f>
        <v>301070803.51751143</v>
      </c>
      <c r="E17">
        <f>'Cost Components'!$B$56</f>
        <v>301070803.51751143</v>
      </c>
      <c r="F17">
        <f>'Cost Components'!$B$56</f>
        <v>301070803.51751143</v>
      </c>
      <c r="G17">
        <f>'Cost Components'!$B$56</f>
        <v>301070803.51751143</v>
      </c>
      <c r="H17">
        <f>'Cost Components'!$B$56</f>
        <v>301070803.51751143</v>
      </c>
      <c r="I17">
        <f>'Cost Components'!$B$56</f>
        <v>301070803.51751143</v>
      </c>
      <c r="J17">
        <f>'Cost Components'!$B$56</f>
        <v>301070803.51751143</v>
      </c>
      <c r="K17">
        <f>'Cost Components'!$B$56</f>
        <v>301070803.51751143</v>
      </c>
      <c r="L17">
        <f>'Cost Components'!$B$56</f>
        <v>301070803.51751143</v>
      </c>
      <c r="M17">
        <f>'Cost Components'!$B$56</f>
        <v>301070803.51751143</v>
      </c>
      <c r="N17">
        <f>'Cost Components'!$B$56</f>
        <v>301070803.51751143</v>
      </c>
      <c r="O17">
        <f>'Cost Components'!$B$56</f>
        <v>301070803.51751143</v>
      </c>
      <c r="P17">
        <f>'Cost Components'!$B$56</f>
        <v>301070803.51751143</v>
      </c>
      <c r="Q17">
        <f>'Cost Components'!$B$56</f>
        <v>301070803.51751143</v>
      </c>
      <c r="R17">
        <f>'Cost Components'!$B$56</f>
        <v>301070803.51751143</v>
      </c>
      <c r="S17">
        <f>'Cost Components'!$B$56</f>
        <v>301070803.51751143</v>
      </c>
      <c r="T17">
        <f>'Cost Components'!$B$56</f>
        <v>301070803.51751143</v>
      </c>
      <c r="U17">
        <f>'Cost Components'!$B$56</f>
        <v>301070803.51751143</v>
      </c>
      <c r="V17">
        <f>'Cost Components'!$B$56</f>
        <v>301070803.51751143</v>
      </c>
      <c r="W17">
        <f>'Cost Components'!$B$56</f>
        <v>301070803.51751143</v>
      </c>
      <c r="X17">
        <f>'Cost Components'!$B$56</f>
        <v>301070803.51751143</v>
      </c>
      <c r="Y17">
        <f>'Cost Components'!$B$56</f>
        <v>301070803.51751143</v>
      </c>
      <c r="Z17">
        <f>'Cost Components'!$B$56</f>
        <v>301070803.51751143</v>
      </c>
      <c r="AA17">
        <f>'Cost Components'!$B$56</f>
        <v>301070803.51751143</v>
      </c>
      <c r="AB17">
        <f>'Cost Components'!$B$56</f>
        <v>301070803.51751143</v>
      </c>
      <c r="AC17">
        <f>'Cost Components'!$B$56</f>
        <v>301070803.51751143</v>
      </c>
      <c r="AD17">
        <f>'Cost Components'!$B$56</f>
        <v>301070803.51751143</v>
      </c>
      <c r="AE17">
        <f>'Cost Components'!$B$56</f>
        <v>301070803.51751143</v>
      </c>
      <c r="AF17">
        <f>'Cost Components'!$B$56</f>
        <v>301070803.51751143</v>
      </c>
    </row>
    <row r="18" spans="1:32">
      <c r="A18" t="s">
        <v>157</v>
      </c>
      <c r="B18">
        <v>0</v>
      </c>
      <c r="C18">
        <f>('Cost Components'!$B$38-'Cost Components'!$B$37-'Cost Components'!$B$36) * 10^6</f>
        <v>66061299.303944223</v>
      </c>
      <c r="D18">
        <f>('Cost Components'!$B$38-'Cost Components'!$B$37-'Cost Components'!$B$36) * 10^6</f>
        <v>66061299.303944223</v>
      </c>
      <c r="E18">
        <f>('Cost Components'!$B$38-'Cost Components'!$B$37-'Cost Components'!$B$36) * 10^6</f>
        <v>66061299.303944223</v>
      </c>
      <c r="F18">
        <f>('Cost Components'!$B$38-'Cost Components'!$B$37-'Cost Components'!$B$36) * 10^6</f>
        <v>66061299.303944223</v>
      </c>
      <c r="G18">
        <f>('Cost Components'!$B$38-'Cost Components'!$B$37-'Cost Components'!$B$36) * 10^6</f>
        <v>66061299.303944223</v>
      </c>
      <c r="H18">
        <f>('Cost Components'!$B$38-'Cost Components'!$B$37-'Cost Components'!$B$36) * 10^6</f>
        <v>66061299.303944223</v>
      </c>
      <c r="I18">
        <f>('Cost Components'!$B$38-'Cost Components'!$B$37-'Cost Components'!$B$36) * 10^6</f>
        <v>66061299.303944223</v>
      </c>
      <c r="J18">
        <f>('Cost Components'!$B$38-'Cost Components'!$B$37-'Cost Components'!$B$36) * 10^6</f>
        <v>66061299.303944223</v>
      </c>
      <c r="K18">
        <f>('Cost Components'!$B$38-'Cost Components'!$B$37-'Cost Components'!$B$36) * 10^6</f>
        <v>66061299.303944223</v>
      </c>
      <c r="L18">
        <f>('Cost Components'!$B$38-'Cost Components'!$B$37-'Cost Components'!$B$36) * 10^6</f>
        <v>66061299.303944223</v>
      </c>
      <c r="M18">
        <f>('Cost Components'!$B$38-'Cost Components'!$B$37-'Cost Components'!$B$36) * 10^6</f>
        <v>66061299.303944223</v>
      </c>
      <c r="N18">
        <f>('Cost Components'!$B$38-'Cost Components'!$B$37-'Cost Components'!$B$36) * 10^6</f>
        <v>66061299.303944223</v>
      </c>
      <c r="O18">
        <f>('Cost Components'!$B$38-'Cost Components'!$B$37-'Cost Components'!$B$36) * 10^6</f>
        <v>66061299.303944223</v>
      </c>
      <c r="P18">
        <f>('Cost Components'!$B$38-'Cost Components'!$B$37-'Cost Components'!$B$36) * 10^6</f>
        <v>66061299.303944223</v>
      </c>
      <c r="Q18">
        <f>('Cost Components'!$B$38-'Cost Components'!$B$37-'Cost Components'!$B$36) * 10^6</f>
        <v>66061299.303944223</v>
      </c>
      <c r="R18">
        <f>('Cost Components'!$B$38-'Cost Components'!$B$37-'Cost Components'!$B$36) * 10^6</f>
        <v>66061299.303944223</v>
      </c>
      <c r="S18">
        <f>('Cost Components'!$B$38-'Cost Components'!$B$37-'Cost Components'!$B$36) * 10^6</f>
        <v>66061299.303944223</v>
      </c>
      <c r="T18">
        <f>('Cost Components'!$B$38-'Cost Components'!$B$37-'Cost Components'!$B$36) * 10^6</f>
        <v>66061299.303944223</v>
      </c>
      <c r="U18">
        <f>('Cost Components'!$B$38-'Cost Components'!$B$37-'Cost Components'!$B$36) * 10^6</f>
        <v>66061299.303944223</v>
      </c>
      <c r="V18">
        <f>('Cost Components'!$B$38-'Cost Components'!$B$37-'Cost Components'!$B$36) * 10^6</f>
        <v>66061299.303944223</v>
      </c>
      <c r="W18">
        <f>('Cost Components'!$B$38-'Cost Components'!$B$37-'Cost Components'!$B$36) * 10^6</f>
        <v>66061299.303944223</v>
      </c>
      <c r="X18">
        <f>('Cost Components'!$B$38-'Cost Components'!$B$37-'Cost Components'!$B$36) * 10^6</f>
        <v>66061299.303944223</v>
      </c>
      <c r="Y18">
        <f>('Cost Components'!$B$38-'Cost Components'!$B$37-'Cost Components'!$B$36) * 10^6</f>
        <v>66061299.303944223</v>
      </c>
      <c r="Z18">
        <f>('Cost Components'!$B$38-'Cost Components'!$B$37-'Cost Components'!$B$36) * 10^6</f>
        <v>66061299.303944223</v>
      </c>
      <c r="AA18">
        <f>('Cost Components'!$B$38-'Cost Components'!$B$37-'Cost Components'!$B$36) * 10^6</f>
        <v>66061299.303944223</v>
      </c>
      <c r="AB18">
        <f>('Cost Components'!$B$38-'Cost Components'!$B$37-'Cost Components'!$B$36) * 10^6</f>
        <v>66061299.303944223</v>
      </c>
      <c r="AC18">
        <f>('Cost Components'!$B$38-'Cost Components'!$B$37-'Cost Components'!$B$36) * 10^6</f>
        <v>66061299.303944223</v>
      </c>
      <c r="AD18">
        <f>('Cost Components'!$B$38-'Cost Components'!$B$37-'Cost Components'!$B$36) * 10^6</f>
        <v>66061299.303944223</v>
      </c>
      <c r="AE18">
        <f>('Cost Components'!$B$38-'Cost Components'!$B$37-'Cost Components'!$B$36) * 10^6</f>
        <v>66061299.303944223</v>
      </c>
      <c r="AF18">
        <f>('Cost Components'!$B$38-'Cost Components'!$B$37-'Cost Components'!$B$36) * 10^6</f>
        <v>66061299.303944223</v>
      </c>
    </row>
    <row r="20" spans="1:32">
      <c r="A20" t="s">
        <v>158</v>
      </c>
    </row>
    <row r="21" spans="1:32">
      <c r="A21" t="s">
        <v>156</v>
      </c>
      <c r="B21" s="36">
        <f>SUM(B15:AF15) / SUM($B$15:$AF$18)</f>
        <v>0.65335816141753911</v>
      </c>
    </row>
    <row r="22" spans="1:32">
      <c r="A22" t="s">
        <v>101</v>
      </c>
      <c r="B22" s="36">
        <f t="shared" ref="B22:B24" si="1">SUM(B16:AF16) / SUM($B$15:$AF$18)</f>
        <v>0.124198467798577</v>
      </c>
    </row>
    <row r="23" spans="1:32">
      <c r="A23" t="s">
        <v>87</v>
      </c>
      <c r="B23" s="36">
        <f t="shared" si="1"/>
        <v>0.18348220219849909</v>
      </c>
    </row>
    <row r="24" spans="1:32">
      <c r="A24" t="s">
        <v>157</v>
      </c>
      <c r="B24" s="36">
        <f t="shared" si="1"/>
        <v>3.8961168585382851E-2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T47"/>
  <sheetViews>
    <sheetView topLeftCell="A20" workbookViewId="0">
      <selection activeCell="C41" sqref="C41"/>
    </sheetView>
  </sheetViews>
  <sheetFormatPr defaultColWidth="11" defaultRowHeight="15.6"/>
  <cols>
    <col min="1" max="1" width="17" bestFit="1" customWidth="1"/>
    <col min="4" max="4" width="15.8984375" bestFit="1" customWidth="1"/>
    <col min="5" max="5" width="12.09765625" bestFit="1" customWidth="1"/>
    <col min="6" max="6" width="13.59765625" bestFit="1" customWidth="1"/>
    <col min="10" max="10" width="11.59765625" bestFit="1" customWidth="1"/>
    <col min="11" max="11" width="15.8984375" bestFit="1" customWidth="1"/>
    <col min="13" max="13" width="13.59765625" bestFit="1" customWidth="1"/>
    <col min="20" max="20" width="13.59765625" bestFit="1" customWidth="1"/>
  </cols>
  <sheetData>
    <row r="1" spans="1:20">
      <c r="A1" s="51" t="s">
        <v>160</v>
      </c>
      <c r="B1" s="42"/>
      <c r="C1" s="42"/>
      <c r="D1" s="42"/>
      <c r="E1" s="42"/>
      <c r="F1" s="42"/>
      <c r="H1" s="51" t="s">
        <v>161</v>
      </c>
      <c r="I1" s="42"/>
      <c r="J1" s="42"/>
      <c r="K1" s="42"/>
      <c r="L1" s="42"/>
      <c r="M1" s="42"/>
      <c r="O1" s="51" t="s">
        <v>162</v>
      </c>
      <c r="P1" s="42"/>
      <c r="Q1" s="42"/>
      <c r="R1" s="42"/>
      <c r="S1" s="42"/>
      <c r="T1" s="42"/>
    </row>
    <row r="2" spans="1:20">
      <c r="A2" s="21" t="s">
        <v>0</v>
      </c>
      <c r="B2" s="21" t="s">
        <v>3</v>
      </c>
      <c r="C2" s="21" t="s">
        <v>163</v>
      </c>
      <c r="D2" s="21" t="s">
        <v>164</v>
      </c>
      <c r="E2" s="21" t="s">
        <v>165</v>
      </c>
      <c r="F2" s="21" t="s">
        <v>166</v>
      </c>
      <c r="H2" s="21" t="s">
        <v>0</v>
      </c>
      <c r="I2" s="21" t="s">
        <v>3</v>
      </c>
      <c r="J2" s="21" t="s">
        <v>163</v>
      </c>
      <c r="K2" s="21" t="s">
        <v>164</v>
      </c>
      <c r="L2" s="21" t="s">
        <v>165</v>
      </c>
      <c r="M2" s="21" t="s">
        <v>166</v>
      </c>
      <c r="O2" s="21" t="s">
        <v>0</v>
      </c>
      <c r="P2" s="21" t="s">
        <v>3</v>
      </c>
      <c r="Q2" s="21" t="s">
        <v>163</v>
      </c>
      <c r="R2" s="21" t="s">
        <v>164</v>
      </c>
      <c r="S2" s="21" t="s">
        <v>165</v>
      </c>
      <c r="T2" s="21" t="s">
        <v>166</v>
      </c>
    </row>
    <row r="3" spans="1:20">
      <c r="A3" s="22" t="s">
        <v>167</v>
      </c>
      <c r="B3" s="22" t="s">
        <v>168</v>
      </c>
      <c r="C3" s="32">
        <f>'MFSP Baseline'!B9</f>
        <v>4.624753489178385</v>
      </c>
      <c r="D3" s="32">
        <f>'MFSP Electricity'!B9</f>
        <v>3.9649547712511146</v>
      </c>
      <c r="E3" s="32">
        <f>'MFSP CO2 Corrected'!B9</f>
        <v>7.2917372712511144</v>
      </c>
      <c r="F3" s="32">
        <f>'MFSP WACC Corrected'!B9</f>
        <v>6.965039460283486</v>
      </c>
      <c r="H3" s="22" t="s">
        <v>167</v>
      </c>
      <c r="I3" s="22" t="s">
        <v>168</v>
      </c>
      <c r="J3" s="32">
        <f>'MFSP Baseline'!B31</f>
        <v>4.1041302730930944</v>
      </c>
      <c r="K3" s="32">
        <f>'MFSP Electricity'!B31</f>
        <v>3.5751737040486136</v>
      </c>
      <c r="L3" s="32">
        <f>'MFSP CO2 Corrected'!B31</f>
        <v>6.9019562040486138</v>
      </c>
      <c r="M3" s="32">
        <f>'MFSP WACC Corrected'!B31</f>
        <v>6.6424827503377841</v>
      </c>
      <c r="N3" s="5"/>
      <c r="O3" s="34" t="s">
        <v>167</v>
      </c>
      <c r="P3" s="34" t="s">
        <v>168</v>
      </c>
      <c r="Q3" s="32">
        <f>'MFSP Baseline'!B55</f>
        <v>4.0448105265557928</v>
      </c>
      <c r="R3" s="32">
        <f>'MFSP Electricity'!B55</f>
        <v>4.0208801957224605</v>
      </c>
      <c r="S3" s="32">
        <f>'MFSP CO2 Corrected'!B55</f>
        <v>7.3476626957224616</v>
      </c>
      <c r="T3" s="32">
        <f>'MFSP WACC Corrected'!B55</f>
        <v>7.0123785961332468</v>
      </c>
    </row>
    <row r="4" spans="1:20">
      <c r="A4" s="22" t="s">
        <v>167</v>
      </c>
      <c r="B4" s="22" t="s">
        <v>21</v>
      </c>
      <c r="C4" s="32">
        <f>C3/Inputs!$C$6</f>
        <v>5.1386149879759833</v>
      </c>
      <c r="D4" s="32">
        <f>D3/Inputs!$C$6</f>
        <v>4.4055053013901269</v>
      </c>
      <c r="E4" s="32">
        <f>E3/Inputs!$C$6</f>
        <v>8.1019303013901265</v>
      </c>
      <c r="F4" s="32">
        <f>F3/Inputs!$C$6</f>
        <v>7.7389327336483174</v>
      </c>
      <c r="H4" s="22" t="s">
        <v>167</v>
      </c>
      <c r="I4" s="22" t="s">
        <v>21</v>
      </c>
      <c r="J4" s="32">
        <f>J3/Inputs!$C$6</f>
        <v>4.5601447478812158</v>
      </c>
      <c r="K4" s="32">
        <f>K3/Inputs!$C$6</f>
        <v>3.9724152267206816</v>
      </c>
      <c r="L4" s="32">
        <f>L3/Inputs!$C$6</f>
        <v>7.6688402267206817</v>
      </c>
      <c r="M4" s="32">
        <f>M3/Inputs!$C$6</f>
        <v>7.3805363892642042</v>
      </c>
      <c r="N4" s="5"/>
      <c r="O4" s="34" t="s">
        <v>167</v>
      </c>
      <c r="P4" s="34" t="s">
        <v>21</v>
      </c>
      <c r="Q4" s="32">
        <f>Q3/Inputs!$C$6</f>
        <v>4.4942339183953255</v>
      </c>
      <c r="R4" s="32">
        <f>R3/Inputs!$C$6</f>
        <v>4.4676446619138446</v>
      </c>
      <c r="S4" s="32">
        <f>S3/Inputs!$C$6</f>
        <v>8.164069661913846</v>
      </c>
      <c r="T4" s="32">
        <f>T3/Inputs!$C$6</f>
        <v>7.7915317734813847</v>
      </c>
    </row>
    <row r="5" spans="1:20">
      <c r="A5" s="22" t="s">
        <v>169</v>
      </c>
      <c r="B5" s="22" t="s">
        <v>21</v>
      </c>
      <c r="C5" s="32">
        <f>Inputs!$C$16</f>
        <v>0.8</v>
      </c>
      <c r="D5" s="32">
        <f>Inputs!$C$16</f>
        <v>0.8</v>
      </c>
      <c r="E5" s="32">
        <f>Inputs!$C$16</f>
        <v>0.8</v>
      </c>
      <c r="F5" s="32">
        <f>Inputs!$C$16</f>
        <v>0.8</v>
      </c>
      <c r="H5" s="22" t="s">
        <v>169</v>
      </c>
      <c r="I5" s="22" t="s">
        <v>21</v>
      </c>
      <c r="J5" s="32">
        <f>Inputs!$C$16</f>
        <v>0.8</v>
      </c>
      <c r="K5" s="32">
        <f>Inputs!$C$16</f>
        <v>0.8</v>
      </c>
      <c r="L5" s="32">
        <f>Inputs!$C$16</f>
        <v>0.8</v>
      </c>
      <c r="M5" s="32">
        <f>Inputs!$C$16</f>
        <v>0.8</v>
      </c>
      <c r="O5" s="22" t="s">
        <v>169</v>
      </c>
      <c r="P5" s="22" t="s">
        <v>21</v>
      </c>
      <c r="Q5" s="32">
        <f>Inputs!$C$16</f>
        <v>0.8</v>
      </c>
      <c r="R5" s="32">
        <f>Inputs!$C$16</f>
        <v>0.8</v>
      </c>
      <c r="S5" s="32">
        <f>Inputs!$C$16</f>
        <v>0.8</v>
      </c>
      <c r="T5" s="32">
        <f>Inputs!$C$16</f>
        <v>0.8</v>
      </c>
    </row>
    <row r="6" spans="1:20">
      <c r="A6" s="22" t="s">
        <v>170</v>
      </c>
      <c r="B6" s="22" t="s">
        <v>171</v>
      </c>
      <c r="C6" s="16">
        <f>'Study Parameters'!$C$35</f>
        <v>5.9</v>
      </c>
      <c r="D6" s="16">
        <f>'Study Parameters'!$C$35</f>
        <v>5.9</v>
      </c>
      <c r="E6" s="16">
        <f>'Study Parameters'!$C$35</f>
        <v>5.9</v>
      </c>
      <c r="F6" s="16">
        <f>'Study Parameters'!$C$35</f>
        <v>5.9</v>
      </c>
      <c r="H6" s="22" t="s">
        <v>170</v>
      </c>
      <c r="I6" s="22" t="s">
        <v>171</v>
      </c>
      <c r="J6" s="16">
        <f>'Study Parameters'!$C$35</f>
        <v>5.9</v>
      </c>
      <c r="K6" s="16">
        <f>'Study Parameters'!$C$35</f>
        <v>5.9</v>
      </c>
      <c r="L6" s="16">
        <f>'Study Parameters'!$C$35</f>
        <v>5.9</v>
      </c>
      <c r="M6" s="16">
        <f>'Study Parameters'!$C$35</f>
        <v>5.9</v>
      </c>
      <c r="O6" s="22" t="s">
        <v>170</v>
      </c>
      <c r="P6" s="22" t="s">
        <v>171</v>
      </c>
      <c r="Q6" s="16">
        <f>'Study Parameters'!$C$35</f>
        <v>5.9</v>
      </c>
      <c r="R6" s="16">
        <f>'Study Parameters'!$C$35</f>
        <v>5.9</v>
      </c>
      <c r="S6" s="16">
        <f>'Study Parameters'!$C$35</f>
        <v>5.9</v>
      </c>
      <c r="T6" s="16">
        <f>'Study Parameters'!$C$35</f>
        <v>5.9</v>
      </c>
    </row>
    <row r="7" spans="1:20">
      <c r="A7" s="22" t="s">
        <v>172</v>
      </c>
      <c r="B7" s="22" t="s">
        <v>171</v>
      </c>
      <c r="C7" s="16">
        <f>Inputs!$C$11</f>
        <v>88.7</v>
      </c>
      <c r="D7" s="16">
        <f>Inputs!$C$11</f>
        <v>88.7</v>
      </c>
      <c r="E7" s="16">
        <f>Inputs!$C$11</f>
        <v>88.7</v>
      </c>
      <c r="F7" s="16">
        <f>Inputs!$C$11</f>
        <v>88.7</v>
      </c>
      <c r="H7" s="22" t="s">
        <v>172</v>
      </c>
      <c r="I7" s="22" t="s">
        <v>171</v>
      </c>
      <c r="J7" s="16">
        <f>Inputs!$C$11</f>
        <v>88.7</v>
      </c>
      <c r="K7" s="16">
        <f>Inputs!$C$11</f>
        <v>88.7</v>
      </c>
      <c r="L7" s="16">
        <f>Inputs!$C$11</f>
        <v>88.7</v>
      </c>
      <c r="M7" s="16">
        <f>Inputs!$C$11</f>
        <v>88.7</v>
      </c>
      <c r="O7" s="22" t="s">
        <v>172</v>
      </c>
      <c r="P7" s="22" t="s">
        <v>171</v>
      </c>
      <c r="Q7" s="16">
        <f>Inputs!$C$11</f>
        <v>88.7</v>
      </c>
      <c r="R7" s="16">
        <f>Inputs!$C$11</f>
        <v>88.7</v>
      </c>
      <c r="S7" s="16">
        <f>Inputs!$C$11</f>
        <v>88.7</v>
      </c>
      <c r="T7" s="16">
        <f>Inputs!$C$11</f>
        <v>88.7</v>
      </c>
    </row>
    <row r="8" spans="1:20">
      <c r="A8" s="22" t="s">
        <v>173</v>
      </c>
      <c r="B8" s="22" t="s">
        <v>171</v>
      </c>
      <c r="C8" s="16">
        <f>C7-C6</f>
        <v>82.8</v>
      </c>
      <c r="D8" s="16">
        <f>D7-D6</f>
        <v>82.8</v>
      </c>
      <c r="E8" s="16">
        <f>E7-E6</f>
        <v>82.8</v>
      </c>
      <c r="F8" s="16">
        <f>F7-F6</f>
        <v>82.8</v>
      </c>
      <c r="H8" s="22" t="s">
        <v>173</v>
      </c>
      <c r="I8" s="22" t="s">
        <v>171</v>
      </c>
      <c r="J8" s="16">
        <f>J7-J6</f>
        <v>82.8</v>
      </c>
      <c r="K8" s="16">
        <f>K7-K6</f>
        <v>82.8</v>
      </c>
      <c r="L8" s="16">
        <f>L7-L6</f>
        <v>82.8</v>
      </c>
      <c r="M8" s="16">
        <f>M7-M6</f>
        <v>82.8</v>
      </c>
      <c r="O8" s="22" t="s">
        <v>173</v>
      </c>
      <c r="P8" s="22" t="s">
        <v>171</v>
      </c>
      <c r="Q8" s="16">
        <f>Q7-Q6</f>
        <v>82.8</v>
      </c>
      <c r="R8" s="16">
        <f>R7-R6</f>
        <v>82.8</v>
      </c>
      <c r="S8" s="16">
        <f>S7-S6</f>
        <v>82.8</v>
      </c>
      <c r="T8" s="16">
        <f>T7-T6</f>
        <v>82.8</v>
      </c>
    </row>
    <row r="9" spans="1:20">
      <c r="A9" s="22" t="s">
        <v>173</v>
      </c>
      <c r="B9" s="22" t="s">
        <v>174</v>
      </c>
      <c r="C9" s="16">
        <f>C8*Inputs!$C$14</f>
        <v>2872.2988800000003</v>
      </c>
      <c r="D9" s="16">
        <f>D8*Inputs!$C$14</f>
        <v>2872.2988800000003</v>
      </c>
      <c r="E9" s="16">
        <f>E8*Inputs!$C$14</f>
        <v>2872.2988800000003</v>
      </c>
      <c r="F9" s="16">
        <f>F8*Inputs!$C$14</f>
        <v>2872.2988800000003</v>
      </c>
      <c r="H9" s="22" t="s">
        <v>173</v>
      </c>
      <c r="I9" s="22" t="s">
        <v>174</v>
      </c>
      <c r="J9" s="16">
        <f>J8*Inputs!$C$14</f>
        <v>2872.2988800000003</v>
      </c>
      <c r="K9" s="16">
        <f>K8*Inputs!$C$14</f>
        <v>2872.2988800000003</v>
      </c>
      <c r="L9" s="16">
        <f>L8*Inputs!$C$14</f>
        <v>2872.2988800000003</v>
      </c>
      <c r="M9" s="16">
        <f>M8*Inputs!$C$14</f>
        <v>2872.2988800000003</v>
      </c>
      <c r="O9" s="22" t="s">
        <v>173</v>
      </c>
      <c r="P9" s="22" t="s">
        <v>174</v>
      </c>
      <c r="Q9" s="16">
        <f>Q8*Inputs!$C$14</f>
        <v>2872.2988800000003</v>
      </c>
      <c r="R9" s="16">
        <f>R8*Inputs!$C$14</f>
        <v>2872.2988800000003</v>
      </c>
      <c r="S9" s="16">
        <f>S8*Inputs!$C$14</f>
        <v>2872.2988800000003</v>
      </c>
      <c r="T9" s="16">
        <f>T8*Inputs!$C$14</f>
        <v>2872.2988800000003</v>
      </c>
    </row>
    <row r="10" spans="1:20">
      <c r="A10" s="22" t="s">
        <v>175</v>
      </c>
      <c r="B10" s="22" t="s">
        <v>29</v>
      </c>
      <c r="C10" s="33">
        <f>((C4-C5)/C9) * 10^6</f>
        <v>1510.502621501556</v>
      </c>
      <c r="D10" s="33">
        <f>((D4-D5)/D9) * 10^6</f>
        <v>1255.2681500158253</v>
      </c>
      <c r="E10" s="33">
        <f>((E4-E5)/E9) * 10^6</f>
        <v>2542.1902825760685</v>
      </c>
      <c r="F10" s="33">
        <f>((F4-F5)/F9) * 10^6</f>
        <v>2415.8115236421067</v>
      </c>
      <c r="H10" s="22" t="s">
        <v>175</v>
      </c>
      <c r="I10" s="22" t="s">
        <v>29</v>
      </c>
      <c r="J10" s="33">
        <f>((J4-J5)/J9) * 10^6</f>
        <v>1309.1063656583035</v>
      </c>
      <c r="K10" s="33">
        <f>((K4-K5)/K9) * 10^6</f>
        <v>1104.4864616319737</v>
      </c>
      <c r="L10" s="33">
        <f>((L4-L5)/L9) * 10^6</f>
        <v>2391.4085941922176</v>
      </c>
      <c r="M10" s="33">
        <f>((M4-M5)/M9) * 10^6</f>
        <v>2291.0346952696664</v>
      </c>
      <c r="O10" s="22" t="s">
        <v>175</v>
      </c>
      <c r="P10" s="22" t="s">
        <v>29</v>
      </c>
      <c r="Q10" s="33">
        <f>((Q4-Q5)/Q9) * 10^6</f>
        <v>1286.1593005235322</v>
      </c>
      <c r="R10" s="33">
        <f>((R4-R5)/R9) * 10^6</f>
        <v>1276.9021662236783</v>
      </c>
      <c r="S10" s="33">
        <f>((S4-S5)/S9) * 10^6</f>
        <v>2563.8242987839221</v>
      </c>
      <c r="T10" s="33">
        <f>((T4-T5)/T9) * 10^6</f>
        <v>2434.1240468266951</v>
      </c>
    </row>
    <row r="12" spans="1:20">
      <c r="A12" s="51" t="s">
        <v>176</v>
      </c>
      <c r="B12" s="42"/>
      <c r="C12" s="42"/>
      <c r="D12" s="42"/>
      <c r="E12" s="42"/>
      <c r="F12" s="42"/>
      <c r="H12" s="51" t="s">
        <v>177</v>
      </c>
      <c r="I12" s="42"/>
      <c r="J12" s="42"/>
      <c r="K12" s="42"/>
      <c r="L12" s="42"/>
      <c r="M12" s="42"/>
      <c r="O12" s="51" t="s">
        <v>178</v>
      </c>
      <c r="P12" s="42"/>
      <c r="Q12" s="42"/>
      <c r="R12" s="42"/>
      <c r="S12" s="42"/>
      <c r="T12" s="42"/>
    </row>
    <row r="13" spans="1:20">
      <c r="A13" s="21" t="s">
        <v>0</v>
      </c>
      <c r="B13" s="21" t="s">
        <v>3</v>
      </c>
      <c r="C13" s="21" t="s">
        <v>163</v>
      </c>
      <c r="D13" s="21" t="s">
        <v>164</v>
      </c>
      <c r="E13" s="21" t="s">
        <v>165</v>
      </c>
      <c r="F13" s="21" t="s">
        <v>166</v>
      </c>
      <c r="H13" s="21" t="s">
        <v>0</v>
      </c>
      <c r="I13" s="21" t="s">
        <v>3</v>
      </c>
      <c r="J13" s="21" t="s">
        <v>163</v>
      </c>
      <c r="K13" s="21" t="s">
        <v>164</v>
      </c>
      <c r="L13" s="21" t="s">
        <v>165</v>
      </c>
      <c r="M13" s="21" t="s">
        <v>166</v>
      </c>
      <c r="O13" s="21" t="s">
        <v>0</v>
      </c>
      <c r="P13" s="21" t="s">
        <v>3</v>
      </c>
      <c r="Q13" s="21" t="s">
        <v>163</v>
      </c>
      <c r="R13" s="21" t="s">
        <v>164</v>
      </c>
      <c r="S13" s="21" t="s">
        <v>165</v>
      </c>
      <c r="T13" s="21" t="s">
        <v>166</v>
      </c>
    </row>
    <row r="14" spans="1:20">
      <c r="A14" s="22" t="s">
        <v>167</v>
      </c>
      <c r="B14" s="22" t="s">
        <v>168</v>
      </c>
      <c r="C14" s="32">
        <f>'MFSP Baseline'!B19</f>
        <v>2.8726141678593238</v>
      </c>
      <c r="D14" s="32">
        <f>'MFSP Electricity'!B19</f>
        <v>1.8914706036926556</v>
      </c>
      <c r="E14" s="32">
        <f>'MFSP CO2 Corrected'!B19</f>
        <v>2.8360093536926558</v>
      </c>
      <c r="F14" s="32">
        <f>'MFSP WACC Corrected'!B19</f>
        <v>2.6404095104594716</v>
      </c>
      <c r="G14" s="5"/>
      <c r="H14" s="34" t="s">
        <v>167</v>
      </c>
      <c r="I14" s="34" t="s">
        <v>168</v>
      </c>
      <c r="J14" s="32">
        <f>'MFSP Baseline'!B42</f>
        <v>3.2708823007043457</v>
      </c>
      <c r="K14" s="32">
        <f>'MFSP Electricity'!B42</f>
        <v>1.905568252668423</v>
      </c>
      <c r="L14" s="32">
        <f>'MFSP CO2 Corrected'!B42</f>
        <v>2.8501070026684241</v>
      </c>
      <c r="M14" s="32">
        <f>'MFSP WACC Corrected'!B42</f>
        <v>2.6527270752088126</v>
      </c>
      <c r="N14" s="5"/>
      <c r="O14" s="34" t="s">
        <v>167</v>
      </c>
      <c r="P14" s="34" t="s">
        <v>168</v>
      </c>
      <c r="Q14" s="32">
        <f>'MFSP Baseline'!B65</f>
        <v>2.8712011872480905</v>
      </c>
      <c r="R14" s="32">
        <f>'MFSP Electricity'!B65</f>
        <v>1.8900576230814237</v>
      </c>
      <c r="S14" s="32">
        <f>'MFSP CO2 Corrected'!B65</f>
        <v>2.8345963730814239</v>
      </c>
      <c r="T14" s="16">
        <f>'MFSP WACC Corrected'!B65</f>
        <v>2.6394677286140569</v>
      </c>
    </row>
    <row r="15" spans="1:20">
      <c r="A15" s="22" t="s">
        <v>167</v>
      </c>
      <c r="B15" s="22" t="s">
        <v>21</v>
      </c>
      <c r="C15" s="32">
        <f>C14/Inputs!$C$6</f>
        <v>3.1917935198436931</v>
      </c>
      <c r="D15" s="32">
        <f>D14/Inputs!$C$6</f>
        <v>2.1016340041029506</v>
      </c>
      <c r="E15" s="32">
        <f>E14/Inputs!$C$6</f>
        <v>3.1511215041029508</v>
      </c>
      <c r="F15" s="32">
        <f>F14/Inputs!$C$6</f>
        <v>2.9337883449549684</v>
      </c>
      <c r="G15" s="5"/>
      <c r="H15" s="34" t="s">
        <v>167</v>
      </c>
      <c r="I15" s="34" t="s">
        <v>21</v>
      </c>
      <c r="J15" s="32">
        <f>J14/Inputs!$C$6</f>
        <v>3.6343136674492729</v>
      </c>
      <c r="K15" s="32">
        <f>K14/Inputs!$C$6</f>
        <v>2.1172980585204701</v>
      </c>
      <c r="L15" s="32">
        <f>L14/Inputs!$C$6</f>
        <v>3.1667855585204712</v>
      </c>
      <c r="M15" s="32">
        <f>M14/Inputs!$C$6</f>
        <v>2.9474745280097916</v>
      </c>
      <c r="N15" s="5"/>
      <c r="O15" s="34" t="s">
        <v>167</v>
      </c>
      <c r="P15" s="34" t="s">
        <v>21</v>
      </c>
      <c r="Q15" s="32">
        <f>Q14/Inputs!$C$6</f>
        <v>3.190223541386767</v>
      </c>
      <c r="R15" s="32">
        <f>R14/Inputs!$C$6</f>
        <v>2.1000640256460263</v>
      </c>
      <c r="S15" s="32">
        <f>S14/Inputs!$C$6</f>
        <v>3.1495515256460265</v>
      </c>
      <c r="T15" s="32">
        <f>T14/Inputs!$C$6</f>
        <v>2.9327419206822856</v>
      </c>
    </row>
    <row r="16" spans="1:20">
      <c r="A16" s="22" t="s">
        <v>169</v>
      </c>
      <c r="B16" s="22" t="s">
        <v>21</v>
      </c>
      <c r="C16" s="32">
        <f>Inputs!$C$18</f>
        <v>1.7</v>
      </c>
      <c r="D16" s="32">
        <f>Inputs!$C$18</f>
        <v>1.7</v>
      </c>
      <c r="E16" s="32">
        <f>Inputs!$C$18</f>
        <v>1.7</v>
      </c>
      <c r="F16" s="32">
        <f>Inputs!$C$18</f>
        <v>1.7</v>
      </c>
      <c r="H16" s="22" t="s">
        <v>169</v>
      </c>
      <c r="I16" s="22" t="s">
        <v>21</v>
      </c>
      <c r="J16" s="32">
        <f>Inputs!$C$18</f>
        <v>1.7</v>
      </c>
      <c r="K16" s="32">
        <f>Inputs!$C$18</f>
        <v>1.7</v>
      </c>
      <c r="L16" s="32">
        <f>Inputs!$C$18</f>
        <v>1.7</v>
      </c>
      <c r="M16" s="32">
        <f>Inputs!$C$18</f>
        <v>1.7</v>
      </c>
      <c r="O16" s="22" t="s">
        <v>169</v>
      </c>
      <c r="P16" s="22" t="s">
        <v>21</v>
      </c>
      <c r="Q16" s="32">
        <f>Inputs!$C$18</f>
        <v>1.7</v>
      </c>
      <c r="R16" s="32">
        <f>Inputs!$C$18</f>
        <v>1.7</v>
      </c>
      <c r="S16" s="32">
        <f>Inputs!$C$18</f>
        <v>1.7</v>
      </c>
      <c r="T16" s="32">
        <f>Inputs!$C$18</f>
        <v>1.7</v>
      </c>
    </row>
    <row r="17" spans="1:20">
      <c r="A17" s="22" t="s">
        <v>170</v>
      </c>
      <c r="B17" s="22" t="s">
        <v>171</v>
      </c>
      <c r="C17" s="16">
        <f>'Study Parameters'!$C$35</f>
        <v>5.9</v>
      </c>
      <c r="D17" s="16">
        <f>'Study Parameters'!$C$35</f>
        <v>5.9</v>
      </c>
      <c r="E17" s="16">
        <f>'Study Parameters'!$C$35</f>
        <v>5.9</v>
      </c>
      <c r="F17" s="16">
        <f>'Study Parameters'!$C$35</f>
        <v>5.9</v>
      </c>
      <c r="H17" s="22" t="s">
        <v>170</v>
      </c>
      <c r="I17" s="22" t="s">
        <v>171</v>
      </c>
      <c r="J17" s="16">
        <f>'Study Parameters'!$C$35</f>
        <v>5.9</v>
      </c>
      <c r="K17" s="16">
        <f>'Study Parameters'!$C$35</f>
        <v>5.9</v>
      </c>
      <c r="L17" s="16">
        <f>'Study Parameters'!$C$35</f>
        <v>5.9</v>
      </c>
      <c r="M17" s="16">
        <f>'Study Parameters'!$C$35</f>
        <v>5.9</v>
      </c>
      <c r="O17" s="22" t="s">
        <v>170</v>
      </c>
      <c r="P17" s="22" t="s">
        <v>171</v>
      </c>
      <c r="Q17" s="16">
        <f>'Study Parameters'!$C$35</f>
        <v>5.9</v>
      </c>
      <c r="R17" s="16">
        <f>'Study Parameters'!$C$35</f>
        <v>5.9</v>
      </c>
      <c r="S17" s="16">
        <f>'Study Parameters'!$C$35</f>
        <v>5.9</v>
      </c>
      <c r="T17" s="16">
        <f>'Study Parameters'!$C$35</f>
        <v>5.9</v>
      </c>
    </row>
    <row r="18" spans="1:20">
      <c r="A18" s="22" t="s">
        <v>172</v>
      </c>
      <c r="B18" s="22" t="s">
        <v>171</v>
      </c>
      <c r="C18" s="16">
        <f>Inputs!$C$11</f>
        <v>88.7</v>
      </c>
      <c r="D18" s="16">
        <f>Inputs!$C$11</f>
        <v>88.7</v>
      </c>
      <c r="E18" s="16">
        <f>Inputs!$C$11</f>
        <v>88.7</v>
      </c>
      <c r="F18" s="16">
        <f>Inputs!$C$11</f>
        <v>88.7</v>
      </c>
      <c r="H18" s="22" t="s">
        <v>172</v>
      </c>
      <c r="I18" s="22" t="s">
        <v>171</v>
      </c>
      <c r="J18" s="16">
        <f>Inputs!$C$11</f>
        <v>88.7</v>
      </c>
      <c r="K18" s="16">
        <f>Inputs!$C$11</f>
        <v>88.7</v>
      </c>
      <c r="L18" s="16">
        <f>Inputs!$C$11</f>
        <v>88.7</v>
      </c>
      <c r="M18" s="16">
        <f>Inputs!$C$11</f>
        <v>88.7</v>
      </c>
      <c r="O18" s="22" t="s">
        <v>172</v>
      </c>
      <c r="P18" s="22" t="s">
        <v>171</v>
      </c>
      <c r="Q18" s="16">
        <f>Inputs!$C$11</f>
        <v>88.7</v>
      </c>
      <c r="R18" s="16">
        <f>Inputs!$C$11</f>
        <v>88.7</v>
      </c>
      <c r="S18" s="16">
        <f>Inputs!$C$11</f>
        <v>88.7</v>
      </c>
      <c r="T18" s="16">
        <f>Inputs!$C$11</f>
        <v>88.7</v>
      </c>
    </row>
    <row r="19" spans="1:20">
      <c r="A19" s="22" t="s">
        <v>173</v>
      </c>
      <c r="B19" s="22" t="s">
        <v>171</v>
      </c>
      <c r="C19" s="16">
        <f>C18-C17</f>
        <v>82.8</v>
      </c>
      <c r="D19" s="16">
        <f>D18-D17</f>
        <v>82.8</v>
      </c>
      <c r="E19" s="16">
        <f>E18-E17</f>
        <v>82.8</v>
      </c>
      <c r="F19" s="16">
        <f>F18-F17</f>
        <v>82.8</v>
      </c>
      <c r="H19" s="22" t="s">
        <v>173</v>
      </c>
      <c r="I19" s="22" t="s">
        <v>171</v>
      </c>
      <c r="J19" s="16">
        <f>J18-J17</f>
        <v>82.8</v>
      </c>
      <c r="K19" s="16">
        <f>K18-K17</f>
        <v>82.8</v>
      </c>
      <c r="L19" s="16">
        <f>L18-L17</f>
        <v>82.8</v>
      </c>
      <c r="M19" s="16">
        <f>M18-M17</f>
        <v>82.8</v>
      </c>
      <c r="O19" s="22" t="s">
        <v>173</v>
      </c>
      <c r="P19" s="22" t="s">
        <v>171</v>
      </c>
      <c r="Q19" s="16">
        <f>Q18-Q17</f>
        <v>82.8</v>
      </c>
      <c r="R19" s="16">
        <f>R18-R17</f>
        <v>82.8</v>
      </c>
      <c r="S19" s="16">
        <f>S18-S17</f>
        <v>82.8</v>
      </c>
      <c r="T19" s="16">
        <f>T18-T17</f>
        <v>82.8</v>
      </c>
    </row>
    <row r="20" spans="1:20">
      <c r="A20" s="22" t="s">
        <v>173</v>
      </c>
      <c r="B20" s="22" t="s">
        <v>174</v>
      </c>
      <c r="C20" s="16">
        <f>C19*Inputs!$C$14</f>
        <v>2872.2988800000003</v>
      </c>
      <c r="D20" s="16">
        <f>D19*Inputs!$C$14</f>
        <v>2872.2988800000003</v>
      </c>
      <c r="E20" s="16">
        <f>E19*Inputs!$C$14</f>
        <v>2872.2988800000003</v>
      </c>
      <c r="F20" s="16">
        <f>F19*Inputs!$C$14</f>
        <v>2872.2988800000003</v>
      </c>
      <c r="H20" s="22" t="s">
        <v>173</v>
      </c>
      <c r="I20" s="22" t="s">
        <v>174</v>
      </c>
      <c r="J20" s="16">
        <f>J19*Inputs!$C$14</f>
        <v>2872.2988800000003</v>
      </c>
      <c r="K20" s="16">
        <f>K19*Inputs!$C$14</f>
        <v>2872.2988800000003</v>
      </c>
      <c r="L20" s="16">
        <f>L19*Inputs!$C$14</f>
        <v>2872.2988800000003</v>
      </c>
      <c r="M20" s="16">
        <f>M19*Inputs!$C$14</f>
        <v>2872.2988800000003</v>
      </c>
      <c r="O20" s="22" t="s">
        <v>173</v>
      </c>
      <c r="P20" s="22" t="s">
        <v>174</v>
      </c>
      <c r="Q20" s="16">
        <f>Q19*Inputs!$C$14</f>
        <v>2872.2988800000003</v>
      </c>
      <c r="R20" s="16">
        <f>R19*Inputs!$C$14</f>
        <v>2872.2988800000003</v>
      </c>
      <c r="S20" s="16">
        <f>S19*Inputs!$C$14</f>
        <v>2872.2988800000003</v>
      </c>
      <c r="T20" s="16">
        <f>T19*Inputs!$C$14</f>
        <v>2872.2988800000003</v>
      </c>
    </row>
    <row r="21" spans="1:20">
      <c r="A21" s="22" t="s">
        <v>175</v>
      </c>
      <c r="B21" s="22" t="s">
        <v>29</v>
      </c>
      <c r="C21" s="33">
        <f>((C15-C16)/C20) * 10^6</f>
        <v>519.37266355919519</v>
      </c>
      <c r="D21" s="33">
        <f>((D15-D16)/D20) * 10^6</f>
        <v>139.83015726516268</v>
      </c>
      <c r="E21" s="33">
        <f>((E15-E16)/E20) * 10^6</f>
        <v>505.21257178603594</v>
      </c>
      <c r="F21" s="33">
        <f>((F15-F16)/F20) * 10^6</f>
        <v>429.54734047557349</v>
      </c>
      <c r="H21" s="22" t="s">
        <v>175</v>
      </c>
      <c r="I21" s="22" t="s">
        <v>29</v>
      </c>
      <c r="J21" s="33">
        <f>((J15-J16)/J20) * 10^6</f>
        <v>673.43746185956547</v>
      </c>
      <c r="K21" s="33">
        <f>((K15-K16)/K20) * 10^6</f>
        <v>145.28364768239931</v>
      </c>
      <c r="L21" s="33">
        <f>((L15-L16)/L20) * 10^6</f>
        <v>510.66606220327293</v>
      </c>
      <c r="M21" s="33">
        <f>((M15-M16)/M20) * 10^6</f>
        <v>434.31222868066976</v>
      </c>
      <c r="O21" s="22" t="s">
        <v>175</v>
      </c>
      <c r="P21" s="22" t="s">
        <v>29</v>
      </c>
      <c r="Q21" s="33">
        <f>((Q15-Q16)/Q20) * 10^6</f>
        <v>518.82607056086272</v>
      </c>
      <c r="R21" s="33">
        <f>((R15-R16)/R20) * 10^6</f>
        <v>139.28356426683089</v>
      </c>
      <c r="S21" s="33">
        <f>((S15-S16)/S20) * 10^6</f>
        <v>504.66597878770415</v>
      </c>
      <c r="T21" s="33">
        <f>((T15-T16)/T20) * 10^6</f>
        <v>429.18302453339584</v>
      </c>
    </row>
    <row r="23" spans="1:20">
      <c r="A23" s="50" t="s">
        <v>179</v>
      </c>
      <c r="B23" s="50"/>
      <c r="C23" s="50"/>
      <c r="H23" s="50" t="s">
        <v>180</v>
      </c>
      <c r="I23" s="50"/>
      <c r="J23" s="50"/>
      <c r="O23" s="50" t="s">
        <v>181</v>
      </c>
      <c r="P23" s="50"/>
      <c r="Q23" s="50"/>
    </row>
    <row r="24" spans="1:20">
      <c r="A24" s="37" t="s">
        <v>0</v>
      </c>
      <c r="B24" s="37" t="s">
        <v>3</v>
      </c>
      <c r="C24" t="s">
        <v>2</v>
      </c>
      <c r="H24" s="37" t="s">
        <v>0</v>
      </c>
      <c r="I24" s="37" t="s">
        <v>3</v>
      </c>
      <c r="J24" t="s">
        <v>2</v>
      </c>
      <c r="O24" s="37" t="s">
        <v>0</v>
      </c>
      <c r="P24" s="37" t="s">
        <v>3</v>
      </c>
      <c r="Q24" t="s">
        <v>2</v>
      </c>
    </row>
    <row r="25" spans="1:20">
      <c r="A25" s="37" t="s">
        <v>182</v>
      </c>
      <c r="B25" s="37" t="s">
        <v>174</v>
      </c>
      <c r="C25" s="5">
        <f>C6*Inputs!$C$14</f>
        <v>204.66864000000004</v>
      </c>
      <c r="H25" s="37" t="s">
        <v>182</v>
      </c>
      <c r="I25" s="37" t="s">
        <v>174</v>
      </c>
      <c r="J25" s="5">
        <f>J6*Inputs!$C$14</f>
        <v>204.66864000000004</v>
      </c>
      <c r="O25" s="37" t="s">
        <v>182</v>
      </c>
      <c r="P25" s="37" t="s">
        <v>174</v>
      </c>
      <c r="Q25" s="5">
        <f>Q6*Inputs!$C$14</f>
        <v>204.66864000000004</v>
      </c>
    </row>
    <row r="26" spans="1:20">
      <c r="A26" s="37" t="s">
        <v>183</v>
      </c>
      <c r="B26" s="37" t="s">
        <v>21</v>
      </c>
      <c r="C26" s="9">
        <f>C25*Inputs!$C$32 * 10^-6</f>
        <v>0.28060070544000004</v>
      </c>
      <c r="H26" s="37" t="s">
        <v>183</v>
      </c>
      <c r="I26" s="37" t="s">
        <v>21</v>
      </c>
      <c r="J26" s="9">
        <f>J25*Inputs!$C$32 * 10^-6</f>
        <v>0.28060070544000004</v>
      </c>
      <c r="O26" s="37" t="s">
        <v>183</v>
      </c>
      <c r="P26" s="37" t="s">
        <v>21</v>
      </c>
      <c r="Q26" s="9">
        <f>Q25*Inputs!$C$32 * 10^-6</f>
        <v>0.28060070544000004</v>
      </c>
    </row>
    <row r="27" spans="1:20">
      <c r="A27" s="37" t="s">
        <v>184</v>
      </c>
      <c r="B27" s="37" t="s">
        <v>21</v>
      </c>
      <c r="C27" s="9">
        <f>F4+C26</f>
        <v>8.0195334390883168</v>
      </c>
      <c r="H27" s="37" t="s">
        <v>184</v>
      </c>
      <c r="I27" s="37" t="s">
        <v>21</v>
      </c>
      <c r="J27" s="9">
        <f>M4+J26</f>
        <v>7.6611370947042046</v>
      </c>
      <c r="O27" s="37" t="s">
        <v>184</v>
      </c>
      <c r="P27" s="37" t="s">
        <v>21</v>
      </c>
      <c r="Q27" s="9">
        <f>T4+Q26</f>
        <v>8.0721324789213842</v>
      </c>
    </row>
    <row r="28" spans="1:20">
      <c r="A28" s="37" t="s">
        <v>185</v>
      </c>
      <c r="B28" s="37" t="s">
        <v>29</v>
      </c>
      <c r="C28" s="5">
        <f>(C27-C16) /C20 * 10^6</f>
        <v>2200.1656871753949</v>
      </c>
      <c r="H28" s="37" t="s">
        <v>185</v>
      </c>
      <c r="I28" s="37" t="s">
        <v>29</v>
      </c>
      <c r="J28" s="5">
        <f>(J27-J16) /J20 * 10^6</f>
        <v>2075.388858802954</v>
      </c>
      <c r="O28" s="37" t="s">
        <v>185</v>
      </c>
      <c r="P28" s="37" t="s">
        <v>29</v>
      </c>
      <c r="Q28" s="5">
        <f>(Q27-Q16) /Q20 * 10^6</f>
        <v>2218.4782103599828</v>
      </c>
    </row>
    <row r="30" spans="1:20">
      <c r="A30" s="50" t="s">
        <v>186</v>
      </c>
      <c r="B30" s="50"/>
      <c r="C30" s="50"/>
      <c r="H30" s="50" t="s">
        <v>187</v>
      </c>
      <c r="I30" s="50"/>
      <c r="J30" s="50"/>
      <c r="O30" s="50" t="s">
        <v>188</v>
      </c>
      <c r="P30" s="50"/>
      <c r="Q30" s="50"/>
    </row>
    <row r="31" spans="1:20">
      <c r="A31" s="37" t="s">
        <v>0</v>
      </c>
      <c r="B31" s="37" t="s">
        <v>3</v>
      </c>
      <c r="C31" t="s">
        <v>2</v>
      </c>
      <c r="H31" s="37" t="s">
        <v>0</v>
      </c>
      <c r="I31" s="37" t="s">
        <v>3</v>
      </c>
      <c r="J31" t="s">
        <v>2</v>
      </c>
      <c r="O31" s="37" t="s">
        <v>0</v>
      </c>
      <c r="P31" s="37" t="s">
        <v>3</v>
      </c>
      <c r="Q31" t="s">
        <v>2</v>
      </c>
    </row>
    <row r="32" spans="1:20">
      <c r="A32" s="37" t="s">
        <v>182</v>
      </c>
      <c r="B32" s="37" t="s">
        <v>174</v>
      </c>
      <c r="C32" s="5">
        <f>C15*Inputs!$C$14</f>
        <v>110.7220404859698</v>
      </c>
      <c r="H32" s="37" t="s">
        <v>182</v>
      </c>
      <c r="I32" s="37" t="s">
        <v>174</v>
      </c>
      <c r="J32" s="5">
        <f>J15*Inputs!$C$14</f>
        <v>126.07288739834831</v>
      </c>
      <c r="O32" s="37" t="s">
        <v>182</v>
      </c>
      <c r="P32" s="37" t="s">
        <v>174</v>
      </c>
      <c r="Q32" s="5">
        <f>Q15*Inputs!$C$14</f>
        <v>110.66757856129041</v>
      </c>
    </row>
    <row r="33" spans="1:17">
      <c r="A33" s="37" t="s">
        <v>183</v>
      </c>
      <c r="B33" s="37" t="s">
        <v>21</v>
      </c>
      <c r="C33" s="9">
        <f>C32*Inputs!$C$33 * 10^-6</f>
        <v>5.5028854121526985E-2</v>
      </c>
      <c r="H33" s="37" t="s">
        <v>183</v>
      </c>
      <c r="I33" s="37" t="s">
        <v>21</v>
      </c>
      <c r="J33" s="9">
        <f>J32*Inputs!$C$33 * 10^-6</f>
        <v>6.2658225036979112E-2</v>
      </c>
      <c r="O33" s="37" t="s">
        <v>183</v>
      </c>
      <c r="P33" s="37" t="s">
        <v>21</v>
      </c>
      <c r="Q33" s="9">
        <f>Q32*Inputs!$C$33 * 10^-6</f>
        <v>5.5001786544961337E-2</v>
      </c>
    </row>
    <row r="34" spans="1:17">
      <c r="A34" s="37" t="s">
        <v>184</v>
      </c>
      <c r="B34" s="37" t="s">
        <v>21</v>
      </c>
      <c r="C34" s="9">
        <f>F15+C33</f>
        <v>2.9888171990764953</v>
      </c>
      <c r="H34" s="37" t="s">
        <v>184</v>
      </c>
      <c r="I34" s="37" t="s">
        <v>21</v>
      </c>
      <c r="J34" s="9">
        <f>M15+J33</f>
        <v>3.0101327530467707</v>
      </c>
      <c r="O34" s="37" t="s">
        <v>184</v>
      </c>
      <c r="P34" s="37" t="s">
        <v>21</v>
      </c>
      <c r="Q34" s="9">
        <f>T15+Q33</f>
        <v>2.987743707227247</v>
      </c>
    </row>
    <row r="35" spans="1:17">
      <c r="A35" s="37" t="s">
        <v>185</v>
      </c>
      <c r="B35" s="37" t="s">
        <v>29</v>
      </c>
      <c r="C35" s="5">
        <f>(C34-C16) /C20 * 10^6</f>
        <v>448.70581124081883</v>
      </c>
      <c r="H35" s="37" t="s">
        <v>185</v>
      </c>
      <c r="I35" s="37" t="s">
        <v>29</v>
      </c>
      <c r="J35" s="5">
        <f>(J34-J16) /J20 * 10^6</f>
        <v>456.126889220794</v>
      </c>
      <c r="O35" s="37" t="s">
        <v>185</v>
      </c>
      <c r="P35" s="37" t="s">
        <v>29</v>
      </c>
      <c r="Q35" s="5">
        <f>(Q34-Q16) /Q20 * 10^6</f>
        <v>448.33207163568125</v>
      </c>
    </row>
    <row r="38" spans="1:17">
      <c r="A38" s="49" t="s">
        <v>189</v>
      </c>
      <c r="B38" s="49"/>
      <c r="C38" s="49"/>
    </row>
    <row r="39" spans="1:17">
      <c r="A39" s="21" t="s">
        <v>0</v>
      </c>
      <c r="B39" s="21" t="s">
        <v>3</v>
      </c>
      <c r="C39" s="16" t="s">
        <v>190</v>
      </c>
    </row>
    <row r="40" spans="1:17">
      <c r="A40" s="22" t="s">
        <v>167</v>
      </c>
      <c r="B40" s="22" t="s">
        <v>168</v>
      </c>
      <c r="C40" s="16">
        <f>'MFSP WACC Corrected'!B76</f>
        <v>0</v>
      </c>
    </row>
    <row r="41" spans="1:17">
      <c r="A41" s="22" t="s">
        <v>167</v>
      </c>
      <c r="B41" s="22" t="s">
        <v>21</v>
      </c>
      <c r="C41" s="16">
        <f>C40/Inputs!$C$6</f>
        <v>0</v>
      </c>
    </row>
    <row r="42" spans="1:17">
      <c r="A42" s="22" t="s">
        <v>169</v>
      </c>
      <c r="B42" s="22" t="s">
        <v>21</v>
      </c>
      <c r="C42" s="32">
        <f>Inputs!$C$16</f>
        <v>0.8</v>
      </c>
    </row>
    <row r="43" spans="1:17">
      <c r="A43" s="22" t="s">
        <v>170</v>
      </c>
      <c r="B43" s="22" t="s">
        <v>171</v>
      </c>
      <c r="C43" s="16">
        <f>'Study Parameters'!$C$35</f>
        <v>5.9</v>
      </c>
    </row>
    <row r="44" spans="1:17">
      <c r="A44" s="22" t="s">
        <v>172</v>
      </c>
      <c r="B44" s="22" t="s">
        <v>171</v>
      </c>
      <c r="C44" s="32">
        <f>Inputs!$C$11</f>
        <v>88.7</v>
      </c>
    </row>
    <row r="45" spans="1:17">
      <c r="A45" s="22" t="s">
        <v>173</v>
      </c>
      <c r="B45" s="22" t="s">
        <v>171</v>
      </c>
      <c r="C45" s="32">
        <f>C44-C43</f>
        <v>82.8</v>
      </c>
    </row>
    <row r="46" spans="1:17">
      <c r="A46" s="22" t="s">
        <v>173</v>
      </c>
      <c r="B46" s="22" t="s">
        <v>174</v>
      </c>
      <c r="C46" s="16">
        <f>C45*Inputs!$C$14</f>
        <v>2872.2988800000003</v>
      </c>
    </row>
    <row r="47" spans="1:17">
      <c r="A47" s="22" t="s">
        <v>175</v>
      </c>
      <c r="B47" s="22" t="s">
        <v>29</v>
      </c>
      <c r="C47" s="33">
        <f>((C41-C42)/C46) * 10^6</f>
        <v>-278.52254706863931</v>
      </c>
    </row>
  </sheetData>
  <mergeCells count="13">
    <mergeCell ref="H1:M1"/>
    <mergeCell ref="O1:T1"/>
    <mergeCell ref="A1:F1"/>
    <mergeCell ref="O12:T12"/>
    <mergeCell ref="A12:F12"/>
    <mergeCell ref="H12:M12"/>
    <mergeCell ref="A38:C38"/>
    <mergeCell ref="A23:C23"/>
    <mergeCell ref="H23:J23"/>
    <mergeCell ref="O23:Q23"/>
    <mergeCell ref="A30:C30"/>
    <mergeCell ref="H30:J30"/>
    <mergeCell ref="O30:Q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Inputs</vt:lpstr>
      <vt:lpstr>Study Parameters</vt:lpstr>
      <vt:lpstr>Levelised Cost of Removal</vt:lpstr>
      <vt:lpstr>Cost Components</vt:lpstr>
      <vt:lpstr>MFSP Baseline</vt:lpstr>
      <vt:lpstr>MFSP Electricity</vt:lpstr>
      <vt:lpstr>MFSP CO2 Corrected</vt:lpstr>
      <vt:lpstr>MFSP WACC Corrected</vt:lpstr>
      <vt:lpstr>Cost Breakdown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2024-06-17T15:47:35Z</dcterms:created>
  <dcterms:modified xsi:type="dcterms:W3CDTF">2025-06-15T11:07:41Z</dcterms:modified>
  <cp:category/>
  <cp:contentStatus/>
</cp:coreProperties>
</file>
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96" documentId="13_ncr:1_{D6FDD79B-056F-1B49-B921-33F727076B8C}" xr6:coauthVersionLast="47" xr6:coauthVersionMax="47" xr10:uidLastSave="{3A10E616-15C1-4160-B161-F1384B01E0DE}"/>
  <bookViews>
    <workbookView xWindow="1950" yWindow="1950" windowWidth="28800" windowHeight="15345" xr2:uid="{00000000-000D-0000-FFFF-FFFF00000000}"/>
  </bookViews>
  <sheets>
    <sheet name="Inputs" sheetId="1" r:id="rId1"/>
    <sheet name="Study Parameters" sheetId="2" r:id="rId2"/>
    <sheet name="Cost Components" sheetId="3" r:id="rId3"/>
    <sheet name="Levelised Cost H2" sheetId="4" r:id="rId4"/>
    <sheet name="LCOF Baseline" sheetId="5" r:id="rId5"/>
    <sheet name="LCOF LCOE Corrected" sheetId="6" r:id="rId6"/>
    <sheet name="LCOF DAC Corrected" sheetId="7" r:id="rId7"/>
    <sheet name="LCOF WACC Corrected" sheetId="8" r:id="rId8"/>
    <sheet name="Outputs" sheetId="9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0" i="1"/>
  <c r="C29" i="1"/>
  <c r="C27" i="1"/>
  <c r="C26" i="1"/>
  <c r="C24" i="1"/>
  <c r="C23" i="1"/>
  <c r="C21" i="1"/>
  <c r="C20" i="1"/>
  <c r="C18" i="1"/>
  <c r="F5" i="9" s="1"/>
  <c r="C16" i="1"/>
  <c r="M5" i="9" s="1"/>
  <c r="C15" i="1"/>
  <c r="C14" i="1"/>
  <c r="C13" i="1"/>
  <c r="C12" i="1"/>
  <c r="C11" i="1"/>
  <c r="D7" i="9" s="1"/>
  <c r="C9" i="1"/>
  <c r="C8" i="1"/>
  <c r="C6" i="1"/>
  <c r="C5" i="1"/>
  <c r="C4" i="1"/>
  <c r="M5" i="8"/>
  <c r="J5" i="8"/>
  <c r="F12" i="8"/>
  <c r="B12" i="8"/>
  <c r="F9" i="8"/>
  <c r="B9" i="8"/>
  <c r="F6" i="8"/>
  <c r="B6" i="8"/>
  <c r="F12" i="7"/>
  <c r="B12" i="7"/>
  <c r="F9" i="7"/>
  <c r="B9" i="7"/>
  <c r="F6" i="7"/>
  <c r="B6" i="7"/>
  <c r="B3" i="7"/>
  <c r="F12" i="6"/>
  <c r="B12" i="6"/>
  <c r="F9" i="6"/>
  <c r="B9" i="6"/>
  <c r="B8" i="6"/>
  <c r="F7" i="6"/>
  <c r="B7" i="6"/>
  <c r="F6" i="6"/>
  <c r="F8" i="6" s="1"/>
  <c r="B6" i="6"/>
  <c r="F3" i="6"/>
  <c r="F12" i="5"/>
  <c r="B12" i="5"/>
  <c r="F9" i="5"/>
  <c r="B9" i="5"/>
  <c r="F7" i="5"/>
  <c r="F8" i="5" s="1"/>
  <c r="B7" i="5"/>
  <c r="B8" i="5" s="1"/>
  <c r="F6" i="5"/>
  <c r="B6" i="5"/>
  <c r="J8" i="4"/>
  <c r="F8" i="4"/>
  <c r="B8" i="4"/>
  <c r="H13" i="3"/>
  <c r="B13" i="3"/>
  <c r="H12" i="3"/>
  <c r="B12" i="3"/>
  <c r="H11" i="3"/>
  <c r="H10" i="3"/>
  <c r="H5" i="3"/>
  <c r="B5" i="3"/>
  <c r="F3" i="4" s="1"/>
  <c r="F4" i="4" s="1"/>
  <c r="H4" i="3"/>
  <c r="B4" i="3"/>
  <c r="F3" i="8" s="1"/>
  <c r="C29" i="2"/>
  <c r="C24" i="2"/>
  <c r="C17" i="2"/>
  <c r="C16" i="2"/>
  <c r="C15" i="2"/>
  <c r="C12" i="2"/>
  <c r="F6" i="4" l="1"/>
  <c r="B7" i="8"/>
  <c r="B8" i="8" s="1"/>
  <c r="M2" i="8" s="1"/>
  <c r="F7" i="8"/>
  <c r="F8" i="8" s="1"/>
  <c r="J2" i="8" s="1"/>
  <c r="J6" i="4"/>
  <c r="M3" i="8" s="1"/>
  <c r="J7" i="9"/>
  <c r="K7" i="9"/>
  <c r="E7" i="9"/>
  <c r="F7" i="9"/>
  <c r="C30" i="2"/>
  <c r="K6" i="9" s="1"/>
  <c r="F4" i="8"/>
  <c r="C37" i="2"/>
  <c r="J3" i="4"/>
  <c r="J4" i="4" s="1"/>
  <c r="B4" i="8"/>
  <c r="J5" i="9"/>
  <c r="F3" i="7"/>
  <c r="C38" i="2"/>
  <c r="B11" i="3"/>
  <c r="B3" i="6"/>
  <c r="K5" i="9"/>
  <c r="C7" i="9"/>
  <c r="B7" i="7"/>
  <c r="B8" i="7" s="1"/>
  <c r="L5" i="9"/>
  <c r="F7" i="7"/>
  <c r="F8" i="7" s="1"/>
  <c r="B6" i="4"/>
  <c r="C5" i="9"/>
  <c r="L7" i="9"/>
  <c r="D5" i="9"/>
  <c r="M7" i="9"/>
  <c r="B3" i="4"/>
  <c r="B4" i="4" s="1"/>
  <c r="F3" i="5"/>
  <c r="B3" i="8"/>
  <c r="E5" i="9"/>
  <c r="B3" i="5"/>
  <c r="B10" i="3"/>
  <c r="K8" i="9" l="1"/>
  <c r="K9" i="9" s="1"/>
  <c r="J3" i="8"/>
  <c r="L6" i="9"/>
  <c r="L8" i="9" s="1"/>
  <c r="L9" i="9" s="1"/>
  <c r="F6" i="9"/>
  <c r="F8" i="9" s="1"/>
  <c r="F9" i="9" s="1"/>
  <c r="M4" i="8"/>
  <c r="J4" i="8"/>
  <c r="M6" i="9"/>
  <c r="M8" i="9" s="1"/>
  <c r="M9" i="9" s="1"/>
  <c r="C6" i="9"/>
  <c r="D6" i="9"/>
  <c r="D8" i="9" s="1"/>
  <c r="D9" i="9" s="1"/>
  <c r="E6" i="9"/>
  <c r="E8" i="9" s="1"/>
  <c r="E9" i="9" s="1"/>
  <c r="J6" i="9"/>
  <c r="J5" i="4"/>
  <c r="F5" i="4"/>
  <c r="B5" i="4"/>
  <c r="C42" i="2"/>
  <c r="C40" i="2"/>
  <c r="F5" i="7"/>
  <c r="F5" i="6"/>
  <c r="B5" i="6"/>
  <c r="B5" i="7"/>
  <c r="F5" i="8"/>
  <c r="B5" i="8"/>
  <c r="F5" i="5"/>
  <c r="B5" i="5"/>
  <c r="B4" i="5"/>
  <c r="B4" i="6"/>
  <c r="B4" i="7"/>
  <c r="C39" i="2"/>
  <c r="C41" i="2"/>
  <c r="F4" i="7"/>
  <c r="F4" i="6"/>
  <c r="F4" i="5"/>
  <c r="J8" i="9" l="1"/>
  <c r="J9" i="9" s="1"/>
  <c r="J14" i="9"/>
  <c r="J15" i="9" s="1"/>
  <c r="C8" i="9"/>
  <c r="C9" i="9" s="1"/>
  <c r="C14" i="9"/>
  <c r="C15" i="9" s="1"/>
  <c r="M10" i="8"/>
  <c r="M11" i="8"/>
  <c r="M8" i="8"/>
  <c r="M9" i="8"/>
  <c r="J11" i="8"/>
  <c r="J10" i="8"/>
  <c r="J9" i="8"/>
  <c r="J8" i="8"/>
  <c r="J7" i="4"/>
  <c r="J10" i="4" s="1"/>
  <c r="F10" i="8" s="1"/>
  <c r="F11" i="8" s="1"/>
  <c r="F14" i="8" s="1"/>
  <c r="F15" i="8" s="1"/>
  <c r="F16" i="8" s="1"/>
  <c r="M3" i="9" s="1"/>
  <c r="M4" i="9" s="1"/>
  <c r="M10" i="9" s="1"/>
  <c r="H14" i="3"/>
  <c r="B14" i="3"/>
  <c r="J16" i="9" l="1"/>
  <c r="J17" i="9" s="1"/>
  <c r="B10" i="8"/>
  <c r="B11" i="8" s="1"/>
  <c r="B14" i="8" s="1"/>
  <c r="B15" i="8" s="1"/>
  <c r="B16" i="8" s="1"/>
  <c r="F3" i="9" s="1"/>
  <c r="F4" i="9" s="1"/>
  <c r="B7" i="4"/>
  <c r="B10" i="4" s="1"/>
  <c r="F7" i="4"/>
  <c r="F10" i="4" s="1"/>
  <c r="F10" i="9" l="1"/>
  <c r="C16" i="9"/>
  <c r="C17" i="9" s="1"/>
  <c r="B10" i="7"/>
  <c r="B11" i="7" s="1"/>
  <c r="B14" i="7" s="1"/>
  <c r="B15" i="7" s="1"/>
  <c r="B16" i="7" s="1"/>
  <c r="E3" i="9" s="1"/>
  <c r="E4" i="9" s="1"/>
  <c r="E10" i="9" s="1"/>
  <c r="F10" i="6"/>
  <c r="F11" i="6" s="1"/>
  <c r="F14" i="6" s="1"/>
  <c r="F15" i="6" s="1"/>
  <c r="F16" i="6" s="1"/>
  <c r="K3" i="9" s="1"/>
  <c r="K4" i="9" s="1"/>
  <c r="K10" i="9" s="1"/>
  <c r="F10" i="7"/>
  <c r="F11" i="7" s="1"/>
  <c r="F14" i="7" s="1"/>
  <c r="F15" i="7" s="1"/>
  <c r="F16" i="7" s="1"/>
  <c r="L3" i="9" s="1"/>
  <c r="L4" i="9" s="1"/>
  <c r="L10" i="9" s="1"/>
  <c r="B10" i="6"/>
  <c r="B11" i="6" s="1"/>
  <c r="B14" i="6" s="1"/>
  <c r="B15" i="6" s="1"/>
  <c r="B16" i="6" s="1"/>
  <c r="D3" i="9" s="1"/>
  <c r="D4" i="9" s="1"/>
  <c r="D10" i="9" s="1"/>
  <c r="F10" i="5"/>
  <c r="F11" i="5" s="1"/>
  <c r="F14" i="5" s="1"/>
  <c r="F15" i="5" s="1"/>
  <c r="F16" i="5" s="1"/>
  <c r="J3" i="9" s="1"/>
  <c r="J4" i="9" s="1"/>
  <c r="J10" i="9" s="1"/>
  <c r="B10" i="5"/>
  <c r="B11" i="5" s="1"/>
  <c r="B14" i="5" s="1"/>
  <c r="B15" i="5" s="1"/>
  <c r="B16" i="5" s="1"/>
  <c r="C3" i="9" s="1"/>
  <c r="C4" i="9" s="1"/>
  <c r="C10" i="9" s="1"/>
</calcChain>
</file>

<file path=xl/sharedStrings.xml><?xml version="1.0" encoding="utf-8"?>
<sst xmlns="http://schemas.openxmlformats.org/spreadsheetml/2006/main" count="616" uniqueCount="144">
  <si>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</si>
  <si>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</si>
  <si>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</si>
  <si>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</si>
  <si>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</si>
  <si>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</si>
  <si>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</si>
  <si>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</si>
  <si>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</si>
  <si>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</si>
  <si>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</si>
  <si>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</si>
  <si>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</si>
  <si>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</si>
  <si>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</si>
  <si>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</si>
  <si>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</si>
  <si>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</si>
  <si>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</si>
  <si>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</si>
  <si>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</si>
  <si>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</si>
  <si>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</si>
  <si>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</si>
  <si>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</si>
  <si>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</si>
  <si>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</si>
  <si>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</si>
  <si>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</si>
  <si>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</si>
  <si>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Key Parameters</t>
  </si>
  <si>
    <t>Source</t>
  </si>
  <si>
    <t>Note</t>
  </si>
  <si>
    <t xml:space="preserve">Discount Rate </t>
  </si>
  <si>
    <t>Gray et al.</t>
  </si>
  <si>
    <t>Lifetime (years)</t>
  </si>
  <si>
    <t>Gray et al. Table 4</t>
  </si>
  <si>
    <t>Process Parameters</t>
  </si>
  <si>
    <t>Annual CO2 Capture</t>
  </si>
  <si>
    <t>kt</t>
  </si>
  <si>
    <t>Gray et al. Box 1</t>
  </si>
  <si>
    <t>Annual H2 consumption</t>
  </si>
  <si>
    <t>t</t>
  </si>
  <si>
    <t>Annual Jet Fuel Output</t>
  </si>
  <si>
    <t>MWh</t>
  </si>
  <si>
    <t>kg</t>
  </si>
  <si>
    <t>mFT fuel considered</t>
  </si>
  <si>
    <t>Calculated</t>
  </si>
  <si>
    <t>Annual Electricity Consumption (PtX)</t>
  </si>
  <si>
    <t>GWh</t>
  </si>
  <si>
    <t>Fuel Synthesis Capcity Factor</t>
  </si>
  <si>
    <t>Annual Full Load Hours (FT)</t>
  </si>
  <si>
    <t>hours</t>
  </si>
  <si>
    <t>H2 Electricity Requirement</t>
  </si>
  <si>
    <t>MWh/kgH2</t>
  </si>
  <si>
    <t>Calculated for 70% electrolyzer efficinecy</t>
  </si>
  <si>
    <t>Annual Electricity Consumption (H2)</t>
  </si>
  <si>
    <t>Plant Parameters</t>
  </si>
  <si>
    <t>FT Synthesis Capacity</t>
  </si>
  <si>
    <t>MW</t>
  </si>
  <si>
    <t>Electrolyser Capacity</t>
  </si>
  <si>
    <t>Calculated as the minimum capcaity needed at 100% load factor to produce required H2</t>
  </si>
  <si>
    <t>Electrolyser Cell Stack Lifetime</t>
  </si>
  <si>
    <t>Cell Stack Replacements</t>
  </si>
  <si>
    <t>Calculated for 100% load factor (8760 hours over 25 year lifetime)</t>
  </si>
  <si>
    <t>Fuel Characteristics</t>
  </si>
  <si>
    <t>Fuel LHV</t>
  </si>
  <si>
    <t>kWh/kg</t>
  </si>
  <si>
    <t>Assumed intensity of electricity supply is 30gCO2eq/kWh (Norwegian grid)</t>
  </si>
  <si>
    <t>External Costs</t>
  </si>
  <si>
    <t>Electricity Price</t>
  </si>
  <si>
    <t>€/MWh</t>
  </si>
  <si>
    <t>Gray et al. Table 5</t>
  </si>
  <si>
    <t>Low CO2 Price</t>
  </si>
  <si>
    <t>€/tCO2</t>
  </si>
  <si>
    <t>Calculated as LCDACS by varying capacity factors of capture plant</t>
  </si>
  <si>
    <t>High CO2 Price</t>
  </si>
  <si>
    <t>Electrolyzer Stack Replacement Cost</t>
  </si>
  <si>
    <t>M€</t>
  </si>
  <si>
    <t>First Electrolyzer Stack Replacement Cost (Annualized) - 6%</t>
  </si>
  <si>
    <t>M€/year</t>
  </si>
  <si>
    <t>Second Electrolyzer Stack Replacement Cost (Annualized) - 6%</t>
  </si>
  <si>
    <t>First Electrolyzer Stack Replacement Cost (Annualized) - 7%</t>
  </si>
  <si>
    <t>Second Electrolyzer Stack Replacement Cost (Annualized) - 7%</t>
  </si>
  <si>
    <t>Economic Assumptions 2024 Low CO2 Price</t>
  </si>
  <si>
    <t>Economic Assumptions 2024 High CO2 Price</t>
  </si>
  <si>
    <t>CAPEX</t>
  </si>
  <si>
    <t>Component</t>
  </si>
  <si>
    <t>Notes</t>
  </si>
  <si>
    <t>Fuel Synthesis</t>
  </si>
  <si>
    <t>Electrolyzer</t>
  </si>
  <si>
    <t>OPEX</t>
  </si>
  <si>
    <t>m€/year</t>
  </si>
  <si>
    <t>Electricity</t>
  </si>
  <si>
    <t>CO2 Cost</t>
  </si>
  <si>
    <t>Cell Stack Replacement (Annualised)</t>
  </si>
  <si>
    <t>Baseline</t>
  </si>
  <si>
    <t>LCOE Corrected</t>
  </si>
  <si>
    <t>WACC Corrected</t>
  </si>
  <si>
    <t>Annualized CAPEX</t>
  </si>
  <si>
    <t>O&amp;M Electrolysis</t>
  </si>
  <si>
    <t>Electricity Cost</t>
  </si>
  <si>
    <t>Annualized Stack Replacement Cost</t>
  </si>
  <si>
    <t>H2 Production</t>
  </si>
  <si>
    <t>MWh/year</t>
  </si>
  <si>
    <t>Levelized Cost of H2</t>
  </si>
  <si>
    <t>2024 - Low CO2 Cost Scenario</t>
  </si>
  <si>
    <t>2024 - High CO2 Cost Scenario</t>
  </si>
  <si>
    <t>FT CAPEX</t>
  </si>
  <si>
    <t>Annualized FT CAPEX</t>
  </si>
  <si>
    <t>O&amp;M FT</t>
  </si>
  <si>
    <t>CO2 Consumption</t>
  </si>
  <si>
    <t>kt/year</t>
  </si>
  <si>
    <t>Annual CO2 Cost</t>
  </si>
  <si>
    <t>H2 Consumption</t>
  </si>
  <si>
    <t>t/year</t>
  </si>
  <si>
    <t>H2 Cost</t>
  </si>
  <si>
    <t>Annual H2 Cost</t>
  </si>
  <si>
    <t>Fuel Production</t>
  </si>
  <si>
    <t>LCOF</t>
  </si>
  <si>
    <t>€/kg</t>
  </si>
  <si>
    <t>€/l</t>
  </si>
  <si>
    <t>Cost Breakdowns</t>
  </si>
  <si>
    <t>Other OPEX</t>
  </si>
  <si>
    <t>Contributions</t>
  </si>
  <si>
    <t>Low CO2 Cost Scenario (2024 and 2050)</t>
  </si>
  <si>
    <t>2024 - High CO2 Cost</t>
  </si>
  <si>
    <t>Base case</t>
  </si>
  <si>
    <t>Electricity correction</t>
  </si>
  <si>
    <t>DAC correction</t>
  </si>
  <si>
    <t>WACC correction</t>
  </si>
  <si>
    <t>Syn-Fuel cost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</si>
  <si>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</si>
  <si>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</si>
  <si>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</si>
  <si>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</si>
  <si>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</si>
  <si>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</si>
  <si>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</si>
  <si>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>Full Abatement</t>
  </si>
  <si>
    <t>Residual Emissions</t>
  </si>
  <si>
    <t>Emissions Reduction Cost</t>
  </si>
  <si>
    <t>Effective Synfuel Cost</t>
  </si>
  <si>
    <t>Effective Abatement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</si>
</sst>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_);[Red]\(&quot;₹&quot;#,##0.00\)"/>
    <numFmt numFmtId="165" formatCode="_(* #,##0.00_);_(* \(#,##0.00\);_(* &quot;-&quot;??_);_(@_)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 (Body)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9" fontId="0" fillId="0" borderId="0" xfId="1" applyFont="1"/>
    <xf numFmtId="2" fontId="0" fillId="0" borderId="0" xfId="0" applyNumberFormat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3" fontId="0" fillId="0" borderId="0" xfId="0" applyNumberFormat="1"/>
    <xf numFmtId="0" fontId="0" fillId="0" borderId="1" xfId="0" applyBorder="1"/>
    <xf numFmtId="2" fontId="2" fillId="0" borderId="0" xfId="0" applyNumberFormat="1" applyFont="1"/>
    <xf numFmtId="164" fontId="0" fillId="0" borderId="0" xfId="0" applyNumberFormat="1"/>
    <xf numFmtId="2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65" fontId="0" fillId="0" borderId="1" xfId="0" applyNumberFormat="1" applyBorder="1"/>
    <xf numFmtId="1" fontId="0" fillId="0" borderId="0" xfId="0" applyNumberFormat="1"/>
    <xf numFmtId="0" fontId="0" fillId="0" borderId="0" xfId="1" applyNumberFormat="1" applyFont="1"/>
    <xf numFmtId="9" fontId="1" fillId="0" borderId="0" xfId="1"/>
    <xf numFmtId="0" fontId="6" fillId="0" borderId="0" xfId="0" applyFont="1"/>
    <xf numFmtId="165" fontId="0" fillId="0" borderId="0" xfId="0" applyNumberFormat="1"/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horizontal="center"/>
    </xf>
    <xf numFmtId="0" fontId="0" fillId="0" borderId="0" xfId="0"/>
    <xf numFmtId="0" fontId="2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0.8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1282</v>
          </cell>
        </row>
        <row r="34">
          <cell r="C34">
            <v>480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A7" sqref="A7"/>
    </sheetView>
  </sheetViews>
  <sheetFormatPr defaultColWidth="11" defaultRowHeight="15.75"/>
  <cols>
    <col min="1" max="1" width="24.125" bestFit="1" customWidth="1"/>
    <col min="2" max="2" width="11.5" bestFit="1" customWidth="1"/>
    <col min="3" max="3" width="12.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>
      <c r="A2" s="2" t="s">
        <v>4</v>
      </c>
    </row>
    <row r="3" spans="1:4">
      <c r="A3" t="s">
        <v>5</v>
      </c>
      <c r="C3">
        <v>2024</v>
      </c>
    </row>
    <row r="4" spans="1:4">
      <c r="A4" t="s">
        <v>6</v>
      </c>
      <c r="C4" s="20">
        <f>[1]Inputs!C5</f>
        <v>0.02</v>
      </c>
    </row>
    <row r="5" spans="1:4">
      <c r="A5" t="s">
        <v>7</v>
      </c>
      <c r="C5" s="20">
        <f>[1]Inputs!C6</f>
        <v>7.0000000000000007E-2</v>
      </c>
    </row>
    <row r="6" spans="1:4">
      <c r="A6" t="s">
        <v>8</v>
      </c>
      <c r="C6">
        <f>[1]Inputs!C7</f>
        <v>0.9</v>
      </c>
    </row>
    <row r="7" spans="1:4" s="3" customFormat="1">
      <c r="A7" s="2" t="s">
        <v>9</v>
      </c>
    </row>
    <row r="8" spans="1:4">
      <c r="A8" s="6" t="s">
        <v>10</v>
      </c>
      <c r="B8">
        <v>2024</v>
      </c>
      <c r="C8" s="5">
        <f>[1]Inputs!C9</f>
        <v>64</v>
      </c>
      <c r="D8" t="s">
        <v>11</v>
      </c>
    </row>
    <row r="9" spans="1:4">
      <c r="A9" s="6" t="s">
        <v>10</v>
      </c>
      <c r="B9">
        <v>2050</v>
      </c>
      <c r="C9" s="5">
        <f>[1]Inputs!C10</f>
        <v>11</v>
      </c>
      <c r="D9" t="s">
        <v>11</v>
      </c>
    </row>
    <row r="10" spans="1:4" s="3" customFormat="1">
      <c r="A10" s="2" t="s">
        <v>12</v>
      </c>
    </row>
    <row r="11" spans="1:4">
      <c r="A11" t="s">
        <v>13</v>
      </c>
      <c r="B11">
        <v>2024</v>
      </c>
      <c r="C11" s="5">
        <f>[1]Inputs!C12</f>
        <v>88.7</v>
      </c>
      <c r="D11" t="s">
        <v>14</v>
      </c>
    </row>
    <row r="12" spans="1:4">
      <c r="A12" t="s">
        <v>13</v>
      </c>
      <c r="B12">
        <v>2050</v>
      </c>
      <c r="C12" s="5">
        <f>[1]Inputs!C13</f>
        <v>88.7</v>
      </c>
      <c r="D12" t="s">
        <v>14</v>
      </c>
    </row>
    <row r="13" spans="1:4">
      <c r="A13" t="s">
        <v>15</v>
      </c>
      <c r="C13" s="5">
        <f>[1]Inputs!C14</f>
        <v>43.2</v>
      </c>
      <c r="D13" t="s">
        <v>16</v>
      </c>
    </row>
    <row r="14" spans="1:4">
      <c r="A14" t="s">
        <v>15</v>
      </c>
      <c r="C14" s="5">
        <f>[1]Inputs!C15</f>
        <v>34.689600000000006</v>
      </c>
      <c r="D14" t="s">
        <v>17</v>
      </c>
    </row>
    <row r="15" spans="1:4">
      <c r="A15" t="s">
        <v>18</v>
      </c>
      <c r="C15" s="5">
        <f>[1]Inputs!C16</f>
        <v>0.80300000000000005</v>
      </c>
      <c r="D15" t="s">
        <v>19</v>
      </c>
    </row>
    <row r="16" spans="1:4">
      <c r="A16" t="s">
        <v>20</v>
      </c>
      <c r="B16">
        <v>2024</v>
      </c>
      <c r="C16" s="5">
        <f>[1]Inputs!C17</f>
        <v>0.8</v>
      </c>
      <c r="D16" t="s">
        <v>21</v>
      </c>
    </row>
    <row r="17" spans="1:4" s="3" customFormat="1">
      <c r="A17" s="2" t="s">
        <v>22</v>
      </c>
    </row>
    <row r="18" spans="1:4">
      <c r="A18" s="6" t="s">
        <v>20</v>
      </c>
      <c r="B18">
        <v>2050</v>
      </c>
      <c r="C18" s="5">
        <f>[1]Inputs!C19</f>
        <v>0.8</v>
      </c>
      <c r="D18" t="s">
        <v>21</v>
      </c>
    </row>
    <row r="19" spans="1:4" s="8" customFormat="1">
      <c r="A19" s="7" t="s">
        <v>23</v>
      </c>
    </row>
    <row r="20" spans="1:4">
      <c r="A20" t="s">
        <v>20</v>
      </c>
      <c r="B20">
        <v>2024</v>
      </c>
      <c r="C20" s="5">
        <f>[1]Inputs!C21</f>
        <v>0.32246153846153797</v>
      </c>
      <c r="D20" t="s">
        <v>21</v>
      </c>
    </row>
    <row r="21" spans="1:4">
      <c r="A21" t="s">
        <v>20</v>
      </c>
      <c r="B21">
        <v>2050</v>
      </c>
      <c r="C21" s="5">
        <f>[1]Inputs!C22</f>
        <v>0.20923076923076925</v>
      </c>
      <c r="D21" t="s">
        <v>21</v>
      </c>
    </row>
    <row r="22" spans="1:4" s="8" customFormat="1">
      <c r="A22" s="7" t="s">
        <v>24</v>
      </c>
    </row>
    <row r="23" spans="1:4">
      <c r="A23" t="s">
        <v>20</v>
      </c>
      <c r="B23">
        <v>2024</v>
      </c>
      <c r="C23" s="5">
        <f>[1]Inputs!C24</f>
        <v>1.0209014091790563</v>
      </c>
      <c r="D23" t="s">
        <v>21</v>
      </c>
    </row>
    <row r="24" spans="1:4">
      <c r="A24" t="s">
        <v>20</v>
      </c>
      <c r="B24">
        <v>2050</v>
      </c>
      <c r="C24" s="5">
        <f>[1]Inputs!C25</f>
        <v>2.0095593639301876</v>
      </c>
      <c r="D24" t="s">
        <v>21</v>
      </c>
    </row>
    <row r="25" spans="1:4" s="8" customFormat="1">
      <c r="A25" s="7" t="s">
        <v>25</v>
      </c>
    </row>
    <row r="26" spans="1:4">
      <c r="A26" t="s">
        <v>20</v>
      </c>
      <c r="B26">
        <v>2024</v>
      </c>
      <c r="C26" s="5">
        <f>[1]Inputs!C27</f>
        <v>0.4828683335488041</v>
      </c>
      <c r="D26" t="s">
        <v>21</v>
      </c>
    </row>
    <row r="27" spans="1:4">
      <c r="A27" t="s">
        <v>20</v>
      </c>
      <c r="B27">
        <v>2050</v>
      </c>
      <c r="C27" s="5">
        <f>[1]Inputs!C28</f>
        <v>0.89646574789915967</v>
      </c>
      <c r="D27" t="s">
        <v>21</v>
      </c>
    </row>
    <row r="28" spans="1:4" s="8" customFormat="1">
      <c r="A28" s="7" t="s">
        <v>26</v>
      </c>
    </row>
    <row r="29" spans="1:4">
      <c r="A29" t="s">
        <v>20</v>
      </c>
      <c r="B29">
        <v>2024</v>
      </c>
      <c r="C29" s="5">
        <f>[1]Inputs!C30</f>
        <v>1.8838712863606983</v>
      </c>
      <c r="D29" t="s">
        <v>21</v>
      </c>
    </row>
    <row r="30" spans="1:4">
      <c r="A30" t="s">
        <v>20</v>
      </c>
      <c r="B30">
        <v>2050</v>
      </c>
      <c r="C30" s="5">
        <f>[1]Inputs!C31</f>
        <v>3.7893730833872015</v>
      </c>
      <c r="D30" t="s">
        <v>21</v>
      </c>
    </row>
    <row r="31" spans="1:4" s="3" customFormat="1">
      <c r="A31" s="2" t="s">
        <v>27</v>
      </c>
    </row>
    <row r="32" spans="1:4">
      <c r="A32" t="s">
        <v>28</v>
      </c>
      <c r="B32">
        <v>2024</v>
      </c>
      <c r="C32" s="5">
        <f>[1]Inputs!C33</f>
        <v>1282</v>
      </c>
      <c r="D32" t="s">
        <v>29</v>
      </c>
    </row>
    <row r="33" spans="1:4">
      <c r="A33" t="s">
        <v>28</v>
      </c>
      <c r="B33">
        <v>2050</v>
      </c>
      <c r="C33" s="5">
        <f>[1]Inputs!C34</f>
        <v>480</v>
      </c>
      <c r="D3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21" workbookViewId="0">
      <selection activeCell="A30" sqref="A30"/>
    </sheetView>
  </sheetViews>
  <sheetFormatPr defaultColWidth="11" defaultRowHeight="15.75"/>
  <cols>
    <col min="1" max="1" width="49" bestFit="1" customWidth="1"/>
  </cols>
  <sheetData>
    <row r="1" spans="1:6" s="2" customFormat="1">
      <c r="A1" s="2" t="s">
        <v>30</v>
      </c>
    </row>
    <row r="2" spans="1:6" s="1" customFormat="1">
      <c r="A2" t="s">
        <v>0</v>
      </c>
      <c r="B2" t="s">
        <v>1</v>
      </c>
      <c r="C2" t="s">
        <v>2</v>
      </c>
      <c r="D2" t="s">
        <v>31</v>
      </c>
      <c r="E2" t="s">
        <v>32</v>
      </c>
    </row>
    <row r="3" spans="1:6">
      <c r="A3" t="s">
        <v>33</v>
      </c>
      <c r="B3">
        <v>2024</v>
      </c>
      <c r="C3" s="4">
        <v>0.06</v>
      </c>
      <c r="D3" t="s">
        <v>34</v>
      </c>
    </row>
    <row r="4" spans="1:6">
      <c r="A4" t="s">
        <v>35</v>
      </c>
      <c r="B4">
        <v>2024</v>
      </c>
      <c r="C4">
        <v>25</v>
      </c>
      <c r="D4" t="s">
        <v>36</v>
      </c>
    </row>
    <row r="6" spans="1:6" s="2" customFormat="1">
      <c r="A6" s="2" t="s">
        <v>37</v>
      </c>
    </row>
    <row r="7" spans="1:6" s="1" customFormat="1">
      <c r="A7" t="s">
        <v>0</v>
      </c>
      <c r="B7" t="s">
        <v>1</v>
      </c>
      <c r="C7" t="s">
        <v>2</v>
      </c>
      <c r="D7" t="s">
        <v>3</v>
      </c>
      <c r="E7" t="s">
        <v>31</v>
      </c>
      <c r="F7" t="s">
        <v>32</v>
      </c>
    </row>
    <row r="8" spans="1:6">
      <c r="A8" t="s">
        <v>38</v>
      </c>
      <c r="B8">
        <v>2024</v>
      </c>
      <c r="C8">
        <v>144.34399999999999</v>
      </c>
      <c r="D8" t="s">
        <v>39</v>
      </c>
      <c r="E8" t="s">
        <v>40</v>
      </c>
    </row>
    <row r="9" spans="1:6">
      <c r="A9" t="s">
        <v>41</v>
      </c>
      <c r="B9">
        <v>2024</v>
      </c>
      <c r="C9">
        <v>19849</v>
      </c>
      <c r="D9" t="s">
        <v>42</v>
      </c>
      <c r="E9" t="s">
        <v>40</v>
      </c>
    </row>
    <row r="10" spans="1:6">
      <c r="A10" t="s">
        <v>43</v>
      </c>
      <c r="B10">
        <v>2024</v>
      </c>
      <c r="C10">
        <v>372300</v>
      </c>
      <c r="D10" t="s">
        <v>44</v>
      </c>
      <c r="E10" t="s">
        <v>40</v>
      </c>
    </row>
    <row r="11" spans="1:6">
      <c r="A11" t="s">
        <v>43</v>
      </c>
      <c r="B11">
        <v>2024</v>
      </c>
      <c r="C11">
        <v>31312027</v>
      </c>
      <c r="D11" t="s">
        <v>45</v>
      </c>
      <c r="E11" t="s">
        <v>40</v>
      </c>
      <c r="F11" t="s">
        <v>46</v>
      </c>
    </row>
    <row r="12" spans="1:6">
      <c r="A12" t="s">
        <v>43</v>
      </c>
      <c r="B12">
        <v>2024</v>
      </c>
      <c r="C12">
        <f>C11 / 10^6</f>
        <v>31.312027</v>
      </c>
      <c r="D12" t="s">
        <v>39</v>
      </c>
      <c r="F12" t="s">
        <v>47</v>
      </c>
    </row>
    <row r="13" spans="1:6">
      <c r="A13" t="s">
        <v>48</v>
      </c>
      <c r="B13">
        <v>2024</v>
      </c>
      <c r="C13">
        <v>372.3</v>
      </c>
      <c r="D13" t="s">
        <v>49</v>
      </c>
    </row>
    <row r="14" spans="1:6">
      <c r="A14" t="s">
        <v>50</v>
      </c>
      <c r="B14">
        <v>2024</v>
      </c>
      <c r="C14" s="4">
        <v>0.85</v>
      </c>
      <c r="E14" t="s">
        <v>36</v>
      </c>
    </row>
    <row r="15" spans="1:6">
      <c r="A15" t="s">
        <v>51</v>
      </c>
      <c r="B15">
        <v>2024</v>
      </c>
      <c r="C15">
        <f>8760 * C14</f>
        <v>7446</v>
      </c>
      <c r="D15" t="s">
        <v>52</v>
      </c>
      <c r="E15" t="s">
        <v>36</v>
      </c>
    </row>
    <row r="16" spans="1:6">
      <c r="A16" t="s">
        <v>53</v>
      </c>
      <c r="B16">
        <v>2024</v>
      </c>
      <c r="C16">
        <f>0.03333 / 0.7</f>
        <v>4.7614285714285713E-2</v>
      </c>
      <c r="D16" t="s">
        <v>54</v>
      </c>
      <c r="E16" t="s">
        <v>40</v>
      </c>
      <c r="F16" t="s">
        <v>55</v>
      </c>
    </row>
    <row r="17" spans="1:6">
      <c r="A17" t="s">
        <v>56</v>
      </c>
      <c r="B17">
        <v>2024</v>
      </c>
      <c r="C17">
        <f>(C22*8760/10^3)</f>
        <v>438</v>
      </c>
      <c r="D17" t="s">
        <v>49</v>
      </c>
    </row>
    <row r="18" spans="1:6">
      <c r="C18" s="19"/>
    </row>
    <row r="19" spans="1:6" s="2" customFormat="1">
      <c r="A19" s="2" t="s">
        <v>57</v>
      </c>
    </row>
    <row r="20" spans="1:6" s="1" customFormat="1">
      <c r="A20" t="s">
        <v>0</v>
      </c>
      <c r="B20" t="s">
        <v>1</v>
      </c>
      <c r="C20" t="s">
        <v>2</v>
      </c>
      <c r="D20" t="s">
        <v>3</v>
      </c>
      <c r="E20" t="s">
        <v>31</v>
      </c>
      <c r="F20" t="s">
        <v>32</v>
      </c>
    </row>
    <row r="21" spans="1:6" s="1" customFormat="1">
      <c r="A21" t="s">
        <v>58</v>
      </c>
      <c r="B21">
        <v>2024</v>
      </c>
      <c r="C21">
        <v>50</v>
      </c>
      <c r="D21" t="s">
        <v>59</v>
      </c>
      <c r="E21" t="s">
        <v>36</v>
      </c>
    </row>
    <row r="22" spans="1:6" s="1" customFormat="1">
      <c r="A22" t="s">
        <v>60</v>
      </c>
      <c r="B22">
        <v>2024</v>
      </c>
      <c r="C22">
        <v>50</v>
      </c>
      <c r="D22" t="s">
        <v>59</v>
      </c>
      <c r="E22" t="s">
        <v>36</v>
      </c>
      <c r="F22" t="s">
        <v>61</v>
      </c>
    </row>
    <row r="23" spans="1:6" s="1" customFormat="1">
      <c r="A23" t="s">
        <v>62</v>
      </c>
      <c r="B23">
        <v>2024</v>
      </c>
      <c r="C23">
        <v>80000</v>
      </c>
      <c r="D23" t="s">
        <v>52</v>
      </c>
    </row>
    <row r="24" spans="1:6" s="1" customFormat="1">
      <c r="A24" t="s">
        <v>63</v>
      </c>
      <c r="B24">
        <v>2024</v>
      </c>
      <c r="C24">
        <f>ROUNDUP((8760 *C4) / C23,0) - 1</f>
        <v>2</v>
      </c>
      <c r="F24" t="s">
        <v>64</v>
      </c>
    </row>
    <row r="25" spans="1:6" s="1" customFormat="1"/>
    <row r="26" spans="1:6" s="3" customFormat="1">
      <c r="A26" s="2" t="s">
        <v>65</v>
      </c>
    </row>
    <row r="27" spans="1:6">
      <c r="A27" t="s">
        <v>0</v>
      </c>
      <c r="B27" t="s">
        <v>1</v>
      </c>
      <c r="C27" t="s">
        <v>2</v>
      </c>
      <c r="D27" t="s">
        <v>3</v>
      </c>
      <c r="E27" t="s">
        <v>31</v>
      </c>
      <c r="F27" t="s">
        <v>32</v>
      </c>
    </row>
    <row r="28" spans="1:6">
      <c r="A28" t="s">
        <v>66</v>
      </c>
      <c r="B28">
        <v>2024</v>
      </c>
      <c r="C28">
        <v>11.89</v>
      </c>
      <c r="D28" t="s">
        <v>67</v>
      </c>
      <c r="E28" t="s">
        <v>40</v>
      </c>
    </row>
    <row r="29" spans="1:6">
      <c r="A29" t="s">
        <v>66</v>
      </c>
      <c r="B29">
        <v>2024</v>
      </c>
      <c r="C29">
        <f>C28 * 3.6</f>
        <v>42.804000000000002</v>
      </c>
      <c r="D29" t="s">
        <v>16</v>
      </c>
      <c r="E29" t="s">
        <v>40</v>
      </c>
    </row>
    <row r="30" spans="1:6">
      <c r="A30" t="s">
        <v>13</v>
      </c>
      <c r="B30">
        <v>2024</v>
      </c>
      <c r="C30">
        <f>0.09*Inputs!C11</f>
        <v>7.9829999999999997</v>
      </c>
      <c r="D30" t="s">
        <v>14</v>
      </c>
      <c r="E30" t="s">
        <v>34</v>
      </c>
      <c r="F30" t="s">
        <v>68</v>
      </c>
    </row>
    <row r="32" spans="1:6" s="2" customFormat="1">
      <c r="A32" s="2" t="s">
        <v>69</v>
      </c>
    </row>
    <row r="33" spans="1:6">
      <c r="A33" t="s">
        <v>0</v>
      </c>
      <c r="B33" t="s">
        <v>1</v>
      </c>
      <c r="C33" t="s">
        <v>2</v>
      </c>
      <c r="D33" t="s">
        <v>3</v>
      </c>
      <c r="E33" t="s">
        <v>31</v>
      </c>
      <c r="F33" t="s">
        <v>32</v>
      </c>
    </row>
    <row r="34" spans="1:6">
      <c r="A34" t="s">
        <v>70</v>
      </c>
      <c r="B34">
        <v>2024</v>
      </c>
      <c r="C34">
        <v>40</v>
      </c>
      <c r="D34" t="s">
        <v>71</v>
      </c>
      <c r="E34" t="s">
        <v>72</v>
      </c>
    </row>
    <row r="35" spans="1:6">
      <c r="A35" t="s">
        <v>73</v>
      </c>
      <c r="B35">
        <v>2024</v>
      </c>
      <c r="C35">
        <v>160</v>
      </c>
      <c r="D35" t="s">
        <v>74</v>
      </c>
      <c r="E35" t="s">
        <v>34</v>
      </c>
      <c r="F35" t="s">
        <v>75</v>
      </c>
    </row>
    <row r="36" spans="1:6">
      <c r="A36" t="s">
        <v>76</v>
      </c>
      <c r="B36">
        <v>2024</v>
      </c>
      <c r="C36">
        <v>1300</v>
      </c>
      <c r="D36" t="s">
        <v>74</v>
      </c>
      <c r="E36" t="s">
        <v>34</v>
      </c>
      <c r="F36" t="s">
        <v>75</v>
      </c>
    </row>
    <row r="37" spans="1:6">
      <c r="A37" t="s">
        <v>77</v>
      </c>
      <c r="B37">
        <v>2033</v>
      </c>
      <c r="C37" s="5">
        <f>0.35 * 'Cost Components'!B5</f>
        <v>140</v>
      </c>
      <c r="D37" t="s">
        <v>78</v>
      </c>
    </row>
    <row r="38" spans="1:6">
      <c r="A38" t="s">
        <v>77</v>
      </c>
      <c r="B38">
        <v>2042</v>
      </c>
      <c r="C38" s="5">
        <f>0.3 *'Cost Components'!B5</f>
        <v>120</v>
      </c>
      <c r="D38" t="s">
        <v>78</v>
      </c>
    </row>
    <row r="39" spans="1:6">
      <c r="A39" t="s">
        <v>79</v>
      </c>
      <c r="B39">
        <v>2024</v>
      </c>
      <c r="C39" s="5">
        <f>PMT($C$3,$C$4,-C37)</f>
        <v>10.951740549718357</v>
      </c>
      <c r="D39" t="s">
        <v>80</v>
      </c>
    </row>
    <row r="40" spans="1:6">
      <c r="A40" t="s">
        <v>81</v>
      </c>
      <c r="B40">
        <v>2024</v>
      </c>
      <c r="C40" s="5">
        <f>PMT($C$3,$C$4,-C38)</f>
        <v>9.387206185472877</v>
      </c>
      <c r="D40" t="s">
        <v>80</v>
      </c>
    </row>
    <row r="41" spans="1:6">
      <c r="A41" t="s">
        <v>82</v>
      </c>
      <c r="B41">
        <v>2024</v>
      </c>
      <c r="C41" s="5">
        <f>PMT(Inputs!C5,$C$4,-C37)</f>
        <v>12.013472410893188</v>
      </c>
      <c r="D41" t="s">
        <v>80</v>
      </c>
    </row>
    <row r="42" spans="1:6">
      <c r="A42" t="s">
        <v>83</v>
      </c>
      <c r="B42">
        <v>2024</v>
      </c>
      <c r="C42" s="5">
        <f>PMT(Inputs!C5,$C$4,-C38)</f>
        <v>10.297262066479874</v>
      </c>
      <c r="D4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selection activeCell="D15" sqref="D15"/>
    </sheetView>
  </sheetViews>
  <sheetFormatPr defaultColWidth="11" defaultRowHeight="15.75"/>
  <cols>
    <col min="1" max="1" width="13" bestFit="1" customWidth="1"/>
  </cols>
  <sheetData>
    <row r="1" spans="1:11">
      <c r="A1" s="26" t="s">
        <v>84</v>
      </c>
      <c r="B1" s="24"/>
      <c r="C1" s="24"/>
      <c r="D1" s="24"/>
      <c r="E1" s="25"/>
      <c r="G1" s="26" t="s">
        <v>85</v>
      </c>
      <c r="H1" s="24"/>
      <c r="I1" s="24"/>
      <c r="J1" s="24"/>
      <c r="K1" s="25"/>
    </row>
    <row r="2" spans="1:11">
      <c r="A2" s="23" t="s">
        <v>86</v>
      </c>
      <c r="B2" s="24"/>
      <c r="C2" s="24"/>
      <c r="D2" s="24"/>
      <c r="E2" s="25"/>
      <c r="G2" s="23" t="s">
        <v>86</v>
      </c>
      <c r="H2" s="24"/>
      <c r="I2" s="24"/>
      <c r="J2" s="24"/>
      <c r="K2" s="25"/>
    </row>
    <row r="3" spans="1:11">
      <c r="A3" s="10" t="s">
        <v>87</v>
      </c>
      <c r="B3" s="10" t="s">
        <v>2</v>
      </c>
      <c r="C3" s="10" t="s">
        <v>3</v>
      </c>
      <c r="D3" s="10" t="s">
        <v>31</v>
      </c>
      <c r="E3" s="10" t="s">
        <v>88</v>
      </c>
      <c r="G3" s="10" t="s">
        <v>87</v>
      </c>
      <c r="H3" s="10" t="s">
        <v>2</v>
      </c>
      <c r="I3" s="10" t="s">
        <v>3</v>
      </c>
      <c r="J3" s="10" t="s">
        <v>31</v>
      </c>
      <c r="K3" s="10" t="s">
        <v>88</v>
      </c>
    </row>
    <row r="4" spans="1:11">
      <c r="A4" t="s">
        <v>89</v>
      </c>
      <c r="B4">
        <f>(7000000*'Study Parameters'!$C$21) / 10^6</f>
        <v>350</v>
      </c>
      <c r="C4" t="s">
        <v>78</v>
      </c>
      <c r="D4" t="s">
        <v>36</v>
      </c>
      <c r="G4" t="s">
        <v>89</v>
      </c>
      <c r="H4">
        <f>(7000000*'Study Parameters'!$C$21) / 10^6</f>
        <v>350</v>
      </c>
      <c r="I4" t="s">
        <v>78</v>
      </c>
      <c r="J4" t="s">
        <v>36</v>
      </c>
    </row>
    <row r="5" spans="1:11">
      <c r="A5" t="s">
        <v>90</v>
      </c>
      <c r="B5" s="18">
        <f>(8000000 * 'Study Parameters'!$C$22) / 10^6</f>
        <v>400</v>
      </c>
      <c r="C5" t="s">
        <v>78</v>
      </c>
      <c r="D5" t="s">
        <v>36</v>
      </c>
      <c r="G5" t="s">
        <v>90</v>
      </c>
      <c r="H5" s="18">
        <f>(8000000 * 'Study Parameters'!$C$22) / 10^6</f>
        <v>400</v>
      </c>
      <c r="I5" t="s">
        <v>78</v>
      </c>
      <c r="J5" t="s">
        <v>36</v>
      </c>
    </row>
    <row r="6" spans="1:11" s="1" customFormat="1">
      <c r="B6" s="11"/>
      <c r="H6" s="11"/>
    </row>
    <row r="8" spans="1:11">
      <c r="A8" s="27" t="s">
        <v>91</v>
      </c>
      <c r="B8" s="28"/>
      <c r="C8" s="28"/>
      <c r="D8" s="28"/>
      <c r="E8" s="29"/>
      <c r="G8" s="27" t="s">
        <v>91</v>
      </c>
      <c r="H8" s="28"/>
      <c r="I8" s="28"/>
      <c r="J8" s="28"/>
      <c r="K8" s="29"/>
    </row>
    <row r="9" spans="1:11">
      <c r="A9" s="10" t="s">
        <v>87</v>
      </c>
      <c r="B9" s="10" t="s">
        <v>2</v>
      </c>
      <c r="C9" s="10" t="s">
        <v>3</v>
      </c>
      <c r="D9" s="10" t="s">
        <v>31</v>
      </c>
      <c r="E9" s="10" t="s">
        <v>88</v>
      </c>
      <c r="G9" s="10" t="s">
        <v>87</v>
      </c>
      <c r="H9" s="10" t="s">
        <v>2</v>
      </c>
      <c r="I9" s="10" t="s">
        <v>3</v>
      </c>
      <c r="J9" s="10" t="s">
        <v>31</v>
      </c>
      <c r="K9" s="10" t="s">
        <v>88</v>
      </c>
    </row>
    <row r="10" spans="1:11">
      <c r="A10" t="s">
        <v>89</v>
      </c>
      <c r="B10">
        <f>0.04*B4</f>
        <v>14</v>
      </c>
      <c r="C10" t="s">
        <v>92</v>
      </c>
      <c r="D10" t="s">
        <v>36</v>
      </c>
      <c r="G10" t="s">
        <v>89</v>
      </c>
      <c r="H10">
        <f>0.04*H4</f>
        <v>14</v>
      </c>
      <c r="I10" t="s">
        <v>80</v>
      </c>
      <c r="J10" t="s">
        <v>36</v>
      </c>
    </row>
    <row r="11" spans="1:11">
      <c r="A11" t="s">
        <v>90</v>
      </c>
      <c r="B11" s="5">
        <f>0.03*B5</f>
        <v>12</v>
      </c>
      <c r="C11" t="s">
        <v>80</v>
      </c>
      <c r="D11" t="s">
        <v>36</v>
      </c>
      <c r="G11" t="s">
        <v>90</v>
      </c>
      <c r="H11" s="5">
        <f>0.03*H5</f>
        <v>12</v>
      </c>
      <c r="I11" t="s">
        <v>80</v>
      </c>
      <c r="J11" t="s">
        <v>36</v>
      </c>
    </row>
    <row r="12" spans="1:11">
      <c r="A12" t="s">
        <v>93</v>
      </c>
      <c r="B12" s="5">
        <f>('Study Parameters'!$C$17+'Study Parameters'!$C$13) * 'Study Parameters'!$C$34 * 10^3/10^6</f>
        <v>32.411999999999999</v>
      </c>
      <c r="C12" t="s">
        <v>80</v>
      </c>
      <c r="E12" t="s">
        <v>47</v>
      </c>
      <c r="G12" t="s">
        <v>93</v>
      </c>
      <c r="H12" s="5">
        <f>('Study Parameters'!$C$17+'Study Parameters'!$C$13) * 'Study Parameters'!$C$34 * 10^3/10^6</f>
        <v>32.411999999999999</v>
      </c>
      <c r="I12" t="s">
        <v>80</v>
      </c>
      <c r="K12" t="s">
        <v>47</v>
      </c>
    </row>
    <row r="13" spans="1:11">
      <c r="A13" t="s">
        <v>94</v>
      </c>
      <c r="B13" s="5">
        <f>('Study Parameters'!$C$35*'Study Parameters'!$C$8 * 10^3) / 10^6</f>
        <v>23.095040000000001</v>
      </c>
      <c r="C13" t="s">
        <v>80</v>
      </c>
      <c r="E13" t="s">
        <v>47</v>
      </c>
      <c r="G13" t="s">
        <v>94</v>
      </c>
      <c r="H13" s="5">
        <f>('Study Parameters'!$C$36*'Study Parameters'!$C$8 * 10^3) / 10^6</f>
        <v>187.64719999999997</v>
      </c>
      <c r="I13" t="s">
        <v>80</v>
      </c>
      <c r="K13" t="s">
        <v>47</v>
      </c>
    </row>
    <row r="14" spans="1:11">
      <c r="A14" t="s">
        <v>95</v>
      </c>
      <c r="B14" s="5">
        <f>'Study Parameters'!$C$39+'Study Parameters'!$C$40</f>
        <v>20.338946735191236</v>
      </c>
      <c r="C14" t="s">
        <v>80</v>
      </c>
      <c r="G14" t="s">
        <v>95</v>
      </c>
      <c r="H14" s="5">
        <f>'Study Parameters'!$C$39+'Study Parameters'!$C$40</f>
        <v>20.338946735191236</v>
      </c>
      <c r="I14" t="s">
        <v>80</v>
      </c>
    </row>
    <row r="15" spans="1:11" s="1" customFormat="1"/>
    <row r="22" spans="1:2">
      <c r="B22" s="9"/>
    </row>
    <row r="23" spans="1:2">
      <c r="B23" s="4"/>
    </row>
    <row r="26" spans="1:2">
      <c r="A26" s="12"/>
      <c r="B26" s="12"/>
    </row>
  </sheetData>
  <mergeCells count="6">
    <mergeCell ref="A2:E2"/>
    <mergeCell ref="G2:K2"/>
    <mergeCell ref="G1:K1"/>
    <mergeCell ref="A1:E1"/>
    <mergeCell ref="A8:E8"/>
    <mergeCell ref="G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B6" sqref="B6"/>
    </sheetView>
  </sheetViews>
  <sheetFormatPr defaultColWidth="11" defaultRowHeight="15.75"/>
  <cols>
    <col min="1" max="1" width="30.625" bestFit="1" customWidth="1"/>
  </cols>
  <sheetData>
    <row r="1" spans="1:11">
      <c r="A1" s="30" t="s">
        <v>96</v>
      </c>
      <c r="B1" s="31"/>
      <c r="C1" s="31"/>
      <c r="E1" s="30" t="s">
        <v>97</v>
      </c>
      <c r="F1" s="31"/>
      <c r="G1" s="31"/>
      <c r="I1" s="30" t="s">
        <v>98</v>
      </c>
      <c r="J1" s="31"/>
      <c r="K1" s="31"/>
    </row>
    <row r="2" spans="1:11">
      <c r="A2" s="10" t="s">
        <v>0</v>
      </c>
      <c r="B2" s="10" t="s">
        <v>2</v>
      </c>
      <c r="C2" s="10" t="s">
        <v>3</v>
      </c>
      <c r="E2" s="10" t="s">
        <v>0</v>
      </c>
      <c r="F2" s="10" t="s">
        <v>2</v>
      </c>
      <c r="G2" s="10" t="s">
        <v>3</v>
      </c>
      <c r="I2" s="10" t="s">
        <v>0</v>
      </c>
      <c r="J2" s="10" t="s">
        <v>2</v>
      </c>
      <c r="K2" s="10" t="s">
        <v>3</v>
      </c>
    </row>
    <row r="3" spans="1:11">
      <c r="A3" s="10" t="s">
        <v>86</v>
      </c>
      <c r="B3" s="13">
        <f>'Cost Components'!$B$5</f>
        <v>400</v>
      </c>
      <c r="C3" s="10" t="s">
        <v>78</v>
      </c>
      <c r="E3" s="10" t="s">
        <v>86</v>
      </c>
      <c r="F3" s="13">
        <f>'Cost Components'!$B$5</f>
        <v>400</v>
      </c>
      <c r="G3" s="10" t="s">
        <v>78</v>
      </c>
      <c r="I3" s="10" t="s">
        <v>86</v>
      </c>
      <c r="J3" s="13">
        <f>'Cost Components'!$B$5</f>
        <v>400</v>
      </c>
      <c r="K3" s="10" t="s">
        <v>78</v>
      </c>
    </row>
    <row r="4" spans="1:11">
      <c r="A4" s="10" t="s">
        <v>99</v>
      </c>
      <c r="B4" s="13">
        <f>PMT('Study Parameters'!$C$3,'Study Parameters'!$C$4,-'Levelised Cost H2'!B3)</f>
        <v>31.290687284909591</v>
      </c>
      <c r="C4" s="14" t="s">
        <v>80</v>
      </c>
      <c r="E4" s="10" t="s">
        <v>99</v>
      </c>
      <c r="F4" s="13">
        <f>PMT('Study Parameters'!$C$3,'Study Parameters'!$C$4,-'Levelised Cost H2'!F3)</f>
        <v>31.290687284909591</v>
      </c>
      <c r="G4" s="14" t="s">
        <v>80</v>
      </c>
      <c r="I4" s="10" t="s">
        <v>99</v>
      </c>
      <c r="J4" s="13">
        <f>PMT(Inputs!$C$5,'Study Parameters'!$C$4,-'Levelised Cost H2'!J3)</f>
        <v>34.324206888266247</v>
      </c>
      <c r="K4" s="14" t="s">
        <v>80</v>
      </c>
    </row>
    <row r="5" spans="1:11">
      <c r="A5" s="10" t="s">
        <v>100</v>
      </c>
      <c r="B5" s="13">
        <f>'Cost Components'!$B$11</f>
        <v>12</v>
      </c>
      <c r="C5" s="14" t="s">
        <v>80</v>
      </c>
      <c r="E5" s="10" t="s">
        <v>100</v>
      </c>
      <c r="F5" s="13">
        <f>'Cost Components'!$B$11</f>
        <v>12</v>
      </c>
      <c r="G5" s="14" t="s">
        <v>80</v>
      </c>
      <c r="I5" s="10" t="s">
        <v>100</v>
      </c>
      <c r="J5" s="13">
        <f>'Cost Components'!$B$11</f>
        <v>12</v>
      </c>
      <c r="K5" s="14" t="s">
        <v>80</v>
      </c>
    </row>
    <row r="6" spans="1:11">
      <c r="A6" s="10" t="s">
        <v>101</v>
      </c>
      <c r="B6" s="13">
        <f>('Study Parameters'!$C$17*'Study Parameters'!$C$34 * 10^3)/10^6</f>
        <v>17.52</v>
      </c>
      <c r="C6" s="14" t="s">
        <v>80</v>
      </c>
      <c r="E6" s="10" t="s">
        <v>101</v>
      </c>
      <c r="F6" s="13">
        <f>('Study Parameters'!$C$17* Inputs!$C$8*Inputs!$C$6 * 10^3)/10^6</f>
        <v>25.2288</v>
      </c>
      <c r="G6" s="14" t="s">
        <v>80</v>
      </c>
      <c r="I6" s="10" t="s">
        <v>101</v>
      </c>
      <c r="J6" s="13">
        <f>('Study Parameters'!$C$17* Inputs!$C$8*Inputs!$C$6 * 10^3)/10^6</f>
        <v>25.2288</v>
      </c>
      <c r="K6" s="14" t="s">
        <v>80</v>
      </c>
    </row>
    <row r="7" spans="1:11">
      <c r="A7" s="10" t="s">
        <v>102</v>
      </c>
      <c r="B7" s="13">
        <f>'Cost Components'!$B$14</f>
        <v>20.338946735191236</v>
      </c>
      <c r="C7" s="14" t="s">
        <v>80</v>
      </c>
      <c r="E7" s="10" t="s">
        <v>102</v>
      </c>
      <c r="F7" s="13">
        <f>'Cost Components'!$B$14</f>
        <v>20.338946735191236</v>
      </c>
      <c r="G7" s="14" t="s">
        <v>80</v>
      </c>
      <c r="I7" s="10" t="s">
        <v>102</v>
      </c>
      <c r="J7" s="13">
        <f>'Study Parameters'!C41+'Study Parameters'!C42</f>
        <v>22.31073447737306</v>
      </c>
      <c r="K7" s="14" t="s">
        <v>80</v>
      </c>
    </row>
    <row r="8" spans="1:11">
      <c r="A8" s="10" t="s">
        <v>103</v>
      </c>
      <c r="B8" s="10">
        <f>'Study Parameters'!$C$9 * 10^3 * 0.03333</f>
        <v>661567.16999999993</v>
      </c>
      <c r="C8" s="14" t="s">
        <v>104</v>
      </c>
      <c r="E8" s="10" t="s">
        <v>103</v>
      </c>
      <c r="F8" s="10">
        <f>'Study Parameters'!$C$9 * 10^3 * 0.03333</f>
        <v>661567.16999999993</v>
      </c>
      <c r="G8" s="14" t="s">
        <v>104</v>
      </c>
      <c r="I8" s="10" t="s">
        <v>103</v>
      </c>
      <c r="J8" s="10">
        <f>'Study Parameters'!$C$9 * 10^3 * 0.03333</f>
        <v>661567.16999999993</v>
      </c>
      <c r="K8" s="14" t="s">
        <v>104</v>
      </c>
    </row>
    <row r="9" spans="1:11">
      <c r="A9" s="10"/>
      <c r="B9" s="10"/>
      <c r="C9" s="10"/>
      <c r="E9" s="10"/>
      <c r="F9" s="10"/>
      <c r="G9" s="10"/>
      <c r="I9" s="10"/>
      <c r="J9" s="10"/>
      <c r="K9" s="10"/>
    </row>
    <row r="10" spans="1:11">
      <c r="A10" s="10" t="s">
        <v>105</v>
      </c>
      <c r="B10" s="13">
        <f>(SUM(B4:B7) * 10^6)/B8</f>
        <v>122.66272829121921</v>
      </c>
      <c r="C10" s="14" t="s">
        <v>71</v>
      </c>
      <c r="E10" s="10" t="s">
        <v>105</v>
      </c>
      <c r="F10" s="13">
        <f>(SUM(F4:F7) * 10^6)/F8</f>
        <v>134.31505982998041</v>
      </c>
      <c r="G10" s="14" t="s">
        <v>71</v>
      </c>
      <c r="I10" s="10" t="s">
        <v>105</v>
      </c>
      <c r="J10" s="13">
        <f>(SUM(J4:J7) * 10^6)/J8</f>
        <v>141.88089376569172</v>
      </c>
      <c r="K10" s="14" t="s">
        <v>71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B8" sqref="B8"/>
    </sheetView>
  </sheetViews>
  <sheetFormatPr defaultColWidth="11" defaultRowHeight="15.75"/>
  <cols>
    <col min="1" max="1" width="18" bestFit="1" customWidth="1"/>
    <col min="2" max="2" width="8.125" bestFit="1" customWidth="1"/>
    <col min="3" max="3" width="9.5" bestFit="1" customWidth="1"/>
    <col min="5" max="5" width="18" bestFit="1" customWidth="1"/>
    <col min="6" max="6" width="8.125" bestFit="1" customWidth="1"/>
    <col min="7" max="7" width="9.5" bestFit="1" customWidth="1"/>
  </cols>
  <sheetData>
    <row r="1" spans="1:7">
      <c r="A1" s="26" t="s">
        <v>106</v>
      </c>
      <c r="B1" s="24"/>
      <c r="C1" s="25"/>
      <c r="E1" s="26" t="s">
        <v>107</v>
      </c>
      <c r="F1" s="24"/>
      <c r="G1" s="25"/>
    </row>
    <row r="2" spans="1:7">
      <c r="A2" s="10" t="s">
        <v>0</v>
      </c>
      <c r="B2" s="10" t="s">
        <v>2</v>
      </c>
      <c r="C2" s="10" t="s">
        <v>3</v>
      </c>
      <c r="E2" s="10" t="s">
        <v>0</v>
      </c>
      <c r="F2" s="10" t="s">
        <v>2</v>
      </c>
      <c r="G2" s="10" t="s">
        <v>3</v>
      </c>
    </row>
    <row r="3" spans="1:7">
      <c r="A3" s="10" t="s">
        <v>108</v>
      </c>
      <c r="B3" s="10">
        <f>'Cost Components'!$B$4</f>
        <v>350</v>
      </c>
      <c r="C3" s="10" t="s">
        <v>78</v>
      </c>
      <c r="E3" s="10" t="s">
        <v>108</v>
      </c>
      <c r="F3" s="10">
        <f>'Cost Components'!$B$4</f>
        <v>350</v>
      </c>
      <c r="G3" s="10" t="s">
        <v>78</v>
      </c>
    </row>
    <row r="4" spans="1:7">
      <c r="A4" s="10" t="s">
        <v>109</v>
      </c>
      <c r="B4" s="13">
        <f>PMT('Study Parameters'!$C$3,'Study Parameters'!$C$4,-'LCOF Baseline'!B3)</f>
        <v>27.379351374295894</v>
      </c>
      <c r="C4" s="10" t="s">
        <v>80</v>
      </c>
      <c r="E4" s="10" t="s">
        <v>109</v>
      </c>
      <c r="F4" s="13">
        <f>PMT('Study Parameters'!$C$3,'Study Parameters'!$C$4,-'LCOF Baseline'!F3)</f>
        <v>27.379351374295894</v>
      </c>
      <c r="G4" s="10" t="s">
        <v>80</v>
      </c>
    </row>
    <row r="5" spans="1:7">
      <c r="A5" s="10" t="s">
        <v>110</v>
      </c>
      <c r="B5" s="10">
        <f>'Cost Components'!$B$10</f>
        <v>14</v>
      </c>
      <c r="C5" s="10" t="s">
        <v>80</v>
      </c>
      <c r="E5" s="10" t="s">
        <v>110</v>
      </c>
      <c r="F5" s="10">
        <f>'Cost Components'!$B$10</f>
        <v>14</v>
      </c>
      <c r="G5" s="10" t="s">
        <v>80</v>
      </c>
    </row>
    <row r="6" spans="1:7">
      <c r="A6" s="10" t="s">
        <v>111</v>
      </c>
      <c r="B6" s="10">
        <f>'Study Parameters'!$C$8</f>
        <v>144.34399999999999</v>
      </c>
      <c r="C6" s="10" t="s">
        <v>112</v>
      </c>
      <c r="E6" s="10" t="s">
        <v>111</v>
      </c>
      <c r="F6" s="10">
        <f>'Study Parameters'!$C$8</f>
        <v>144.34399999999999</v>
      </c>
      <c r="G6" s="10" t="s">
        <v>112</v>
      </c>
    </row>
    <row r="7" spans="1:7">
      <c r="A7" s="10" t="s">
        <v>94</v>
      </c>
      <c r="B7" s="10">
        <f>'Study Parameters'!C35</f>
        <v>160</v>
      </c>
      <c r="C7" s="10" t="s">
        <v>74</v>
      </c>
      <c r="E7" s="10" t="s">
        <v>94</v>
      </c>
      <c r="F7" s="10">
        <f>'Study Parameters'!C36</f>
        <v>1300</v>
      </c>
      <c r="G7" s="10" t="s">
        <v>74</v>
      </c>
    </row>
    <row r="8" spans="1:7">
      <c r="A8" s="10" t="s">
        <v>113</v>
      </c>
      <c r="B8" s="13">
        <f>B7*B6*10^3 / 10^6</f>
        <v>23.095040000000001</v>
      </c>
      <c r="C8" s="10" t="s">
        <v>80</v>
      </c>
      <c r="E8" s="10" t="s">
        <v>113</v>
      </c>
      <c r="F8" s="13">
        <f>F7*F6*10^3 / 10^6</f>
        <v>187.64719999999997</v>
      </c>
      <c r="G8" s="10" t="s">
        <v>80</v>
      </c>
    </row>
    <row r="9" spans="1:7">
      <c r="A9" s="10" t="s">
        <v>114</v>
      </c>
      <c r="B9" s="10">
        <f>'Study Parameters'!$C$9</f>
        <v>19849</v>
      </c>
      <c r="C9" s="10" t="s">
        <v>115</v>
      </c>
      <c r="E9" s="10" t="s">
        <v>114</v>
      </c>
      <c r="F9" s="10">
        <f>'Study Parameters'!$C$9</f>
        <v>19849</v>
      </c>
      <c r="G9" s="10" t="s">
        <v>115</v>
      </c>
    </row>
    <row r="10" spans="1:7">
      <c r="A10" s="10" t="s">
        <v>116</v>
      </c>
      <c r="B10" s="13">
        <f>'Levelised Cost H2'!$B$10</f>
        <v>122.66272829121921</v>
      </c>
      <c r="C10" s="14" t="s">
        <v>71</v>
      </c>
      <c r="E10" s="10" t="s">
        <v>116</v>
      </c>
      <c r="F10" s="13">
        <f>'Levelised Cost H2'!$B$10</f>
        <v>122.66272829121921</v>
      </c>
      <c r="G10" s="14" t="s">
        <v>71</v>
      </c>
    </row>
    <row r="11" spans="1:7">
      <c r="A11" s="10" t="s">
        <v>117</v>
      </c>
      <c r="B11" s="13">
        <f>B10*B9 * 0.0333 * 10^3 / 10^6</f>
        <v>81.076592045285253</v>
      </c>
      <c r="C11" s="10" t="s">
        <v>80</v>
      </c>
      <c r="E11" s="10" t="s">
        <v>117</v>
      </c>
      <c r="F11" s="13">
        <f>F10*F9 * 0.0333 * 10^3 / 10^6</f>
        <v>81.076592045285253</v>
      </c>
      <c r="G11" s="10" t="s">
        <v>80</v>
      </c>
    </row>
    <row r="12" spans="1:7">
      <c r="A12" s="10" t="s">
        <v>118</v>
      </c>
      <c r="B12" s="10">
        <f>'Study Parameters'!$C$10</f>
        <v>372300</v>
      </c>
      <c r="C12" s="10" t="s">
        <v>104</v>
      </c>
      <c r="E12" s="10" t="s">
        <v>118</v>
      </c>
      <c r="F12" s="10">
        <f>'Study Parameters'!$C$10</f>
        <v>372300</v>
      </c>
      <c r="G12" s="10" t="s">
        <v>104</v>
      </c>
    </row>
    <row r="13" spans="1:7">
      <c r="A13" s="10"/>
      <c r="B13" s="10"/>
      <c r="C13" s="10"/>
      <c r="E13" s="10"/>
      <c r="F13" s="10"/>
      <c r="G13" s="10"/>
    </row>
    <row r="14" spans="1:7">
      <c r="A14" s="10" t="s">
        <v>119</v>
      </c>
      <c r="B14" s="13">
        <f>(B4+B8+B11)  * 10^6/ B12</f>
        <v>353.34671882777639</v>
      </c>
      <c r="C14" s="10" t="s">
        <v>71</v>
      </c>
      <c r="E14" s="10" t="s">
        <v>119</v>
      </c>
      <c r="F14" s="13">
        <f>(F4+F8+F11)  * 10^6/ F12</f>
        <v>795.33479296153939</v>
      </c>
      <c r="G14" s="10" t="s">
        <v>71</v>
      </c>
    </row>
    <row r="15" spans="1:7">
      <c r="A15" s="10" t="s">
        <v>119</v>
      </c>
      <c r="B15" s="13">
        <f>B14*'Study Parameters'!$C$28/10^3</f>
        <v>4.2012924868622612</v>
      </c>
      <c r="C15" s="10" t="s">
        <v>120</v>
      </c>
      <c r="E15" s="10" t="s">
        <v>119</v>
      </c>
      <c r="F15" s="13">
        <f>F14*'Study Parameters'!$C$28/10^3</f>
        <v>9.4565306883127036</v>
      </c>
      <c r="G15" s="10" t="s">
        <v>120</v>
      </c>
    </row>
    <row r="16" spans="1:7">
      <c r="A16" s="10" t="s">
        <v>119</v>
      </c>
      <c r="B16" s="10">
        <f>B15 * Inputs!$C$15</f>
        <v>3.3736378669503959</v>
      </c>
      <c r="C16" s="10" t="s">
        <v>121</v>
      </c>
      <c r="E16" s="10" t="s">
        <v>119</v>
      </c>
      <c r="F16" s="10">
        <f>F15 * Inputs!$C$15</f>
        <v>7.5935941427151015</v>
      </c>
      <c r="G16" s="10" t="s">
        <v>121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F11" sqref="F11"/>
    </sheetView>
  </sheetViews>
  <sheetFormatPr defaultColWidth="11" defaultRowHeight="15.75"/>
  <cols>
    <col min="1" max="1" width="18" bestFit="1" customWidth="1"/>
    <col min="5" max="5" width="18" bestFit="1" customWidth="1"/>
  </cols>
  <sheetData>
    <row r="1" spans="1:7">
      <c r="A1" s="26" t="s">
        <v>106</v>
      </c>
      <c r="B1" s="24"/>
      <c r="C1" s="25"/>
      <c r="E1" s="26" t="s">
        <v>107</v>
      </c>
      <c r="F1" s="24"/>
      <c r="G1" s="25"/>
    </row>
    <row r="2" spans="1:7">
      <c r="A2" s="10" t="s">
        <v>0</v>
      </c>
      <c r="B2" s="10" t="s">
        <v>2</v>
      </c>
      <c r="C2" s="10" t="s">
        <v>3</v>
      </c>
      <c r="E2" s="10" t="s">
        <v>0</v>
      </c>
      <c r="F2" s="10" t="s">
        <v>2</v>
      </c>
      <c r="G2" s="10" t="s">
        <v>3</v>
      </c>
    </row>
    <row r="3" spans="1:7">
      <c r="A3" s="10" t="s">
        <v>108</v>
      </c>
      <c r="B3" s="10">
        <f>'Cost Components'!$B$4</f>
        <v>350</v>
      </c>
      <c r="C3" s="10" t="s">
        <v>78</v>
      </c>
      <c r="E3" s="10" t="s">
        <v>108</v>
      </c>
      <c r="F3" s="10">
        <f>'Cost Components'!$B$4</f>
        <v>350</v>
      </c>
      <c r="G3" s="10" t="s">
        <v>78</v>
      </c>
    </row>
    <row r="4" spans="1:7">
      <c r="A4" s="10" t="s">
        <v>109</v>
      </c>
      <c r="B4" s="13">
        <f>PMT('Study Parameters'!$C$3,'Study Parameters'!$C$4,-'LCOF Baseline'!B3)</f>
        <v>27.379351374295894</v>
      </c>
      <c r="C4" s="10" t="s">
        <v>80</v>
      </c>
      <c r="E4" s="10" t="s">
        <v>109</v>
      </c>
      <c r="F4" s="13">
        <f>PMT('Study Parameters'!$C$3,'Study Parameters'!$C$4,-'LCOF Baseline'!F3)</f>
        <v>27.379351374295894</v>
      </c>
      <c r="G4" s="10" t="s">
        <v>80</v>
      </c>
    </row>
    <row r="5" spans="1:7">
      <c r="A5" s="10" t="s">
        <v>110</v>
      </c>
      <c r="B5" s="10">
        <f>'Cost Components'!$B$10</f>
        <v>14</v>
      </c>
      <c r="C5" s="10" t="s">
        <v>80</v>
      </c>
      <c r="E5" s="10" t="s">
        <v>110</v>
      </c>
      <c r="F5" s="10">
        <f>'Cost Components'!$B$10</f>
        <v>14</v>
      </c>
      <c r="G5" s="10" t="s">
        <v>80</v>
      </c>
    </row>
    <row r="6" spans="1:7">
      <c r="A6" s="10" t="s">
        <v>111</v>
      </c>
      <c r="B6" s="10">
        <f>'Study Parameters'!$C$8</f>
        <v>144.34399999999999</v>
      </c>
      <c r="C6" s="10" t="s">
        <v>112</v>
      </c>
      <c r="E6" s="10" t="s">
        <v>111</v>
      </c>
      <c r="F6" s="10">
        <f>'Study Parameters'!$C$8</f>
        <v>144.34399999999999</v>
      </c>
      <c r="G6" s="10" t="s">
        <v>112</v>
      </c>
    </row>
    <row r="7" spans="1:7">
      <c r="A7" s="10" t="s">
        <v>94</v>
      </c>
      <c r="B7" s="10">
        <f>'Study Parameters'!C35</f>
        <v>160</v>
      </c>
      <c r="C7" s="10" t="s">
        <v>74</v>
      </c>
      <c r="E7" s="10" t="s">
        <v>94</v>
      </c>
      <c r="F7" s="10">
        <f>'Study Parameters'!C36</f>
        <v>1300</v>
      </c>
      <c r="G7" s="10" t="s">
        <v>74</v>
      </c>
    </row>
    <row r="8" spans="1:7">
      <c r="A8" s="10" t="s">
        <v>113</v>
      </c>
      <c r="B8" s="13">
        <f>B7*B6*10^3 / 10^6</f>
        <v>23.095040000000001</v>
      </c>
      <c r="C8" s="10" t="s">
        <v>80</v>
      </c>
      <c r="E8" s="10" t="s">
        <v>113</v>
      </c>
      <c r="F8" s="13">
        <f>F7*F6*10^3 / 10^6</f>
        <v>187.64719999999997</v>
      </c>
      <c r="G8" s="10" t="s">
        <v>80</v>
      </c>
    </row>
    <row r="9" spans="1:7">
      <c r="A9" s="10" t="s">
        <v>114</v>
      </c>
      <c r="B9" s="10">
        <f>'Study Parameters'!$C$9</f>
        <v>19849</v>
      </c>
      <c r="C9" s="10" t="s">
        <v>115</v>
      </c>
      <c r="E9" s="10" t="s">
        <v>114</v>
      </c>
      <c r="F9" s="10">
        <f>'Study Parameters'!$C$9</f>
        <v>19849</v>
      </c>
      <c r="G9" s="10" t="s">
        <v>115</v>
      </c>
    </row>
    <row r="10" spans="1:7">
      <c r="A10" s="10" t="s">
        <v>116</v>
      </c>
      <c r="B10" s="13">
        <f>'Levelised Cost H2'!$F$10</f>
        <v>134.31505982998041</v>
      </c>
      <c r="C10" s="14" t="s">
        <v>71</v>
      </c>
      <c r="E10" s="10" t="s">
        <v>116</v>
      </c>
      <c r="F10" s="13">
        <f>'Levelised Cost H2'!$F$10</f>
        <v>134.31505982998041</v>
      </c>
      <c r="G10" s="14" t="s">
        <v>71</v>
      </c>
    </row>
    <row r="11" spans="1:7">
      <c r="A11" s="10" t="s">
        <v>117</v>
      </c>
      <c r="B11" s="13">
        <f>B10*B9 * 0.0333 * 10^3 / 10^6</f>
        <v>88.77845343142387</v>
      </c>
      <c r="C11" s="10" t="s">
        <v>80</v>
      </c>
      <c r="E11" s="10" t="s">
        <v>117</v>
      </c>
      <c r="F11" s="13">
        <f>F10*F9 * 0.0333 * 10^3 / 10^6</f>
        <v>88.77845343142387</v>
      </c>
      <c r="G11" s="10" t="s">
        <v>80</v>
      </c>
    </row>
    <row r="12" spans="1:7">
      <c r="A12" s="10" t="s">
        <v>118</v>
      </c>
      <c r="B12" s="10">
        <f>'Study Parameters'!$C$10</f>
        <v>372300</v>
      </c>
      <c r="C12" s="10" t="s">
        <v>104</v>
      </c>
      <c r="E12" s="10" t="s">
        <v>118</v>
      </c>
      <c r="F12" s="10">
        <f>'Study Parameters'!$C$10</f>
        <v>372300</v>
      </c>
      <c r="G12" s="10" t="s">
        <v>104</v>
      </c>
    </row>
    <row r="13" spans="1:7">
      <c r="A13" s="10"/>
      <c r="B13" s="10"/>
      <c r="C13" s="10"/>
      <c r="E13" s="10"/>
      <c r="F13" s="10"/>
      <c r="G13" s="10"/>
    </row>
    <row r="14" spans="1:7">
      <c r="A14" s="10" t="s">
        <v>119</v>
      </c>
      <c r="B14" s="13">
        <f>(B4+B8+B11)  * 10^6/ B12</f>
        <v>374.03396402288405</v>
      </c>
      <c r="C14" s="10" t="s">
        <v>71</v>
      </c>
      <c r="E14" s="10" t="s">
        <v>119</v>
      </c>
      <c r="F14" s="13">
        <f>(F4+F8+F11)  * 10^6/ F12</f>
        <v>816.02203815664711</v>
      </c>
      <c r="G14" s="10" t="s">
        <v>71</v>
      </c>
    </row>
    <row r="15" spans="1:7">
      <c r="A15" s="10" t="s">
        <v>119</v>
      </c>
      <c r="B15" s="13">
        <f>B14*'Study Parameters'!$C$28/10^3</f>
        <v>4.4472638322320917</v>
      </c>
      <c r="C15" s="10" t="s">
        <v>120</v>
      </c>
      <c r="E15" s="10" t="s">
        <v>119</v>
      </c>
      <c r="F15" s="13">
        <f>F14*'Study Parameters'!$C$28/10^3</f>
        <v>9.7025020336825349</v>
      </c>
      <c r="G15" s="10" t="s">
        <v>120</v>
      </c>
    </row>
    <row r="16" spans="1:7">
      <c r="A16" s="10" t="s">
        <v>119</v>
      </c>
      <c r="B16" s="10">
        <f>B15 * Inputs!$C$15</f>
        <v>3.5711528572823696</v>
      </c>
      <c r="C16" s="10" t="s">
        <v>121</v>
      </c>
      <c r="E16" s="10" t="s">
        <v>119</v>
      </c>
      <c r="F16" s="10">
        <f>F15 * Inputs!$C$15</f>
        <v>7.7911091330470761</v>
      </c>
      <c r="G16" s="10" t="s">
        <v>121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F7" sqref="F7"/>
    </sheetView>
  </sheetViews>
  <sheetFormatPr defaultColWidth="11" defaultRowHeight="15.75"/>
  <cols>
    <col min="1" max="1" width="18" bestFit="1" customWidth="1"/>
    <col min="5" max="5" width="18" bestFit="1" customWidth="1"/>
  </cols>
  <sheetData>
    <row r="1" spans="1:7">
      <c r="A1" s="26" t="s">
        <v>106</v>
      </c>
      <c r="B1" s="24"/>
      <c r="C1" s="25"/>
      <c r="E1" s="26" t="s">
        <v>107</v>
      </c>
      <c r="F1" s="24"/>
      <c r="G1" s="25"/>
    </row>
    <row r="2" spans="1:7">
      <c r="A2" s="10" t="s">
        <v>0</v>
      </c>
      <c r="B2" s="10" t="s">
        <v>2</v>
      </c>
      <c r="C2" s="10" t="s">
        <v>3</v>
      </c>
      <c r="E2" s="10" t="s">
        <v>0</v>
      </c>
      <c r="F2" s="10" t="s">
        <v>2</v>
      </c>
      <c r="G2" s="10" t="s">
        <v>3</v>
      </c>
    </row>
    <row r="3" spans="1:7">
      <c r="A3" s="10" t="s">
        <v>108</v>
      </c>
      <c r="B3" s="10">
        <f>'Cost Components'!$B$4</f>
        <v>350</v>
      </c>
      <c r="C3" s="10" t="s">
        <v>78</v>
      </c>
      <c r="E3" s="10" t="s">
        <v>108</v>
      </c>
      <c r="F3" s="10">
        <f>'Cost Components'!$B$4</f>
        <v>350</v>
      </c>
      <c r="G3" s="10" t="s">
        <v>78</v>
      </c>
    </row>
    <row r="4" spans="1:7">
      <c r="A4" s="10" t="s">
        <v>109</v>
      </c>
      <c r="B4" s="13">
        <f>PMT('Study Parameters'!$C$3,'Study Parameters'!$C$4,-'LCOF Baseline'!B3)</f>
        <v>27.379351374295894</v>
      </c>
      <c r="C4" s="10" t="s">
        <v>80</v>
      </c>
      <c r="E4" s="10" t="s">
        <v>109</v>
      </c>
      <c r="F4" s="13">
        <f>PMT('Study Parameters'!$C$3,'Study Parameters'!$C$4,-'LCOF Baseline'!F3)</f>
        <v>27.379351374295894</v>
      </c>
      <c r="G4" s="10" t="s">
        <v>80</v>
      </c>
    </row>
    <row r="5" spans="1:7">
      <c r="A5" s="10" t="s">
        <v>110</v>
      </c>
      <c r="B5" s="10">
        <f>'Cost Components'!$B$10</f>
        <v>14</v>
      </c>
      <c r="C5" s="10" t="s">
        <v>80</v>
      </c>
      <c r="E5" s="10" t="s">
        <v>110</v>
      </c>
      <c r="F5" s="10">
        <f>'Cost Components'!$B$10</f>
        <v>14</v>
      </c>
      <c r="G5" s="10" t="s">
        <v>80</v>
      </c>
    </row>
    <row r="6" spans="1:7">
      <c r="A6" s="10" t="s">
        <v>111</v>
      </c>
      <c r="B6" s="10">
        <f>'Study Parameters'!$C$8</f>
        <v>144.34399999999999</v>
      </c>
      <c r="C6" s="10" t="s">
        <v>112</v>
      </c>
      <c r="E6" s="10" t="s">
        <v>111</v>
      </c>
      <c r="F6" s="10">
        <f>'Study Parameters'!$C$8</f>
        <v>144.34399999999999</v>
      </c>
      <c r="G6" s="10" t="s">
        <v>112</v>
      </c>
    </row>
    <row r="7" spans="1:7">
      <c r="A7" s="10" t="s">
        <v>94</v>
      </c>
      <c r="B7" s="17">
        <f>Inputs!C33 * Inputs!C6</f>
        <v>432</v>
      </c>
      <c r="C7" s="10" t="s">
        <v>74</v>
      </c>
      <c r="E7" s="10" t="s">
        <v>94</v>
      </c>
      <c r="F7" s="17">
        <f>Inputs!C32*Inputs!C6</f>
        <v>1153.8</v>
      </c>
      <c r="G7" s="10" t="s">
        <v>74</v>
      </c>
    </row>
    <row r="8" spans="1:7">
      <c r="A8" s="10" t="s">
        <v>113</v>
      </c>
      <c r="B8" s="13">
        <f>B7*B6*10^3 / 10^6</f>
        <v>62.356608000000001</v>
      </c>
      <c r="C8" s="10" t="s">
        <v>80</v>
      </c>
      <c r="E8" s="10" t="s">
        <v>113</v>
      </c>
      <c r="F8" s="13">
        <f>F7*F6*10^3 / 10^6</f>
        <v>166.54410719999998</v>
      </c>
      <c r="G8" s="10" t="s">
        <v>80</v>
      </c>
    </row>
    <row r="9" spans="1:7">
      <c r="A9" s="10" t="s">
        <v>114</v>
      </c>
      <c r="B9" s="10">
        <f>'Study Parameters'!$C$9</f>
        <v>19849</v>
      </c>
      <c r="C9" s="10" t="s">
        <v>115</v>
      </c>
      <c r="E9" s="10" t="s">
        <v>114</v>
      </c>
      <c r="F9" s="10">
        <f>'Study Parameters'!$C$9</f>
        <v>19849</v>
      </c>
      <c r="G9" s="10" t="s">
        <v>115</v>
      </c>
    </row>
    <row r="10" spans="1:7">
      <c r="A10" s="10" t="s">
        <v>116</v>
      </c>
      <c r="B10" s="13">
        <f>'Levelised Cost H2'!$F$10</f>
        <v>134.31505982998041</v>
      </c>
      <c r="C10" s="14" t="s">
        <v>71</v>
      </c>
      <c r="E10" s="10" t="s">
        <v>116</v>
      </c>
      <c r="F10" s="13">
        <f>'Levelised Cost H2'!$F$10</f>
        <v>134.31505982998041</v>
      </c>
      <c r="G10" s="14" t="s">
        <v>71</v>
      </c>
    </row>
    <row r="11" spans="1:7">
      <c r="A11" s="10" t="s">
        <v>117</v>
      </c>
      <c r="B11" s="13">
        <f>B10*B9 * 0.0333 * 10^3 / 10^6</f>
        <v>88.77845343142387</v>
      </c>
      <c r="C11" s="10" t="s">
        <v>80</v>
      </c>
      <c r="E11" s="10" t="s">
        <v>117</v>
      </c>
      <c r="F11" s="13">
        <f>F10*F9 * 0.0333 * 10^3 / 10^6</f>
        <v>88.77845343142387</v>
      </c>
      <c r="G11" s="10" t="s">
        <v>80</v>
      </c>
    </row>
    <row r="12" spans="1:7">
      <c r="A12" s="10" t="s">
        <v>118</v>
      </c>
      <c r="B12" s="10">
        <f>'Study Parameters'!$C$10</f>
        <v>372300</v>
      </c>
      <c r="C12" s="10" t="s">
        <v>104</v>
      </c>
      <c r="E12" s="10" t="s">
        <v>118</v>
      </c>
      <c r="F12" s="10">
        <f>'Study Parameters'!$C$10</f>
        <v>372300</v>
      </c>
      <c r="G12" s="10" t="s">
        <v>104</v>
      </c>
    </row>
    <row r="13" spans="1:7">
      <c r="A13" s="10"/>
      <c r="B13" s="10"/>
      <c r="C13" s="10"/>
      <c r="E13" s="10"/>
      <c r="F13" s="10"/>
      <c r="G13" s="10"/>
    </row>
    <row r="14" spans="1:7">
      <c r="A14" s="10" t="s">
        <v>119</v>
      </c>
      <c r="B14" s="13">
        <f>(B4+B8+B11)  * 10^6/ B12</f>
        <v>479.49076767585217</v>
      </c>
      <c r="C14" s="10" t="s">
        <v>71</v>
      </c>
      <c r="E14" s="10" t="s">
        <v>119</v>
      </c>
      <c r="F14" s="13">
        <f>(F4+F8+F11)  * 10^6/ F12</f>
        <v>759.33900619317683</v>
      </c>
      <c r="G14" s="10" t="s">
        <v>71</v>
      </c>
    </row>
    <row r="15" spans="1:7">
      <c r="A15" s="10" t="s">
        <v>119</v>
      </c>
      <c r="B15" s="13">
        <f>B14*'Study Parameters'!$C$28/10^3</f>
        <v>5.7011452276658829</v>
      </c>
      <c r="C15" s="10" t="s">
        <v>120</v>
      </c>
      <c r="E15" s="10" t="s">
        <v>119</v>
      </c>
      <c r="F15" s="13">
        <f>F14*'Study Parameters'!$C$28/10^3</f>
        <v>9.0285407836368723</v>
      </c>
      <c r="G15" s="10" t="s">
        <v>120</v>
      </c>
    </row>
    <row r="16" spans="1:7">
      <c r="A16" s="10" t="s">
        <v>119</v>
      </c>
      <c r="B16" s="10">
        <f>B15 * Inputs!$C$15</f>
        <v>4.5780196178157047</v>
      </c>
      <c r="C16" s="10" t="s">
        <v>121</v>
      </c>
      <c r="E16" s="10" t="s">
        <v>119</v>
      </c>
      <c r="F16" s="10">
        <f>F15 * Inputs!$C$15</f>
        <v>7.2499182492604088</v>
      </c>
      <c r="G16" s="10" t="s">
        <v>121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"/>
  <sheetViews>
    <sheetView workbookViewId="0">
      <selection activeCell="H12" sqref="H12"/>
    </sheetView>
  </sheetViews>
  <sheetFormatPr defaultColWidth="11" defaultRowHeight="15.75"/>
  <cols>
    <col min="1" max="1" width="18" bestFit="1" customWidth="1"/>
    <col min="5" max="5" width="18" bestFit="1" customWidth="1"/>
  </cols>
  <sheetData>
    <row r="1" spans="1:13">
      <c r="A1" s="26" t="s">
        <v>106</v>
      </c>
      <c r="B1" s="24"/>
      <c r="C1" s="25"/>
      <c r="E1" s="26" t="s">
        <v>107</v>
      </c>
      <c r="F1" s="24"/>
      <c r="G1" s="25"/>
      <c r="I1" t="s">
        <v>122</v>
      </c>
      <c r="L1" t="s">
        <v>122</v>
      </c>
    </row>
    <row r="2" spans="1:13">
      <c r="A2" s="10" t="s">
        <v>0</v>
      </c>
      <c r="B2" s="10" t="s">
        <v>2</v>
      </c>
      <c r="C2" s="10" t="s">
        <v>3</v>
      </c>
      <c r="E2" s="10" t="s">
        <v>0</v>
      </c>
      <c r="F2" s="10" t="s">
        <v>2</v>
      </c>
      <c r="G2" s="10" t="s">
        <v>3</v>
      </c>
      <c r="I2" t="s">
        <v>94</v>
      </c>
      <c r="J2" s="5">
        <f>F8</f>
        <v>166.54410719999998</v>
      </c>
      <c r="L2" t="s">
        <v>94</v>
      </c>
      <c r="M2" s="5">
        <f>B8</f>
        <v>62.356608000000001</v>
      </c>
    </row>
    <row r="3" spans="1:13">
      <c r="A3" s="10" t="s">
        <v>108</v>
      </c>
      <c r="B3" s="10">
        <f>'Cost Components'!$B$4</f>
        <v>350</v>
      </c>
      <c r="C3" s="10" t="s">
        <v>78</v>
      </c>
      <c r="E3" s="10" t="s">
        <v>108</v>
      </c>
      <c r="F3" s="10">
        <f>'Cost Components'!$B$4</f>
        <v>350</v>
      </c>
      <c r="G3" s="10" t="s">
        <v>78</v>
      </c>
      <c r="I3" t="s">
        <v>93</v>
      </c>
      <c r="J3" s="5">
        <f>'Levelised Cost H2'!$J$6+'Cost Components'!$B$12</f>
        <v>57.640799999999999</v>
      </c>
      <c r="L3" t="s">
        <v>93</v>
      </c>
      <c r="M3" s="5">
        <f>'Levelised Cost H2'!$J$6+'Cost Components'!$B$12</f>
        <v>57.640799999999999</v>
      </c>
    </row>
    <row r="4" spans="1:13">
      <c r="A4" s="10" t="s">
        <v>109</v>
      </c>
      <c r="B4" s="13">
        <f>PMT(Inputs!$C$5,'Study Parameters'!$C$4,-'LCOF Baseline'!B3)</f>
        <v>30.033681027232966</v>
      </c>
      <c r="C4" s="10" t="s">
        <v>80</v>
      </c>
      <c r="E4" s="10" t="s">
        <v>109</v>
      </c>
      <c r="F4" s="13">
        <f>PMT(Inputs!$C$5,'Study Parameters'!$C$4,-'LCOF Baseline'!F3)</f>
        <v>30.033681027232966</v>
      </c>
      <c r="G4" s="10" t="s">
        <v>80</v>
      </c>
      <c r="I4" t="s">
        <v>86</v>
      </c>
      <c r="J4" s="5">
        <f>$F$4</f>
        <v>30.033681027232966</v>
      </c>
      <c r="L4" t="s">
        <v>86</v>
      </c>
      <c r="M4" s="5">
        <f>$F$4</f>
        <v>30.033681027232966</v>
      </c>
    </row>
    <row r="5" spans="1:13">
      <c r="A5" s="10" t="s">
        <v>110</v>
      </c>
      <c r="B5" s="10">
        <f>'Cost Components'!$B$10</f>
        <v>14</v>
      </c>
      <c r="C5" s="10" t="s">
        <v>80</v>
      </c>
      <c r="E5" s="10" t="s">
        <v>110</v>
      </c>
      <c r="F5" s="10">
        <f>'Cost Components'!$B$10</f>
        <v>14</v>
      </c>
      <c r="G5" s="10" t="s">
        <v>80</v>
      </c>
      <c r="I5" t="s">
        <v>123</v>
      </c>
      <c r="J5">
        <f>$F$5</f>
        <v>14</v>
      </c>
      <c r="L5" t="s">
        <v>123</v>
      </c>
      <c r="M5">
        <f>$F$5</f>
        <v>14</v>
      </c>
    </row>
    <row r="6" spans="1:13">
      <c r="A6" s="10" t="s">
        <v>111</v>
      </c>
      <c r="B6" s="10">
        <f>'Study Parameters'!$C$8</f>
        <v>144.34399999999999</v>
      </c>
      <c r="C6" s="10" t="s">
        <v>112</v>
      </c>
      <c r="E6" s="10" t="s">
        <v>111</v>
      </c>
      <c r="F6" s="10">
        <f>'Study Parameters'!$C$8</f>
        <v>144.34399999999999</v>
      </c>
      <c r="G6" s="10" t="s">
        <v>112</v>
      </c>
    </row>
    <row r="7" spans="1:13">
      <c r="A7" s="10" t="s">
        <v>94</v>
      </c>
      <c r="B7" s="17">
        <f>Inputs!C33 * Inputs!C6</f>
        <v>432</v>
      </c>
      <c r="C7" s="10" t="s">
        <v>74</v>
      </c>
      <c r="E7" s="10" t="s">
        <v>94</v>
      </c>
      <c r="F7" s="17">
        <f>Inputs!C32*Inputs!C6</f>
        <v>1153.8</v>
      </c>
      <c r="G7" s="10" t="s">
        <v>74</v>
      </c>
      <c r="I7" t="s">
        <v>124</v>
      </c>
      <c r="L7" t="s">
        <v>124</v>
      </c>
    </row>
    <row r="8" spans="1:13">
      <c r="A8" s="10" t="s">
        <v>113</v>
      </c>
      <c r="B8" s="13">
        <f>B7*B6*10^3 / 10^6</f>
        <v>62.356608000000001</v>
      </c>
      <c r="C8" s="10" t="s">
        <v>80</v>
      </c>
      <c r="E8" s="10" t="s">
        <v>113</v>
      </c>
      <c r="F8" s="13">
        <f>F7*F6*10^3 / 10^6</f>
        <v>166.54410719999998</v>
      </c>
      <c r="G8" s="10" t="s">
        <v>80</v>
      </c>
      <c r="I8" t="s">
        <v>94</v>
      </c>
      <c r="J8" s="20">
        <f>J2/SUM($J$2:$J$5)</f>
        <v>0.62092679072229295</v>
      </c>
      <c r="L8" t="s">
        <v>94</v>
      </c>
      <c r="M8" s="20">
        <f>M2/SUM($M$2:$M$5)</f>
        <v>0.38015115530719518</v>
      </c>
    </row>
    <row r="9" spans="1:13">
      <c r="A9" s="10" t="s">
        <v>114</v>
      </c>
      <c r="B9" s="10">
        <f>'Study Parameters'!$C$9</f>
        <v>19849</v>
      </c>
      <c r="C9" s="10" t="s">
        <v>115</v>
      </c>
      <c r="E9" s="10" t="s">
        <v>114</v>
      </c>
      <c r="F9" s="10">
        <f>'Study Parameters'!$C$9</f>
        <v>19849</v>
      </c>
      <c r="G9" s="10" t="s">
        <v>115</v>
      </c>
      <c r="I9" t="s">
        <v>93</v>
      </c>
      <c r="J9" s="20">
        <f t="shared" ref="J9:J11" si="0">J3/SUM($J$2:$J$5)</f>
        <v>0.21490233164290276</v>
      </c>
      <c r="L9" t="s">
        <v>93</v>
      </c>
      <c r="M9" s="20">
        <f t="shared" ref="M9:M11" si="1">M3/SUM($M$2:$M$5)</f>
        <v>0.35140167843688636</v>
      </c>
    </row>
    <row r="10" spans="1:13">
      <c r="A10" s="10" t="s">
        <v>116</v>
      </c>
      <c r="B10" s="13">
        <f>'Levelised Cost H2'!$J$10</f>
        <v>141.88089376569172</v>
      </c>
      <c r="C10" s="14" t="s">
        <v>71</v>
      </c>
      <c r="E10" s="10" t="s">
        <v>116</v>
      </c>
      <c r="F10" s="13">
        <f>'Levelised Cost H2'!$J$10</f>
        <v>141.88089376569172</v>
      </c>
      <c r="G10" s="14" t="s">
        <v>71</v>
      </c>
      <c r="I10" t="s">
        <v>86</v>
      </c>
      <c r="J10" s="20">
        <f t="shared" si="0"/>
        <v>0.11197464435905774</v>
      </c>
      <c r="L10" t="s">
        <v>86</v>
      </c>
      <c r="M10" s="20">
        <f t="shared" si="1"/>
        <v>0.18309749209948045</v>
      </c>
    </row>
    <row r="11" spans="1:13">
      <c r="A11" s="10" t="s">
        <v>117</v>
      </c>
      <c r="B11" s="13">
        <f>B10*B9 * 0.0333 * 10^3 / 10^6</f>
        <v>93.779255549828662</v>
      </c>
      <c r="C11" s="10" t="s">
        <v>80</v>
      </c>
      <c r="E11" s="10" t="s">
        <v>117</v>
      </c>
      <c r="F11" s="13">
        <f>F10*F9 * 0.0333 * 10^3 / 10^6</f>
        <v>93.779255549828662</v>
      </c>
      <c r="G11" s="10" t="s">
        <v>80</v>
      </c>
      <c r="I11" t="s">
        <v>123</v>
      </c>
      <c r="J11" s="20">
        <f t="shared" si="0"/>
        <v>5.2196233275746323E-2</v>
      </c>
      <c r="L11" t="s">
        <v>123</v>
      </c>
      <c r="M11" s="20">
        <f t="shared" si="1"/>
        <v>8.534967415643796E-2</v>
      </c>
    </row>
    <row r="12" spans="1:13">
      <c r="A12" s="10" t="s">
        <v>118</v>
      </c>
      <c r="B12" s="10">
        <f>'Study Parameters'!$C$10</f>
        <v>372300</v>
      </c>
      <c r="C12" s="10" t="s">
        <v>104</v>
      </c>
      <c r="E12" s="10" t="s">
        <v>118</v>
      </c>
      <c r="F12" s="10">
        <f>'Study Parameters'!$C$10</f>
        <v>372300</v>
      </c>
      <c r="G12" s="10" t="s">
        <v>104</v>
      </c>
    </row>
    <row r="13" spans="1:13">
      <c r="A13" s="10"/>
      <c r="B13" s="10"/>
      <c r="C13" s="10"/>
      <c r="E13" s="10"/>
      <c r="F13" s="10"/>
      <c r="G13" s="10"/>
    </row>
    <row r="14" spans="1:13">
      <c r="A14" s="10" t="s">
        <v>119</v>
      </c>
      <c r="B14" s="13">
        <f>(B4+B8+B11)  * 10^6/ B12</f>
        <v>500.05249684948058</v>
      </c>
      <c r="C14" s="10" t="s">
        <v>71</v>
      </c>
      <c r="E14" s="10" t="s">
        <v>119</v>
      </c>
      <c r="F14" s="13">
        <f>(F4+F8+F11)  * 10^6/ F12</f>
        <v>779.90073536680541</v>
      </c>
      <c r="G14" s="10" t="s">
        <v>71</v>
      </c>
    </row>
    <row r="15" spans="1:13">
      <c r="A15" s="10" t="s">
        <v>119</v>
      </c>
      <c r="B15" s="13">
        <f>B14*'Study Parameters'!$C$28/10^3</f>
        <v>5.9456241875403251</v>
      </c>
      <c r="C15" s="10" t="s">
        <v>120</v>
      </c>
      <c r="E15" s="10" t="s">
        <v>119</v>
      </c>
      <c r="F15" s="13">
        <f>F14*'Study Parameters'!$C$28/10^3</f>
        <v>9.2730197435113162</v>
      </c>
      <c r="G15" s="10" t="s">
        <v>120</v>
      </c>
    </row>
    <row r="16" spans="1:13">
      <c r="A16" s="10" t="s">
        <v>119</v>
      </c>
      <c r="B16" s="10">
        <f>B15 * Inputs!$C$15</f>
        <v>4.7743362225948811</v>
      </c>
      <c r="C16" s="10" t="s">
        <v>121</v>
      </c>
      <c r="E16" s="10" t="s">
        <v>119</v>
      </c>
      <c r="F16" s="10">
        <f>F15 * Inputs!$C$15</f>
        <v>7.4462348540395871</v>
      </c>
      <c r="G16" s="10" t="s">
        <v>121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"/>
  <sheetViews>
    <sheetView workbookViewId="0">
      <selection activeCell="K15" sqref="K15"/>
    </sheetView>
  </sheetViews>
  <sheetFormatPr defaultColWidth="11" defaultRowHeight="15.75"/>
  <cols>
    <col min="1" max="1" width="14.75" customWidth="1"/>
    <col min="6" max="6" width="13.625" bestFit="1" customWidth="1"/>
    <col min="8" max="8" width="16.75" customWidth="1"/>
    <col min="13" max="13" width="13.625" bestFit="1" customWidth="1"/>
  </cols>
  <sheetData>
    <row r="1" spans="1:13">
      <c r="A1" s="32" t="s">
        <v>125</v>
      </c>
      <c r="B1" s="28"/>
      <c r="C1" s="28"/>
      <c r="D1" s="28"/>
      <c r="E1" s="28"/>
      <c r="F1" s="28"/>
      <c r="H1" s="32" t="s">
        <v>126</v>
      </c>
      <c r="I1" s="28"/>
      <c r="J1" s="28"/>
      <c r="K1" s="28"/>
      <c r="L1" s="28"/>
      <c r="M1" s="28"/>
    </row>
    <row r="2" spans="1:13">
      <c r="A2" s="15" t="s">
        <v>0</v>
      </c>
      <c r="B2" s="15" t="s">
        <v>3</v>
      </c>
      <c r="C2" s="15" t="s">
        <v>127</v>
      </c>
      <c r="D2" s="15" t="s">
        <v>128</v>
      </c>
      <c r="E2" s="15" t="s">
        <v>129</v>
      </c>
      <c r="F2" s="15" t="s">
        <v>130</v>
      </c>
      <c r="H2" s="15" t="s">
        <v>0</v>
      </c>
      <c r="I2" s="15" t="s">
        <v>3</v>
      </c>
      <c r="J2" s="15" t="s">
        <v>127</v>
      </c>
      <c r="K2" s="15" t="s">
        <v>128</v>
      </c>
      <c r="L2" s="15" t="s">
        <v>129</v>
      </c>
      <c r="M2" s="15" t="s">
        <v>130</v>
      </c>
    </row>
    <row r="3" spans="1:13">
      <c r="A3" s="16" t="s">
        <v>131</v>
      </c>
      <c r="B3" s="16" t="s">
        <v>121</v>
      </c>
      <c r="C3" s="10">
        <f>'LCOF Baseline'!B16</f>
        <v>3.3736378669503959</v>
      </c>
      <c r="D3" s="10">
        <f>'LCOF LCOE Corrected'!B16</f>
        <v>3.5711528572823696</v>
      </c>
      <c r="E3" s="10">
        <f>'LCOF DAC Corrected'!B16</f>
        <v>4.5780196178157047</v>
      </c>
      <c r="F3" s="10">
        <f>'LCOF WACC Corrected'!B16</f>
        <v>4.7743362225948811</v>
      </c>
      <c r="H3" s="16" t="s">
        <v>131</v>
      </c>
      <c r="I3" s="16" t="s">
        <v>121</v>
      </c>
      <c r="J3" s="10">
        <f>'LCOF Baseline'!F16</f>
        <v>7.5935941427151015</v>
      </c>
      <c r="K3" s="10">
        <f>'LCOF LCOE Corrected'!F16</f>
        <v>7.7911091330470761</v>
      </c>
      <c r="L3" s="10">
        <f>'LCOF DAC Corrected'!F16</f>
        <v>7.2499182492604088</v>
      </c>
      <c r="M3" s="10">
        <f>'LCOF WACC Corrected'!F16</f>
        <v>7.4462348540395871</v>
      </c>
    </row>
    <row r="4" spans="1:13">
      <c r="A4" s="16" t="s">
        <v>131</v>
      </c>
      <c r="B4" s="16" t="s">
        <v>21</v>
      </c>
      <c r="C4" s="10">
        <f>C3/Inputs!$C$6</f>
        <v>3.748486518833773</v>
      </c>
      <c r="D4" s="10">
        <f>D3/Inputs!$C$6</f>
        <v>3.9679476192026328</v>
      </c>
      <c r="E4" s="10">
        <f>E3/Inputs!$C$6</f>
        <v>5.0866884642396721</v>
      </c>
      <c r="F4" s="10">
        <f>F3/Inputs!$C$6</f>
        <v>5.3048180251054236</v>
      </c>
      <c r="H4" s="16" t="s">
        <v>131</v>
      </c>
      <c r="I4" s="16" t="s">
        <v>21</v>
      </c>
      <c r="J4" s="10">
        <f>J3/Inputs!$C$6</f>
        <v>8.4373268252390012</v>
      </c>
      <c r="K4" s="10">
        <f>K3/Inputs!$C$6</f>
        <v>8.6567879256078619</v>
      </c>
      <c r="L4" s="10">
        <f>L3/Inputs!$C$6</f>
        <v>8.0554647214004547</v>
      </c>
      <c r="M4" s="10">
        <f>M3/Inputs!$C$6</f>
        <v>8.2735942822662079</v>
      </c>
    </row>
    <row r="5" spans="1:13">
      <c r="A5" s="16" t="s">
        <v>132</v>
      </c>
      <c r="B5" s="16" t="s">
        <v>21</v>
      </c>
      <c r="C5" s="13">
        <f>Inputs!$C$18</f>
        <v>0.8</v>
      </c>
      <c r="D5" s="13">
        <f>Inputs!$C$18</f>
        <v>0.8</v>
      </c>
      <c r="E5" s="13">
        <f>Inputs!$C$18</f>
        <v>0.8</v>
      </c>
      <c r="F5" s="13">
        <f>Inputs!$C$18</f>
        <v>0.8</v>
      </c>
      <c r="H5" s="16" t="s">
        <v>132</v>
      </c>
      <c r="I5" s="16" t="s">
        <v>21</v>
      </c>
      <c r="J5" s="13">
        <f>Inputs!$C$16</f>
        <v>0.8</v>
      </c>
      <c r="K5" s="13">
        <f>Inputs!$C$16</f>
        <v>0.8</v>
      </c>
      <c r="L5" s="13">
        <f>Inputs!$C$16</f>
        <v>0.8</v>
      </c>
      <c r="M5" s="13">
        <f>Inputs!$C$16</f>
        <v>0.8</v>
      </c>
    </row>
    <row r="6" spans="1:13">
      <c r="A6" s="16" t="s">
        <v>133</v>
      </c>
      <c r="B6" s="16" t="s">
        <v>134</v>
      </c>
      <c r="C6" s="10">
        <f>'Study Parameters'!$C$30</f>
        <v>7.9829999999999997</v>
      </c>
      <c r="D6" s="10">
        <f>'Study Parameters'!$C$30</f>
        <v>7.9829999999999997</v>
      </c>
      <c r="E6" s="10">
        <f>'Study Parameters'!$C$30</f>
        <v>7.9829999999999997</v>
      </c>
      <c r="F6" s="10">
        <f>'Study Parameters'!$C$30</f>
        <v>7.9829999999999997</v>
      </c>
      <c r="H6" s="16" t="s">
        <v>133</v>
      </c>
      <c r="I6" s="16" t="s">
        <v>134</v>
      </c>
      <c r="J6" s="10">
        <f>'Study Parameters'!$C$30</f>
        <v>7.9829999999999997</v>
      </c>
      <c r="K6" s="10">
        <f>'Study Parameters'!$C$30</f>
        <v>7.9829999999999997</v>
      </c>
      <c r="L6" s="10">
        <f>'Study Parameters'!$C$30</f>
        <v>7.9829999999999997</v>
      </c>
      <c r="M6" s="10">
        <f>'Study Parameters'!$C$30</f>
        <v>7.9829999999999997</v>
      </c>
    </row>
    <row r="7" spans="1:13">
      <c r="A7" s="16" t="s">
        <v>135</v>
      </c>
      <c r="B7" s="16" t="s">
        <v>134</v>
      </c>
      <c r="C7" s="10">
        <f>Inputs!$C$11</f>
        <v>88.7</v>
      </c>
      <c r="D7" s="10">
        <f>Inputs!$C$11</f>
        <v>88.7</v>
      </c>
      <c r="E7" s="10">
        <f>Inputs!$C$11</f>
        <v>88.7</v>
      </c>
      <c r="F7" s="10">
        <f>Inputs!$C$11</f>
        <v>88.7</v>
      </c>
      <c r="H7" s="16" t="s">
        <v>135</v>
      </c>
      <c r="I7" s="16" t="s">
        <v>134</v>
      </c>
      <c r="J7" s="10">
        <f>Inputs!$C$11</f>
        <v>88.7</v>
      </c>
      <c r="K7" s="10">
        <f>Inputs!$C$11</f>
        <v>88.7</v>
      </c>
      <c r="L7" s="10">
        <f>Inputs!$C$11</f>
        <v>88.7</v>
      </c>
      <c r="M7" s="10">
        <f>Inputs!$C$11</f>
        <v>88.7</v>
      </c>
    </row>
    <row r="8" spans="1:13">
      <c r="A8" s="16" t="s">
        <v>136</v>
      </c>
      <c r="B8" s="16" t="s">
        <v>134</v>
      </c>
      <c r="C8" s="10">
        <f>C7-C6</f>
        <v>80.716999999999999</v>
      </c>
      <c r="D8" s="10">
        <f>D7-D6</f>
        <v>80.716999999999999</v>
      </c>
      <c r="E8" s="10">
        <f>E7-E6</f>
        <v>80.716999999999999</v>
      </c>
      <c r="F8" s="10">
        <f>F7-F6</f>
        <v>80.716999999999999</v>
      </c>
      <c r="H8" s="16" t="s">
        <v>136</v>
      </c>
      <c r="I8" s="16" t="s">
        <v>134</v>
      </c>
      <c r="J8" s="10">
        <f>J7-J6</f>
        <v>80.716999999999999</v>
      </c>
      <c r="K8" s="10">
        <f>K7-K6</f>
        <v>80.716999999999999</v>
      </c>
      <c r="L8" s="10">
        <f>L7-L6</f>
        <v>80.716999999999999</v>
      </c>
      <c r="M8" s="10">
        <f>M7-M6</f>
        <v>80.716999999999999</v>
      </c>
    </row>
    <row r="9" spans="1:13">
      <c r="A9" s="16" t="s">
        <v>136</v>
      </c>
      <c r="B9" s="16" t="s">
        <v>137</v>
      </c>
      <c r="C9" s="10">
        <f>C8*Inputs!$C$14</f>
        <v>2800.0404432000005</v>
      </c>
      <c r="D9" s="10">
        <f>D8*Inputs!$C$14</f>
        <v>2800.0404432000005</v>
      </c>
      <c r="E9" s="10">
        <f>E8*Inputs!$C$14</f>
        <v>2800.0404432000005</v>
      </c>
      <c r="F9" s="10">
        <f>F8*Inputs!$C$14</f>
        <v>2800.0404432000005</v>
      </c>
      <c r="H9" s="16" t="s">
        <v>136</v>
      </c>
      <c r="I9" s="16" t="s">
        <v>137</v>
      </c>
      <c r="J9" s="10">
        <f>J8*Inputs!$C$14</f>
        <v>2800.0404432000005</v>
      </c>
      <c r="K9" s="10">
        <f>K8*Inputs!$C$14</f>
        <v>2800.0404432000005</v>
      </c>
      <c r="L9" s="10">
        <f>L8*Inputs!$C$14</f>
        <v>2800.0404432000005</v>
      </c>
      <c r="M9" s="10">
        <f>M8*Inputs!$C$14</f>
        <v>2800.0404432000005</v>
      </c>
    </row>
    <row r="10" spans="1:13">
      <c r="A10" s="16" t="s">
        <v>138</v>
      </c>
      <c r="B10" s="16" t="s">
        <v>29</v>
      </c>
      <c r="C10" s="10">
        <f>(C4-C5) / C9 * 10^6</f>
        <v>1053.0156898248665</v>
      </c>
      <c r="D10" s="10">
        <f>(D4-D5) / D9 * 10^6</f>
        <v>1131.3935221529064</v>
      </c>
      <c r="E10" s="10">
        <f>(E4-E5) / E9 * 10^6</f>
        <v>1530.9380529306461</v>
      </c>
      <c r="F10" s="10">
        <f>(F4-F5) / F9 * 10^6</f>
        <v>1608.8403423048896</v>
      </c>
      <c r="H10" s="16" t="s">
        <v>138</v>
      </c>
      <c r="I10" s="16" t="s">
        <v>29</v>
      </c>
      <c r="J10" s="10">
        <f>(J4-J5) / J9 * 10^6</f>
        <v>2727.5773261727436</v>
      </c>
      <c r="K10" s="10">
        <f>(K4-K5) / K9 * 10^6</f>
        <v>2805.9551585007839</v>
      </c>
      <c r="L10" s="10">
        <f>(L4-L5) / L9 * 10^6</f>
        <v>2591.1999732077488</v>
      </c>
      <c r="M10" s="10">
        <f>(M4-M5) / M9 * 10^6</f>
        <v>2669.1022625819933</v>
      </c>
    </row>
    <row r="12" spans="1:13">
      <c r="A12" s="33" t="s">
        <v>139</v>
      </c>
      <c r="B12" s="33"/>
      <c r="C12" s="33"/>
      <c r="H12" s="33" t="s">
        <v>139</v>
      </c>
      <c r="I12" s="33"/>
      <c r="J12" s="33"/>
    </row>
    <row r="13" spans="1:13">
      <c r="A13" s="21" t="s">
        <v>0</v>
      </c>
      <c r="B13" s="21" t="s">
        <v>3</v>
      </c>
      <c r="C13" t="s">
        <v>2</v>
      </c>
      <c r="H13" s="21" t="s">
        <v>0</v>
      </c>
      <c r="I13" s="21" t="s">
        <v>3</v>
      </c>
      <c r="J13" t="s">
        <v>2</v>
      </c>
    </row>
    <row r="14" spans="1:13">
      <c r="A14" s="21" t="s">
        <v>140</v>
      </c>
      <c r="B14" s="21" t="s">
        <v>137</v>
      </c>
      <c r="C14" s="5">
        <f>C6*Inputs!$C$14</f>
        <v>276.92707680000001</v>
      </c>
      <c r="H14" s="21" t="s">
        <v>140</v>
      </c>
      <c r="I14" s="21" t="s">
        <v>137</v>
      </c>
      <c r="J14" s="5">
        <f>J6*Inputs!$C$14</f>
        <v>276.92707680000001</v>
      </c>
    </row>
    <row r="15" spans="1:13">
      <c r="A15" s="21" t="s">
        <v>141</v>
      </c>
      <c r="B15" s="21" t="s">
        <v>21</v>
      </c>
      <c r="C15" s="22">
        <f>C14*Inputs!$C$33 * 10^-6</f>
        <v>0.132924996864</v>
      </c>
      <c r="H15" s="21" t="s">
        <v>141</v>
      </c>
      <c r="I15" s="21" t="s">
        <v>21</v>
      </c>
      <c r="J15" s="22">
        <f>J14*Inputs!$C$32 * 10^-6</f>
        <v>0.35502051245760002</v>
      </c>
    </row>
    <row r="16" spans="1:13">
      <c r="A16" s="21" t="s">
        <v>142</v>
      </c>
      <c r="B16" s="21" t="s">
        <v>21</v>
      </c>
      <c r="C16" s="22">
        <f>F4+C15</f>
        <v>5.4377430219694238</v>
      </c>
      <c r="H16" s="21" t="s">
        <v>142</v>
      </c>
      <c r="I16" s="21" t="s">
        <v>21</v>
      </c>
      <c r="J16" s="22">
        <f>M4+J15</f>
        <v>8.6286147947238074</v>
      </c>
    </row>
    <row r="17" spans="1:10">
      <c r="A17" s="21" t="s">
        <v>143</v>
      </c>
      <c r="B17" s="21" t="s">
        <v>29</v>
      </c>
      <c r="C17" s="5">
        <f>(C16-C5) /C9 * 10^6</f>
        <v>1656.3128697774173</v>
      </c>
      <c r="H17" s="21" t="s">
        <v>143</v>
      </c>
      <c r="I17" s="21" t="s">
        <v>29</v>
      </c>
      <c r="J17" s="5">
        <f>(J16-J5) /J9 * 10^6</f>
        <v>2795.8934713732015</v>
      </c>
    </row>
  </sheetData>
  <mergeCells count="4">
    <mergeCell ref="A1:F1"/>
    <mergeCell ref="H1:M1"/>
    <mergeCell ref="A12:C12"/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Study Parameters</vt:lpstr>
      <vt:lpstr>Cost Components</vt:lpstr>
      <vt:lpstr>Levelised Cost H2</vt:lpstr>
      <vt:lpstr>LCOF Baseline</vt:lpstr>
      <vt:lpstr>LCOF LCOE Corrected</vt:lpstr>
      <vt:lpstr>LCOF DAC Corrected</vt:lpstr>
      <vt:lpstr>LCOF WACC Corrected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2024-06-25T18:01:39Z</dcterms:created>
  <dcterms:modified xsi:type="dcterms:W3CDTF">2025-04-15T12:29:18Z</dcterms:modified>
  <cp:category/>
  <cp:contentStatus/>
</cp:coreProperties>
</file>
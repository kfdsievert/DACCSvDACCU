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updateLinks="always"/>
  <mc:AlternateContent xmlns:mc="http://schemas.openxmlformats.org/markup-compatibility/2006">
    <mc:Choice Requires="x15">
      <x15ac:absPath xmlns:x15ac="http://schemas.microsoft.com/office/spreadsheetml/2010/11/ac" url="https://ethz-my.sharepoint.com/personal/ydubey_ethz_ch/Documents/Documents/GitHub/DACCSvDACCU/Sensitivity/Harmonization_SAF/Harmonization Sheets/"/>
    </mc:Choice>
  </mc:AlternateContent>
  <xr:revisionPtr revIDLastSave="105" documentId="13_ncr:1_{5F741EB4-9B88-E34F-9972-0A7EC792996A}" xr6:coauthVersionLast="47" xr6:coauthVersionMax="47" xr10:uidLastSave="{DA0F82CB-902E-4345-AD0C-AF0BAD2420D8}"/>
  <bookViews>
    <workbookView xWindow="1170" yWindow="1170" windowWidth="28800" windowHeight="15345" tabRatio="887" xr2:uid="{00000000-000D-0000-FFFF-FFFF00000000}"/>
  </bookViews>
  <sheets>
    <sheet name="Inputs" sheetId="1" r:id="rId1"/>
    <sheet name="Study Parameters" sheetId="2" r:id="rId2"/>
    <sheet name="Cost Components" sheetId="3" r:id="rId3"/>
    <sheet name="MFSP Baseline" sheetId="4" r:id="rId4"/>
    <sheet name="MFSP LCOE Corrected" sheetId="5" r:id="rId5"/>
    <sheet name="MFSP CO2 Corrected" sheetId="6" r:id="rId6"/>
    <sheet name="MFSP WACC Corrected" sheetId="7" r:id="rId7"/>
    <sheet name="FLH Sensitivity Note" sheetId="8" r:id="rId8"/>
    <sheet name="FLH Sensitivity Parameters" sheetId="9" r:id="rId9"/>
    <sheet name="Outputs" sheetId="10" r:id="rId10"/>
  </sheets>
  <externalReferences>
    <externalReference r:id="rId11"/>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1" l="1"/>
  <c r="H28" i="3" s="1"/>
  <c r="C32" i="1"/>
  <c r="B28" i="3" s="1"/>
  <c r="B36" i="3" s="1"/>
  <c r="C30" i="1"/>
  <c r="C29" i="1"/>
  <c r="C27" i="1"/>
  <c r="C26" i="1"/>
  <c r="C24" i="1"/>
  <c r="C23" i="1"/>
  <c r="C21" i="1"/>
  <c r="C20" i="1"/>
  <c r="C18" i="1"/>
  <c r="C16" i="1"/>
  <c r="C5" i="10" s="1"/>
  <c r="C15" i="1"/>
  <c r="C24" i="2" s="1"/>
  <c r="C5" i="6" s="1"/>
  <c r="C6" i="6" s="1"/>
  <c r="C14" i="1"/>
  <c r="C13" i="1"/>
  <c r="C12" i="1"/>
  <c r="C11" i="1"/>
  <c r="C9" i="1"/>
  <c r="H26" i="3" s="1"/>
  <c r="C8" i="1"/>
  <c r="B26" i="3" s="1"/>
  <c r="B34" i="3" s="1"/>
  <c r="C6" i="1"/>
  <c r="C5" i="1"/>
  <c r="C4" i="1"/>
  <c r="C3" i="1"/>
  <c r="H21" i="3"/>
  <c r="B21" i="3"/>
  <c r="H19" i="3"/>
  <c r="B17" i="3"/>
  <c r="H10" i="3"/>
  <c r="H9" i="3"/>
  <c r="H20" i="3" s="1"/>
  <c r="B9" i="3"/>
  <c r="B20" i="3" s="1"/>
  <c r="H8" i="3"/>
  <c r="B8" i="3"/>
  <c r="H7" i="3"/>
  <c r="H18" i="3" s="1"/>
  <c r="B7" i="3"/>
  <c r="B18" i="3" s="1"/>
  <c r="L24" i="7" s="1"/>
  <c r="H6" i="3"/>
  <c r="H17" i="3" s="1"/>
  <c r="B6" i="3"/>
  <c r="H5" i="3"/>
  <c r="H16" i="3" s="1"/>
  <c r="B5" i="3"/>
  <c r="B16" i="3" s="1"/>
  <c r="H4" i="3"/>
  <c r="B4" i="3"/>
  <c r="B15" i="3" s="1"/>
  <c r="C37" i="2"/>
  <c r="C20" i="2"/>
  <c r="B19" i="3" s="1"/>
  <c r="C15" i="2"/>
  <c r="J24" i="7" l="1"/>
  <c r="T24" i="7"/>
  <c r="AD24" i="7"/>
  <c r="K14" i="10"/>
  <c r="K15" i="10" s="1"/>
  <c r="C14" i="10"/>
  <c r="C15" i="10" s="1"/>
  <c r="H35" i="7"/>
  <c r="AF5" i="4"/>
  <c r="AF6" i="4" s="1"/>
  <c r="T5" i="4"/>
  <c r="T6" i="4" s="1"/>
  <c r="V5" i="4"/>
  <c r="V6" i="4" s="1"/>
  <c r="AE14" i="4"/>
  <c r="AE15" i="4" s="1"/>
  <c r="AA5" i="6"/>
  <c r="AA6" i="6" s="1"/>
  <c r="U5" i="4"/>
  <c r="U6" i="4" s="1"/>
  <c r="I5" i="5"/>
  <c r="I6" i="5" s="1"/>
  <c r="AF14" i="5"/>
  <c r="AF15" i="5" s="1"/>
  <c r="P36" i="7"/>
  <c r="K5" i="5"/>
  <c r="K6" i="5" s="1"/>
  <c r="L5" i="5"/>
  <c r="L6" i="5" s="1"/>
  <c r="Y5" i="6"/>
  <c r="Y6" i="6" s="1"/>
  <c r="X5" i="6"/>
  <c r="X6" i="6" s="1"/>
  <c r="D36" i="7"/>
  <c r="AC21" i="7"/>
  <c r="J14" i="4"/>
  <c r="J15" i="4" s="1"/>
  <c r="Q14" i="4"/>
  <c r="Q15" i="4" s="1"/>
  <c r="R14" i="4"/>
  <c r="R15" i="4" s="1"/>
  <c r="H14" i="5"/>
  <c r="H15" i="5" s="1"/>
  <c r="AD14" i="6"/>
  <c r="AD15" i="6" s="1"/>
  <c r="AC5" i="6"/>
  <c r="AC6" i="6" s="1"/>
  <c r="Y14" i="6"/>
  <c r="Y15" i="6" s="1"/>
  <c r="B5" i="4"/>
  <c r="B6" i="4" s="1"/>
  <c r="AC14" i="6"/>
  <c r="AC15" i="6" s="1"/>
  <c r="M5" i="4"/>
  <c r="M6" i="4" s="1"/>
  <c r="S14" i="4"/>
  <c r="S15" i="4" s="1"/>
  <c r="I14" i="5"/>
  <c r="I15" i="5" s="1"/>
  <c r="AE14" i="6"/>
  <c r="AE15" i="6" s="1"/>
  <c r="M5" i="5"/>
  <c r="M6" i="5" s="1"/>
  <c r="H14" i="4"/>
  <c r="H15" i="4" s="1"/>
  <c r="N5" i="5"/>
  <c r="N6" i="5" s="1"/>
  <c r="AB5" i="5"/>
  <c r="AB6" i="5" s="1"/>
  <c r="G14" i="5"/>
  <c r="G15" i="5" s="1"/>
  <c r="K5" i="4"/>
  <c r="K6" i="4" s="1"/>
  <c r="S5" i="4"/>
  <c r="S6" i="4" s="1"/>
  <c r="T14" i="4"/>
  <c r="T15" i="4" s="1"/>
  <c r="J14" i="5"/>
  <c r="J15" i="5" s="1"/>
  <c r="M14" i="7"/>
  <c r="M15" i="7" s="1"/>
  <c r="K24" i="7"/>
  <c r="N36" i="7"/>
  <c r="K14" i="5"/>
  <c r="K15" i="5" s="1"/>
  <c r="AC14" i="7"/>
  <c r="AC15" i="7" s="1"/>
  <c r="R14" i="7"/>
  <c r="R15" i="7" s="1"/>
  <c r="G14" i="7"/>
  <c r="G15" i="7" s="1"/>
  <c r="V5" i="7"/>
  <c r="V6" i="7" s="1"/>
  <c r="K5" i="7"/>
  <c r="K6" i="7" s="1"/>
  <c r="Z14" i="6"/>
  <c r="Z15" i="6" s="1"/>
  <c r="O14" i="6"/>
  <c r="O15" i="6" s="1"/>
  <c r="D14" i="6"/>
  <c r="D15" i="6" s="1"/>
  <c r="AD5" i="6"/>
  <c r="AD6" i="6" s="1"/>
  <c r="S5" i="6"/>
  <c r="S6" i="6" s="1"/>
  <c r="H5" i="6"/>
  <c r="H6" i="6" s="1"/>
  <c r="AB14" i="7"/>
  <c r="AB15" i="7" s="1"/>
  <c r="Q14" i="7"/>
  <c r="Q15" i="7" s="1"/>
  <c r="F14" i="7"/>
  <c r="F15" i="7" s="1"/>
  <c r="AF5" i="7"/>
  <c r="AF6" i="7" s="1"/>
  <c r="U5" i="7"/>
  <c r="U6" i="7" s="1"/>
  <c r="J5" i="7"/>
  <c r="J6" i="7" s="1"/>
  <c r="AA14" i="7"/>
  <c r="AA15" i="7" s="1"/>
  <c r="P14" i="7"/>
  <c r="P15" i="7" s="1"/>
  <c r="E14" i="7"/>
  <c r="E15" i="7" s="1"/>
  <c r="AE5" i="7"/>
  <c r="AE6" i="7" s="1"/>
  <c r="T5" i="7"/>
  <c r="T6" i="7" s="1"/>
  <c r="I5" i="7"/>
  <c r="I6" i="7" s="1"/>
  <c r="Z14" i="7"/>
  <c r="Z15" i="7" s="1"/>
  <c r="O14" i="7"/>
  <c r="O15" i="7" s="1"/>
  <c r="D14" i="7"/>
  <c r="D15" i="7" s="1"/>
  <c r="AD5" i="7"/>
  <c r="AD6" i="7" s="1"/>
  <c r="S5" i="7"/>
  <c r="S6" i="7" s="1"/>
  <c r="H5" i="7"/>
  <c r="H6" i="7" s="1"/>
  <c r="AD14" i="7"/>
  <c r="AD15" i="7" s="1"/>
  <c r="S14" i="7"/>
  <c r="S15" i="7" s="1"/>
  <c r="H14" i="7"/>
  <c r="H15" i="7" s="1"/>
  <c r="W5" i="7"/>
  <c r="W6" i="7" s="1"/>
  <c r="Y14" i="7"/>
  <c r="Y15" i="7" s="1"/>
  <c r="I14" i="7"/>
  <c r="I15" i="7" s="1"/>
  <c r="AC5" i="7"/>
  <c r="AC6" i="7" s="1"/>
  <c r="M5" i="7"/>
  <c r="M6" i="7" s="1"/>
  <c r="AA14" i="6"/>
  <c r="AA15" i="6" s="1"/>
  <c r="N14" i="6"/>
  <c r="N15" i="6" s="1"/>
  <c r="B14" i="6"/>
  <c r="B15" i="6" s="1"/>
  <c r="AE5" i="6"/>
  <c r="AE6" i="6" s="1"/>
  <c r="R5" i="6"/>
  <c r="R6" i="6" s="1"/>
  <c r="F5" i="6"/>
  <c r="F6" i="6" s="1"/>
  <c r="AB14" i="5"/>
  <c r="AB15" i="5" s="1"/>
  <c r="Q14" i="5"/>
  <c r="Q15" i="5" s="1"/>
  <c r="F14" i="5"/>
  <c r="F15" i="5" s="1"/>
  <c r="AF5" i="5"/>
  <c r="AF6" i="5" s="1"/>
  <c r="U5" i="5"/>
  <c r="U6" i="5" s="1"/>
  <c r="J5" i="5"/>
  <c r="J6" i="5" s="1"/>
  <c r="X14" i="7"/>
  <c r="X15" i="7" s="1"/>
  <c r="C14" i="7"/>
  <c r="C15" i="7" s="1"/>
  <c r="AB5" i="7"/>
  <c r="AB6" i="7" s="1"/>
  <c r="L5" i="7"/>
  <c r="L6" i="7" s="1"/>
  <c r="W14" i="7"/>
  <c r="W15" i="7" s="1"/>
  <c r="B14" i="7"/>
  <c r="B15" i="7" s="1"/>
  <c r="AA5" i="7"/>
  <c r="AA6" i="7" s="1"/>
  <c r="G5" i="7"/>
  <c r="G6" i="7" s="1"/>
  <c r="X14" i="6"/>
  <c r="X15" i="6" s="1"/>
  <c r="L14" i="6"/>
  <c r="L15" i="6" s="1"/>
  <c r="AB5" i="6"/>
  <c r="AB6" i="6" s="1"/>
  <c r="P5" i="6"/>
  <c r="P6" i="6" s="1"/>
  <c r="D5" i="6"/>
  <c r="D6" i="6" s="1"/>
  <c r="Z14" i="5"/>
  <c r="Z15" i="5" s="1"/>
  <c r="O14" i="5"/>
  <c r="O15" i="5" s="1"/>
  <c r="D14" i="5"/>
  <c r="D15" i="5" s="1"/>
  <c r="AD5" i="5"/>
  <c r="AD6" i="5" s="1"/>
  <c r="S5" i="5"/>
  <c r="S6" i="5" s="1"/>
  <c r="H5" i="5"/>
  <c r="H6" i="5" s="1"/>
  <c r="W14" i="4"/>
  <c r="W15" i="4" s="1"/>
  <c r="L14" i="4"/>
  <c r="L15" i="4" s="1"/>
  <c r="U14" i="7"/>
  <c r="U15" i="7" s="1"/>
  <c r="Y5" i="7"/>
  <c r="Y6" i="7" s="1"/>
  <c r="E5" i="7"/>
  <c r="E6" i="7" s="1"/>
  <c r="V14" i="6"/>
  <c r="V15" i="6" s="1"/>
  <c r="J14" i="6"/>
  <c r="J15" i="6" s="1"/>
  <c r="Z5" i="6"/>
  <c r="Z6" i="6" s="1"/>
  <c r="N5" i="6"/>
  <c r="N6" i="6" s="1"/>
  <c r="B5" i="6"/>
  <c r="B6" i="6" s="1"/>
  <c r="T14" i="7"/>
  <c r="T15" i="7" s="1"/>
  <c r="X5" i="7"/>
  <c r="X6" i="7" s="1"/>
  <c r="D5" i="7"/>
  <c r="D6" i="7" s="1"/>
  <c r="U14" i="6"/>
  <c r="U15" i="6" s="1"/>
  <c r="I14" i="6"/>
  <c r="I15" i="6" s="1"/>
  <c r="AE14" i="7"/>
  <c r="AE15" i="7" s="1"/>
  <c r="J14" i="7"/>
  <c r="J15" i="7" s="1"/>
  <c r="N5" i="7"/>
  <c r="N6" i="7" s="1"/>
  <c r="AB14" i="6"/>
  <c r="AB15" i="6" s="1"/>
  <c r="P14" i="6"/>
  <c r="P15" i="6" s="1"/>
  <c r="C14" i="6"/>
  <c r="C15" i="6" s="1"/>
  <c r="AF5" i="6"/>
  <c r="AF6" i="6" s="1"/>
  <c r="T5" i="6"/>
  <c r="T6" i="6" s="1"/>
  <c r="G5" i="6"/>
  <c r="G6" i="6" s="1"/>
  <c r="Z5" i="7"/>
  <c r="Z6" i="7" s="1"/>
  <c r="S14" i="6"/>
  <c r="S15" i="6" s="1"/>
  <c r="Q5" i="6"/>
  <c r="Q6" i="6" s="1"/>
  <c r="AD14" i="5"/>
  <c r="AD15" i="5" s="1"/>
  <c r="P14" i="5"/>
  <c r="P15" i="5" s="1"/>
  <c r="B14" i="5"/>
  <c r="B15" i="5" s="1"/>
  <c r="T5" i="5"/>
  <c r="T6" i="5" s="1"/>
  <c r="F5" i="5"/>
  <c r="F6" i="5" s="1"/>
  <c r="AA14" i="4"/>
  <c r="AA15" i="4" s="1"/>
  <c r="O14" i="4"/>
  <c r="O15" i="4" s="1"/>
  <c r="C14" i="4"/>
  <c r="C15" i="4" s="1"/>
  <c r="AB5" i="4"/>
  <c r="AB6" i="4" s="1"/>
  <c r="Q5" i="4"/>
  <c r="Q6" i="4" s="1"/>
  <c r="F5" i="4"/>
  <c r="F6" i="4" s="1"/>
  <c r="R5" i="7"/>
  <c r="R6" i="7" s="1"/>
  <c r="R14" i="6"/>
  <c r="R15" i="6" s="1"/>
  <c r="O5" i="6"/>
  <c r="O6" i="6" s="1"/>
  <c r="AC14" i="5"/>
  <c r="AC15" i="5" s="1"/>
  <c r="N14" i="5"/>
  <c r="N15" i="5" s="1"/>
  <c r="R5" i="5"/>
  <c r="R6" i="5" s="1"/>
  <c r="E5" i="5"/>
  <c r="E6" i="5" s="1"/>
  <c r="Z14" i="4"/>
  <c r="Z15" i="4" s="1"/>
  <c r="N14" i="4"/>
  <c r="N15" i="4" s="1"/>
  <c r="B14" i="4"/>
  <c r="B15" i="4" s="1"/>
  <c r="AA5" i="4"/>
  <c r="AA6" i="4" s="1"/>
  <c r="P5" i="4"/>
  <c r="P6" i="4" s="1"/>
  <c r="E5" i="4"/>
  <c r="E6" i="4" s="1"/>
  <c r="AF14" i="7"/>
  <c r="AF15" i="7" s="1"/>
  <c r="Q5" i="7"/>
  <c r="Q6" i="7" s="1"/>
  <c r="Q14" i="6"/>
  <c r="Q15" i="6" s="1"/>
  <c r="M5" i="6"/>
  <c r="M6" i="6" s="1"/>
  <c r="AA14" i="5"/>
  <c r="AA15" i="5" s="1"/>
  <c r="M14" i="5"/>
  <c r="M15" i="5" s="1"/>
  <c r="AE5" i="5"/>
  <c r="AE6" i="5" s="1"/>
  <c r="Q5" i="5"/>
  <c r="Q6" i="5" s="1"/>
  <c r="D5" i="5"/>
  <c r="D6" i="5" s="1"/>
  <c r="Y14" i="4"/>
  <c r="Y15" i="4" s="1"/>
  <c r="M14" i="4"/>
  <c r="M15" i="4" s="1"/>
  <c r="Z5" i="4"/>
  <c r="Z6" i="4" s="1"/>
  <c r="O5" i="4"/>
  <c r="O6" i="4" s="1"/>
  <c r="D5" i="4"/>
  <c r="D6" i="4" s="1"/>
  <c r="V14" i="7"/>
  <c r="V15" i="7" s="1"/>
  <c r="P5" i="7"/>
  <c r="P6" i="7" s="1"/>
  <c r="M14" i="6"/>
  <c r="M15" i="6" s="1"/>
  <c r="L5" i="6"/>
  <c r="L6" i="6" s="1"/>
  <c r="Y14" i="5"/>
  <c r="Y15" i="5" s="1"/>
  <c r="L14" i="5"/>
  <c r="L15" i="5" s="1"/>
  <c r="AC5" i="5"/>
  <c r="AC6" i="5" s="1"/>
  <c r="P5" i="5"/>
  <c r="P6" i="5" s="1"/>
  <c r="C5" i="5"/>
  <c r="C6" i="5" s="1"/>
  <c r="X14" i="4"/>
  <c r="X15" i="4" s="1"/>
  <c r="K14" i="4"/>
  <c r="K15" i="4" s="1"/>
  <c r="Y5" i="4"/>
  <c r="Y6" i="4" s="1"/>
  <c r="N5" i="4"/>
  <c r="N6" i="4" s="1"/>
  <c r="C5" i="4"/>
  <c r="C6" i="4" s="1"/>
  <c r="N14" i="7"/>
  <c r="N15" i="7" s="1"/>
  <c r="O5" i="7"/>
  <c r="O6" i="7" s="1"/>
  <c r="AF14" i="6"/>
  <c r="AF15" i="6" s="1"/>
  <c r="K14" i="6"/>
  <c r="K15" i="6" s="1"/>
  <c r="T14" i="6"/>
  <c r="T15" i="6" s="1"/>
  <c r="U5" i="6"/>
  <c r="U6" i="6" s="1"/>
  <c r="AE14" i="5"/>
  <c r="AE15" i="5" s="1"/>
  <c r="R14" i="5"/>
  <c r="R15" i="5" s="1"/>
  <c r="C14" i="5"/>
  <c r="C15" i="5" s="1"/>
  <c r="V5" i="5"/>
  <c r="V6" i="5" s="1"/>
  <c r="G5" i="5"/>
  <c r="G6" i="5" s="1"/>
  <c r="AB14" i="4"/>
  <c r="AB15" i="4" s="1"/>
  <c r="P14" i="4"/>
  <c r="P15" i="4" s="1"/>
  <c r="D14" i="4"/>
  <c r="D15" i="4" s="1"/>
  <c r="AC5" i="4"/>
  <c r="AC6" i="4" s="1"/>
  <c r="R5" i="4"/>
  <c r="R6" i="4" s="1"/>
  <c r="G5" i="4"/>
  <c r="G6" i="4" s="1"/>
  <c r="W5" i="4"/>
  <c r="W6" i="4" s="1"/>
  <c r="U14" i="4"/>
  <c r="U15" i="4" s="1"/>
  <c r="O5" i="5"/>
  <c r="O6" i="5" s="1"/>
  <c r="S14" i="5"/>
  <c r="S15" i="5" s="1"/>
  <c r="E5" i="6"/>
  <c r="E6" i="6" s="1"/>
  <c r="B5" i="7"/>
  <c r="B6" i="7" s="1"/>
  <c r="Y22" i="7"/>
  <c r="N22" i="7"/>
  <c r="C22" i="7"/>
  <c r="X22" i="7"/>
  <c r="M22" i="7"/>
  <c r="W22" i="7"/>
  <c r="L22" i="7"/>
  <c r="V22" i="7"/>
  <c r="K22" i="7"/>
  <c r="Z22" i="7"/>
  <c r="O22" i="7"/>
  <c r="D22" i="7"/>
  <c r="Q22" i="7"/>
  <c r="AF22" i="7"/>
  <c r="P22" i="7"/>
  <c r="AE22" i="7"/>
  <c r="J22" i="7"/>
  <c r="AC22" i="7"/>
  <c r="H22" i="7"/>
  <c r="AB22" i="7"/>
  <c r="G22" i="7"/>
  <c r="R22" i="7"/>
  <c r="AD22" i="7"/>
  <c r="AA22" i="7"/>
  <c r="U22" i="7"/>
  <c r="T22" i="7"/>
  <c r="S22" i="7"/>
  <c r="C6" i="10"/>
  <c r="N6" i="10"/>
  <c r="D6" i="10"/>
  <c r="F6" i="10"/>
  <c r="E6" i="10"/>
  <c r="G6" i="10"/>
  <c r="M6" i="10"/>
  <c r="L6" i="10"/>
  <c r="K6" i="10"/>
  <c r="H5" i="4"/>
  <c r="H6" i="4" s="1"/>
  <c r="X5" i="4"/>
  <c r="X6" i="4" s="1"/>
  <c r="E14" i="4"/>
  <c r="E15" i="4" s="1"/>
  <c r="V14" i="4"/>
  <c r="V15" i="4" s="1"/>
  <c r="W5" i="5"/>
  <c r="W6" i="5" s="1"/>
  <c r="T14" i="5"/>
  <c r="T15" i="5" s="1"/>
  <c r="I5" i="6"/>
  <c r="I6" i="6" s="1"/>
  <c r="E14" i="6"/>
  <c r="E15" i="6" s="1"/>
  <c r="C5" i="7"/>
  <c r="C6" i="7" s="1"/>
  <c r="AB21" i="7"/>
  <c r="I5" i="4"/>
  <c r="I6" i="4" s="1"/>
  <c r="AD5" i="4"/>
  <c r="AD6" i="4" s="1"/>
  <c r="F14" i="4"/>
  <c r="F15" i="4" s="1"/>
  <c r="AC14" i="4"/>
  <c r="AC15" i="4" s="1"/>
  <c r="X5" i="5"/>
  <c r="X6" i="5" s="1"/>
  <c r="U14" i="5"/>
  <c r="U15" i="5" s="1"/>
  <c r="J5" i="6"/>
  <c r="J6" i="6" s="1"/>
  <c r="F14" i="6"/>
  <c r="F15" i="6" s="1"/>
  <c r="F5" i="7"/>
  <c r="F6" i="7" s="1"/>
  <c r="AE36" i="7"/>
  <c r="T36" i="7"/>
  <c r="I36" i="7"/>
  <c r="AD36" i="7"/>
  <c r="S36" i="7"/>
  <c r="H36" i="7"/>
  <c r="AC36" i="7"/>
  <c r="R36" i="7"/>
  <c r="G36" i="7"/>
  <c r="AB36" i="7"/>
  <c r="Q36" i="7"/>
  <c r="F36" i="7"/>
  <c r="AF36" i="7"/>
  <c r="U36" i="7"/>
  <c r="J36" i="7"/>
  <c r="L36" i="7"/>
  <c r="AA36" i="7"/>
  <c r="K36" i="7"/>
  <c r="Z36" i="7"/>
  <c r="E36" i="7"/>
  <c r="X36" i="7"/>
  <c r="C36" i="7"/>
  <c r="W36" i="7"/>
  <c r="M36" i="7"/>
  <c r="Y36" i="7"/>
  <c r="V36" i="7"/>
  <c r="O36" i="7"/>
  <c r="AA24" i="7"/>
  <c r="P24" i="7"/>
  <c r="E24" i="7"/>
  <c r="Z24" i="7"/>
  <c r="O24" i="7"/>
  <c r="D24" i="7"/>
  <c r="Y24" i="7"/>
  <c r="N24" i="7"/>
  <c r="C24" i="7"/>
  <c r="X24" i="7"/>
  <c r="M24" i="7"/>
  <c r="AB24" i="7"/>
  <c r="Q24" i="7"/>
  <c r="F24" i="7"/>
  <c r="W24" i="7"/>
  <c r="G24" i="7"/>
  <c r="V24" i="7"/>
  <c r="U24" i="7"/>
  <c r="S24" i="7"/>
  <c r="R24" i="7"/>
  <c r="AC24" i="7"/>
  <c r="H24" i="7"/>
  <c r="AF24" i="7"/>
  <c r="AE24" i="7"/>
  <c r="I24" i="7"/>
  <c r="B22" i="3"/>
  <c r="B35" i="3" s="1"/>
  <c r="E7" i="10"/>
  <c r="E8" i="10" s="1"/>
  <c r="E9" i="10" s="1"/>
  <c r="D7" i="10"/>
  <c r="D8" i="10" s="1"/>
  <c r="D9" i="10" s="1"/>
  <c r="C7" i="10"/>
  <c r="C8" i="10" s="1"/>
  <c r="C9" i="10" s="1"/>
  <c r="F7" i="10"/>
  <c r="G7" i="10"/>
  <c r="H15" i="3"/>
  <c r="H11" i="3"/>
  <c r="B10" i="3"/>
  <c r="B11" i="3" s="1"/>
  <c r="B7" i="9" s="1"/>
  <c r="J5" i="4"/>
  <c r="J6" i="4" s="1"/>
  <c r="AE5" i="4"/>
  <c r="AE6" i="4" s="1"/>
  <c r="G14" i="4"/>
  <c r="G15" i="4" s="1"/>
  <c r="AD14" i="4"/>
  <c r="AD15" i="4" s="1"/>
  <c r="Y5" i="5"/>
  <c r="Y6" i="5" s="1"/>
  <c r="V14" i="5"/>
  <c r="V15" i="5" s="1"/>
  <c r="K5" i="6"/>
  <c r="K6" i="6" s="1"/>
  <c r="G14" i="6"/>
  <c r="G15" i="6" s="1"/>
  <c r="E22" i="7"/>
  <c r="Z5" i="5"/>
  <c r="Z6" i="5" s="1"/>
  <c r="W14" i="5"/>
  <c r="W15" i="5" s="1"/>
  <c r="V5" i="6"/>
  <c r="V6" i="6" s="1"/>
  <c r="H14" i="6"/>
  <c r="H15" i="6" s="1"/>
  <c r="K14" i="7"/>
  <c r="K15" i="7" s="1"/>
  <c r="F22" i="7"/>
  <c r="B3" i="9"/>
  <c r="C3" i="9" s="1"/>
  <c r="N7" i="10"/>
  <c r="N8" i="10" s="1"/>
  <c r="N9" i="10" s="1"/>
  <c r="M7" i="10"/>
  <c r="L7" i="10"/>
  <c r="L8" i="10" s="1"/>
  <c r="L9" i="10" s="1"/>
  <c r="K7" i="10"/>
  <c r="K8" i="10" s="1"/>
  <c r="K9" i="10" s="1"/>
  <c r="V21" i="7"/>
  <c r="K21" i="7"/>
  <c r="AF21" i="7"/>
  <c r="U21" i="7"/>
  <c r="J21" i="7"/>
  <c r="AE21" i="7"/>
  <c r="T21" i="7"/>
  <c r="I21" i="7"/>
  <c r="AD21" i="7"/>
  <c r="S21" i="7"/>
  <c r="H21" i="7"/>
  <c r="W21" i="7"/>
  <c r="L21" i="7"/>
  <c r="Z21" i="7"/>
  <c r="E21" i="7"/>
  <c r="Y21" i="7"/>
  <c r="D21" i="7"/>
  <c r="X21" i="7"/>
  <c r="C21" i="7"/>
  <c r="Q21" i="7"/>
  <c r="P21" i="7"/>
  <c r="AA21" i="7"/>
  <c r="F21" i="7"/>
  <c r="O21" i="7"/>
  <c r="N21" i="7"/>
  <c r="M21" i="7"/>
  <c r="G21" i="7"/>
  <c r="R21" i="7"/>
  <c r="AB35" i="7"/>
  <c r="Q35" i="7"/>
  <c r="F35" i="7"/>
  <c r="AA35" i="7"/>
  <c r="P35" i="7"/>
  <c r="E35" i="7"/>
  <c r="Z35" i="7"/>
  <c r="O35" i="7"/>
  <c r="D35" i="7"/>
  <c r="Y35" i="7"/>
  <c r="N35" i="7"/>
  <c r="C35" i="7"/>
  <c r="AC35" i="7"/>
  <c r="R35" i="7"/>
  <c r="G35" i="7"/>
  <c r="U35" i="7"/>
  <c r="T35" i="7"/>
  <c r="S35" i="7"/>
  <c r="L35" i="7"/>
  <c r="AF35" i="7"/>
  <c r="K35" i="7"/>
  <c r="V35" i="7"/>
  <c r="X35" i="7"/>
  <c r="W35" i="7"/>
  <c r="M35" i="7"/>
  <c r="J35" i="7"/>
  <c r="I35" i="7"/>
  <c r="AD35" i="7"/>
  <c r="L5" i="4"/>
  <c r="L6" i="4" s="1"/>
  <c r="I14" i="4"/>
  <c r="I15" i="4" s="1"/>
  <c r="AF14" i="4"/>
  <c r="AF15" i="4" s="1"/>
  <c r="B5" i="5"/>
  <c r="B6" i="5" s="1"/>
  <c r="AA5" i="5"/>
  <c r="AA6" i="5" s="1"/>
  <c r="E14" i="5"/>
  <c r="E15" i="5" s="1"/>
  <c r="X14" i="5"/>
  <c r="X15" i="5" s="1"/>
  <c r="W5" i="6"/>
  <c r="W6" i="6" s="1"/>
  <c r="W14" i="6"/>
  <c r="W15" i="6" s="1"/>
  <c r="L14" i="7"/>
  <c r="L15" i="7" s="1"/>
  <c r="I22" i="7"/>
  <c r="AE35" i="7"/>
  <c r="G5" i="10"/>
  <c r="F5" i="10"/>
  <c r="E5" i="10"/>
  <c r="D5" i="10"/>
  <c r="N5" i="10"/>
  <c r="M5" i="10"/>
  <c r="L5" i="10"/>
  <c r="K5" i="10"/>
  <c r="F25" i="7" l="1"/>
  <c r="Q25" i="7"/>
  <c r="K25" i="7"/>
  <c r="T25" i="7"/>
  <c r="AC25" i="7"/>
  <c r="L25" i="7"/>
  <c r="V25" i="7"/>
  <c r="I25" i="7"/>
  <c r="X25" i="7"/>
  <c r="B23" i="7"/>
  <c r="B3" i="7"/>
  <c r="B4" i="7" s="1"/>
  <c r="B3" i="4"/>
  <c r="B4" i="4" s="1"/>
  <c r="B3" i="5"/>
  <c r="B4" i="5" s="1"/>
  <c r="B8" i="9"/>
  <c r="B3" i="6"/>
  <c r="B4" i="6" s="1"/>
  <c r="C25" i="7"/>
  <c r="Y9" i="9"/>
  <c r="Y10" i="9" s="1"/>
  <c r="N9" i="9"/>
  <c r="N10" i="9" s="1"/>
  <c r="C9" i="9"/>
  <c r="C10" i="9" s="1"/>
  <c r="X9" i="9"/>
  <c r="X10" i="9" s="1"/>
  <c r="M9" i="9"/>
  <c r="M10" i="9" s="1"/>
  <c r="W9" i="9"/>
  <c r="W10" i="9" s="1"/>
  <c r="L9" i="9"/>
  <c r="L10" i="9" s="1"/>
  <c r="V9" i="9"/>
  <c r="V10" i="9" s="1"/>
  <c r="K9" i="9"/>
  <c r="K10" i="9" s="1"/>
  <c r="Z9" i="9"/>
  <c r="Z10" i="9" s="1"/>
  <c r="O9" i="9"/>
  <c r="O10" i="9" s="1"/>
  <c r="D9" i="9"/>
  <c r="D10" i="9" s="1"/>
  <c r="AE9" i="9"/>
  <c r="AE10" i="9" s="1"/>
  <c r="J9" i="9"/>
  <c r="J10" i="9" s="1"/>
  <c r="AD9" i="9"/>
  <c r="AD10" i="9" s="1"/>
  <c r="I9" i="9"/>
  <c r="I10" i="9" s="1"/>
  <c r="AC9" i="9"/>
  <c r="AC10" i="9" s="1"/>
  <c r="H9" i="9"/>
  <c r="H10" i="9" s="1"/>
  <c r="AB9" i="9"/>
  <c r="AB10" i="9" s="1"/>
  <c r="G9" i="9"/>
  <c r="G10" i="9" s="1"/>
  <c r="AA9" i="9"/>
  <c r="AA10" i="9" s="1"/>
  <c r="F9" i="9"/>
  <c r="F10" i="9" s="1"/>
  <c r="U9" i="9"/>
  <c r="U10" i="9" s="1"/>
  <c r="E9" i="9"/>
  <c r="E10" i="9" s="1"/>
  <c r="T9" i="9"/>
  <c r="T10" i="9" s="1"/>
  <c r="AF9" i="9"/>
  <c r="AF10" i="9" s="1"/>
  <c r="P9" i="9"/>
  <c r="P10" i="9" s="1"/>
  <c r="S9" i="9"/>
  <c r="S10" i="9" s="1"/>
  <c r="R9" i="9"/>
  <c r="R10" i="9" s="1"/>
  <c r="Q9" i="9"/>
  <c r="Q10" i="9" s="1"/>
  <c r="G25" i="7"/>
  <c r="Y25" i="7"/>
  <c r="J25" i="7"/>
  <c r="X3" i="4"/>
  <c r="X4" i="4" s="1"/>
  <c r="M3" i="4"/>
  <c r="M4" i="4" s="1"/>
  <c r="W3" i="4"/>
  <c r="W4" i="4" s="1"/>
  <c r="L3" i="4"/>
  <c r="L4" i="4" s="1"/>
  <c r="V3" i="4"/>
  <c r="V4" i="4" s="1"/>
  <c r="K3" i="4"/>
  <c r="K4" i="4" s="1"/>
  <c r="AF3" i="4"/>
  <c r="AF4" i="4" s="1"/>
  <c r="U3" i="4"/>
  <c r="U4" i="4" s="1"/>
  <c r="J3" i="4"/>
  <c r="J4" i="4" s="1"/>
  <c r="Y3" i="4"/>
  <c r="Y4" i="4" s="1"/>
  <c r="N3" i="4"/>
  <c r="N4" i="4" s="1"/>
  <c r="C3" i="4"/>
  <c r="C4" i="4" s="1"/>
  <c r="P3" i="4"/>
  <c r="P4" i="4" s="1"/>
  <c r="AE3" i="4"/>
  <c r="AE4" i="4" s="1"/>
  <c r="O3" i="4"/>
  <c r="O4" i="4" s="1"/>
  <c r="AD3" i="4"/>
  <c r="AD4" i="4" s="1"/>
  <c r="I3" i="4"/>
  <c r="I4" i="4" s="1"/>
  <c r="AA3" i="4"/>
  <c r="AA4" i="4" s="1"/>
  <c r="T3" i="4"/>
  <c r="T4" i="4" s="1"/>
  <c r="AC3" i="4"/>
  <c r="AC4" i="4" s="1"/>
  <c r="H3" i="4"/>
  <c r="H4" i="4" s="1"/>
  <c r="AB3" i="4"/>
  <c r="AB4" i="4" s="1"/>
  <c r="G3" i="4"/>
  <c r="G4" i="4" s="1"/>
  <c r="F3" i="4"/>
  <c r="F4" i="4" s="1"/>
  <c r="Z3" i="4"/>
  <c r="Z4" i="4" s="1"/>
  <c r="E3" i="4"/>
  <c r="E4" i="4" s="1"/>
  <c r="D3" i="4"/>
  <c r="D4" i="4" s="1"/>
  <c r="S3" i="4"/>
  <c r="S4" i="4" s="1"/>
  <c r="R3" i="4"/>
  <c r="R4" i="4" s="1"/>
  <c r="Q3" i="4"/>
  <c r="Q4" i="4" s="1"/>
  <c r="B27" i="3"/>
  <c r="B37" i="3" s="1"/>
  <c r="R25" i="7"/>
  <c r="D25" i="7"/>
  <c r="AE25" i="7"/>
  <c r="M25" i="7"/>
  <c r="E25" i="7"/>
  <c r="U25" i="7"/>
  <c r="N25" i="7"/>
  <c r="Z25" i="7"/>
  <c r="AF25" i="7"/>
  <c r="W25" i="7"/>
  <c r="O25" i="7"/>
  <c r="AA25" i="7"/>
  <c r="H25" i="7"/>
  <c r="P25" i="7"/>
  <c r="S25" i="7"/>
  <c r="G8" i="10"/>
  <c r="G9" i="10" s="1"/>
  <c r="B12" i="7"/>
  <c r="B13" i="7" s="1"/>
  <c r="B37" i="7"/>
  <c r="B12" i="5"/>
  <c r="B13" i="5" s="1"/>
  <c r="B12" i="6"/>
  <c r="B13" i="6" s="1"/>
  <c r="B12" i="4"/>
  <c r="B13" i="4" s="1"/>
  <c r="V38" i="7"/>
  <c r="V39" i="7" s="1"/>
  <c r="K38" i="7"/>
  <c r="K39" i="7" s="1"/>
  <c r="AF38" i="7"/>
  <c r="AF39" i="7" s="1"/>
  <c r="U38" i="7"/>
  <c r="U39" i="7" s="1"/>
  <c r="J38" i="7"/>
  <c r="J39" i="7" s="1"/>
  <c r="AE38" i="7"/>
  <c r="AE39" i="7" s="1"/>
  <c r="T38" i="7"/>
  <c r="T39" i="7" s="1"/>
  <c r="I38" i="7"/>
  <c r="I39" i="7" s="1"/>
  <c r="AD38" i="7"/>
  <c r="AD39" i="7" s="1"/>
  <c r="S38" i="7"/>
  <c r="S39" i="7" s="1"/>
  <c r="H38" i="7"/>
  <c r="H39" i="7" s="1"/>
  <c r="W38" i="7"/>
  <c r="W39" i="7" s="1"/>
  <c r="L38" i="7"/>
  <c r="L39" i="7" s="1"/>
  <c r="R38" i="7"/>
  <c r="R39" i="7" s="1"/>
  <c r="Q38" i="7"/>
  <c r="Q39" i="7" s="1"/>
  <c r="P38" i="7"/>
  <c r="P39" i="7" s="1"/>
  <c r="N38" i="7"/>
  <c r="N39" i="7" s="1"/>
  <c r="AC38" i="7"/>
  <c r="M38" i="7"/>
  <c r="M39" i="7" s="1"/>
  <c r="X38" i="7"/>
  <c r="X39" i="7" s="1"/>
  <c r="C38" i="7"/>
  <c r="C39" i="7" s="1"/>
  <c r="F38" i="7"/>
  <c r="F39" i="7" s="1"/>
  <c r="E38" i="7"/>
  <c r="E39" i="7" s="1"/>
  <c r="D38" i="7"/>
  <c r="D39" i="7" s="1"/>
  <c r="G38" i="7"/>
  <c r="G39" i="7" s="1"/>
  <c r="AB38" i="7"/>
  <c r="AB39" i="7" s="1"/>
  <c r="H22" i="3"/>
  <c r="AA38" i="7"/>
  <c r="AA39" i="7" s="1"/>
  <c r="Z38" i="7"/>
  <c r="Z39" i="7" s="1"/>
  <c r="Y38" i="7"/>
  <c r="Y39" i="7" s="1"/>
  <c r="O38" i="7"/>
  <c r="O39" i="7" s="1"/>
  <c r="AC39" i="7"/>
  <c r="AD25" i="7"/>
  <c r="M8" i="10"/>
  <c r="M9" i="10" s="1"/>
  <c r="F8" i="10"/>
  <c r="F9" i="10" s="1"/>
  <c r="AB25" i="7"/>
  <c r="N7" i="9" l="1"/>
  <c r="N8" i="9" s="1"/>
  <c r="Y7" i="9"/>
  <c r="Y8" i="9" s="1"/>
  <c r="F7" i="9"/>
  <c r="F8" i="9" s="1"/>
  <c r="G7" i="9"/>
  <c r="G8" i="9" s="1"/>
  <c r="AC7" i="9"/>
  <c r="AC8" i="9" s="1"/>
  <c r="AD7" i="9"/>
  <c r="AD8" i="9" s="1"/>
  <c r="I7" i="9"/>
  <c r="I8" i="9" s="1"/>
  <c r="AE7" i="9"/>
  <c r="AE8" i="9" s="1"/>
  <c r="V7" i="9"/>
  <c r="V8" i="9" s="1"/>
  <c r="D7" i="9"/>
  <c r="D8" i="9" s="1"/>
  <c r="O7" i="9"/>
  <c r="O8" i="9" s="1"/>
  <c r="Z7" i="9"/>
  <c r="Z8" i="9" s="1"/>
  <c r="Q7" i="9"/>
  <c r="Q8" i="9" s="1"/>
  <c r="R7" i="9"/>
  <c r="R8" i="9" s="1"/>
  <c r="T7" i="9"/>
  <c r="T8" i="9" s="1"/>
  <c r="J7" i="9"/>
  <c r="J8" i="9" s="1"/>
  <c r="AF7" i="9"/>
  <c r="AF8" i="9" s="1"/>
  <c r="C7" i="9"/>
  <c r="C8" i="9" s="1"/>
  <c r="M7" i="9"/>
  <c r="M8" i="9" s="1"/>
  <c r="E7" i="9"/>
  <c r="E8" i="9" s="1"/>
  <c r="P7" i="9"/>
  <c r="P8" i="9" s="1"/>
  <c r="AA7" i="9"/>
  <c r="AA8" i="9" s="1"/>
  <c r="AB7" i="9"/>
  <c r="AB8" i="9" s="1"/>
  <c r="H7" i="9"/>
  <c r="H8" i="9" s="1"/>
  <c r="S7" i="9"/>
  <c r="S8" i="9" s="1"/>
  <c r="U7" i="9"/>
  <c r="U8" i="9" s="1"/>
  <c r="K7" i="9"/>
  <c r="K8" i="9" s="1"/>
  <c r="L7" i="9"/>
  <c r="L8" i="9" s="1"/>
  <c r="X7" i="9"/>
  <c r="X8" i="9" s="1"/>
  <c r="W7" i="9"/>
  <c r="W8" i="9" s="1"/>
  <c r="B8" i="4"/>
  <c r="C3" i="10" s="1"/>
  <c r="C4" i="10" s="1"/>
  <c r="C10" i="10" s="1"/>
  <c r="B39" i="7"/>
  <c r="B43" i="7" s="1"/>
  <c r="AE12" i="4"/>
  <c r="AE13" i="4" s="1"/>
  <c r="T12" i="4"/>
  <c r="T13" i="4" s="1"/>
  <c r="I12" i="4"/>
  <c r="I13" i="4" s="1"/>
  <c r="AD12" i="4"/>
  <c r="AD13" i="4" s="1"/>
  <c r="S12" i="4"/>
  <c r="S13" i="4" s="1"/>
  <c r="H12" i="4"/>
  <c r="H13" i="4" s="1"/>
  <c r="AC12" i="4"/>
  <c r="AC13" i="4" s="1"/>
  <c r="R12" i="4"/>
  <c r="R13" i="4" s="1"/>
  <c r="G12" i="4"/>
  <c r="G13" i="4" s="1"/>
  <c r="AB12" i="4"/>
  <c r="AB13" i="4" s="1"/>
  <c r="Q12" i="4"/>
  <c r="Q13" i="4" s="1"/>
  <c r="F12" i="4"/>
  <c r="F13" i="4" s="1"/>
  <c r="AF12" i="4"/>
  <c r="AF13" i="4" s="1"/>
  <c r="U12" i="4"/>
  <c r="U13" i="4" s="1"/>
  <c r="J12" i="4"/>
  <c r="J13" i="4" s="1"/>
  <c r="L12" i="4"/>
  <c r="L13" i="4" s="1"/>
  <c r="AA12" i="4"/>
  <c r="AA13" i="4" s="1"/>
  <c r="K12" i="4"/>
  <c r="K13" i="4" s="1"/>
  <c r="M12" i="4"/>
  <c r="M13" i="4" s="1"/>
  <c r="Z12" i="4"/>
  <c r="Z13" i="4" s="1"/>
  <c r="E12" i="4"/>
  <c r="E13" i="4" s="1"/>
  <c r="P12" i="4"/>
  <c r="P13" i="4" s="1"/>
  <c r="H27" i="3"/>
  <c r="Y12" i="4"/>
  <c r="Y13" i="4" s="1"/>
  <c r="D12" i="4"/>
  <c r="D13" i="4" s="1"/>
  <c r="X12" i="4"/>
  <c r="X13" i="4" s="1"/>
  <c r="C12" i="4"/>
  <c r="C13" i="4" s="1"/>
  <c r="W12" i="4"/>
  <c r="W13" i="4" s="1"/>
  <c r="V12" i="4"/>
  <c r="V13" i="4" s="1"/>
  <c r="O12" i="4"/>
  <c r="O13" i="4" s="1"/>
  <c r="N12" i="4"/>
  <c r="N13" i="4" s="1"/>
  <c r="B25" i="7"/>
  <c r="AB3" i="5"/>
  <c r="AB4" i="5" s="1"/>
  <c r="Q3" i="5"/>
  <c r="Q4" i="5" s="1"/>
  <c r="F3" i="5"/>
  <c r="F4" i="5" s="1"/>
  <c r="Z3" i="5"/>
  <c r="Z4" i="5" s="1"/>
  <c r="O3" i="5"/>
  <c r="O4" i="5" s="1"/>
  <c r="D3" i="5"/>
  <c r="D4" i="5" s="1"/>
  <c r="AC3" i="5"/>
  <c r="AC4" i="5" s="1"/>
  <c r="N3" i="5"/>
  <c r="N4" i="5" s="1"/>
  <c r="AA3" i="5"/>
  <c r="AA4" i="5" s="1"/>
  <c r="M3" i="5"/>
  <c r="M4" i="5" s="1"/>
  <c r="Y3" i="5"/>
  <c r="Y4" i="5" s="1"/>
  <c r="L3" i="5"/>
  <c r="L4" i="5" s="1"/>
  <c r="B29" i="3"/>
  <c r="X3" i="5"/>
  <c r="X4" i="5" s="1"/>
  <c r="K3" i="5"/>
  <c r="K4" i="5" s="1"/>
  <c r="AD3" i="5"/>
  <c r="AD4" i="5" s="1"/>
  <c r="P3" i="5"/>
  <c r="P4" i="5" s="1"/>
  <c r="S3" i="5"/>
  <c r="S4" i="5" s="1"/>
  <c r="T3" i="5"/>
  <c r="T4" i="5" s="1"/>
  <c r="R3" i="5"/>
  <c r="R4" i="5" s="1"/>
  <c r="J3" i="5"/>
  <c r="J4" i="5" s="1"/>
  <c r="I3" i="5"/>
  <c r="I4" i="5" s="1"/>
  <c r="H3" i="5"/>
  <c r="H4" i="5" s="1"/>
  <c r="AF3" i="5"/>
  <c r="AF4" i="5" s="1"/>
  <c r="G3" i="5"/>
  <c r="G4" i="5" s="1"/>
  <c r="AE3" i="5"/>
  <c r="AE4" i="5" s="1"/>
  <c r="E3" i="5"/>
  <c r="E4" i="5" s="1"/>
  <c r="W3" i="5"/>
  <c r="W4" i="5" s="1"/>
  <c r="C3" i="5"/>
  <c r="C4" i="5" s="1"/>
  <c r="V3" i="5"/>
  <c r="V4" i="5" s="1"/>
  <c r="U3" i="5"/>
  <c r="U4" i="5" s="1"/>
  <c r="B12" i="9" l="1"/>
  <c r="G3" i="10" s="1"/>
  <c r="G4" i="10" s="1"/>
  <c r="G10" i="10" s="1"/>
  <c r="B17" i="4"/>
  <c r="K3" i="10" s="1"/>
  <c r="B8" i="5"/>
  <c r="D3" i="10" s="1"/>
  <c r="D4" i="10" s="1"/>
  <c r="D10" i="10" s="1"/>
  <c r="B31" i="7"/>
  <c r="B28" i="7"/>
  <c r="B29" i="7"/>
  <c r="B41" i="7"/>
  <c r="B42" i="7"/>
  <c r="B30" i="7"/>
  <c r="AC3" i="7"/>
  <c r="AC4" i="7" s="1"/>
  <c r="R3" i="7"/>
  <c r="R4" i="7" s="1"/>
  <c r="G3" i="7"/>
  <c r="G4" i="7" s="1"/>
  <c r="Z3" i="6"/>
  <c r="Z4" i="6" s="1"/>
  <c r="AB3" i="7"/>
  <c r="AB4" i="7" s="1"/>
  <c r="Q3" i="7"/>
  <c r="Q4" i="7" s="1"/>
  <c r="F3" i="7"/>
  <c r="F4" i="7" s="1"/>
  <c r="AA3" i="7"/>
  <c r="AA4" i="7" s="1"/>
  <c r="P3" i="7"/>
  <c r="P4" i="7" s="1"/>
  <c r="E3" i="7"/>
  <c r="E4" i="7" s="1"/>
  <c r="Z3" i="7"/>
  <c r="Z4" i="7" s="1"/>
  <c r="O3" i="7"/>
  <c r="O4" i="7" s="1"/>
  <c r="D3" i="7"/>
  <c r="D4" i="7" s="1"/>
  <c r="V3" i="7"/>
  <c r="V4" i="7" s="1"/>
  <c r="C3" i="7"/>
  <c r="C4" i="7" s="1"/>
  <c r="AF3" i="6"/>
  <c r="AF4" i="6" s="1"/>
  <c r="T3" i="6"/>
  <c r="T4" i="6" s="1"/>
  <c r="I3" i="6"/>
  <c r="I4" i="6" s="1"/>
  <c r="U3" i="7"/>
  <c r="U4" i="7" s="1"/>
  <c r="T3" i="7"/>
  <c r="T4" i="7" s="1"/>
  <c r="AD3" i="6"/>
  <c r="AD4" i="6" s="1"/>
  <c r="R3" i="6"/>
  <c r="R4" i="6" s="1"/>
  <c r="G3" i="6"/>
  <c r="G4" i="6" s="1"/>
  <c r="N3" i="7"/>
  <c r="N4" i="7" s="1"/>
  <c r="AB3" i="6"/>
  <c r="AB4" i="6" s="1"/>
  <c r="P3" i="6"/>
  <c r="P4" i="6" s="1"/>
  <c r="E3" i="6"/>
  <c r="E4" i="6" s="1"/>
  <c r="AF3" i="7"/>
  <c r="AF4" i="7" s="1"/>
  <c r="M3" i="7"/>
  <c r="M4" i="7" s="1"/>
  <c r="W3" i="7"/>
  <c r="W4" i="7" s="1"/>
  <c r="H3" i="7"/>
  <c r="H4" i="7" s="1"/>
  <c r="K3" i="7"/>
  <c r="K4" i="7" s="1"/>
  <c r="X3" i="6"/>
  <c r="X4" i="6" s="1"/>
  <c r="J3" i="6"/>
  <c r="J4" i="6" s="1"/>
  <c r="J3" i="7"/>
  <c r="J4" i="7" s="1"/>
  <c r="W3" i="6"/>
  <c r="W4" i="6" s="1"/>
  <c r="H3" i="6"/>
  <c r="H4" i="6" s="1"/>
  <c r="I3" i="7"/>
  <c r="I4" i="7" s="1"/>
  <c r="V3" i="6"/>
  <c r="V4" i="6" s="1"/>
  <c r="F3" i="6"/>
  <c r="F4" i="6" s="1"/>
  <c r="U3" i="6"/>
  <c r="U4" i="6" s="1"/>
  <c r="D3" i="6"/>
  <c r="D4" i="6" s="1"/>
  <c r="L3" i="7"/>
  <c r="L4" i="7" s="1"/>
  <c r="Y3" i="6"/>
  <c r="Y4" i="6" s="1"/>
  <c r="K3" i="6"/>
  <c r="K4" i="6" s="1"/>
  <c r="X3" i="7"/>
  <c r="X4" i="7" s="1"/>
  <c r="O3" i="6"/>
  <c r="O4" i="6" s="1"/>
  <c r="Y3" i="7"/>
  <c r="Y4" i="7" s="1"/>
  <c r="S3" i="7"/>
  <c r="S4" i="7" s="1"/>
  <c r="N3" i="6"/>
  <c r="N4" i="6" s="1"/>
  <c r="M3" i="6"/>
  <c r="M4" i="6" s="1"/>
  <c r="L3" i="6"/>
  <c r="L4" i="6" s="1"/>
  <c r="C3" i="6"/>
  <c r="C4" i="6" s="1"/>
  <c r="AE3" i="6"/>
  <c r="AE4" i="6" s="1"/>
  <c r="AC3" i="6"/>
  <c r="AC4" i="6" s="1"/>
  <c r="AE3" i="7"/>
  <c r="AE4" i="7" s="1"/>
  <c r="AA3" i="6"/>
  <c r="AA4" i="6" s="1"/>
  <c r="AD3" i="7"/>
  <c r="AD4" i="7" s="1"/>
  <c r="S3" i="6"/>
  <c r="S4" i="6" s="1"/>
  <c r="Q3" i="6"/>
  <c r="Q4" i="6" s="1"/>
  <c r="X12" i="5"/>
  <c r="X13" i="5" s="1"/>
  <c r="M12" i="5"/>
  <c r="M13" i="5" s="1"/>
  <c r="V12" i="5"/>
  <c r="V13" i="5" s="1"/>
  <c r="K12" i="5"/>
  <c r="K13" i="5" s="1"/>
  <c r="Y12" i="5"/>
  <c r="Y13" i="5" s="1"/>
  <c r="J12" i="5"/>
  <c r="J13" i="5" s="1"/>
  <c r="W12" i="5"/>
  <c r="W13" i="5" s="1"/>
  <c r="I12" i="5"/>
  <c r="I13" i="5" s="1"/>
  <c r="H29" i="3"/>
  <c r="U12" i="5"/>
  <c r="U13" i="5" s="1"/>
  <c r="H12" i="5"/>
  <c r="H13" i="5" s="1"/>
  <c r="T12" i="5"/>
  <c r="T13" i="5" s="1"/>
  <c r="G12" i="5"/>
  <c r="G13" i="5" s="1"/>
  <c r="Z12" i="5"/>
  <c r="Z13" i="5" s="1"/>
  <c r="L12" i="5"/>
  <c r="L13" i="5" s="1"/>
  <c r="P12" i="5"/>
  <c r="P13" i="5" s="1"/>
  <c r="O12" i="5"/>
  <c r="O13" i="5" s="1"/>
  <c r="AF12" i="5"/>
  <c r="AF13" i="5" s="1"/>
  <c r="N12" i="5"/>
  <c r="N13" i="5" s="1"/>
  <c r="D12" i="5"/>
  <c r="D13" i="5" s="1"/>
  <c r="AE12" i="5"/>
  <c r="AE13" i="5" s="1"/>
  <c r="F12" i="5"/>
  <c r="F13" i="5" s="1"/>
  <c r="AD12" i="5"/>
  <c r="AD13" i="5" s="1"/>
  <c r="E12" i="5"/>
  <c r="E13" i="5" s="1"/>
  <c r="AC12" i="5"/>
  <c r="AC13" i="5" s="1"/>
  <c r="AB12" i="5"/>
  <c r="AB13" i="5" s="1"/>
  <c r="C12" i="5"/>
  <c r="C13" i="5" s="1"/>
  <c r="AA12" i="5"/>
  <c r="AA13" i="5" s="1"/>
  <c r="S12" i="5"/>
  <c r="S13" i="5" s="1"/>
  <c r="R12" i="5"/>
  <c r="R13" i="5" s="1"/>
  <c r="Q12" i="5"/>
  <c r="Q13" i="5" s="1"/>
  <c r="B44" i="7"/>
  <c r="K4" i="10" l="1"/>
  <c r="K10" i="10" s="1"/>
  <c r="B17" i="5"/>
  <c r="L3" i="10" s="1"/>
  <c r="L4" i="10" s="1"/>
  <c r="L10" i="10" s="1"/>
  <c r="B8" i="7"/>
  <c r="F3" i="10" s="1"/>
  <c r="F4" i="10" s="1"/>
  <c r="Y12" i="7"/>
  <c r="Y13" i="7" s="1"/>
  <c r="N12" i="7"/>
  <c r="N13" i="7" s="1"/>
  <c r="C12" i="7"/>
  <c r="C13" i="7" s="1"/>
  <c r="V12" i="6"/>
  <c r="V13" i="6" s="1"/>
  <c r="K12" i="6"/>
  <c r="K13" i="6" s="1"/>
  <c r="X12" i="7"/>
  <c r="X13" i="7" s="1"/>
  <c r="M12" i="7"/>
  <c r="M13" i="7" s="1"/>
  <c r="W12" i="7"/>
  <c r="W13" i="7" s="1"/>
  <c r="L12" i="7"/>
  <c r="L13" i="7" s="1"/>
  <c r="V12" i="7"/>
  <c r="V13" i="7" s="1"/>
  <c r="K12" i="7"/>
  <c r="K13" i="7" s="1"/>
  <c r="Z12" i="7"/>
  <c r="Z13" i="7" s="1"/>
  <c r="O12" i="7"/>
  <c r="O13" i="7" s="1"/>
  <c r="D12" i="7"/>
  <c r="D13" i="7" s="1"/>
  <c r="AC12" i="7"/>
  <c r="AC13" i="7" s="1"/>
  <c r="H12" i="7"/>
  <c r="H13" i="7" s="1"/>
  <c r="AB12" i="6"/>
  <c r="AB13" i="6" s="1"/>
  <c r="P12" i="6"/>
  <c r="P13" i="6" s="1"/>
  <c r="D12" i="6"/>
  <c r="D13" i="6" s="1"/>
  <c r="AB12" i="7"/>
  <c r="AB13" i="7" s="1"/>
  <c r="G12" i="7"/>
  <c r="G13" i="7" s="1"/>
  <c r="AA12" i="7"/>
  <c r="AA13" i="7" s="1"/>
  <c r="F12" i="7"/>
  <c r="F13" i="7" s="1"/>
  <c r="Z12" i="6"/>
  <c r="Z13" i="6" s="1"/>
  <c r="N12" i="6"/>
  <c r="N13" i="6" s="1"/>
  <c r="T12" i="7"/>
  <c r="T13" i="7" s="1"/>
  <c r="X12" i="6"/>
  <c r="X13" i="6" s="1"/>
  <c r="L12" i="6"/>
  <c r="L13" i="6" s="1"/>
  <c r="S12" i="7"/>
  <c r="S13" i="7" s="1"/>
  <c r="W12" i="6"/>
  <c r="W13" i="6" s="1"/>
  <c r="J12" i="6"/>
  <c r="J13" i="6" s="1"/>
  <c r="AD12" i="7"/>
  <c r="AD13" i="7" s="1"/>
  <c r="I12" i="7"/>
  <c r="I13" i="7" s="1"/>
  <c r="AC12" i="6"/>
  <c r="AC13" i="6" s="1"/>
  <c r="Q12" i="6"/>
  <c r="Q13" i="6" s="1"/>
  <c r="E12" i="6"/>
  <c r="E13" i="6" s="1"/>
  <c r="J12" i="7"/>
  <c r="J13" i="7" s="1"/>
  <c r="O12" i="6"/>
  <c r="O13" i="6" s="1"/>
  <c r="E12" i="7"/>
  <c r="E13" i="7" s="1"/>
  <c r="M12" i="6"/>
  <c r="M13" i="6" s="1"/>
  <c r="AF12" i="6"/>
  <c r="AF13" i="6" s="1"/>
  <c r="I12" i="6"/>
  <c r="I13" i="6" s="1"/>
  <c r="AE12" i="6"/>
  <c r="AE13" i="6" s="1"/>
  <c r="H12" i="6"/>
  <c r="H13" i="6" s="1"/>
  <c r="P12" i="7"/>
  <c r="P13" i="7" s="1"/>
  <c r="R12" i="6"/>
  <c r="R13" i="6" s="1"/>
  <c r="AD12" i="6"/>
  <c r="AD13" i="6" s="1"/>
  <c r="AA12" i="6"/>
  <c r="AA13" i="6" s="1"/>
  <c r="Y12" i="6"/>
  <c r="Y13" i="6" s="1"/>
  <c r="U12" i="6"/>
  <c r="U13" i="6" s="1"/>
  <c r="AF12" i="7"/>
  <c r="AF13" i="7" s="1"/>
  <c r="T12" i="6"/>
  <c r="T13" i="6" s="1"/>
  <c r="AE12" i="7"/>
  <c r="AE13" i="7" s="1"/>
  <c r="S12" i="6"/>
  <c r="S13" i="6" s="1"/>
  <c r="U12" i="7"/>
  <c r="U13" i="7" s="1"/>
  <c r="G12" i="6"/>
  <c r="G13" i="6" s="1"/>
  <c r="F12" i="6"/>
  <c r="F13" i="6" s="1"/>
  <c r="R12" i="7"/>
  <c r="R13" i="7" s="1"/>
  <c r="Q12" i="7"/>
  <c r="Q13" i="7" s="1"/>
  <c r="C12" i="6"/>
  <c r="C13" i="6" s="1"/>
  <c r="B8" i="6"/>
  <c r="E3" i="10" s="1"/>
  <c r="E4" i="10" s="1"/>
  <c r="E10" i="10" s="1"/>
  <c r="F10" i="10" l="1"/>
  <c r="C16" i="10"/>
  <c r="C17" i="10" s="1"/>
  <c r="B17" i="6"/>
  <c r="M3" i="10" s="1"/>
  <c r="M4" i="10" s="1"/>
  <c r="M10" i="10" s="1"/>
  <c r="B17" i="7"/>
  <c r="N3" i="10" s="1"/>
  <c r="N4" i="10" s="1"/>
  <c r="N10" i="10" l="1"/>
  <c r="K16" i="10"/>
  <c r="K17" i="10" s="1"/>
</calcChain>
</file>

<file path=xl/sharedStrings.xml><?xml version="1.0" encoding="utf-8"?>
<sst xmlns="http://schemas.openxmlformats.org/spreadsheetml/2006/main" count="509" uniqueCount="145">
  <si>
    <t>Parameter</t>
  </si>
  <si>
    <t>Year</t>
  </si>
  <si>
    <t>Value</t>
  </si>
  <si>
    <t>Unit</t>
  </si>
  <si>
    <t>Standard Values</t>
  </si>
  <si>
    <t>Current Year</t>
  </si>
  <si>
    <t>Inflation</t>
  </si>
  <si>
    <t>WACC</t>
  </si>
  <si>
    <t>USD to EUR</t>
  </si>
  <si>
    <t xml:space="preserve">Electricity </t>
  </si>
  <si>
    <t>LCOE</t>
  </si>
  <si>
    <t>$/MWh</t>
  </si>
  <si>
    <t>Jet Fuel A-1 Characteristics</t>
  </si>
  <si>
    <t>Emissions Intensity</t>
  </si>
  <si>
    <t>gCO2/MJ</t>
  </si>
  <si>
    <t>Energy Density</t>
  </si>
  <si>
    <t>MJ/kg</t>
  </si>
  <si>
    <t>MJ/l</t>
  </si>
  <si>
    <t>Volumetric Density</t>
  </si>
  <si>
    <t>kg/l</t>
  </si>
  <si>
    <t>Jet Fuel A-1 Price</t>
  </si>
  <si>
    <t>$/l</t>
  </si>
  <si>
    <t>Scenario Specific Values</t>
  </si>
  <si>
    <t>IEA Reference</t>
  </si>
  <si>
    <t>EIA Reference</t>
  </si>
  <si>
    <t>EIA Low Oil Price Scenario</t>
  </si>
  <si>
    <t>EIA High Scenario</t>
  </si>
  <si>
    <t>Direct Air Capture</t>
  </si>
  <si>
    <t>LCOR</t>
  </si>
  <si>
    <t>$/tCO2</t>
  </si>
  <si>
    <t>Key Parameters</t>
  </si>
  <si>
    <t>Source</t>
  </si>
  <si>
    <t>Notes</t>
  </si>
  <si>
    <t>Discount Rate</t>
  </si>
  <si>
    <t>Both</t>
  </si>
  <si>
    <t>Seymour et. al. 2024</t>
  </si>
  <si>
    <t>Plant Lifetime</t>
  </si>
  <si>
    <t>years</t>
  </si>
  <si>
    <t>Seymour et. al. 2024 Table 1</t>
  </si>
  <si>
    <t>Li-Ion Battery Lifetime</t>
  </si>
  <si>
    <t>Electrolyser Stack Lifetime</t>
  </si>
  <si>
    <t>Plant Parameters</t>
  </si>
  <si>
    <t>Fuel Synthesis Capacity</t>
  </si>
  <si>
    <t>MW</t>
  </si>
  <si>
    <t>Seymour et. al. 2024 Supporting Information</t>
  </si>
  <si>
    <t>Electrolyzer Capacity</t>
  </si>
  <si>
    <t>Battery Capacity</t>
  </si>
  <si>
    <t>MWh</t>
  </si>
  <si>
    <t>This cost may be neglected as grid supply is assumed</t>
  </si>
  <si>
    <t>CO2 Storage</t>
  </si>
  <si>
    <t>tonnes</t>
  </si>
  <si>
    <t>H2 Storage</t>
  </si>
  <si>
    <t>Electric Boiler Capacity</t>
  </si>
  <si>
    <t>kW</t>
  </si>
  <si>
    <t>Calculated from boiler consumption and full load hours</t>
  </si>
  <si>
    <t>Process Parameters</t>
  </si>
  <si>
    <t>CO2 Caputre</t>
  </si>
  <si>
    <t>t/hour</t>
  </si>
  <si>
    <t>t/year</t>
  </si>
  <si>
    <t>Calculated</t>
  </si>
  <si>
    <t>Full Load Hours</t>
  </si>
  <si>
    <t>hours</t>
  </si>
  <si>
    <t>Calculated from Fuel Production and fuel synthesis capacity</t>
  </si>
  <si>
    <t>Annual Fuel Production</t>
  </si>
  <si>
    <t>GWh</t>
  </si>
  <si>
    <t>litres</t>
  </si>
  <si>
    <t>Annual Electricity Consumption</t>
  </si>
  <si>
    <t>Seymour et. al. 2024 Figure 6</t>
  </si>
  <si>
    <t>External Costs</t>
  </si>
  <si>
    <t>DAC CAPEX</t>
  </si>
  <si>
    <t>€/tCO2</t>
  </si>
  <si>
    <t>Electricity Price</t>
  </si>
  <si>
    <t>€/MWh</t>
  </si>
  <si>
    <t>Seymour et. al. 2024 Figure 1</t>
  </si>
  <si>
    <t>Electricity Price is inferred as LCOE from the study</t>
  </si>
  <si>
    <t>Fuel Parameters</t>
  </si>
  <si>
    <t>Syn-fuel emissions</t>
  </si>
  <si>
    <t>kgCO2/kg fuel</t>
  </si>
  <si>
    <t>kgCO2eq/MJ</t>
  </si>
  <si>
    <t>Economic Assumptions 2024</t>
  </si>
  <si>
    <t>Economic Assumptions 2050</t>
  </si>
  <si>
    <t>CAPEX</t>
  </si>
  <si>
    <t>Component</t>
  </si>
  <si>
    <t>Fuel Synthesis</t>
  </si>
  <si>
    <t>M€</t>
  </si>
  <si>
    <t>Electrolyser</t>
  </si>
  <si>
    <t>Electrical Boiler</t>
  </si>
  <si>
    <t>Li-Ion Battery</t>
  </si>
  <si>
    <t>Electrolyser Stack Replacement</t>
  </si>
  <si>
    <t>Total CAPEX</t>
  </si>
  <si>
    <t>OPEX</t>
  </si>
  <si>
    <t>M€/year</t>
  </si>
  <si>
    <t>DAC</t>
  </si>
  <si>
    <t>Electricity</t>
  </si>
  <si>
    <t>Total OPEX</t>
  </si>
  <si>
    <t>Standardized Economic Assumptions 2024</t>
  </si>
  <si>
    <t>Standardized Economic Assumptions 2050</t>
  </si>
  <si>
    <t>LCOE Corrected OPEX</t>
  </si>
  <si>
    <t>CO2 Cost</t>
  </si>
  <si>
    <t>CO2 Corrected OPEX</t>
  </si>
  <si>
    <t>Standardized Economic Assumptions 2024 - FLH</t>
  </si>
  <si>
    <t>Economic Model 2024</t>
  </si>
  <si>
    <t>Cost (€)</t>
  </si>
  <si>
    <t>Discounted Cost (€)</t>
  </si>
  <si>
    <t>Production (l)</t>
  </si>
  <si>
    <t>Discounted Production (l)</t>
  </si>
  <si>
    <t>Minimum Fuel Selling Price (€/l)</t>
  </si>
  <si>
    <t>Economic Model 2050</t>
  </si>
  <si>
    <t>Cost Drivers 2024</t>
  </si>
  <si>
    <t>Discounted Electricity Cost (€)</t>
  </si>
  <si>
    <t>Discounted CO2 Cost (€)</t>
  </si>
  <si>
    <t>CAPEX (€)</t>
  </si>
  <si>
    <t>Other OPEX (€)</t>
  </si>
  <si>
    <t>Total</t>
  </si>
  <si>
    <t>Breakdown 2024</t>
  </si>
  <si>
    <t>CO2</t>
  </si>
  <si>
    <t>Other OPEX</t>
  </si>
  <si>
    <t>Cost Drivers 2050</t>
  </si>
  <si>
    <t>Breakdown 2050</t>
  </si>
  <si>
    <t>In order to assess sensitviity to full load hours, battery, CO2 and H2 storage is removed and full load hours are decreased according to the capacity factor of power supply. Component sizing is not changed.</t>
  </si>
  <si>
    <t>Original Value</t>
  </si>
  <si>
    <t>New Value</t>
  </si>
  <si>
    <t>Full load hours</t>
  </si>
  <si>
    <t>Seymour et. al. SI Figure 5, 6</t>
  </si>
  <si>
    <t>Combined wind and PV optimised installation assumed</t>
  </si>
  <si>
    <t>Fuel Production</t>
  </si>
  <si>
    <t>Base Case</t>
  </si>
  <si>
    <t>LCOE Corrected</t>
  </si>
  <si>
    <t>CO2 Cost Corrected</t>
  </si>
  <si>
    <t>WACC Corrected</t>
  </si>
  <si>
    <t>Low FLH</t>
  </si>
  <si>
    <t>Syn-Fuel cost</t>
  </si>
  <si>
    <t>€/l</t>
  </si>
  <si>
    <t>Fossil Fuel cost</t>
  </si>
  <si>
    <t>Syn-Fuel emissions</t>
  </si>
  <si>
    <t>gCO2eq/MJ</t>
  </si>
  <si>
    <t>Fossil Fuel emissions</t>
  </si>
  <si>
    <t>CO2 Abated</t>
  </si>
  <si>
    <t>gCO2eq/l</t>
  </si>
  <si>
    <t>Abatement cost</t>
  </si>
  <si>
    <t>Full Abatement</t>
  </si>
  <si>
    <t>Residual Emissions</t>
  </si>
  <si>
    <t>Emissions Reduction Cost</t>
  </si>
  <si>
    <t>Effective Synfuel Cost</t>
  </si>
  <si>
    <t>Effective Abatement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</si>
</sst>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5" x14ac:knownFonts="1">
    <font>
      <sz val="12"/>
      <color theme="1"/>
      <name val="Aptos Narrow"/>
      <family val="2"/>
      <scheme val="minor"/>
    </font>
    <font>
      <sz val="12"/>
      <color theme="1"/>
      <name val="Aptos Narrow"/>
      <family val="2"/>
      <scheme val="minor"/>
    </font>
    <font>
      <b/>
      <sz val="12"/>
      <color theme="1"/>
      <name val="Aptos Narrow"/>
      <family val="2"/>
      <scheme val="minor"/>
    </font>
    <font>
      <sz val="11"/>
      <color theme="1"/>
      <name val="Aptos Narrow"/>
      <family val="2"/>
    </font>
    <font>
      <b/>
      <sz val="11"/>
      <color theme="1"/>
      <name val="Aptos Narrow"/>
      <family val="2"/>
    </font>
  </fonts>
  <fills count="4">
    <fill>
      <patternFill patternType="none"/>
    </fill>
    <fill>
      <patternFill patternType="gray125"/>
    </fill>
    <fill>
      <patternFill patternType="solid">
        <fgColor theme="3" tint="0.749992370372631"/>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1" fillId="0" borderId="0"/>
  </cellStyleXfs>
  <cellXfs count="33">
    <xf numFmtId="0" fontId="0" fillId="0" borderId="0" xfId="0"/>
    <xf numFmtId="0" fontId="2" fillId="0" borderId="0" xfId="0" applyFont="1"/>
    <xf numFmtId="0" fontId="2" fillId="2" borderId="0" xfId="0" applyFont="1" applyFill="1"/>
    <xf numFmtId="0" fontId="0" fillId="2" borderId="0" xfId="0" applyFill="1"/>
    <xf numFmtId="2" fontId="0" fillId="0" borderId="0" xfId="0" applyNumberFormat="1"/>
    <xf numFmtId="0" fontId="2" fillId="3" borderId="0" xfId="0" applyFont="1" applyFill="1"/>
    <xf numFmtId="0" fontId="0" fillId="3" borderId="0" xfId="0" applyFill="1"/>
    <xf numFmtId="9" fontId="0" fillId="0" borderId="0" xfId="1" applyFont="1"/>
    <xf numFmtId="0" fontId="0" fillId="0" borderId="1" xfId="0" applyBorder="1"/>
    <xf numFmtId="0" fontId="3" fillId="0" borderId="1" xfId="0" applyFont="1" applyBorder="1"/>
    <xf numFmtId="0" fontId="0" fillId="3" borderId="1" xfId="0" applyFill="1" applyBorder="1"/>
    <xf numFmtId="9" fontId="0" fillId="0" borderId="1" xfId="0" applyNumberFormat="1" applyBorder="1"/>
    <xf numFmtId="2" fontId="0" fillId="0" borderId="1" xfId="0" applyNumberFormat="1" applyBorder="1"/>
    <xf numFmtId="2" fontId="0" fillId="3" borderId="1" xfId="0" applyNumberFormat="1" applyFill="1" applyBorder="1"/>
    <xf numFmtId="1" fontId="0" fillId="0" borderId="1" xfId="0" applyNumberFormat="1" applyBorder="1"/>
    <xf numFmtId="1" fontId="0" fillId="0" borderId="0" xfId="0" applyNumberFormat="1"/>
    <xf numFmtId="0" fontId="2" fillId="2" borderId="0" xfId="0" applyFont="1" applyFill="1" applyAlignment="1">
      <alignment horizontal="center"/>
    </xf>
    <xf numFmtId="0" fontId="0" fillId="0" borderId="0" xfId="0" applyAlignment="1">
      <alignment wrapText="1"/>
    </xf>
    <xf numFmtId="1" fontId="0" fillId="3" borderId="1" xfId="0" applyNumberFormat="1" applyFill="1" applyBorder="1"/>
    <xf numFmtId="0" fontId="3" fillId="0" borderId="0" xfId="0" applyFont="1"/>
    <xf numFmtId="164" fontId="0" fillId="0" borderId="0" xfId="0" applyNumberFormat="1"/>
    <xf numFmtId="0" fontId="1" fillId="0" borderId="0" xfId="0" applyFont="1"/>
    <xf numFmtId="0" fontId="1" fillId="3" borderId="1" xfId="0" applyFont="1" applyFill="1" applyBorder="1"/>
    <xf numFmtId="2" fontId="1" fillId="3" borderId="1" xfId="0" applyNumberFormat="1" applyFont="1" applyFill="1" applyBorder="1"/>
    <xf numFmtId="0" fontId="2" fillId="2" borderId="1" xfId="0" applyFont="1" applyFill="1" applyBorder="1" applyAlignment="1">
      <alignment horizontal="center"/>
    </xf>
    <xf numFmtId="0" fontId="0" fillId="0" borderId="2" xfId="0" applyBorder="1"/>
    <xf numFmtId="0" fontId="0" fillId="0" borderId="3" xfId="0" applyBorder="1"/>
    <xf numFmtId="0" fontId="2" fillId="3" borderId="1" xfId="0" applyFont="1" applyFill="1" applyBorder="1" applyAlignment="1">
      <alignment horizontal="center"/>
    </xf>
    <xf numFmtId="0" fontId="2" fillId="2" borderId="0" xfId="0" applyFont="1" applyFill="1" applyAlignment="1">
      <alignment horizontal="center"/>
    </xf>
    <xf numFmtId="0" fontId="0" fillId="0" borderId="0" xfId="0"/>
    <xf numFmtId="0" fontId="2" fillId="2" borderId="4" xfId="0" applyFont="1" applyFill="1" applyBorder="1" applyAlignment="1">
      <alignment horizontal="center"/>
    </xf>
    <xf numFmtId="0" fontId="0" fillId="0" borderId="4" xfId="0" applyBorder="1"/>
    <xf numFmtId="0" fontId="4" fillId="2"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_DACCS%20vs%20Synfuels/Meta%20Analysis_SAF/Harmonization_SAF/Harmonization%20Sheets/Master%20Standardisation_SAF.xlsx" TargetMode="External"/><Relationship Id="rId1" Type="http://schemas.openxmlformats.org/officeDocument/2006/relationships/externalLinkPath" Target="Master%20Standardisation_SA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ZUE4YIPAMGRCJYCYPO4ESO2WS">
      <xxl21:absoluteUrl r:id="rId2"/>
    </xxl21:alternateUrls>
    <sheetNames>
      <sheetName val="Intro"/>
      <sheetName val="Steps"/>
      <sheetName val="Inputs"/>
      <sheetName val="Electricity"/>
      <sheetName val="Standard Input Calculations"/>
      <sheetName val="Sensitivities"/>
      <sheetName val="Notes for Study Parameters"/>
      <sheetName val="Studies current &amp; future cost"/>
      <sheetName val="Study Parameters"/>
      <sheetName val="Study Parameters 2050"/>
      <sheetName val="Standardization Results"/>
      <sheetName val="CO2 Effect"/>
      <sheetName val="Median CO2"/>
      <sheetName val="Low CO2"/>
      <sheetName val="High CO2"/>
      <sheetName val="Reference"/>
      <sheetName val="High Elec High CO2"/>
      <sheetName val="Low Elec Low CO2"/>
      <sheetName val="Results Reference"/>
      <sheetName val="Results Low Fossil Price"/>
      <sheetName val="Results High Fossil Price"/>
      <sheetName val="Full Abatement"/>
      <sheetName val="Descriptive Stats"/>
      <sheetName val="Per Passenger Cost Calculation"/>
    </sheetNames>
    <sheetDataSet>
      <sheetData sheetId="0"/>
      <sheetData sheetId="1"/>
      <sheetData sheetId="2">
        <row r="4">
          <cell r="C4">
            <v>2024</v>
          </cell>
        </row>
        <row r="5">
          <cell r="C5">
            <v>0.02</v>
          </cell>
        </row>
        <row r="6">
          <cell r="C6">
            <v>7.0000000000000007E-2</v>
          </cell>
        </row>
        <row r="7">
          <cell r="C7">
            <v>0.9</v>
          </cell>
        </row>
        <row r="9">
          <cell r="C9">
            <v>64</v>
          </cell>
        </row>
        <row r="10">
          <cell r="C10">
            <v>11</v>
          </cell>
        </row>
        <row r="12">
          <cell r="C12">
            <v>88.7</v>
          </cell>
        </row>
        <row r="13">
          <cell r="C13">
            <v>88.7</v>
          </cell>
        </row>
        <row r="14">
          <cell r="C14">
            <v>43.2</v>
          </cell>
        </row>
        <row r="15">
          <cell r="C15">
            <v>34.689600000000006</v>
          </cell>
        </row>
        <row r="16">
          <cell r="C16">
            <v>0.80300000000000005</v>
          </cell>
        </row>
        <row r="17">
          <cell r="C17">
            <v>0.8</v>
          </cell>
        </row>
        <row r="19">
          <cell r="C19">
            <v>1.7</v>
          </cell>
        </row>
        <row r="21">
          <cell r="C21">
            <v>0.32246153846153797</v>
          </cell>
        </row>
        <row r="22">
          <cell r="C22">
            <v>0.20923076923076925</v>
          </cell>
        </row>
        <row r="24">
          <cell r="C24">
            <v>1.0209014091790563</v>
          </cell>
        </row>
        <row r="25">
          <cell r="C25">
            <v>2.0095593639301876</v>
          </cell>
        </row>
        <row r="27">
          <cell r="C27">
            <v>0.4828683335488041</v>
          </cell>
        </row>
        <row r="28">
          <cell r="C28">
            <v>0.89646574789915967</v>
          </cell>
        </row>
        <row r="30">
          <cell r="C30">
            <v>1.8838712863606983</v>
          </cell>
        </row>
        <row r="31">
          <cell r="C31">
            <v>3.7893730833872015</v>
          </cell>
        </row>
        <row r="33">
          <cell r="C33">
            <v>1371</v>
          </cell>
        </row>
        <row r="34">
          <cell r="C34">
            <v>523</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topLeftCell="A5" workbookViewId="0">
      <selection activeCell="B21" sqref="B21"/>
    </sheetView>
  </sheetViews>
  <sheetFormatPr defaultColWidth="11.25" defaultRowHeight="15.75" x14ac:dyDescent="0.25"/>
  <cols>
    <col min="1" max="1" width="24.25" bestFit="1" customWidth="1"/>
    <col min="2" max="2" width="11.5" bestFit="1" customWidth="1"/>
    <col min="3" max="3" width="7.75" bestFit="1" customWidth="1"/>
  </cols>
  <sheetData>
    <row r="1" spans="1:4" x14ac:dyDescent="0.25">
      <c r="A1" s="1" t="s">
        <v>0</v>
      </c>
      <c r="B1" s="1" t="s">
        <v>1</v>
      </c>
      <c r="C1" s="1" t="s">
        <v>2</v>
      </c>
      <c r="D1" s="1" t="s">
        <v>3</v>
      </c>
    </row>
    <row r="2" spans="1:4" s="3" customFormat="1" x14ac:dyDescent="0.25">
      <c r="A2" s="2" t="s">
        <v>4</v>
      </c>
    </row>
    <row r="3" spans="1:4" x14ac:dyDescent="0.25">
      <c r="A3" t="s">
        <v>5</v>
      </c>
      <c r="C3">
        <f>[1]Inputs!C4</f>
        <v>2024</v>
      </c>
    </row>
    <row r="4" spans="1:4" x14ac:dyDescent="0.25">
      <c r="A4" t="s">
        <v>6</v>
      </c>
      <c r="C4">
        <f>[1]Inputs!C5</f>
        <v>0.02</v>
      </c>
    </row>
    <row r="5" spans="1:4" x14ac:dyDescent="0.25">
      <c r="A5" t="s">
        <v>7</v>
      </c>
      <c r="C5">
        <f>[1]Inputs!C6</f>
        <v>7.0000000000000007E-2</v>
      </c>
    </row>
    <row r="6" spans="1:4" x14ac:dyDescent="0.25">
      <c r="A6" t="s">
        <v>8</v>
      </c>
      <c r="C6">
        <f>[1]Inputs!C7</f>
        <v>0.9</v>
      </c>
    </row>
    <row r="7" spans="1:4" s="3" customFormat="1" x14ac:dyDescent="0.25">
      <c r="A7" s="2" t="s">
        <v>9</v>
      </c>
    </row>
    <row r="8" spans="1:4" x14ac:dyDescent="0.25">
      <c r="A8" s="21" t="s">
        <v>10</v>
      </c>
      <c r="B8">
        <v>2024</v>
      </c>
      <c r="C8" s="4">
        <f>[1]Inputs!C9</f>
        <v>64</v>
      </c>
      <c r="D8" t="s">
        <v>11</v>
      </c>
    </row>
    <row r="9" spans="1:4" x14ac:dyDescent="0.25">
      <c r="A9" s="21" t="s">
        <v>10</v>
      </c>
      <c r="B9">
        <v>2050</v>
      </c>
      <c r="C9" s="4">
        <f>[1]Inputs!C10</f>
        <v>11</v>
      </c>
      <c r="D9" t="s">
        <v>11</v>
      </c>
    </row>
    <row r="10" spans="1:4" s="3" customFormat="1" x14ac:dyDescent="0.25">
      <c r="A10" s="2" t="s">
        <v>12</v>
      </c>
    </row>
    <row r="11" spans="1:4" x14ac:dyDescent="0.25">
      <c r="A11" t="s">
        <v>13</v>
      </c>
      <c r="B11">
        <v>2024</v>
      </c>
      <c r="C11" s="4">
        <f>[1]Inputs!C12</f>
        <v>88.7</v>
      </c>
      <c r="D11" t="s">
        <v>14</v>
      </c>
    </row>
    <row r="12" spans="1:4" x14ac:dyDescent="0.25">
      <c r="A12" t="s">
        <v>13</v>
      </c>
      <c r="B12">
        <v>2050</v>
      </c>
      <c r="C12" s="4">
        <f>[1]Inputs!C13</f>
        <v>88.7</v>
      </c>
      <c r="D12" t="s">
        <v>14</v>
      </c>
    </row>
    <row r="13" spans="1:4" x14ac:dyDescent="0.25">
      <c r="A13" t="s">
        <v>15</v>
      </c>
      <c r="C13" s="4">
        <f>[1]Inputs!C14</f>
        <v>43.2</v>
      </c>
      <c r="D13" t="s">
        <v>16</v>
      </c>
    </row>
    <row r="14" spans="1:4" x14ac:dyDescent="0.25">
      <c r="A14" t="s">
        <v>15</v>
      </c>
      <c r="C14" s="4">
        <f>[1]Inputs!C15</f>
        <v>34.689600000000006</v>
      </c>
      <c r="D14" t="s">
        <v>17</v>
      </c>
    </row>
    <row r="15" spans="1:4" x14ac:dyDescent="0.25">
      <c r="A15" t="s">
        <v>18</v>
      </c>
      <c r="C15" s="4">
        <f>[1]Inputs!C16</f>
        <v>0.80300000000000005</v>
      </c>
      <c r="D15" t="s">
        <v>19</v>
      </c>
    </row>
    <row r="16" spans="1:4" x14ac:dyDescent="0.25">
      <c r="A16" t="s">
        <v>20</v>
      </c>
      <c r="B16">
        <v>2024</v>
      </c>
      <c r="C16" s="4">
        <f>[1]Inputs!C17</f>
        <v>0.8</v>
      </c>
      <c r="D16" t="s">
        <v>21</v>
      </c>
    </row>
    <row r="17" spans="1:4" s="3" customFormat="1" x14ac:dyDescent="0.25">
      <c r="A17" s="2" t="s">
        <v>22</v>
      </c>
    </row>
    <row r="18" spans="1:4" x14ac:dyDescent="0.25">
      <c r="A18" s="21" t="s">
        <v>20</v>
      </c>
      <c r="B18">
        <v>2050</v>
      </c>
      <c r="C18" s="4">
        <f>[1]Inputs!C19</f>
        <v>1.7</v>
      </c>
      <c r="D18" t="s">
        <v>21</v>
      </c>
    </row>
    <row r="19" spans="1:4" s="6" customFormat="1" x14ac:dyDescent="0.25">
      <c r="A19" s="5" t="s">
        <v>23</v>
      </c>
    </row>
    <row r="20" spans="1:4" x14ac:dyDescent="0.25">
      <c r="A20" t="s">
        <v>20</v>
      </c>
      <c r="B20">
        <v>2024</v>
      </c>
      <c r="C20" s="4">
        <f>[1]Inputs!C21</f>
        <v>0.32246153846153797</v>
      </c>
      <c r="D20" t="s">
        <v>21</v>
      </c>
    </row>
    <row r="21" spans="1:4" x14ac:dyDescent="0.25">
      <c r="A21" t="s">
        <v>20</v>
      </c>
      <c r="B21">
        <v>2050</v>
      </c>
      <c r="C21" s="4">
        <f>[1]Inputs!C22</f>
        <v>0.20923076923076925</v>
      </c>
      <c r="D21" t="s">
        <v>21</v>
      </c>
    </row>
    <row r="22" spans="1:4" s="6" customFormat="1" x14ac:dyDescent="0.25">
      <c r="A22" s="5" t="s">
        <v>24</v>
      </c>
    </row>
    <row r="23" spans="1:4" x14ac:dyDescent="0.25">
      <c r="A23" t="s">
        <v>20</v>
      </c>
      <c r="B23">
        <v>2024</v>
      </c>
      <c r="C23" s="4">
        <f>[1]Inputs!C24</f>
        <v>1.0209014091790563</v>
      </c>
      <c r="D23" t="s">
        <v>21</v>
      </c>
    </row>
    <row r="24" spans="1:4" x14ac:dyDescent="0.25">
      <c r="A24" t="s">
        <v>20</v>
      </c>
      <c r="B24">
        <v>2050</v>
      </c>
      <c r="C24" s="4">
        <f>[1]Inputs!C25</f>
        <v>2.0095593639301876</v>
      </c>
      <c r="D24" t="s">
        <v>21</v>
      </c>
    </row>
    <row r="25" spans="1:4" s="6" customFormat="1" x14ac:dyDescent="0.25">
      <c r="A25" s="5" t="s">
        <v>25</v>
      </c>
    </row>
    <row r="26" spans="1:4" x14ac:dyDescent="0.25">
      <c r="A26" t="s">
        <v>20</v>
      </c>
      <c r="B26">
        <v>2024</v>
      </c>
      <c r="C26" s="4">
        <f>[1]Inputs!C27</f>
        <v>0.4828683335488041</v>
      </c>
      <c r="D26" t="s">
        <v>21</v>
      </c>
    </row>
    <row r="27" spans="1:4" x14ac:dyDescent="0.25">
      <c r="A27" t="s">
        <v>20</v>
      </c>
      <c r="B27">
        <v>2050</v>
      </c>
      <c r="C27" s="4">
        <f>[1]Inputs!C28</f>
        <v>0.89646574789915967</v>
      </c>
      <c r="D27" t="s">
        <v>21</v>
      </c>
    </row>
    <row r="28" spans="1:4" s="6" customFormat="1" x14ac:dyDescent="0.25">
      <c r="A28" s="5" t="s">
        <v>26</v>
      </c>
    </row>
    <row r="29" spans="1:4" x14ac:dyDescent="0.25">
      <c r="A29" t="s">
        <v>20</v>
      </c>
      <c r="B29">
        <v>2024</v>
      </c>
      <c r="C29" s="4">
        <f>[1]Inputs!C30</f>
        <v>1.8838712863606983</v>
      </c>
      <c r="D29" t="s">
        <v>21</v>
      </c>
    </row>
    <row r="30" spans="1:4" x14ac:dyDescent="0.25">
      <c r="A30" t="s">
        <v>20</v>
      </c>
      <c r="B30">
        <v>2050</v>
      </c>
      <c r="C30" s="4">
        <f>[1]Inputs!C31</f>
        <v>3.7893730833872015</v>
      </c>
      <c r="D30" t="s">
        <v>21</v>
      </c>
    </row>
    <row r="31" spans="1:4" s="3" customFormat="1" x14ac:dyDescent="0.25">
      <c r="A31" s="2" t="s">
        <v>27</v>
      </c>
    </row>
    <row r="32" spans="1:4" x14ac:dyDescent="0.25">
      <c r="A32" t="s">
        <v>28</v>
      </c>
      <c r="B32">
        <v>2024</v>
      </c>
      <c r="C32" s="4">
        <f>[1]Inputs!C33</f>
        <v>1371</v>
      </c>
      <c r="D32" t="s">
        <v>29</v>
      </c>
    </row>
    <row r="33" spans="1:4" x14ac:dyDescent="0.25">
      <c r="A33" t="s">
        <v>28</v>
      </c>
      <c r="B33">
        <v>2050</v>
      </c>
      <c r="C33" s="4">
        <f>[1]Inputs!C34</f>
        <v>523</v>
      </c>
      <c r="D33"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7"/>
  <sheetViews>
    <sheetView topLeftCell="A7" workbookViewId="0">
      <selection activeCell="D22" sqref="D22"/>
    </sheetView>
  </sheetViews>
  <sheetFormatPr defaultColWidth="11.25" defaultRowHeight="15.75" x14ac:dyDescent="0.25"/>
  <cols>
    <col min="1" max="1" width="20.5" bestFit="1" customWidth="1"/>
  </cols>
  <sheetData>
    <row r="1" spans="1:6" s="3" customFormat="1" x14ac:dyDescent="0.25">
      <c r="A1" s="2" t="s">
        <v>30</v>
      </c>
    </row>
    <row r="2" spans="1:6" x14ac:dyDescent="0.25">
      <c r="A2" t="s">
        <v>0</v>
      </c>
      <c r="B2" t="s">
        <v>1</v>
      </c>
      <c r="C2" t="s">
        <v>2</v>
      </c>
      <c r="D2" t="s">
        <v>3</v>
      </c>
      <c r="E2" t="s">
        <v>31</v>
      </c>
      <c r="F2" t="s">
        <v>32</v>
      </c>
    </row>
    <row r="3" spans="1:6" x14ac:dyDescent="0.25">
      <c r="A3" t="s">
        <v>33</v>
      </c>
      <c r="B3" t="s">
        <v>34</v>
      </c>
      <c r="C3" s="7">
        <v>0.05</v>
      </c>
      <c r="E3" t="s">
        <v>35</v>
      </c>
    </row>
    <row r="4" spans="1:6" x14ac:dyDescent="0.25">
      <c r="A4" t="s">
        <v>36</v>
      </c>
      <c r="B4" t="s">
        <v>34</v>
      </c>
      <c r="C4">
        <v>30</v>
      </c>
      <c r="D4" t="s">
        <v>37</v>
      </c>
      <c r="E4" t="s">
        <v>38</v>
      </c>
    </row>
    <row r="5" spans="1:6" x14ac:dyDescent="0.25">
      <c r="A5" t="s">
        <v>39</v>
      </c>
      <c r="B5" t="s">
        <v>34</v>
      </c>
      <c r="C5">
        <v>15</v>
      </c>
      <c r="D5" t="s">
        <v>37</v>
      </c>
      <c r="E5" t="s">
        <v>38</v>
      </c>
    </row>
    <row r="6" spans="1:6" x14ac:dyDescent="0.25">
      <c r="A6" t="s">
        <v>40</v>
      </c>
      <c r="B6" t="s">
        <v>34</v>
      </c>
      <c r="C6">
        <v>10</v>
      </c>
      <c r="D6" t="s">
        <v>37</v>
      </c>
    </row>
    <row r="8" spans="1:6" s="2" customFormat="1" x14ac:dyDescent="0.25">
      <c r="A8" s="2" t="s">
        <v>41</v>
      </c>
    </row>
    <row r="9" spans="1:6" x14ac:dyDescent="0.25">
      <c r="A9" t="s">
        <v>0</v>
      </c>
      <c r="B9" t="s">
        <v>1</v>
      </c>
      <c r="C9" t="s">
        <v>2</v>
      </c>
      <c r="D9" t="s">
        <v>3</v>
      </c>
      <c r="E9" t="s">
        <v>31</v>
      </c>
      <c r="F9" t="s">
        <v>32</v>
      </c>
    </row>
    <row r="10" spans="1:6" x14ac:dyDescent="0.25">
      <c r="A10" t="s">
        <v>42</v>
      </c>
      <c r="B10" t="s">
        <v>34</v>
      </c>
      <c r="C10">
        <v>2.5</v>
      </c>
      <c r="D10" t="s">
        <v>43</v>
      </c>
      <c r="E10" t="s">
        <v>44</v>
      </c>
    </row>
    <row r="11" spans="1:6" x14ac:dyDescent="0.25">
      <c r="A11" t="s">
        <v>45</v>
      </c>
      <c r="B11" t="s">
        <v>34</v>
      </c>
      <c r="C11">
        <v>12</v>
      </c>
      <c r="D11" t="s">
        <v>43</v>
      </c>
      <c r="E11" t="s">
        <v>44</v>
      </c>
    </row>
    <row r="12" spans="1:6" x14ac:dyDescent="0.25">
      <c r="A12" t="s">
        <v>46</v>
      </c>
      <c r="B12" t="s">
        <v>34</v>
      </c>
      <c r="C12">
        <v>2</v>
      </c>
      <c r="D12" t="s">
        <v>47</v>
      </c>
      <c r="E12" t="s">
        <v>44</v>
      </c>
      <c r="F12" t="s">
        <v>48</v>
      </c>
    </row>
    <row r="13" spans="1:6" x14ac:dyDescent="0.25">
      <c r="A13" t="s">
        <v>49</v>
      </c>
      <c r="B13" t="s">
        <v>34</v>
      </c>
      <c r="C13">
        <v>150</v>
      </c>
      <c r="D13" t="s">
        <v>50</v>
      </c>
      <c r="E13" t="s">
        <v>44</v>
      </c>
    </row>
    <row r="14" spans="1:6" x14ac:dyDescent="0.25">
      <c r="A14" t="s">
        <v>51</v>
      </c>
      <c r="B14" t="s">
        <v>34</v>
      </c>
      <c r="C14">
        <v>200</v>
      </c>
      <c r="D14" t="s">
        <v>47</v>
      </c>
      <c r="E14" t="s">
        <v>44</v>
      </c>
    </row>
    <row r="15" spans="1:6" x14ac:dyDescent="0.25">
      <c r="A15" t="s">
        <v>52</v>
      </c>
      <c r="B15" t="s">
        <v>34</v>
      </c>
      <c r="C15">
        <f>5*10^6 /C21</f>
        <v>570.77625570776252</v>
      </c>
      <c r="D15" t="s">
        <v>53</v>
      </c>
      <c r="E15" t="s">
        <v>38</v>
      </c>
      <c r="F15" t="s">
        <v>54</v>
      </c>
    </row>
    <row r="17" spans="1:6" s="2" customFormat="1" x14ac:dyDescent="0.25">
      <c r="A17" s="2" t="s">
        <v>55</v>
      </c>
    </row>
    <row r="18" spans="1:6" x14ac:dyDescent="0.25">
      <c r="A18" t="s">
        <v>0</v>
      </c>
      <c r="B18" t="s">
        <v>1</v>
      </c>
      <c r="C18" t="s">
        <v>2</v>
      </c>
      <c r="D18" t="s">
        <v>3</v>
      </c>
      <c r="E18" t="s">
        <v>31</v>
      </c>
      <c r="F18" t="s">
        <v>32</v>
      </c>
    </row>
    <row r="19" spans="1:6" x14ac:dyDescent="0.25">
      <c r="A19" t="s">
        <v>56</v>
      </c>
      <c r="B19" t="s">
        <v>34</v>
      </c>
      <c r="C19">
        <v>0.7</v>
      </c>
      <c r="D19" t="s">
        <v>57</v>
      </c>
      <c r="E19" t="s">
        <v>44</v>
      </c>
    </row>
    <row r="20" spans="1:6" x14ac:dyDescent="0.25">
      <c r="A20" t="s">
        <v>56</v>
      </c>
      <c r="B20" t="s">
        <v>34</v>
      </c>
      <c r="C20">
        <f>C19*C21</f>
        <v>6132</v>
      </c>
      <c r="D20" t="s">
        <v>58</v>
      </c>
      <c r="F20" t="s">
        <v>59</v>
      </c>
    </row>
    <row r="21" spans="1:6" x14ac:dyDescent="0.25">
      <c r="A21" t="s">
        <v>60</v>
      </c>
      <c r="B21" t="s">
        <v>34</v>
      </c>
      <c r="C21">
        <v>8760</v>
      </c>
      <c r="D21" t="s">
        <v>61</v>
      </c>
      <c r="F21" t="s">
        <v>62</v>
      </c>
    </row>
    <row r="22" spans="1:6" x14ac:dyDescent="0.25">
      <c r="A22" t="s">
        <v>63</v>
      </c>
      <c r="B22" t="s">
        <v>34</v>
      </c>
      <c r="C22">
        <v>22</v>
      </c>
      <c r="D22" t="s">
        <v>64</v>
      </c>
      <c r="E22" t="s">
        <v>35</v>
      </c>
    </row>
    <row r="23" spans="1:6" x14ac:dyDescent="0.25">
      <c r="A23" t="s">
        <v>63</v>
      </c>
      <c r="B23" t="s">
        <v>34</v>
      </c>
      <c r="C23">
        <v>1700</v>
      </c>
      <c r="D23" t="s">
        <v>50</v>
      </c>
      <c r="E23" t="s">
        <v>35</v>
      </c>
    </row>
    <row r="24" spans="1:6" x14ac:dyDescent="0.25">
      <c r="A24" t="s">
        <v>63</v>
      </c>
      <c r="B24" t="s">
        <v>34</v>
      </c>
      <c r="C24">
        <f>C23/Inputs!C15 * 10^3</f>
        <v>2117061.0211706101</v>
      </c>
      <c r="D24" t="s">
        <v>65</v>
      </c>
    </row>
    <row r="25" spans="1:6" x14ac:dyDescent="0.25">
      <c r="A25" t="s">
        <v>66</v>
      </c>
      <c r="B25" t="s">
        <v>34</v>
      </c>
      <c r="C25">
        <v>66.5</v>
      </c>
      <c r="D25" t="s">
        <v>64</v>
      </c>
      <c r="E25" t="s">
        <v>67</v>
      </c>
    </row>
    <row r="27" spans="1:6" s="2" customFormat="1" x14ac:dyDescent="0.25">
      <c r="A27" s="2" t="s">
        <v>68</v>
      </c>
    </row>
    <row r="28" spans="1:6" x14ac:dyDescent="0.25">
      <c r="A28" t="s">
        <v>0</v>
      </c>
      <c r="B28" t="s">
        <v>1</v>
      </c>
      <c r="C28" t="s">
        <v>2</v>
      </c>
      <c r="D28" t="s">
        <v>3</v>
      </c>
      <c r="E28" t="s">
        <v>31</v>
      </c>
      <c r="F28" t="s">
        <v>32</v>
      </c>
    </row>
    <row r="29" spans="1:6" x14ac:dyDescent="0.25">
      <c r="A29" t="s">
        <v>69</v>
      </c>
      <c r="B29">
        <v>2024</v>
      </c>
      <c r="C29">
        <v>790</v>
      </c>
      <c r="D29" t="s">
        <v>70</v>
      </c>
      <c r="E29" t="s">
        <v>38</v>
      </c>
    </row>
    <row r="30" spans="1:6" x14ac:dyDescent="0.25">
      <c r="A30" t="s">
        <v>69</v>
      </c>
      <c r="B30">
        <v>2050</v>
      </c>
      <c r="C30">
        <v>199</v>
      </c>
      <c r="D30" t="s">
        <v>70</v>
      </c>
      <c r="E30" t="s">
        <v>38</v>
      </c>
    </row>
    <row r="31" spans="1:6" x14ac:dyDescent="0.25">
      <c r="A31" t="s">
        <v>71</v>
      </c>
      <c r="B31">
        <v>2024</v>
      </c>
      <c r="C31">
        <v>60</v>
      </c>
      <c r="D31" t="s">
        <v>72</v>
      </c>
      <c r="E31" t="s">
        <v>73</v>
      </c>
      <c r="F31" t="s">
        <v>74</v>
      </c>
    </row>
    <row r="32" spans="1:6" x14ac:dyDescent="0.25">
      <c r="A32" t="s">
        <v>71</v>
      </c>
      <c r="B32">
        <v>2050</v>
      </c>
      <c r="C32">
        <v>30</v>
      </c>
      <c r="D32" t="s">
        <v>72</v>
      </c>
      <c r="E32" t="s">
        <v>73</v>
      </c>
      <c r="F32" t="s">
        <v>74</v>
      </c>
    </row>
    <row r="34" spans="1:6" s="2" customFormat="1" x14ac:dyDescent="0.25">
      <c r="A34" s="2" t="s">
        <v>75</v>
      </c>
    </row>
    <row r="35" spans="1:6" x14ac:dyDescent="0.25">
      <c r="A35" t="s">
        <v>0</v>
      </c>
      <c r="B35" t="s">
        <v>1</v>
      </c>
      <c r="C35" t="s">
        <v>2</v>
      </c>
      <c r="D35" t="s">
        <v>3</v>
      </c>
      <c r="E35" t="s">
        <v>31</v>
      </c>
      <c r="F35" t="s">
        <v>32</v>
      </c>
    </row>
    <row r="36" spans="1:6" x14ac:dyDescent="0.25">
      <c r="A36" t="s">
        <v>76</v>
      </c>
      <c r="B36" t="s">
        <v>34</v>
      </c>
      <c r="C36">
        <v>0.38</v>
      </c>
      <c r="D36" t="s">
        <v>77</v>
      </c>
      <c r="E36" t="s">
        <v>35</v>
      </c>
    </row>
    <row r="37" spans="1:6" x14ac:dyDescent="0.25">
      <c r="A37" t="s">
        <v>76</v>
      </c>
      <c r="B37" t="s">
        <v>34</v>
      </c>
      <c r="C37">
        <f>(C36 * 1000) / 43.2</f>
        <v>8.7962962962962958</v>
      </c>
      <c r="D37" t="s">
        <v>78</v>
      </c>
      <c r="E37"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7"/>
  <sheetViews>
    <sheetView workbookViewId="0">
      <selection activeCell="D40" sqref="D40"/>
    </sheetView>
  </sheetViews>
  <sheetFormatPr defaultColWidth="11.25" defaultRowHeight="15.75" x14ac:dyDescent="0.25"/>
  <cols>
    <col min="1" max="1" width="27.25" bestFit="1" customWidth="1"/>
    <col min="2" max="2" width="12.25" bestFit="1" customWidth="1"/>
    <col min="3" max="3" width="8" bestFit="1" customWidth="1"/>
    <col min="4" max="4" width="23.75" bestFit="1" customWidth="1"/>
    <col min="5" max="5" width="10.25" bestFit="1" customWidth="1"/>
    <col min="7" max="7" width="27.25" bestFit="1" customWidth="1"/>
    <col min="8" max="8" width="12.25" bestFit="1" customWidth="1"/>
    <col min="9" max="9" width="7.75" bestFit="1" customWidth="1"/>
    <col min="10" max="10" width="23.75" bestFit="1" customWidth="1"/>
    <col min="11" max="11" width="10.25" bestFit="1" customWidth="1"/>
  </cols>
  <sheetData>
    <row r="1" spans="1:11" x14ac:dyDescent="0.25">
      <c r="A1" s="24" t="s">
        <v>79</v>
      </c>
      <c r="B1" s="25"/>
      <c r="C1" s="25"/>
      <c r="D1" s="25"/>
      <c r="E1" s="26"/>
      <c r="G1" s="24" t="s">
        <v>80</v>
      </c>
      <c r="H1" s="25"/>
      <c r="I1" s="25"/>
      <c r="J1" s="25"/>
      <c r="K1" s="26"/>
    </row>
    <row r="2" spans="1:11" x14ac:dyDescent="0.25">
      <c r="A2" s="27" t="s">
        <v>81</v>
      </c>
      <c r="B2" s="25"/>
      <c r="C2" s="25"/>
      <c r="D2" s="25"/>
      <c r="E2" s="26"/>
      <c r="G2" s="27" t="s">
        <v>81</v>
      </c>
      <c r="H2" s="25"/>
      <c r="I2" s="25"/>
      <c r="J2" s="25"/>
      <c r="K2" s="26"/>
    </row>
    <row r="3" spans="1:11" x14ac:dyDescent="0.25">
      <c r="A3" s="8" t="s">
        <v>82</v>
      </c>
      <c r="B3" s="8" t="s">
        <v>2</v>
      </c>
      <c r="C3" s="8" t="s">
        <v>3</v>
      </c>
      <c r="D3" s="8" t="s">
        <v>31</v>
      </c>
      <c r="E3" s="8" t="s">
        <v>32</v>
      </c>
      <c r="G3" s="8" t="s">
        <v>82</v>
      </c>
      <c r="H3" s="8" t="s">
        <v>2</v>
      </c>
      <c r="I3" s="8" t="s">
        <v>3</v>
      </c>
      <c r="J3" s="8" t="s">
        <v>31</v>
      </c>
      <c r="K3" s="8" t="s">
        <v>32</v>
      </c>
    </row>
    <row r="4" spans="1:11" x14ac:dyDescent="0.25">
      <c r="A4" t="s">
        <v>83</v>
      </c>
      <c r="B4">
        <f>('Study Parameters'!C10*1.25 * 10^3 * 799) / 10 ^ 6</f>
        <v>2.4968750000000002</v>
      </c>
      <c r="C4" t="s">
        <v>84</v>
      </c>
      <c r="D4" t="s">
        <v>38</v>
      </c>
      <c r="G4" t="s">
        <v>83</v>
      </c>
      <c r="H4">
        <f>('Study Parameters'!C10 * 452 * 10^3) / 10^6</f>
        <v>1.1299999999999999</v>
      </c>
      <c r="I4" t="s">
        <v>84</v>
      </c>
      <c r="J4" t="s">
        <v>38</v>
      </c>
    </row>
    <row r="5" spans="1:11" x14ac:dyDescent="0.25">
      <c r="A5" t="s">
        <v>85</v>
      </c>
      <c r="B5">
        <f>('Study Parameters'!C11*1084 * 10 ^ 3) / 10^6</f>
        <v>13.007999999999999</v>
      </c>
      <c r="C5" t="s">
        <v>84</v>
      </c>
      <c r="D5" t="s">
        <v>38</v>
      </c>
      <c r="G5" t="s">
        <v>85</v>
      </c>
      <c r="H5">
        <f>('Study Parameters'!C11* 358 * 10 ^ 3) / 10^6</f>
        <v>4.2960000000000003</v>
      </c>
      <c r="I5" t="s">
        <v>84</v>
      </c>
      <c r="J5" t="s">
        <v>38</v>
      </c>
    </row>
    <row r="6" spans="1:11" x14ac:dyDescent="0.25">
      <c r="A6" t="s">
        <v>49</v>
      </c>
      <c r="B6">
        <f>(1500 * 'Study Parameters'!C13) / 10^ 6</f>
        <v>0.22500000000000001</v>
      </c>
      <c r="C6" t="s">
        <v>84</v>
      </c>
      <c r="D6" t="s">
        <v>38</v>
      </c>
      <c r="G6" t="s">
        <v>49</v>
      </c>
      <c r="H6">
        <f>(750 * 'Study Parameters'!C13) / 10^6</f>
        <v>0.1125</v>
      </c>
      <c r="I6" t="s">
        <v>84</v>
      </c>
      <c r="J6" t="s">
        <v>38</v>
      </c>
    </row>
    <row r="7" spans="1:11" x14ac:dyDescent="0.25">
      <c r="A7" t="s">
        <v>51</v>
      </c>
      <c r="B7">
        <f>(21*'Study Parameters'!C14 * 10 ^ 3) / 10^6</f>
        <v>4.2</v>
      </c>
      <c r="C7" t="s">
        <v>84</v>
      </c>
      <c r="D7" t="s">
        <v>38</v>
      </c>
      <c r="G7" t="s">
        <v>51</v>
      </c>
      <c r="H7">
        <f>('Study Parameters'!C14 * 11 * 10^3) / 10^6</f>
        <v>2.2000000000000002</v>
      </c>
      <c r="I7" t="s">
        <v>84</v>
      </c>
      <c r="J7" t="s">
        <v>38</v>
      </c>
    </row>
    <row r="8" spans="1:11" x14ac:dyDescent="0.25">
      <c r="A8" t="s">
        <v>86</v>
      </c>
      <c r="B8" s="4">
        <f>(100 * 'Study Parameters'!C15) / 10^6</f>
        <v>5.7077625570776253E-2</v>
      </c>
      <c r="C8" t="s">
        <v>84</v>
      </c>
      <c r="D8" t="s">
        <v>38</v>
      </c>
      <c r="G8" t="s">
        <v>86</v>
      </c>
      <c r="H8" s="4">
        <f>(100 * 'Study Parameters'!C15) / 10^6</f>
        <v>5.7077625570776253E-2</v>
      </c>
      <c r="I8" t="s">
        <v>84</v>
      </c>
      <c r="J8" t="s">
        <v>38</v>
      </c>
    </row>
    <row r="9" spans="1:11" x14ac:dyDescent="0.25">
      <c r="A9" t="s">
        <v>87</v>
      </c>
      <c r="B9" s="4">
        <f>('Study Parameters'!C12 * 10^3 * 324) / 10^6</f>
        <v>0.64800000000000002</v>
      </c>
      <c r="C9" t="s">
        <v>84</v>
      </c>
      <c r="D9" t="s">
        <v>38</v>
      </c>
      <c r="G9" t="s">
        <v>87</v>
      </c>
      <c r="H9" s="4">
        <f>'Study Parameters'!C12 * 10^3 * 129 / 10^6</f>
        <v>0.25800000000000001</v>
      </c>
      <c r="I9" t="s">
        <v>84</v>
      </c>
      <c r="J9" t="s">
        <v>38</v>
      </c>
    </row>
    <row r="10" spans="1:11" x14ac:dyDescent="0.25">
      <c r="A10" t="s">
        <v>88</v>
      </c>
      <c r="B10">
        <f>0.33 * B5</f>
        <v>4.2926399999999996</v>
      </c>
      <c r="C10" t="s">
        <v>84</v>
      </c>
      <c r="D10" t="s">
        <v>38</v>
      </c>
      <c r="G10" t="s">
        <v>88</v>
      </c>
      <c r="H10">
        <f>0.25*H5</f>
        <v>1.0740000000000001</v>
      </c>
      <c r="I10" t="s">
        <v>84</v>
      </c>
      <c r="J10" t="s">
        <v>38</v>
      </c>
    </row>
    <row r="11" spans="1:11" s="1" customFormat="1" x14ac:dyDescent="0.25">
      <c r="A11" s="1" t="s">
        <v>89</v>
      </c>
      <c r="B11" s="1">
        <f>SUM(B4:B10)</f>
        <v>24.927592625570774</v>
      </c>
      <c r="C11" s="1" t="s">
        <v>84</v>
      </c>
      <c r="G11" s="1" t="s">
        <v>89</v>
      </c>
      <c r="H11" s="1">
        <f>SUM(H4:H10)</f>
        <v>9.1275776255707761</v>
      </c>
      <c r="I11" t="s">
        <v>84</v>
      </c>
    </row>
    <row r="12" spans="1:11" s="1" customFormat="1" x14ac:dyDescent="0.25"/>
    <row r="13" spans="1:11" x14ac:dyDescent="0.25">
      <c r="A13" s="27" t="s">
        <v>90</v>
      </c>
      <c r="B13" s="25"/>
      <c r="C13" s="25"/>
      <c r="D13" s="25"/>
      <c r="E13" s="26"/>
      <c r="G13" s="27" t="s">
        <v>90</v>
      </c>
      <c r="H13" s="25"/>
      <c r="I13" s="25"/>
      <c r="J13" s="25"/>
      <c r="K13" s="26"/>
    </row>
    <row r="14" spans="1:11" x14ac:dyDescent="0.25">
      <c r="A14" s="8" t="s">
        <v>82</v>
      </c>
      <c r="B14" s="8" t="s">
        <v>2</v>
      </c>
      <c r="C14" s="8" t="s">
        <v>3</v>
      </c>
      <c r="D14" s="8" t="s">
        <v>31</v>
      </c>
      <c r="E14" s="8" t="s">
        <v>32</v>
      </c>
      <c r="G14" s="8" t="s">
        <v>82</v>
      </c>
      <c r="H14" s="8" t="s">
        <v>2</v>
      </c>
      <c r="I14" s="8" t="s">
        <v>3</v>
      </c>
      <c r="J14" s="8" t="s">
        <v>31</v>
      </c>
      <c r="K14" s="8" t="s">
        <v>32</v>
      </c>
    </row>
    <row r="15" spans="1:11" x14ac:dyDescent="0.25">
      <c r="A15" t="s">
        <v>83</v>
      </c>
      <c r="B15">
        <f>0.025 *B4</f>
        <v>6.2421875000000009E-2</v>
      </c>
      <c r="C15" t="s">
        <v>91</v>
      </c>
      <c r="D15" t="s">
        <v>38</v>
      </c>
      <c r="G15" t="s">
        <v>83</v>
      </c>
      <c r="H15">
        <f>0.025 *H4</f>
        <v>2.8249999999999997E-2</v>
      </c>
      <c r="I15" t="s">
        <v>91</v>
      </c>
      <c r="J15" t="s">
        <v>38</v>
      </c>
    </row>
    <row r="16" spans="1:11" x14ac:dyDescent="0.25">
      <c r="A16" t="s">
        <v>85</v>
      </c>
      <c r="B16">
        <f>0.025 * B5</f>
        <v>0.32519999999999999</v>
      </c>
      <c r="C16" t="s">
        <v>91</v>
      </c>
      <c r="D16" t="s">
        <v>38</v>
      </c>
      <c r="G16" t="s">
        <v>85</v>
      </c>
      <c r="H16">
        <f>0.025 * H5</f>
        <v>0.10740000000000001</v>
      </c>
      <c r="I16" t="s">
        <v>91</v>
      </c>
      <c r="J16" t="s">
        <v>38</v>
      </c>
    </row>
    <row r="17" spans="1:11" x14ac:dyDescent="0.25">
      <c r="A17" t="s">
        <v>49</v>
      </c>
      <c r="B17">
        <f>0.025 * B6</f>
        <v>5.6250000000000007E-3</v>
      </c>
      <c r="C17" t="s">
        <v>91</v>
      </c>
      <c r="D17" t="s">
        <v>38</v>
      </c>
      <c r="G17" t="s">
        <v>49</v>
      </c>
      <c r="H17">
        <f>0.025 * H6</f>
        <v>2.8125000000000003E-3</v>
      </c>
      <c r="I17" t="s">
        <v>91</v>
      </c>
      <c r="J17" t="s">
        <v>38</v>
      </c>
    </row>
    <row r="18" spans="1:11" x14ac:dyDescent="0.25">
      <c r="A18" t="s">
        <v>51</v>
      </c>
      <c r="B18">
        <f>0.01*B7</f>
        <v>4.2000000000000003E-2</v>
      </c>
      <c r="C18" t="s">
        <v>91</v>
      </c>
      <c r="D18" t="s">
        <v>38</v>
      </c>
      <c r="G18" t="s">
        <v>51</v>
      </c>
      <c r="H18">
        <f>0.01*H7</f>
        <v>2.2000000000000002E-2</v>
      </c>
      <c r="I18" t="s">
        <v>91</v>
      </c>
      <c r="J18" t="s">
        <v>38</v>
      </c>
    </row>
    <row r="19" spans="1:11" x14ac:dyDescent="0.25">
      <c r="A19" t="s">
        <v>92</v>
      </c>
      <c r="B19">
        <f>('Study Parameters'!C29*'Study Parameters'!C20) / 10^6</f>
        <v>4.8442800000000004</v>
      </c>
      <c r="C19" t="s">
        <v>91</v>
      </c>
      <c r="D19" t="s">
        <v>35</v>
      </c>
      <c r="E19" t="s">
        <v>59</v>
      </c>
      <c r="G19" t="s">
        <v>92</v>
      </c>
      <c r="H19">
        <f>('Study Parameters'!C30*'Study Parameters'!C20) / 10^6</f>
        <v>1.2202679999999999</v>
      </c>
      <c r="I19" t="s">
        <v>91</v>
      </c>
      <c r="J19" t="s">
        <v>35</v>
      </c>
      <c r="K19" t="s">
        <v>59</v>
      </c>
    </row>
    <row r="20" spans="1:11" x14ac:dyDescent="0.25">
      <c r="A20" t="s">
        <v>87</v>
      </c>
      <c r="B20">
        <f>0.025*B9</f>
        <v>1.6200000000000003E-2</v>
      </c>
      <c r="C20" t="s">
        <v>91</v>
      </c>
      <c r="D20" t="s">
        <v>38</v>
      </c>
      <c r="G20" t="s">
        <v>87</v>
      </c>
      <c r="H20">
        <f>0.025*H9</f>
        <v>6.4500000000000009E-3</v>
      </c>
      <c r="I20" t="s">
        <v>91</v>
      </c>
    </row>
    <row r="21" spans="1:11" x14ac:dyDescent="0.25">
      <c r="A21" t="s">
        <v>93</v>
      </c>
      <c r="B21">
        <f>('Study Parameters'!C25 * 'Study Parameters'!C31 * 10^3) / 10^6</f>
        <v>3.99</v>
      </c>
      <c r="C21" t="s">
        <v>91</v>
      </c>
      <c r="D21" t="s">
        <v>35</v>
      </c>
      <c r="E21" t="s">
        <v>59</v>
      </c>
      <c r="G21" t="s">
        <v>93</v>
      </c>
      <c r="H21">
        <f>('Study Parameters'!C32*'Study Parameters'!C25 * 10^3) / 10^6</f>
        <v>1.9950000000000001</v>
      </c>
      <c r="I21" t="s">
        <v>91</v>
      </c>
      <c r="J21" t="s">
        <v>35</v>
      </c>
      <c r="K21" t="s">
        <v>59</v>
      </c>
    </row>
    <row r="22" spans="1:11" s="1" customFormat="1" x14ac:dyDescent="0.25">
      <c r="A22" s="1" t="s">
        <v>94</v>
      </c>
      <c r="B22" s="1">
        <f>SUM(B15:B21)</f>
        <v>9.2857268750000017</v>
      </c>
      <c r="C22" s="1" t="s">
        <v>91</v>
      </c>
      <c r="G22" s="1" t="s">
        <v>94</v>
      </c>
      <c r="H22" s="1">
        <f>SUM(H15:H21)</f>
        <v>3.3821805</v>
      </c>
      <c r="I22" t="s">
        <v>91</v>
      </c>
    </row>
    <row r="24" spans="1:11" x14ac:dyDescent="0.25">
      <c r="A24" s="28" t="s">
        <v>95</v>
      </c>
      <c r="B24" s="29"/>
      <c r="C24" s="29"/>
      <c r="D24" s="29"/>
      <c r="E24" s="29"/>
      <c r="G24" s="28" t="s">
        <v>96</v>
      </c>
      <c r="H24" s="29"/>
      <c r="I24" s="29"/>
      <c r="J24" s="29"/>
      <c r="K24" s="29"/>
    </row>
    <row r="25" spans="1:11" x14ac:dyDescent="0.25">
      <c r="A25" s="8" t="s">
        <v>82</v>
      </c>
      <c r="B25" s="8" t="s">
        <v>2</v>
      </c>
      <c r="C25" s="8" t="s">
        <v>3</v>
      </c>
      <c r="D25" s="8" t="s">
        <v>31</v>
      </c>
      <c r="E25" s="8" t="s">
        <v>32</v>
      </c>
      <c r="G25" s="8" t="s">
        <v>82</v>
      </c>
      <c r="H25" s="8" t="s">
        <v>2</v>
      </c>
      <c r="I25" s="8" t="s">
        <v>3</v>
      </c>
      <c r="J25" s="8" t="s">
        <v>31</v>
      </c>
      <c r="K25" s="8" t="s">
        <v>32</v>
      </c>
    </row>
    <row r="26" spans="1:11" x14ac:dyDescent="0.25">
      <c r="A26" s="8" t="s">
        <v>93</v>
      </c>
      <c r="B26" s="8">
        <f>(Inputs!C8*'Study Parameters'!C25 * 10^3) / 10^6</f>
        <v>4.2560000000000002</v>
      </c>
      <c r="C26" s="8" t="s">
        <v>91</v>
      </c>
      <c r="D26" s="8"/>
      <c r="E26" s="8"/>
      <c r="G26" s="8" t="s">
        <v>93</v>
      </c>
      <c r="H26" s="12">
        <f>(Inputs!C9*'Study Parameters'!C25*10^3) / 10^6</f>
        <v>0.73150000000000004</v>
      </c>
      <c r="I26" s="8" t="s">
        <v>91</v>
      </c>
      <c r="J26" s="8"/>
      <c r="K26" s="8"/>
    </row>
    <row r="27" spans="1:11" x14ac:dyDescent="0.25">
      <c r="A27" s="10" t="s">
        <v>97</v>
      </c>
      <c r="B27" s="10">
        <f>B22-B21-B20+B26</f>
        <v>9.5355268750000022</v>
      </c>
      <c r="C27" s="10" t="s">
        <v>91</v>
      </c>
      <c r="D27" s="8"/>
      <c r="E27" s="8"/>
      <c r="G27" s="10" t="s">
        <v>97</v>
      </c>
      <c r="H27" s="13">
        <f>H22-H21-H20+H26</f>
        <v>2.1122304999999999</v>
      </c>
      <c r="I27" s="10" t="s">
        <v>91</v>
      </c>
      <c r="J27" s="8"/>
      <c r="K27" s="8"/>
    </row>
    <row r="28" spans="1:11" x14ac:dyDescent="0.25">
      <c r="A28" s="8" t="s">
        <v>98</v>
      </c>
      <c r="B28" s="12">
        <f>(Inputs!C32*'Study Parameters'!C20)/10^6</f>
        <v>8.4069719999999997</v>
      </c>
      <c r="C28" s="8" t="s">
        <v>91</v>
      </c>
      <c r="D28" s="8"/>
      <c r="E28" s="8"/>
      <c r="G28" s="8" t="s">
        <v>98</v>
      </c>
      <c r="H28" s="12">
        <f>(Inputs!C33*'Study Parameters'!C20) / 10^6</f>
        <v>3.207036</v>
      </c>
      <c r="I28" s="8" t="s">
        <v>91</v>
      </c>
      <c r="J28" s="8"/>
      <c r="K28" s="8"/>
    </row>
    <row r="29" spans="1:11" x14ac:dyDescent="0.25">
      <c r="A29" s="22" t="s">
        <v>99</v>
      </c>
      <c r="B29" s="23">
        <f>B27-B19+B28</f>
        <v>13.098218875000001</v>
      </c>
      <c r="C29" s="22" t="s">
        <v>91</v>
      </c>
      <c r="D29" s="8"/>
      <c r="E29" s="8"/>
      <c r="G29" s="22" t="s">
        <v>99</v>
      </c>
      <c r="H29" s="23">
        <f>H27-H19+H28</f>
        <v>4.0989985000000004</v>
      </c>
      <c r="I29" s="22" t="s">
        <v>91</v>
      </c>
      <c r="J29" s="8"/>
      <c r="K29" s="8"/>
    </row>
    <row r="30" spans="1:11" x14ac:dyDescent="0.25">
      <c r="A30" s="8" t="s">
        <v>7</v>
      </c>
      <c r="B30" s="11">
        <v>7.0000000000000007E-2</v>
      </c>
      <c r="C30" s="8"/>
      <c r="D30" s="8"/>
      <c r="E30" s="8"/>
      <c r="G30" s="8" t="s">
        <v>7</v>
      </c>
      <c r="H30" s="11">
        <v>7.0000000000000007E-2</v>
      </c>
      <c r="I30" s="8"/>
      <c r="J30" s="8"/>
      <c r="K30" s="8"/>
    </row>
    <row r="32" spans="1:11" x14ac:dyDescent="0.25">
      <c r="A32" s="28" t="s">
        <v>100</v>
      </c>
      <c r="B32" s="29"/>
      <c r="C32" s="29"/>
      <c r="D32" s="29"/>
      <c r="E32" s="29"/>
    </row>
    <row r="33" spans="1:5" x14ac:dyDescent="0.25">
      <c r="A33" s="8" t="s">
        <v>82</v>
      </c>
      <c r="B33" s="8" t="s">
        <v>2</v>
      </c>
      <c r="C33" s="8" t="s">
        <v>3</v>
      </c>
      <c r="D33" s="8" t="s">
        <v>31</v>
      </c>
      <c r="E33" s="8" t="s">
        <v>32</v>
      </c>
    </row>
    <row r="34" spans="1:5" x14ac:dyDescent="0.25">
      <c r="A34" s="8" t="s">
        <v>93</v>
      </c>
      <c r="B34" s="8">
        <f>B26*4200/8760</f>
        <v>2.0405479452054793</v>
      </c>
      <c r="C34" s="8" t="s">
        <v>91</v>
      </c>
      <c r="D34" s="8"/>
      <c r="E34" s="8"/>
    </row>
    <row r="35" spans="1:5" x14ac:dyDescent="0.25">
      <c r="A35" s="10" t="s">
        <v>97</v>
      </c>
      <c r="B35" s="8">
        <f>B22+B34-B21</f>
        <v>7.3362748202054799</v>
      </c>
      <c r="C35" s="8" t="s">
        <v>91</v>
      </c>
      <c r="D35" s="8"/>
      <c r="E35" s="8"/>
    </row>
    <row r="36" spans="1:5" x14ac:dyDescent="0.25">
      <c r="A36" s="8" t="s">
        <v>98</v>
      </c>
      <c r="B36" s="8">
        <f>B28*4200/8760</f>
        <v>4.0307399999999998</v>
      </c>
      <c r="C36" s="8" t="s">
        <v>91</v>
      </c>
      <c r="D36" s="8"/>
      <c r="E36" s="8"/>
    </row>
    <row r="37" spans="1:5" x14ac:dyDescent="0.25">
      <c r="A37" s="22" t="s">
        <v>99</v>
      </c>
      <c r="B37" s="8">
        <f>B27-B19+B36</f>
        <v>8.7219868750000025</v>
      </c>
      <c r="C37" s="8" t="s">
        <v>91</v>
      </c>
      <c r="D37" s="8"/>
      <c r="E37" s="8"/>
    </row>
  </sheetData>
  <mergeCells count="9">
    <mergeCell ref="G1:K1"/>
    <mergeCell ref="A1:E1"/>
    <mergeCell ref="G13:K13"/>
    <mergeCell ref="A13:E13"/>
    <mergeCell ref="A32:E32"/>
    <mergeCell ref="A24:E24"/>
    <mergeCell ref="A2:E2"/>
    <mergeCell ref="G24:K24"/>
    <mergeCell ref="G2:K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4"/>
  <sheetViews>
    <sheetView zoomScaleNormal="100" workbookViewId="0">
      <selection activeCell="A26" sqref="A26"/>
    </sheetView>
  </sheetViews>
  <sheetFormatPr defaultColWidth="11.25" defaultRowHeight="15.75" x14ac:dyDescent="0.25"/>
  <cols>
    <col min="1" max="1" width="26.75" bestFit="1" customWidth="1"/>
  </cols>
  <sheetData>
    <row r="1" spans="1:32" x14ac:dyDescent="0.25">
      <c r="A1" t="s">
        <v>101</v>
      </c>
    </row>
    <row r="2" spans="1:32" x14ac:dyDescent="0.25">
      <c r="A2" t="s">
        <v>1</v>
      </c>
      <c r="B2">
        <v>0</v>
      </c>
      <c r="C2">
        <v>1</v>
      </c>
      <c r="D2">
        <v>2</v>
      </c>
      <c r="E2">
        <v>3</v>
      </c>
      <c r="F2">
        <v>4</v>
      </c>
      <c r="G2">
        <v>5</v>
      </c>
      <c r="H2">
        <v>6</v>
      </c>
      <c r="I2">
        <v>7</v>
      </c>
      <c r="J2">
        <v>8</v>
      </c>
      <c r="K2">
        <v>9</v>
      </c>
      <c r="L2">
        <v>10</v>
      </c>
      <c r="M2">
        <v>11</v>
      </c>
      <c r="N2">
        <v>12</v>
      </c>
      <c r="O2">
        <v>13</v>
      </c>
      <c r="P2">
        <v>14</v>
      </c>
      <c r="Q2">
        <v>15</v>
      </c>
      <c r="R2">
        <v>16</v>
      </c>
      <c r="S2">
        <v>17</v>
      </c>
      <c r="T2">
        <v>18</v>
      </c>
      <c r="U2">
        <v>19</v>
      </c>
      <c r="V2">
        <v>20</v>
      </c>
      <c r="W2">
        <v>21</v>
      </c>
      <c r="X2">
        <v>22</v>
      </c>
      <c r="Y2">
        <v>23</v>
      </c>
      <c r="Z2">
        <v>24</v>
      </c>
      <c r="AA2">
        <v>25</v>
      </c>
      <c r="AB2">
        <v>26</v>
      </c>
      <c r="AC2">
        <v>27</v>
      </c>
      <c r="AD2">
        <v>28</v>
      </c>
      <c r="AE2">
        <v>29</v>
      </c>
      <c r="AF2">
        <v>30</v>
      </c>
    </row>
    <row r="3" spans="1:32" x14ac:dyDescent="0.25">
      <c r="A3" t="s">
        <v>102</v>
      </c>
      <c r="B3">
        <f>'Cost Components'!B11 * 10^6</f>
        <v>24927592.625570774</v>
      </c>
      <c r="C3">
        <f>'Cost Components'!$B$22 * 10^6</f>
        <v>9285726.8750000019</v>
      </c>
      <c r="D3">
        <f>'Cost Components'!$B$22 * 10^6</f>
        <v>9285726.8750000019</v>
      </c>
      <c r="E3">
        <f>'Cost Components'!$B$22 * 10^6</f>
        <v>9285726.8750000019</v>
      </c>
      <c r="F3">
        <f>'Cost Components'!$B$22 * 10^6</f>
        <v>9285726.8750000019</v>
      </c>
      <c r="G3">
        <f>'Cost Components'!$B$22 * 10^6</f>
        <v>9285726.8750000019</v>
      </c>
      <c r="H3">
        <f>'Cost Components'!$B$22 * 10^6</f>
        <v>9285726.8750000019</v>
      </c>
      <c r="I3">
        <f>'Cost Components'!$B$22 * 10^6</f>
        <v>9285726.8750000019</v>
      </c>
      <c r="J3">
        <f>'Cost Components'!$B$22 * 10^6</f>
        <v>9285726.8750000019</v>
      </c>
      <c r="K3">
        <f>'Cost Components'!$B$22 * 10^6</f>
        <v>9285726.8750000019</v>
      </c>
      <c r="L3">
        <f>'Cost Components'!$B$22 * 10^6 + 'Cost Components'!B10 * 10^6</f>
        <v>13578366.875000002</v>
      </c>
      <c r="M3">
        <f>'Cost Components'!$B$22 * 10^6</f>
        <v>9285726.8750000019</v>
      </c>
      <c r="N3">
        <f>'Cost Components'!$B$22 * 10^6</f>
        <v>9285726.8750000019</v>
      </c>
      <c r="O3">
        <f>'Cost Components'!$B$22 * 10^6</f>
        <v>9285726.8750000019</v>
      </c>
      <c r="P3">
        <f>'Cost Components'!$B$22 * 10^6</f>
        <v>9285726.8750000019</v>
      </c>
      <c r="Q3">
        <f>'Cost Components'!$B$22 * 10^6 + 'Cost Components'!B9 * 10^6</f>
        <v>9933726.8750000019</v>
      </c>
      <c r="R3">
        <f>'Cost Components'!$B$22 * 10^6</f>
        <v>9285726.8750000019</v>
      </c>
      <c r="S3">
        <f>'Cost Components'!$B$22 * 10^6</f>
        <v>9285726.8750000019</v>
      </c>
      <c r="T3">
        <f>'Cost Components'!$B$22 * 10^6</f>
        <v>9285726.8750000019</v>
      </c>
      <c r="U3">
        <f>'Cost Components'!$B$22 * 10^6</f>
        <v>9285726.8750000019</v>
      </c>
      <c r="V3">
        <f>'Cost Components'!$B$22 * 10^6 + 'Cost Components'!B10 * 10^6</f>
        <v>13578366.875000002</v>
      </c>
      <c r="W3">
        <f>'Cost Components'!$B$22 * 10^6</f>
        <v>9285726.8750000019</v>
      </c>
      <c r="X3">
        <f>'Cost Components'!$B$22 * 10^6</f>
        <v>9285726.8750000019</v>
      </c>
      <c r="Y3">
        <f>'Cost Components'!$B$22 * 10^6</f>
        <v>9285726.8750000019</v>
      </c>
      <c r="Z3">
        <f>'Cost Components'!$B$22 * 10^6</f>
        <v>9285726.8750000019</v>
      </c>
      <c r="AA3">
        <f>'Cost Components'!$B$22 * 10^6</f>
        <v>9285726.8750000019</v>
      </c>
      <c r="AB3">
        <f>'Cost Components'!$B$22 * 10^6</f>
        <v>9285726.8750000019</v>
      </c>
      <c r="AC3">
        <f>'Cost Components'!$B$22 * 10^6</f>
        <v>9285726.8750000019</v>
      </c>
      <c r="AD3">
        <f>'Cost Components'!$B$22 * 10^6</f>
        <v>9285726.8750000019</v>
      </c>
      <c r="AE3">
        <f>'Cost Components'!$B$22 * 10^6</f>
        <v>9285726.8750000019</v>
      </c>
      <c r="AF3">
        <f>'Cost Components'!$B$22 * 10^6</f>
        <v>9285726.8750000019</v>
      </c>
    </row>
    <row r="4" spans="1:32" x14ac:dyDescent="0.25">
      <c r="A4" t="s">
        <v>103</v>
      </c>
      <c r="B4">
        <f>B3 / (1+'Study Parameters'!$C$3) ^B2</f>
        <v>24927592.625570774</v>
      </c>
      <c r="C4">
        <f>C3 / (1+'Study Parameters'!$C$3) ^C2</f>
        <v>8843549.4047619067</v>
      </c>
      <c r="D4">
        <f>D3 / (1+'Study Parameters'!$C$3) ^D2</f>
        <v>8422428.0045351479</v>
      </c>
      <c r="E4">
        <f>E3 / (1+'Study Parameters'!$C$3) ^E2</f>
        <v>8021360.0043191891</v>
      </c>
      <c r="F4">
        <f>F3 / (1+'Study Parameters'!$C$3) ^F2</f>
        <v>7639390.4803039897</v>
      </c>
      <c r="G4">
        <f>G3 / (1+'Study Parameters'!$C$3) ^G2</f>
        <v>7275609.9812418949</v>
      </c>
      <c r="H4">
        <f>H3 / (1+'Study Parameters'!$C$3) ^H2</f>
        <v>6929152.3630875191</v>
      </c>
      <c r="I4">
        <f>I3 / (1+'Study Parameters'!$C$3) ^I2</f>
        <v>6599192.7267500171</v>
      </c>
      <c r="J4">
        <f>J3 / (1+'Study Parameters'!$C$3) ^J2</f>
        <v>6284945.4540476361</v>
      </c>
      <c r="K4">
        <f>K3 / (1+'Study Parameters'!$C$3) ^K2</f>
        <v>5985662.3371882243</v>
      </c>
      <c r="L4">
        <f>L3 / (1+'Study Parameters'!$C$3) ^L2</f>
        <v>8335939.3860013243</v>
      </c>
      <c r="M4">
        <f>M3 / (1+'Study Parameters'!$C$3) ^M2</f>
        <v>5429172.1879258268</v>
      </c>
      <c r="N4">
        <f>N3 / (1+'Study Parameters'!$C$3) ^N2</f>
        <v>5170640.1789769791</v>
      </c>
      <c r="O4">
        <f>O3 / (1+'Study Parameters'!$C$3) ^O2</f>
        <v>4924419.2180733122</v>
      </c>
      <c r="P4">
        <f>P3 / (1+'Study Parameters'!$C$3) ^P2</f>
        <v>4689923.0648317272</v>
      </c>
      <c r="Q4">
        <f>Q3 / (1+'Study Parameters'!$C$3) ^Q2</f>
        <v>4778292.4746407829</v>
      </c>
      <c r="R4">
        <f>R3 / (1+'Study Parameters'!$C$3) ^R2</f>
        <v>4253898.471502699</v>
      </c>
      <c r="S4">
        <f>S3 / (1+'Study Parameters'!$C$3) ^S2</f>
        <v>4051331.8776216181</v>
      </c>
      <c r="T4">
        <f>T3 / (1+'Study Parameters'!$C$3) ^T2</f>
        <v>3858411.3120205887</v>
      </c>
      <c r="U4">
        <f>U3 / (1+'Study Parameters'!$C$3) ^U2</f>
        <v>3674677.440019608</v>
      </c>
      <c r="V4">
        <f>V3 / (1+'Study Parameters'!$C$3) ^V2</f>
        <v>5117543.669778632</v>
      </c>
      <c r="W4">
        <f>W3 / (1+'Study Parameters'!$C$3) ^W2</f>
        <v>3333040.7619225471</v>
      </c>
      <c r="X4">
        <f>X3 / (1+'Study Parameters'!$C$3) ^X2</f>
        <v>3174324.5351643311</v>
      </c>
      <c r="Y4">
        <f>Y3 / (1+'Study Parameters'!$C$3) ^Y2</f>
        <v>3023166.223966029</v>
      </c>
      <c r="Z4">
        <f>Z3 / (1+'Study Parameters'!$C$3) ^Z2</f>
        <v>2879205.9275866947</v>
      </c>
      <c r="AA4">
        <f>AA3 / (1+'Study Parameters'!$C$3) ^AA2</f>
        <v>2742100.8834158992</v>
      </c>
      <c r="AB4">
        <f>AB3 / (1+'Study Parameters'!$C$3) ^AB2</f>
        <v>2611524.650872285</v>
      </c>
      <c r="AC4">
        <f>AC3 / (1+'Study Parameters'!$C$3) ^AC2</f>
        <v>2487166.3341640807</v>
      </c>
      <c r="AD4">
        <f>AD3 / (1+'Study Parameters'!$C$3) ^AD2</f>
        <v>2368729.8420610297</v>
      </c>
      <c r="AE4">
        <f>AE3 / (1+'Study Parameters'!$C$3) ^AE2</f>
        <v>2255933.1829152661</v>
      </c>
      <c r="AF4">
        <f>AF3 / (1+'Study Parameters'!$C$3) ^AF2</f>
        <v>2148507.7932526348</v>
      </c>
    </row>
    <row r="5" spans="1:32" x14ac:dyDescent="0.25">
      <c r="A5" t="s">
        <v>104</v>
      </c>
      <c r="B5">
        <f>'Study Parameters'!$C$24</f>
        <v>2117061.0211706101</v>
      </c>
      <c r="C5">
        <f>'Study Parameters'!$C$24</f>
        <v>2117061.0211706101</v>
      </c>
      <c r="D5">
        <f>'Study Parameters'!$C$24</f>
        <v>2117061.0211706101</v>
      </c>
      <c r="E5">
        <f>'Study Parameters'!$C$24</f>
        <v>2117061.0211706101</v>
      </c>
      <c r="F5">
        <f>'Study Parameters'!$C$24</f>
        <v>2117061.0211706101</v>
      </c>
      <c r="G5">
        <f>'Study Parameters'!$C$24</f>
        <v>2117061.0211706101</v>
      </c>
      <c r="H5">
        <f>'Study Parameters'!$C$24</f>
        <v>2117061.0211706101</v>
      </c>
      <c r="I5">
        <f>'Study Parameters'!$C$24</f>
        <v>2117061.0211706101</v>
      </c>
      <c r="J5">
        <f>'Study Parameters'!$C$24</f>
        <v>2117061.0211706101</v>
      </c>
      <c r="K5">
        <f>'Study Parameters'!$C$24</f>
        <v>2117061.0211706101</v>
      </c>
      <c r="L5">
        <f>'Study Parameters'!$C$24</f>
        <v>2117061.0211706101</v>
      </c>
      <c r="M5">
        <f>'Study Parameters'!$C$24</f>
        <v>2117061.0211706101</v>
      </c>
      <c r="N5">
        <f>'Study Parameters'!$C$24</f>
        <v>2117061.0211706101</v>
      </c>
      <c r="O5">
        <f>'Study Parameters'!$C$24</f>
        <v>2117061.0211706101</v>
      </c>
      <c r="P5">
        <f>'Study Parameters'!$C$24</f>
        <v>2117061.0211706101</v>
      </c>
      <c r="Q5">
        <f>'Study Parameters'!$C$24</f>
        <v>2117061.0211706101</v>
      </c>
      <c r="R5">
        <f>'Study Parameters'!$C$24</f>
        <v>2117061.0211706101</v>
      </c>
      <c r="S5">
        <f>'Study Parameters'!$C$24</f>
        <v>2117061.0211706101</v>
      </c>
      <c r="T5">
        <f>'Study Parameters'!$C$24</f>
        <v>2117061.0211706101</v>
      </c>
      <c r="U5">
        <f>'Study Parameters'!$C$24</f>
        <v>2117061.0211706101</v>
      </c>
      <c r="V5">
        <f>'Study Parameters'!$C$24</f>
        <v>2117061.0211706101</v>
      </c>
      <c r="W5">
        <f>'Study Parameters'!$C$24</f>
        <v>2117061.0211706101</v>
      </c>
      <c r="X5">
        <f>'Study Parameters'!$C$24</f>
        <v>2117061.0211706101</v>
      </c>
      <c r="Y5">
        <f>'Study Parameters'!$C$24</f>
        <v>2117061.0211706101</v>
      </c>
      <c r="Z5">
        <f>'Study Parameters'!$C$24</f>
        <v>2117061.0211706101</v>
      </c>
      <c r="AA5">
        <f>'Study Parameters'!$C$24</f>
        <v>2117061.0211706101</v>
      </c>
      <c r="AB5">
        <f>'Study Parameters'!$C$24</f>
        <v>2117061.0211706101</v>
      </c>
      <c r="AC5">
        <f>'Study Parameters'!$C$24</f>
        <v>2117061.0211706101</v>
      </c>
      <c r="AD5">
        <f>'Study Parameters'!$C$24</f>
        <v>2117061.0211706101</v>
      </c>
      <c r="AE5">
        <f>'Study Parameters'!$C$24</f>
        <v>2117061.0211706101</v>
      </c>
      <c r="AF5">
        <f>'Study Parameters'!$C$24</f>
        <v>2117061.0211706101</v>
      </c>
    </row>
    <row r="6" spans="1:32" x14ac:dyDescent="0.25">
      <c r="A6" t="s">
        <v>105</v>
      </c>
      <c r="B6">
        <f>B5/(1+'Study Parameters'!$C$3) ^'MFSP Baseline'!B2</f>
        <v>2117061.0211706101</v>
      </c>
      <c r="C6">
        <f>C5/(1+'Study Parameters'!$C$3) ^'MFSP Baseline'!C2</f>
        <v>2016248.5915910571</v>
      </c>
      <c r="D6">
        <f>D5/(1+'Study Parameters'!$C$3) ^'MFSP Baseline'!D2</f>
        <v>1920236.753896245</v>
      </c>
      <c r="E6">
        <f>E5/(1+'Study Parameters'!$C$3) ^'MFSP Baseline'!E2</f>
        <v>1828796.9084726141</v>
      </c>
      <c r="F6">
        <f>F5/(1+'Study Parameters'!$C$3) ^'MFSP Baseline'!F2</f>
        <v>1741711.3414024897</v>
      </c>
      <c r="G6">
        <f>G5/(1+'Study Parameters'!$C$3) ^'MFSP Baseline'!G2</f>
        <v>1658772.7060976091</v>
      </c>
      <c r="H6">
        <f>H5/(1+'Study Parameters'!$C$3) ^'MFSP Baseline'!H2</f>
        <v>1579783.5296167708</v>
      </c>
      <c r="I6">
        <f>I5/(1+'Study Parameters'!$C$3) ^'MFSP Baseline'!I2</f>
        <v>1504555.7424921624</v>
      </c>
      <c r="J6">
        <f>J5/(1+'Study Parameters'!$C$3) ^'MFSP Baseline'!J2</f>
        <v>1432910.2309449168</v>
      </c>
      <c r="K6">
        <f>K5/(1+'Study Parameters'!$C$3) ^'MFSP Baseline'!K2</f>
        <v>1364676.4104237303</v>
      </c>
      <c r="L6">
        <f>L5/(1+'Study Parameters'!$C$3) ^'MFSP Baseline'!L2</f>
        <v>1299691.8194511717</v>
      </c>
      <c r="M6">
        <f>M5/(1+'Study Parameters'!$C$3) ^'MFSP Baseline'!M2</f>
        <v>1237801.7328106395</v>
      </c>
      <c r="N6">
        <f>N5/(1+'Study Parameters'!$C$3) ^'MFSP Baseline'!N2</f>
        <v>1178858.7931529903</v>
      </c>
      <c r="O6">
        <f>O5/(1+'Study Parameters'!$C$3) ^'MFSP Baseline'!O2</f>
        <v>1122722.6601457046</v>
      </c>
      <c r="P6">
        <f>P5/(1+'Study Parameters'!$C$3) ^'MFSP Baseline'!P2</f>
        <v>1069259.6763292428</v>
      </c>
      <c r="Q6">
        <f>Q5/(1+'Study Parameters'!$C$3) ^'MFSP Baseline'!Q2</f>
        <v>1018342.5488849928</v>
      </c>
      <c r="R6">
        <f>R5/(1+'Study Parameters'!$C$3) ^'MFSP Baseline'!R2</f>
        <v>969850.04655713611</v>
      </c>
      <c r="S6">
        <f>S5/(1+'Study Parameters'!$C$3) ^'MFSP Baseline'!S2</f>
        <v>923666.71100679622</v>
      </c>
      <c r="T6">
        <f>T5/(1+'Study Parameters'!$C$3) ^'MFSP Baseline'!T2</f>
        <v>879682.58191123453</v>
      </c>
      <c r="U6">
        <f>U5/(1+'Study Parameters'!$C$3) ^'MFSP Baseline'!U2</f>
        <v>837792.93515355664</v>
      </c>
      <c r="V6">
        <f>V5/(1+'Study Parameters'!$C$3) ^'MFSP Baseline'!V2</f>
        <v>797898.03347957786</v>
      </c>
      <c r="W6">
        <f>W5/(1+'Study Parameters'!$C$3) ^'MFSP Baseline'!W2</f>
        <v>759902.88902816933</v>
      </c>
      <c r="X6">
        <f>X5/(1+'Study Parameters'!$C$3) ^'MFSP Baseline'!X2</f>
        <v>723717.03716968512</v>
      </c>
      <c r="Y6">
        <f>Y5/(1+'Study Parameters'!$C$3) ^'MFSP Baseline'!Y2</f>
        <v>689254.32111398573</v>
      </c>
      <c r="Z6">
        <f>Z5/(1+'Study Parameters'!$C$3) ^'MFSP Baseline'!Z2</f>
        <v>656432.68677522463</v>
      </c>
      <c r="AA6">
        <f>AA5/(1+'Study Parameters'!$C$3) ^'MFSP Baseline'!AA2</f>
        <v>625173.98740497581</v>
      </c>
      <c r="AB6">
        <f>AB5/(1+'Study Parameters'!$C$3) ^'MFSP Baseline'!AB2</f>
        <v>595403.79752854828</v>
      </c>
      <c r="AC6">
        <f>AC5/(1+'Study Parameters'!$C$3) ^'MFSP Baseline'!AC2</f>
        <v>567051.23574147455</v>
      </c>
      <c r="AD6">
        <f>AD5/(1+'Study Parameters'!$C$3) ^'MFSP Baseline'!AD2</f>
        <v>540048.7959442616</v>
      </c>
      <c r="AE6">
        <f>AE5/(1+'Study Parameters'!$C$3) ^'MFSP Baseline'!AE2</f>
        <v>514332.18661358231</v>
      </c>
      <c r="AF6">
        <f>AF5/(1+'Study Parameters'!$C$3) ^'MFSP Baseline'!AF2</f>
        <v>489840.17772722145</v>
      </c>
    </row>
    <row r="8" spans="1:32" x14ac:dyDescent="0.25">
      <c r="A8" t="s">
        <v>106</v>
      </c>
      <c r="B8">
        <f>SUM(B4:AF4) /SUM(B6:AF6)</f>
        <v>4.969113935214537</v>
      </c>
    </row>
    <row r="10" spans="1:32" x14ac:dyDescent="0.25">
      <c r="A10" t="s">
        <v>107</v>
      </c>
    </row>
    <row r="11" spans="1:32" x14ac:dyDescent="0.25">
      <c r="A11" t="s">
        <v>1</v>
      </c>
      <c r="B11">
        <v>0</v>
      </c>
      <c r="C11">
        <v>1</v>
      </c>
      <c r="D11">
        <v>2</v>
      </c>
      <c r="E11">
        <v>3</v>
      </c>
      <c r="F11">
        <v>4</v>
      </c>
      <c r="G11">
        <v>5</v>
      </c>
      <c r="H11">
        <v>6</v>
      </c>
      <c r="I11">
        <v>7</v>
      </c>
      <c r="J11">
        <v>8</v>
      </c>
      <c r="K11">
        <v>9</v>
      </c>
      <c r="L11">
        <v>10</v>
      </c>
      <c r="M11">
        <v>11</v>
      </c>
      <c r="N11">
        <v>12</v>
      </c>
      <c r="O11">
        <v>13</v>
      </c>
      <c r="P11">
        <v>14</v>
      </c>
      <c r="Q11">
        <v>15</v>
      </c>
      <c r="R11">
        <v>16</v>
      </c>
      <c r="S11">
        <v>17</v>
      </c>
      <c r="T11">
        <v>18</v>
      </c>
      <c r="U11">
        <v>19</v>
      </c>
      <c r="V11">
        <v>20</v>
      </c>
      <c r="W11">
        <v>21</v>
      </c>
      <c r="X11">
        <v>22</v>
      </c>
      <c r="Y11">
        <v>23</v>
      </c>
      <c r="Z11">
        <v>24</v>
      </c>
      <c r="AA11">
        <v>25</v>
      </c>
      <c r="AB11">
        <v>26</v>
      </c>
      <c r="AC11">
        <v>27</v>
      </c>
      <c r="AD11">
        <v>28</v>
      </c>
      <c r="AE11">
        <v>29</v>
      </c>
      <c r="AF11">
        <v>30</v>
      </c>
    </row>
    <row r="12" spans="1:32" x14ac:dyDescent="0.25">
      <c r="A12" t="s">
        <v>102</v>
      </c>
      <c r="B12">
        <f>'Cost Components'!H11 * 10^6</f>
        <v>9127577.6255707759</v>
      </c>
      <c r="C12">
        <f>'Cost Components'!$H$22 * 10^6</f>
        <v>3382180.5</v>
      </c>
      <c r="D12">
        <f>'Cost Components'!$H$22 * 10^6</f>
        <v>3382180.5</v>
      </c>
      <c r="E12">
        <f>'Cost Components'!$H$22 * 10^6</f>
        <v>3382180.5</v>
      </c>
      <c r="F12">
        <f>'Cost Components'!$H$22 * 10^6</f>
        <v>3382180.5</v>
      </c>
      <c r="G12">
        <f>'Cost Components'!$H$22 * 10^6</f>
        <v>3382180.5</v>
      </c>
      <c r="H12">
        <f>'Cost Components'!$H$22 * 10^6</f>
        <v>3382180.5</v>
      </c>
      <c r="I12">
        <f>'Cost Components'!$H$22 * 10^6</f>
        <v>3382180.5</v>
      </c>
      <c r="J12">
        <f>'Cost Components'!$H$22 * 10^6</f>
        <v>3382180.5</v>
      </c>
      <c r="K12">
        <f>'Cost Components'!$H$22 * 10^6</f>
        <v>3382180.5</v>
      </c>
      <c r="L12">
        <f>'Cost Components'!$H$22 * 10^6 + 'Cost Components'!H10 * 10^6</f>
        <v>4456180.5</v>
      </c>
      <c r="M12">
        <f>'Cost Components'!$H$22 * 10^6</f>
        <v>3382180.5</v>
      </c>
      <c r="N12">
        <f>'Cost Components'!$H$22 * 10^6</f>
        <v>3382180.5</v>
      </c>
      <c r="O12">
        <f>'Cost Components'!$H$22 * 10^6</f>
        <v>3382180.5</v>
      </c>
      <c r="P12">
        <f>'Cost Components'!$H$22 * 10^6</f>
        <v>3382180.5</v>
      </c>
      <c r="Q12">
        <f>'Cost Components'!$H$22 * 10^6 + 'Cost Components'!H9*10^6</f>
        <v>3640180.5</v>
      </c>
      <c r="R12">
        <f>'Cost Components'!$H$22 * 10^6</f>
        <v>3382180.5</v>
      </c>
      <c r="S12">
        <f>'Cost Components'!$H$22 * 10^6</f>
        <v>3382180.5</v>
      </c>
      <c r="T12">
        <f>'Cost Components'!$H$22 * 10^6</f>
        <v>3382180.5</v>
      </c>
      <c r="U12">
        <f>'Cost Components'!$H$22 * 10^6</f>
        <v>3382180.5</v>
      </c>
      <c r="V12">
        <f>'Cost Components'!$H$22 * 10^6+ 'Cost Components'!H10 * 10^6</f>
        <v>4456180.5</v>
      </c>
      <c r="W12">
        <f>'Cost Components'!$H$22 * 10^6</f>
        <v>3382180.5</v>
      </c>
      <c r="X12">
        <f>'Cost Components'!$H$22 * 10^6</f>
        <v>3382180.5</v>
      </c>
      <c r="Y12">
        <f>'Cost Components'!$H$22 * 10^6</f>
        <v>3382180.5</v>
      </c>
      <c r="Z12">
        <f>'Cost Components'!$H$22 * 10^6</f>
        <v>3382180.5</v>
      </c>
      <c r="AA12">
        <f>'Cost Components'!$H$22 * 10^6</f>
        <v>3382180.5</v>
      </c>
      <c r="AB12">
        <f>'Cost Components'!$H$22 * 10^6</f>
        <v>3382180.5</v>
      </c>
      <c r="AC12">
        <f>'Cost Components'!$H$22 * 10^6</f>
        <v>3382180.5</v>
      </c>
      <c r="AD12">
        <f>'Cost Components'!$H$22 * 10^6</f>
        <v>3382180.5</v>
      </c>
      <c r="AE12">
        <f>'Cost Components'!$H$22 * 10^6</f>
        <v>3382180.5</v>
      </c>
      <c r="AF12">
        <f>'Cost Components'!$H$22 * 10^6</f>
        <v>3382180.5</v>
      </c>
    </row>
    <row r="13" spans="1:32" x14ac:dyDescent="0.25">
      <c r="A13" t="s">
        <v>103</v>
      </c>
      <c r="B13">
        <f>B12 / (1+'Study Parameters'!$C$3) ^B11</f>
        <v>9127577.6255707759</v>
      </c>
      <c r="C13">
        <f>C12 / (1+'Study Parameters'!$C$3) ^C11</f>
        <v>3221124.2857142854</v>
      </c>
      <c r="D13">
        <f>D12 / (1+'Study Parameters'!$C$3) ^D11</f>
        <v>3067737.4149659863</v>
      </c>
      <c r="E13">
        <f>E12 / (1+'Study Parameters'!$C$3) ^E11</f>
        <v>2921654.6809199867</v>
      </c>
      <c r="F13">
        <f>F12 / (1+'Study Parameters'!$C$3) ^F11</f>
        <v>2782528.2675428446</v>
      </c>
      <c r="G13">
        <f>G12 / (1+'Study Parameters'!$C$3) ^G11</f>
        <v>2650026.921469376</v>
      </c>
      <c r="H13">
        <f>H12 / (1+'Study Parameters'!$C$3) ^H11</f>
        <v>2523835.1633041678</v>
      </c>
      <c r="I13">
        <f>I12 / (1+'Study Parameters'!$C$3) ^I11</f>
        <v>2403652.536480159</v>
      </c>
      <c r="J13">
        <f>J12 / (1+'Study Parameters'!$C$3) ^J11</f>
        <v>2289192.8918858664</v>
      </c>
      <c r="K13">
        <f>K12 / (1+'Study Parameters'!$C$3) ^K11</f>
        <v>2180183.7065579677</v>
      </c>
      <c r="L13">
        <f>L12 / (1+'Study Parameters'!$C$3) ^L11</f>
        <v>2735708.2691198876</v>
      </c>
      <c r="M13">
        <f>M12 / (1+'Study Parameters'!$C$3) ^M11</f>
        <v>1977490.8903020113</v>
      </c>
      <c r="N13">
        <f>N12 / (1+'Study Parameters'!$C$3) ^N11</f>
        <v>1883324.6574304872</v>
      </c>
      <c r="O13">
        <f>O12 / (1+'Study Parameters'!$C$3) ^O11</f>
        <v>1793642.5308861781</v>
      </c>
      <c r="P13">
        <f>P12 / (1+'Study Parameters'!$C$3) ^P11</f>
        <v>1708230.9817963603</v>
      </c>
      <c r="Q13">
        <f>Q12 / (1+'Study Parameters'!$C$3) ^Q11</f>
        <v>1750989.0606373369</v>
      </c>
      <c r="R13">
        <f>R12 / (1+'Study Parameters'!$C$3) ^R11</f>
        <v>1549415.856504635</v>
      </c>
      <c r="S13">
        <f>S12 / (1+'Study Parameters'!$C$3) ^S11</f>
        <v>1475634.1490520332</v>
      </c>
      <c r="T13">
        <f>T12 / (1+'Study Parameters'!$C$3) ^T11</f>
        <v>1405365.8562400315</v>
      </c>
      <c r="U13">
        <f>U12 / (1+'Study Parameters'!$C$3) ^U11</f>
        <v>1338443.6726095539</v>
      </c>
      <c r="V13">
        <f>V12 / (1+'Study Parameters'!$C$3) ^V11</f>
        <v>1679487.5642337492</v>
      </c>
      <c r="W13">
        <f>W12 / (1+'Study Parameters'!$C$3) ^W11</f>
        <v>1214007.8663125206</v>
      </c>
      <c r="X13">
        <f>X12 / (1+'Study Parameters'!$C$3) ^X11</f>
        <v>1156197.9679166863</v>
      </c>
      <c r="Y13">
        <f>Y12 / (1+'Study Parameters'!$C$3) ^Y11</f>
        <v>1101140.9218254155</v>
      </c>
      <c r="Z13">
        <f>Z12 / (1+'Study Parameters'!$C$3) ^Z11</f>
        <v>1048705.639833729</v>
      </c>
      <c r="AA13">
        <f>AA12 / (1+'Study Parameters'!$C$3) ^AA11</f>
        <v>998767.2760321229</v>
      </c>
      <c r="AB13">
        <f>AB12 / (1+'Study Parameters'!$C$3) ^AB11</f>
        <v>951206.92955440271</v>
      </c>
      <c r="AC13">
        <f>AC12 / (1+'Study Parameters'!$C$3) ^AC11</f>
        <v>905911.36148038344</v>
      </c>
      <c r="AD13">
        <f>AD12 / (1+'Study Parameters'!$C$3) ^AD11</f>
        <v>862772.72521941294</v>
      </c>
      <c r="AE13">
        <f>AE12 / (1+'Study Parameters'!$C$3) ^AE11</f>
        <v>821688.30973277404</v>
      </c>
      <c r="AF13">
        <f>AF12 / (1+'Study Parameters'!$C$3) ^AF11</f>
        <v>782560.29498359468</v>
      </c>
    </row>
    <row r="14" spans="1:32" x14ac:dyDescent="0.25">
      <c r="A14" t="s">
        <v>104</v>
      </c>
      <c r="B14">
        <f>'Study Parameters'!$C$24</f>
        <v>2117061.0211706101</v>
      </c>
      <c r="C14">
        <f>'Study Parameters'!$C$24</f>
        <v>2117061.0211706101</v>
      </c>
      <c r="D14">
        <f>'Study Parameters'!$C$24</f>
        <v>2117061.0211706101</v>
      </c>
      <c r="E14">
        <f>'Study Parameters'!$C$24</f>
        <v>2117061.0211706101</v>
      </c>
      <c r="F14">
        <f>'Study Parameters'!$C$24</f>
        <v>2117061.0211706101</v>
      </c>
      <c r="G14">
        <f>'Study Parameters'!$C$24</f>
        <v>2117061.0211706101</v>
      </c>
      <c r="H14">
        <f>'Study Parameters'!$C$24</f>
        <v>2117061.0211706101</v>
      </c>
      <c r="I14">
        <f>'Study Parameters'!$C$24</f>
        <v>2117061.0211706101</v>
      </c>
      <c r="J14">
        <f>'Study Parameters'!$C$24</f>
        <v>2117061.0211706101</v>
      </c>
      <c r="K14">
        <f>'Study Parameters'!$C$24</f>
        <v>2117061.0211706101</v>
      </c>
      <c r="L14">
        <f>'Study Parameters'!$C$24</f>
        <v>2117061.0211706101</v>
      </c>
      <c r="M14">
        <f>'Study Parameters'!$C$24</f>
        <v>2117061.0211706101</v>
      </c>
      <c r="N14">
        <f>'Study Parameters'!$C$24</f>
        <v>2117061.0211706101</v>
      </c>
      <c r="O14">
        <f>'Study Parameters'!$C$24</f>
        <v>2117061.0211706101</v>
      </c>
      <c r="P14">
        <f>'Study Parameters'!$C$24</f>
        <v>2117061.0211706101</v>
      </c>
      <c r="Q14">
        <f>'Study Parameters'!$C$24</f>
        <v>2117061.0211706101</v>
      </c>
      <c r="R14">
        <f>'Study Parameters'!$C$24</f>
        <v>2117061.0211706101</v>
      </c>
      <c r="S14">
        <f>'Study Parameters'!$C$24</f>
        <v>2117061.0211706101</v>
      </c>
      <c r="T14">
        <f>'Study Parameters'!$C$24</f>
        <v>2117061.0211706101</v>
      </c>
      <c r="U14">
        <f>'Study Parameters'!$C$24</f>
        <v>2117061.0211706101</v>
      </c>
      <c r="V14">
        <f>'Study Parameters'!$C$24</f>
        <v>2117061.0211706101</v>
      </c>
      <c r="W14">
        <f>'Study Parameters'!$C$24</f>
        <v>2117061.0211706101</v>
      </c>
      <c r="X14">
        <f>'Study Parameters'!$C$24</f>
        <v>2117061.0211706101</v>
      </c>
      <c r="Y14">
        <f>'Study Parameters'!$C$24</f>
        <v>2117061.0211706101</v>
      </c>
      <c r="Z14">
        <f>'Study Parameters'!$C$24</f>
        <v>2117061.0211706101</v>
      </c>
      <c r="AA14">
        <f>'Study Parameters'!$C$24</f>
        <v>2117061.0211706101</v>
      </c>
      <c r="AB14">
        <f>'Study Parameters'!$C$24</f>
        <v>2117061.0211706101</v>
      </c>
      <c r="AC14">
        <f>'Study Parameters'!$C$24</f>
        <v>2117061.0211706101</v>
      </c>
      <c r="AD14">
        <f>'Study Parameters'!$C$24</f>
        <v>2117061.0211706101</v>
      </c>
      <c r="AE14">
        <f>'Study Parameters'!$C$24</f>
        <v>2117061.0211706101</v>
      </c>
      <c r="AF14">
        <f>'Study Parameters'!$C$24</f>
        <v>2117061.0211706101</v>
      </c>
    </row>
    <row r="15" spans="1:32" x14ac:dyDescent="0.25">
      <c r="A15" t="s">
        <v>105</v>
      </c>
      <c r="B15">
        <f>B14/(1+'Study Parameters'!$C$3) ^'MFSP Baseline'!B11</f>
        <v>2117061.0211706101</v>
      </c>
      <c r="C15">
        <f>C14/(1+'Study Parameters'!$C$3) ^'MFSP Baseline'!C11</f>
        <v>2016248.5915910571</v>
      </c>
      <c r="D15">
        <f>D14/(1+'Study Parameters'!$C$3) ^'MFSP Baseline'!D11</f>
        <v>1920236.753896245</v>
      </c>
      <c r="E15">
        <f>E14/(1+'Study Parameters'!$C$3) ^'MFSP Baseline'!E11</f>
        <v>1828796.9084726141</v>
      </c>
      <c r="F15">
        <f>F14/(1+'Study Parameters'!$C$3) ^'MFSP Baseline'!F11</f>
        <v>1741711.3414024897</v>
      </c>
      <c r="G15">
        <f>G14/(1+'Study Parameters'!$C$3) ^'MFSP Baseline'!G11</f>
        <v>1658772.7060976091</v>
      </c>
      <c r="H15">
        <f>H14/(1+'Study Parameters'!$C$3) ^'MFSP Baseline'!H11</f>
        <v>1579783.5296167708</v>
      </c>
      <c r="I15">
        <f>I14/(1+'Study Parameters'!$C$3) ^'MFSP Baseline'!I11</f>
        <v>1504555.7424921624</v>
      </c>
      <c r="J15">
        <f>J14/(1+'Study Parameters'!$C$3) ^'MFSP Baseline'!J11</f>
        <v>1432910.2309449168</v>
      </c>
      <c r="K15">
        <f>K14/(1+'Study Parameters'!$C$3) ^'MFSP Baseline'!K11</f>
        <v>1364676.4104237303</v>
      </c>
      <c r="L15">
        <f>L14/(1+'Study Parameters'!$C$3) ^'MFSP Baseline'!L11</f>
        <v>1299691.8194511717</v>
      </c>
      <c r="M15">
        <f>M14/(1+'Study Parameters'!$C$3) ^'MFSP Baseline'!M11</f>
        <v>1237801.7328106395</v>
      </c>
      <c r="N15">
        <f>N14/(1+'Study Parameters'!$C$3) ^'MFSP Baseline'!N11</f>
        <v>1178858.7931529903</v>
      </c>
      <c r="O15">
        <f>O14/(1+'Study Parameters'!$C$3) ^'MFSP Baseline'!O11</f>
        <v>1122722.6601457046</v>
      </c>
      <c r="P15">
        <f>P14/(1+'Study Parameters'!$C$3) ^'MFSP Baseline'!P11</f>
        <v>1069259.6763292428</v>
      </c>
      <c r="Q15">
        <f>Q14/(1+'Study Parameters'!$C$3) ^'MFSP Baseline'!Q11</f>
        <v>1018342.5488849928</v>
      </c>
      <c r="R15">
        <f>R14/(1+'Study Parameters'!$C$3) ^'MFSP Baseline'!R11</f>
        <v>969850.04655713611</v>
      </c>
      <c r="S15">
        <f>S14/(1+'Study Parameters'!$C$3) ^'MFSP Baseline'!S11</f>
        <v>923666.71100679622</v>
      </c>
      <c r="T15">
        <f>T14/(1+'Study Parameters'!$C$3) ^'MFSP Baseline'!T11</f>
        <v>879682.58191123453</v>
      </c>
      <c r="U15">
        <f>U14/(1+'Study Parameters'!$C$3) ^'MFSP Baseline'!U11</f>
        <v>837792.93515355664</v>
      </c>
      <c r="V15">
        <f>V14/(1+'Study Parameters'!$C$3) ^'MFSP Baseline'!V11</f>
        <v>797898.03347957786</v>
      </c>
      <c r="W15">
        <f>W14/(1+'Study Parameters'!$C$3) ^'MFSP Baseline'!W11</f>
        <v>759902.88902816933</v>
      </c>
      <c r="X15">
        <f>X14/(1+'Study Parameters'!$C$3) ^'MFSP Baseline'!X11</f>
        <v>723717.03716968512</v>
      </c>
      <c r="Y15">
        <f>Y14/(1+'Study Parameters'!$C$3) ^'MFSP Baseline'!Y11</f>
        <v>689254.32111398573</v>
      </c>
      <c r="Z15">
        <f>Z14/(1+'Study Parameters'!$C$3) ^'MFSP Baseline'!Z11</f>
        <v>656432.68677522463</v>
      </c>
      <c r="AA15">
        <f>AA14/(1+'Study Parameters'!$C$3) ^'MFSP Baseline'!AA11</f>
        <v>625173.98740497581</v>
      </c>
      <c r="AB15">
        <f>AB14/(1+'Study Parameters'!$C$3) ^'MFSP Baseline'!AB11</f>
        <v>595403.79752854828</v>
      </c>
      <c r="AC15">
        <f>AC14/(1+'Study Parameters'!$C$3) ^'MFSP Baseline'!AC11</f>
        <v>567051.23574147455</v>
      </c>
      <c r="AD15">
        <f>AD14/(1+'Study Parameters'!$C$3) ^'MFSP Baseline'!AD11</f>
        <v>540048.7959442616</v>
      </c>
      <c r="AE15">
        <f>AE14/(1+'Study Parameters'!$C$3) ^'MFSP Baseline'!AE11</f>
        <v>514332.18661358231</v>
      </c>
      <c r="AF15">
        <f>AF14/(1+'Study Parameters'!$C$3) ^'MFSP Baseline'!AF11</f>
        <v>489840.17772722145</v>
      </c>
    </row>
    <row r="17" spans="1:32" x14ac:dyDescent="0.25">
      <c r="A17" t="s">
        <v>106</v>
      </c>
      <c r="B17">
        <f>SUM(B13:AF13) /SUM(B15:AF15)</f>
        <v>1.7976211653116483</v>
      </c>
    </row>
    <row r="21" spans="1:32" x14ac:dyDescent="0.2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row>
    <row r="22" spans="1:32" x14ac:dyDescent="0.2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row>
    <row r="23" spans="1:32" x14ac:dyDescent="0.25">
      <c r="B23" s="15"/>
    </row>
    <row r="24" spans="1:32" x14ac:dyDescent="0.2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row>
    <row r="27" spans="1:32" x14ac:dyDescent="0.25">
      <c r="B27" s="7"/>
    </row>
    <row r="28" spans="1:32" x14ac:dyDescent="0.25">
      <c r="B28" s="7"/>
    </row>
    <row r="29" spans="1:32" x14ac:dyDescent="0.25">
      <c r="B29" s="7"/>
    </row>
    <row r="30" spans="1:32" x14ac:dyDescent="0.25">
      <c r="B30" s="7"/>
    </row>
    <row r="31" spans="1:32" x14ac:dyDescent="0.25">
      <c r="B31" s="7"/>
    </row>
    <row r="35" spans="2:32" x14ac:dyDescent="0.2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row>
    <row r="36" spans="2:32" x14ac:dyDescent="0.2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row>
    <row r="37" spans="2:32" x14ac:dyDescent="0.25">
      <c r="B37" s="15"/>
    </row>
    <row r="38" spans="2:32" x14ac:dyDescent="0.2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row>
    <row r="40" spans="2:32" x14ac:dyDescent="0.25">
      <c r="B40" s="7"/>
    </row>
    <row r="41" spans="2:32" x14ac:dyDescent="0.25">
      <c r="B41" s="7"/>
    </row>
    <row r="42" spans="2:32" x14ac:dyDescent="0.25">
      <c r="B42" s="7"/>
    </row>
    <row r="43" spans="2:32" x14ac:dyDescent="0.25">
      <c r="B43" s="7"/>
    </row>
    <row r="44" spans="2:32" x14ac:dyDescent="0.25">
      <c r="B44"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7"/>
  <sheetViews>
    <sheetView workbookViewId="0">
      <selection activeCell="B12" sqref="B12"/>
    </sheetView>
  </sheetViews>
  <sheetFormatPr defaultColWidth="11.25" defaultRowHeight="15.75" x14ac:dyDescent="0.25"/>
  <sheetData>
    <row r="1" spans="1:32" x14ac:dyDescent="0.25">
      <c r="A1" t="s">
        <v>101</v>
      </c>
    </row>
    <row r="2" spans="1:32" x14ac:dyDescent="0.25">
      <c r="A2" t="s">
        <v>1</v>
      </c>
      <c r="B2">
        <v>0</v>
      </c>
      <c r="C2">
        <v>1</v>
      </c>
      <c r="D2">
        <v>2</v>
      </c>
      <c r="E2">
        <v>3</v>
      </c>
      <c r="F2">
        <v>4</v>
      </c>
      <c r="G2">
        <v>5</v>
      </c>
      <c r="H2">
        <v>6</v>
      </c>
      <c r="I2">
        <v>7</v>
      </c>
      <c r="J2">
        <v>8</v>
      </c>
      <c r="K2">
        <v>9</v>
      </c>
      <c r="L2">
        <v>10</v>
      </c>
      <c r="M2">
        <v>11</v>
      </c>
      <c r="N2">
        <v>12</v>
      </c>
      <c r="O2">
        <v>13</v>
      </c>
      <c r="P2">
        <v>14</v>
      </c>
      <c r="Q2">
        <v>15</v>
      </c>
      <c r="R2">
        <v>16</v>
      </c>
      <c r="S2">
        <v>17</v>
      </c>
      <c r="T2">
        <v>18</v>
      </c>
      <c r="U2">
        <v>19</v>
      </c>
      <c r="V2">
        <v>20</v>
      </c>
      <c r="W2">
        <v>21</v>
      </c>
      <c r="X2">
        <v>22</v>
      </c>
      <c r="Y2">
        <v>23</v>
      </c>
      <c r="Z2">
        <v>24</v>
      </c>
      <c r="AA2">
        <v>25</v>
      </c>
      <c r="AB2">
        <v>26</v>
      </c>
      <c r="AC2">
        <v>27</v>
      </c>
      <c r="AD2">
        <v>28</v>
      </c>
      <c r="AE2">
        <v>29</v>
      </c>
      <c r="AF2">
        <v>30</v>
      </c>
    </row>
    <row r="3" spans="1:32" x14ac:dyDescent="0.25">
      <c r="A3" t="s">
        <v>102</v>
      </c>
      <c r="B3">
        <f>'Cost Components'!B11 * 10^6 - 'Cost Components'!B9</f>
        <v>24927591.977570776</v>
      </c>
      <c r="C3">
        <f>'Cost Components'!$B$27 * 10^6</f>
        <v>9535526.8750000019</v>
      </c>
      <c r="D3">
        <f>'Cost Components'!$B$27 * 10^6</f>
        <v>9535526.8750000019</v>
      </c>
      <c r="E3">
        <f>'Cost Components'!$B$27 * 10^6</f>
        <v>9535526.8750000019</v>
      </c>
      <c r="F3">
        <f>'Cost Components'!$B$27 * 10^6</f>
        <v>9535526.8750000019</v>
      </c>
      <c r="G3">
        <f>'Cost Components'!$B$27 * 10^6</f>
        <v>9535526.8750000019</v>
      </c>
      <c r="H3">
        <f>'Cost Components'!$B$27 * 10^6</f>
        <v>9535526.8750000019</v>
      </c>
      <c r="I3">
        <f>'Cost Components'!$B$27 * 10^6</f>
        <v>9535526.8750000019</v>
      </c>
      <c r="J3">
        <f>'Cost Components'!$B$27 * 10^6</f>
        <v>9535526.8750000019</v>
      </c>
      <c r="K3">
        <f>'Cost Components'!$B$27 * 10^6</f>
        <v>9535526.8750000019</v>
      </c>
      <c r="L3">
        <f>'Cost Components'!$B$27 * 10^6 + 'Cost Components'!B10 * 10^6</f>
        <v>13828166.875000002</v>
      </c>
      <c r="M3">
        <f>'Cost Components'!$B$27 * 10^6</f>
        <v>9535526.8750000019</v>
      </c>
      <c r="N3">
        <f>'Cost Components'!$B$27 * 10^6</f>
        <v>9535526.8750000019</v>
      </c>
      <c r="O3">
        <f>'Cost Components'!$B$27 * 10^6</f>
        <v>9535526.8750000019</v>
      </c>
      <c r="P3">
        <f>'Cost Components'!$B$27 * 10^6</f>
        <v>9535526.8750000019</v>
      </c>
      <c r="Q3">
        <f>'Cost Components'!$B$27 * 10^6</f>
        <v>9535526.8750000019</v>
      </c>
      <c r="R3">
        <f>'Cost Components'!$B$27 * 10^6</f>
        <v>9535526.8750000019</v>
      </c>
      <c r="S3">
        <f>'Cost Components'!$B$27 * 10^6</f>
        <v>9535526.8750000019</v>
      </c>
      <c r="T3">
        <f>'Cost Components'!$B$27 * 10^6</f>
        <v>9535526.8750000019</v>
      </c>
      <c r="U3">
        <f>'Cost Components'!$B$27 * 10^6</f>
        <v>9535526.8750000019</v>
      </c>
      <c r="V3">
        <f>'Cost Components'!$B$27 * 10^6 + 'Cost Components'!B10 * 10^6</f>
        <v>13828166.875000002</v>
      </c>
      <c r="W3">
        <f>'Cost Components'!$B$27 * 10^6</f>
        <v>9535526.8750000019</v>
      </c>
      <c r="X3">
        <f>'Cost Components'!$B$27 * 10^6</f>
        <v>9535526.8750000019</v>
      </c>
      <c r="Y3">
        <f>'Cost Components'!$B$27 * 10^6</f>
        <v>9535526.8750000019</v>
      </c>
      <c r="Z3">
        <f>'Cost Components'!$B$27 * 10^6</f>
        <v>9535526.8750000019</v>
      </c>
      <c r="AA3">
        <f>'Cost Components'!$B$27 * 10^6</f>
        <v>9535526.8750000019</v>
      </c>
      <c r="AB3">
        <f>'Cost Components'!$B$27 * 10^6</f>
        <v>9535526.8750000019</v>
      </c>
      <c r="AC3">
        <f>'Cost Components'!$B$27 * 10^6</f>
        <v>9535526.8750000019</v>
      </c>
      <c r="AD3">
        <f>'Cost Components'!$B$27 * 10^6</f>
        <v>9535526.8750000019</v>
      </c>
      <c r="AE3">
        <f>'Cost Components'!$B$27 * 10^6</f>
        <v>9535526.8750000019</v>
      </c>
      <c r="AF3">
        <f>'Cost Components'!$B$27 * 10^6</f>
        <v>9535526.8750000019</v>
      </c>
    </row>
    <row r="4" spans="1:32" x14ac:dyDescent="0.25">
      <c r="A4" t="s">
        <v>103</v>
      </c>
      <c r="B4">
        <f>B3 / (1+'Study Parameters'!$C$3) ^B2</f>
        <v>24927591.977570776</v>
      </c>
      <c r="C4">
        <f>C3 / (1+'Study Parameters'!$C$3) ^C2</f>
        <v>9081454.1666666679</v>
      </c>
      <c r="D4">
        <f>D3 / (1+'Study Parameters'!$C$3) ^D2</f>
        <v>8649003.9682539701</v>
      </c>
      <c r="E4">
        <f>E3 / (1+'Study Parameters'!$C$3) ^E2</f>
        <v>8237146.6364323515</v>
      </c>
      <c r="F4">
        <f>F3 / (1+'Study Parameters'!$C$3) ^F2</f>
        <v>7844901.558507002</v>
      </c>
      <c r="G4">
        <f>G3 / (1+'Study Parameters'!$C$3) ^G2</f>
        <v>7471334.8176257154</v>
      </c>
      <c r="H4">
        <f>H3 / (1+'Study Parameters'!$C$3) ^H2</f>
        <v>7115556.9691673489</v>
      </c>
      <c r="I4">
        <f>I3 / (1+'Study Parameters'!$C$3) ^I2</f>
        <v>6776720.9230165221</v>
      </c>
      <c r="J4">
        <f>J3 / (1+'Study Parameters'!$C$3) ^J2</f>
        <v>6454019.9266824024</v>
      </c>
      <c r="K4">
        <f>K3 / (1+'Study Parameters'!$C$3) ^K2</f>
        <v>6146685.6444594301</v>
      </c>
      <c r="L4">
        <f>L3 / (1+'Study Parameters'!$C$3) ^L2</f>
        <v>8489294.9167358056</v>
      </c>
      <c r="M4">
        <f>M3 / (1+'Study Parameters'!$C$3) ^M2</f>
        <v>5575225.0743396189</v>
      </c>
      <c r="N4">
        <f>N3 / (1+'Study Parameters'!$C$3) ^N2</f>
        <v>5309738.1660377337</v>
      </c>
      <c r="O4">
        <f>O3 / (1+'Study Parameters'!$C$3) ^O2</f>
        <v>5056893.4914645068</v>
      </c>
      <c r="P4">
        <f>P3 / (1+'Study Parameters'!$C$3) ^P2</f>
        <v>4816089.0394900078</v>
      </c>
      <c r="Q4">
        <f>Q3 / (1+'Study Parameters'!$C$3) ^Q2</f>
        <v>4586751.4661809579</v>
      </c>
      <c r="R4">
        <f>R3 / (1+'Study Parameters'!$C$3) ^R2</f>
        <v>4368334.7296961509</v>
      </c>
      <c r="S4">
        <f>S3 / (1+'Study Parameters'!$C$3) ^S2</f>
        <v>4160318.7901868103</v>
      </c>
      <c r="T4">
        <f>T3 / (1+'Study Parameters'!$C$3) ^T2</f>
        <v>3962208.3716064859</v>
      </c>
      <c r="U4">
        <f>U3 / (1+'Study Parameters'!$C$3) ^U2</f>
        <v>3773531.7824823675</v>
      </c>
      <c r="V4">
        <f>V3 / (1+'Study Parameters'!$C$3) ^V2</f>
        <v>5211690.6626003077</v>
      </c>
      <c r="W4">
        <f>W3 / (1+'Study Parameters'!$C$3) ^W2</f>
        <v>3422704.5646098573</v>
      </c>
      <c r="X4">
        <f>X3 / (1+'Study Parameters'!$C$3) ^X2</f>
        <v>3259718.6329617691</v>
      </c>
      <c r="Y4">
        <f>Y3 / (1+'Study Parameters'!$C$3) ^Y2</f>
        <v>3104493.9361540652</v>
      </c>
      <c r="Z4">
        <f>Z3 / (1+'Study Parameters'!$C$3) ^Z2</f>
        <v>2956660.8915753006</v>
      </c>
      <c r="AA4">
        <f>AA3 / (1+'Study Parameters'!$C$3) ^AA2</f>
        <v>2815867.5157860005</v>
      </c>
      <c r="AB4">
        <f>AB3 / (1+'Study Parameters'!$C$3) ^AB2</f>
        <v>2681778.5864628577</v>
      </c>
      <c r="AC4">
        <f>AC3 / (1+'Study Parameters'!$C$3) ^AC2</f>
        <v>2554074.84425034</v>
      </c>
      <c r="AD4">
        <f>AD3 / (1+'Study Parameters'!$C$3) ^AD2</f>
        <v>2432452.2326193722</v>
      </c>
      <c r="AE4">
        <f>AE3 / (1+'Study Parameters'!$C$3) ^AE2</f>
        <v>2316621.1739232112</v>
      </c>
      <c r="AF4">
        <f>AF3 / (1+'Study Parameters'!$C$3) ^AF2</f>
        <v>2206305.8799268682</v>
      </c>
    </row>
    <row r="5" spans="1:32" x14ac:dyDescent="0.25">
      <c r="A5" t="s">
        <v>104</v>
      </c>
      <c r="B5">
        <f>'Study Parameters'!$C$24</f>
        <v>2117061.0211706101</v>
      </c>
      <c r="C5">
        <f>'Study Parameters'!$C$24</f>
        <v>2117061.0211706101</v>
      </c>
      <c r="D5">
        <f>'Study Parameters'!$C$24</f>
        <v>2117061.0211706101</v>
      </c>
      <c r="E5">
        <f>'Study Parameters'!$C$24</f>
        <v>2117061.0211706101</v>
      </c>
      <c r="F5">
        <f>'Study Parameters'!$C$24</f>
        <v>2117061.0211706101</v>
      </c>
      <c r="G5">
        <f>'Study Parameters'!$C$24</f>
        <v>2117061.0211706101</v>
      </c>
      <c r="H5">
        <f>'Study Parameters'!$C$24</f>
        <v>2117061.0211706101</v>
      </c>
      <c r="I5">
        <f>'Study Parameters'!$C$24</f>
        <v>2117061.0211706101</v>
      </c>
      <c r="J5">
        <f>'Study Parameters'!$C$24</f>
        <v>2117061.0211706101</v>
      </c>
      <c r="K5">
        <f>'Study Parameters'!$C$24</f>
        <v>2117061.0211706101</v>
      </c>
      <c r="L5">
        <f>'Study Parameters'!$C$24</f>
        <v>2117061.0211706101</v>
      </c>
      <c r="M5">
        <f>'Study Parameters'!$C$24</f>
        <v>2117061.0211706101</v>
      </c>
      <c r="N5">
        <f>'Study Parameters'!$C$24</f>
        <v>2117061.0211706101</v>
      </c>
      <c r="O5">
        <f>'Study Parameters'!$C$24</f>
        <v>2117061.0211706101</v>
      </c>
      <c r="P5">
        <f>'Study Parameters'!$C$24</f>
        <v>2117061.0211706101</v>
      </c>
      <c r="Q5">
        <f>'Study Parameters'!$C$24</f>
        <v>2117061.0211706101</v>
      </c>
      <c r="R5">
        <f>'Study Parameters'!$C$24</f>
        <v>2117061.0211706101</v>
      </c>
      <c r="S5">
        <f>'Study Parameters'!$C$24</f>
        <v>2117061.0211706101</v>
      </c>
      <c r="T5">
        <f>'Study Parameters'!$C$24</f>
        <v>2117061.0211706101</v>
      </c>
      <c r="U5">
        <f>'Study Parameters'!$C$24</f>
        <v>2117061.0211706101</v>
      </c>
      <c r="V5">
        <f>'Study Parameters'!$C$24</f>
        <v>2117061.0211706101</v>
      </c>
      <c r="W5">
        <f>'Study Parameters'!$C$24</f>
        <v>2117061.0211706101</v>
      </c>
      <c r="X5">
        <f>'Study Parameters'!$C$24</f>
        <v>2117061.0211706101</v>
      </c>
      <c r="Y5">
        <f>'Study Parameters'!$C$24</f>
        <v>2117061.0211706101</v>
      </c>
      <c r="Z5">
        <f>'Study Parameters'!$C$24</f>
        <v>2117061.0211706101</v>
      </c>
      <c r="AA5">
        <f>'Study Parameters'!$C$24</f>
        <v>2117061.0211706101</v>
      </c>
      <c r="AB5">
        <f>'Study Parameters'!$C$24</f>
        <v>2117061.0211706101</v>
      </c>
      <c r="AC5">
        <f>'Study Parameters'!$C$24</f>
        <v>2117061.0211706101</v>
      </c>
      <c r="AD5">
        <f>'Study Parameters'!$C$24</f>
        <v>2117061.0211706101</v>
      </c>
      <c r="AE5">
        <f>'Study Parameters'!$C$24</f>
        <v>2117061.0211706101</v>
      </c>
      <c r="AF5">
        <f>'Study Parameters'!$C$24</f>
        <v>2117061.0211706101</v>
      </c>
    </row>
    <row r="6" spans="1:32" x14ac:dyDescent="0.25">
      <c r="A6" t="s">
        <v>105</v>
      </c>
      <c r="B6">
        <f>B5/(1+'Study Parameters'!$C$3) ^'MFSP Baseline'!B2</f>
        <v>2117061.0211706101</v>
      </c>
      <c r="C6">
        <f>C5/(1+'Study Parameters'!$C$3) ^'MFSP Baseline'!C2</f>
        <v>2016248.5915910571</v>
      </c>
      <c r="D6">
        <f>D5/(1+'Study Parameters'!$C$3) ^'MFSP Baseline'!D2</f>
        <v>1920236.753896245</v>
      </c>
      <c r="E6">
        <f>E5/(1+'Study Parameters'!$C$3) ^'MFSP Baseline'!E2</f>
        <v>1828796.9084726141</v>
      </c>
      <c r="F6">
        <f>F5/(1+'Study Parameters'!$C$3) ^'MFSP Baseline'!F2</f>
        <v>1741711.3414024897</v>
      </c>
      <c r="G6">
        <f>G5/(1+'Study Parameters'!$C$3) ^'MFSP Baseline'!G2</f>
        <v>1658772.7060976091</v>
      </c>
      <c r="H6">
        <f>H5/(1+'Study Parameters'!$C$3) ^'MFSP Baseline'!H2</f>
        <v>1579783.5296167708</v>
      </c>
      <c r="I6">
        <f>I5/(1+'Study Parameters'!$C$3) ^'MFSP Baseline'!I2</f>
        <v>1504555.7424921624</v>
      </c>
      <c r="J6">
        <f>J5/(1+'Study Parameters'!$C$3) ^'MFSP Baseline'!J2</f>
        <v>1432910.2309449168</v>
      </c>
      <c r="K6">
        <f>K5/(1+'Study Parameters'!$C$3) ^'MFSP Baseline'!K2</f>
        <v>1364676.4104237303</v>
      </c>
      <c r="L6">
        <f>L5/(1+'Study Parameters'!$C$3) ^'MFSP Baseline'!L2</f>
        <v>1299691.8194511717</v>
      </c>
      <c r="M6">
        <f>M5/(1+'Study Parameters'!$C$3) ^'MFSP Baseline'!M2</f>
        <v>1237801.7328106395</v>
      </c>
      <c r="N6">
        <f>N5/(1+'Study Parameters'!$C$3) ^'MFSP Baseline'!N2</f>
        <v>1178858.7931529903</v>
      </c>
      <c r="O6">
        <f>O5/(1+'Study Parameters'!$C$3) ^'MFSP Baseline'!O2</f>
        <v>1122722.6601457046</v>
      </c>
      <c r="P6">
        <f>P5/(1+'Study Parameters'!$C$3) ^'MFSP Baseline'!P2</f>
        <v>1069259.6763292428</v>
      </c>
      <c r="Q6">
        <f>Q5/(1+'Study Parameters'!$C$3) ^'MFSP Baseline'!Q2</f>
        <v>1018342.5488849928</v>
      </c>
      <c r="R6">
        <f>R5/(1+'Study Parameters'!$C$3) ^'MFSP Baseline'!R2</f>
        <v>969850.04655713611</v>
      </c>
      <c r="S6">
        <f>S5/(1+'Study Parameters'!$C$3) ^'MFSP Baseline'!S2</f>
        <v>923666.71100679622</v>
      </c>
      <c r="T6">
        <f>T5/(1+'Study Parameters'!$C$3) ^'MFSP Baseline'!T2</f>
        <v>879682.58191123453</v>
      </c>
      <c r="U6">
        <f>U5/(1+'Study Parameters'!$C$3) ^'MFSP Baseline'!U2</f>
        <v>837792.93515355664</v>
      </c>
      <c r="V6">
        <f>V5/(1+'Study Parameters'!$C$3) ^'MFSP Baseline'!V2</f>
        <v>797898.03347957786</v>
      </c>
      <c r="W6">
        <f>W5/(1+'Study Parameters'!$C$3) ^'MFSP Baseline'!W2</f>
        <v>759902.88902816933</v>
      </c>
      <c r="X6">
        <f>X5/(1+'Study Parameters'!$C$3) ^'MFSP Baseline'!X2</f>
        <v>723717.03716968512</v>
      </c>
      <c r="Y6">
        <f>Y5/(1+'Study Parameters'!$C$3) ^'MFSP Baseline'!Y2</f>
        <v>689254.32111398573</v>
      </c>
      <c r="Z6">
        <f>Z5/(1+'Study Parameters'!$C$3) ^'MFSP Baseline'!Z2</f>
        <v>656432.68677522463</v>
      </c>
      <c r="AA6">
        <f>AA5/(1+'Study Parameters'!$C$3) ^'MFSP Baseline'!AA2</f>
        <v>625173.98740497581</v>
      </c>
      <c r="AB6">
        <f>AB5/(1+'Study Parameters'!$C$3) ^'MFSP Baseline'!AB2</f>
        <v>595403.79752854828</v>
      </c>
      <c r="AC6">
        <f>AC5/(1+'Study Parameters'!$C$3) ^'MFSP Baseline'!AC2</f>
        <v>567051.23574147455</v>
      </c>
      <c r="AD6">
        <f>AD5/(1+'Study Parameters'!$C$3) ^'MFSP Baseline'!AD2</f>
        <v>540048.7959442616</v>
      </c>
      <c r="AE6">
        <f>AE5/(1+'Study Parameters'!$C$3) ^'MFSP Baseline'!AE2</f>
        <v>514332.18661358231</v>
      </c>
      <c r="AF6">
        <f>AF5/(1+'Study Parameters'!$C$3) ^'MFSP Baseline'!AF2</f>
        <v>489840.17772722145</v>
      </c>
    </row>
    <row r="8" spans="1:32" x14ac:dyDescent="0.25">
      <c r="A8" t="s">
        <v>106</v>
      </c>
      <c r="B8">
        <f>SUM(B4:AF4) /SUM(B6:AF6)</f>
        <v>5.0709081677093488</v>
      </c>
    </row>
    <row r="10" spans="1:32" x14ac:dyDescent="0.25">
      <c r="A10" t="s">
        <v>107</v>
      </c>
    </row>
    <row r="11" spans="1:32" x14ac:dyDescent="0.25">
      <c r="A11" t="s">
        <v>1</v>
      </c>
      <c r="B11">
        <v>0</v>
      </c>
      <c r="C11">
        <v>1</v>
      </c>
      <c r="D11">
        <v>2</v>
      </c>
      <c r="E11">
        <v>3</v>
      </c>
      <c r="F11">
        <v>4</v>
      </c>
      <c r="G11">
        <v>5</v>
      </c>
      <c r="H11">
        <v>6</v>
      </c>
      <c r="I11">
        <v>7</v>
      </c>
      <c r="J11">
        <v>8</v>
      </c>
      <c r="K11">
        <v>9</v>
      </c>
      <c r="L11">
        <v>10</v>
      </c>
      <c r="M11">
        <v>11</v>
      </c>
      <c r="N11">
        <v>12</v>
      </c>
      <c r="O11">
        <v>13</v>
      </c>
      <c r="P11">
        <v>14</v>
      </c>
      <c r="Q11">
        <v>15</v>
      </c>
      <c r="R11">
        <v>16</v>
      </c>
      <c r="S11">
        <v>17</v>
      </c>
      <c r="T11">
        <v>18</v>
      </c>
      <c r="U11">
        <v>19</v>
      </c>
      <c r="V11">
        <v>20</v>
      </c>
      <c r="W11">
        <v>21</v>
      </c>
      <c r="X11">
        <v>22</v>
      </c>
      <c r="Y11">
        <v>23</v>
      </c>
      <c r="Z11">
        <v>24</v>
      </c>
      <c r="AA11">
        <v>25</v>
      </c>
      <c r="AB11">
        <v>26</v>
      </c>
      <c r="AC11">
        <v>27</v>
      </c>
      <c r="AD11">
        <v>28</v>
      </c>
      <c r="AE11">
        <v>29</v>
      </c>
      <c r="AF11">
        <v>30</v>
      </c>
    </row>
    <row r="12" spans="1:32" x14ac:dyDescent="0.25">
      <c r="A12" t="s">
        <v>102</v>
      </c>
      <c r="B12">
        <f>'Cost Components'!H11 * 10^6 - 'Cost Components'!H9</f>
        <v>9127577.3675707765</v>
      </c>
      <c r="C12">
        <f>'Cost Components'!$H$27 * 10^6</f>
        <v>2112230.5</v>
      </c>
      <c r="D12">
        <f>'Cost Components'!$H$27 * 10^6</f>
        <v>2112230.5</v>
      </c>
      <c r="E12">
        <f>'Cost Components'!$H$27 * 10^6</f>
        <v>2112230.5</v>
      </c>
      <c r="F12">
        <f>'Cost Components'!$H$27 * 10^6</f>
        <v>2112230.5</v>
      </c>
      <c r="G12">
        <f>'Cost Components'!$H$27 * 10^6</f>
        <v>2112230.5</v>
      </c>
      <c r="H12">
        <f>'Cost Components'!$H$27 * 10^6</f>
        <v>2112230.5</v>
      </c>
      <c r="I12">
        <f>'Cost Components'!$H$27 * 10^6</f>
        <v>2112230.5</v>
      </c>
      <c r="J12">
        <f>'Cost Components'!$H$27 * 10^6</f>
        <v>2112230.5</v>
      </c>
      <c r="K12">
        <f>'Cost Components'!$H$27 * 10^6</f>
        <v>2112230.5</v>
      </c>
      <c r="L12">
        <f>'Cost Components'!$H$27 * 10^6 + 'Cost Components'!H10 * 10^6</f>
        <v>3186230.5</v>
      </c>
      <c r="M12">
        <f>'Cost Components'!$H$27 * 10^6</f>
        <v>2112230.5</v>
      </c>
      <c r="N12">
        <f>'Cost Components'!$H$27 * 10^6</f>
        <v>2112230.5</v>
      </c>
      <c r="O12">
        <f>'Cost Components'!$H$27 * 10^6</f>
        <v>2112230.5</v>
      </c>
      <c r="P12">
        <f>'Cost Components'!$H$27 * 10^6</f>
        <v>2112230.5</v>
      </c>
      <c r="Q12">
        <f>'Cost Components'!$H$27 * 10^6</f>
        <v>2112230.5</v>
      </c>
      <c r="R12">
        <f>'Cost Components'!$H$27 * 10^6</f>
        <v>2112230.5</v>
      </c>
      <c r="S12">
        <f>'Cost Components'!$H$27 * 10^6</f>
        <v>2112230.5</v>
      </c>
      <c r="T12">
        <f>'Cost Components'!$H$27 * 10^6</f>
        <v>2112230.5</v>
      </c>
      <c r="U12">
        <f>'Cost Components'!$H$27 * 10^6</f>
        <v>2112230.5</v>
      </c>
      <c r="V12">
        <f>'Cost Components'!$H$27 * 10^6+ 'Cost Components'!H10 * 10^6</f>
        <v>3186230.5</v>
      </c>
      <c r="W12">
        <f>'Cost Components'!$H$27 * 10^6</f>
        <v>2112230.5</v>
      </c>
      <c r="X12">
        <f>'Cost Components'!$H$27 * 10^6</f>
        <v>2112230.5</v>
      </c>
      <c r="Y12">
        <f>'Cost Components'!$H$27 * 10^6</f>
        <v>2112230.5</v>
      </c>
      <c r="Z12">
        <f>'Cost Components'!$H$27 * 10^6</f>
        <v>2112230.5</v>
      </c>
      <c r="AA12">
        <f>'Cost Components'!$H$27 * 10^6</f>
        <v>2112230.5</v>
      </c>
      <c r="AB12">
        <f>'Cost Components'!$H$27 * 10^6</f>
        <v>2112230.5</v>
      </c>
      <c r="AC12">
        <f>'Cost Components'!$H$27 * 10^6</f>
        <v>2112230.5</v>
      </c>
      <c r="AD12">
        <f>'Cost Components'!$H$27 * 10^6</f>
        <v>2112230.5</v>
      </c>
      <c r="AE12">
        <f>'Cost Components'!$H$27 * 10^6</f>
        <v>2112230.5</v>
      </c>
      <c r="AF12">
        <f>'Cost Components'!$H$27 * 10^6</f>
        <v>2112230.5</v>
      </c>
    </row>
    <row r="13" spans="1:32" x14ac:dyDescent="0.25">
      <c r="A13" t="s">
        <v>103</v>
      </c>
      <c r="B13">
        <f>B12 / (1+'Study Parameters'!$C$3) ^B11</f>
        <v>9127577.3675707765</v>
      </c>
      <c r="C13">
        <f>C12 / (1+'Study Parameters'!$C$3) ^C11</f>
        <v>2011648.0952380951</v>
      </c>
      <c r="D13">
        <f>D12 / (1+'Study Parameters'!$C$3) ^D11</f>
        <v>1915855.3287981858</v>
      </c>
      <c r="E13">
        <f>E12 / (1+'Study Parameters'!$C$3) ^E11</f>
        <v>1824624.1226649387</v>
      </c>
      <c r="F13">
        <f>F12 / (1+'Study Parameters'!$C$3) ^F11</f>
        <v>1737737.2596808942</v>
      </c>
      <c r="G13">
        <f>G12 / (1+'Study Parameters'!$C$3) ^G11</f>
        <v>1654987.8663627564</v>
      </c>
      <c r="H13">
        <f>H12 / (1+'Study Parameters'!$C$3) ^H11</f>
        <v>1576178.9203454824</v>
      </c>
      <c r="I13">
        <f>I12 / (1+'Study Parameters'!$C$3) ^I11</f>
        <v>1501122.7812814114</v>
      </c>
      <c r="J13">
        <f>J12 / (1+'Study Parameters'!$C$3) ^J11</f>
        <v>1429640.7440775349</v>
      </c>
      <c r="K13">
        <f>K12 / (1+'Study Parameters'!$C$3) ^K11</f>
        <v>1361562.613407176</v>
      </c>
      <c r="L13">
        <f>L12 / (1+'Study Parameters'!$C$3) ^L11</f>
        <v>1956069.1327858004</v>
      </c>
      <c r="M13">
        <f>M12 / (1+'Study Parameters'!$C$3) ^M11</f>
        <v>1234977.4271266903</v>
      </c>
      <c r="N13">
        <f>N12 / (1+'Study Parameters'!$C$3) ^N11</f>
        <v>1176168.9782158956</v>
      </c>
      <c r="O13">
        <f>O12 / (1+'Study Parameters'!$C$3) ^O11</f>
        <v>1120160.9316341861</v>
      </c>
      <c r="P13">
        <f>P12 / (1+'Study Parameters'!$C$3) ^P11</f>
        <v>1066819.9348897012</v>
      </c>
      <c r="Q13">
        <f>Q12 / (1+'Study Parameters'!$C$3) ^Q11</f>
        <v>1016018.985609239</v>
      </c>
      <c r="R13">
        <f>R12 / (1+'Study Parameters'!$C$3) ^R11</f>
        <v>967637.12915165629</v>
      </c>
      <c r="S13">
        <f>S12 / (1+'Study Parameters'!$C$3) ^S11</f>
        <v>921559.17062062491</v>
      </c>
      <c r="T13">
        <f>T12 / (1+'Study Parameters'!$C$3) ^T11</f>
        <v>877675.40059107135</v>
      </c>
      <c r="U13">
        <f>U12 / (1+'Study Parameters'!$C$3) ^U11</f>
        <v>835881.33389625838</v>
      </c>
      <c r="V13">
        <f>V12 / (1+'Study Parameters'!$C$3) ^V11</f>
        <v>1200856.7654591822</v>
      </c>
      <c r="W13">
        <f>W12 / (1+'Study Parameters'!$C$3) ^W11</f>
        <v>758169.01033674239</v>
      </c>
      <c r="X13">
        <f>X12 / (1+'Study Parameters'!$C$3) ^X11</f>
        <v>722065.72413023084</v>
      </c>
      <c r="Y13">
        <f>Y12 / (1+'Study Parameters'!$C$3) ^Y11</f>
        <v>687681.64202879113</v>
      </c>
      <c r="Z13">
        <f>Z12 / (1+'Study Parameters'!$C$3) ^Z11</f>
        <v>654934.89717027743</v>
      </c>
      <c r="AA13">
        <f>AA12 / (1+'Study Parameters'!$C$3) ^AA11</f>
        <v>623747.52111454983</v>
      </c>
      <c r="AB13">
        <f>AB12 / (1+'Study Parameters'!$C$3) ^AB11</f>
        <v>594045.25820433325</v>
      </c>
      <c r="AC13">
        <f>AC12 / (1+'Study Parameters'!$C$3) ^AC11</f>
        <v>565757.3887660316</v>
      </c>
      <c r="AD13">
        <f>AD12 / (1+'Study Parameters'!$C$3) ^AD11</f>
        <v>538816.56072955392</v>
      </c>
      <c r="AE13">
        <f>AE12 / (1+'Study Parameters'!$C$3) ^AE11</f>
        <v>513158.62926624174</v>
      </c>
      <c r="AF13">
        <f>AF12 / (1+'Study Parameters'!$C$3) ^AF11</f>
        <v>488722.50406308757</v>
      </c>
    </row>
    <row r="14" spans="1:32" x14ac:dyDescent="0.25">
      <c r="A14" t="s">
        <v>104</v>
      </c>
      <c r="B14">
        <f>'Study Parameters'!$C$24</f>
        <v>2117061.0211706101</v>
      </c>
      <c r="C14">
        <f>'Study Parameters'!$C$24</f>
        <v>2117061.0211706101</v>
      </c>
      <c r="D14">
        <f>'Study Parameters'!$C$24</f>
        <v>2117061.0211706101</v>
      </c>
      <c r="E14">
        <f>'Study Parameters'!$C$24</f>
        <v>2117061.0211706101</v>
      </c>
      <c r="F14">
        <f>'Study Parameters'!$C$24</f>
        <v>2117061.0211706101</v>
      </c>
      <c r="G14">
        <f>'Study Parameters'!$C$24</f>
        <v>2117061.0211706101</v>
      </c>
      <c r="H14">
        <f>'Study Parameters'!$C$24</f>
        <v>2117061.0211706101</v>
      </c>
      <c r="I14">
        <f>'Study Parameters'!$C$24</f>
        <v>2117061.0211706101</v>
      </c>
      <c r="J14">
        <f>'Study Parameters'!$C$24</f>
        <v>2117061.0211706101</v>
      </c>
      <c r="K14">
        <f>'Study Parameters'!$C$24</f>
        <v>2117061.0211706101</v>
      </c>
      <c r="L14">
        <f>'Study Parameters'!$C$24</f>
        <v>2117061.0211706101</v>
      </c>
      <c r="M14">
        <f>'Study Parameters'!$C$24</f>
        <v>2117061.0211706101</v>
      </c>
      <c r="N14">
        <f>'Study Parameters'!$C$24</f>
        <v>2117061.0211706101</v>
      </c>
      <c r="O14">
        <f>'Study Parameters'!$C$24</f>
        <v>2117061.0211706101</v>
      </c>
      <c r="P14">
        <f>'Study Parameters'!$C$24</f>
        <v>2117061.0211706101</v>
      </c>
      <c r="Q14">
        <f>'Study Parameters'!$C$24</f>
        <v>2117061.0211706101</v>
      </c>
      <c r="R14">
        <f>'Study Parameters'!$C$24</f>
        <v>2117061.0211706101</v>
      </c>
      <c r="S14">
        <f>'Study Parameters'!$C$24</f>
        <v>2117061.0211706101</v>
      </c>
      <c r="T14">
        <f>'Study Parameters'!$C$24</f>
        <v>2117061.0211706101</v>
      </c>
      <c r="U14">
        <f>'Study Parameters'!$C$24</f>
        <v>2117061.0211706101</v>
      </c>
      <c r="V14">
        <f>'Study Parameters'!$C$24</f>
        <v>2117061.0211706101</v>
      </c>
      <c r="W14">
        <f>'Study Parameters'!$C$24</f>
        <v>2117061.0211706101</v>
      </c>
      <c r="X14">
        <f>'Study Parameters'!$C$24</f>
        <v>2117061.0211706101</v>
      </c>
      <c r="Y14">
        <f>'Study Parameters'!$C$24</f>
        <v>2117061.0211706101</v>
      </c>
      <c r="Z14">
        <f>'Study Parameters'!$C$24</f>
        <v>2117061.0211706101</v>
      </c>
      <c r="AA14">
        <f>'Study Parameters'!$C$24</f>
        <v>2117061.0211706101</v>
      </c>
      <c r="AB14">
        <f>'Study Parameters'!$C$24</f>
        <v>2117061.0211706101</v>
      </c>
      <c r="AC14">
        <f>'Study Parameters'!$C$24</f>
        <v>2117061.0211706101</v>
      </c>
      <c r="AD14">
        <f>'Study Parameters'!$C$24</f>
        <v>2117061.0211706101</v>
      </c>
      <c r="AE14">
        <f>'Study Parameters'!$C$24</f>
        <v>2117061.0211706101</v>
      </c>
      <c r="AF14">
        <f>'Study Parameters'!$C$24</f>
        <v>2117061.0211706101</v>
      </c>
    </row>
    <row r="15" spans="1:32" x14ac:dyDescent="0.25">
      <c r="A15" t="s">
        <v>105</v>
      </c>
      <c r="B15">
        <f>B14/(1+'Study Parameters'!$C$3) ^'MFSP Baseline'!B11</f>
        <v>2117061.0211706101</v>
      </c>
      <c r="C15">
        <f>C14/(1+'Study Parameters'!$C$3) ^'MFSP Baseline'!C11</f>
        <v>2016248.5915910571</v>
      </c>
      <c r="D15">
        <f>D14/(1+'Study Parameters'!$C$3) ^'MFSP Baseline'!D11</f>
        <v>1920236.753896245</v>
      </c>
      <c r="E15">
        <f>E14/(1+'Study Parameters'!$C$3) ^'MFSP Baseline'!E11</f>
        <v>1828796.9084726141</v>
      </c>
      <c r="F15">
        <f>F14/(1+'Study Parameters'!$C$3) ^'MFSP Baseline'!F11</f>
        <v>1741711.3414024897</v>
      </c>
      <c r="G15">
        <f>G14/(1+'Study Parameters'!$C$3) ^'MFSP Baseline'!G11</f>
        <v>1658772.7060976091</v>
      </c>
      <c r="H15">
        <f>H14/(1+'Study Parameters'!$C$3) ^'MFSP Baseline'!H11</f>
        <v>1579783.5296167708</v>
      </c>
      <c r="I15">
        <f>I14/(1+'Study Parameters'!$C$3) ^'MFSP Baseline'!I11</f>
        <v>1504555.7424921624</v>
      </c>
      <c r="J15">
        <f>J14/(1+'Study Parameters'!$C$3) ^'MFSP Baseline'!J11</f>
        <v>1432910.2309449168</v>
      </c>
      <c r="K15">
        <f>K14/(1+'Study Parameters'!$C$3) ^'MFSP Baseline'!K11</f>
        <v>1364676.4104237303</v>
      </c>
      <c r="L15">
        <f>L14/(1+'Study Parameters'!$C$3) ^'MFSP Baseline'!L11</f>
        <v>1299691.8194511717</v>
      </c>
      <c r="M15">
        <f>M14/(1+'Study Parameters'!$C$3) ^'MFSP Baseline'!M11</f>
        <v>1237801.7328106395</v>
      </c>
      <c r="N15">
        <f>N14/(1+'Study Parameters'!$C$3) ^'MFSP Baseline'!N11</f>
        <v>1178858.7931529903</v>
      </c>
      <c r="O15">
        <f>O14/(1+'Study Parameters'!$C$3) ^'MFSP Baseline'!O11</f>
        <v>1122722.6601457046</v>
      </c>
      <c r="P15">
        <f>P14/(1+'Study Parameters'!$C$3) ^'MFSP Baseline'!P11</f>
        <v>1069259.6763292428</v>
      </c>
      <c r="Q15">
        <f>Q14/(1+'Study Parameters'!$C$3) ^'MFSP Baseline'!Q11</f>
        <v>1018342.5488849928</v>
      </c>
      <c r="R15">
        <f>R14/(1+'Study Parameters'!$C$3) ^'MFSP Baseline'!R11</f>
        <v>969850.04655713611</v>
      </c>
      <c r="S15">
        <f>S14/(1+'Study Parameters'!$C$3) ^'MFSP Baseline'!S11</f>
        <v>923666.71100679622</v>
      </c>
      <c r="T15">
        <f>T14/(1+'Study Parameters'!$C$3) ^'MFSP Baseline'!T11</f>
        <v>879682.58191123453</v>
      </c>
      <c r="U15">
        <f>U14/(1+'Study Parameters'!$C$3) ^'MFSP Baseline'!U11</f>
        <v>837792.93515355664</v>
      </c>
      <c r="V15">
        <f>V14/(1+'Study Parameters'!$C$3) ^'MFSP Baseline'!V11</f>
        <v>797898.03347957786</v>
      </c>
      <c r="W15">
        <f>W14/(1+'Study Parameters'!$C$3) ^'MFSP Baseline'!W11</f>
        <v>759902.88902816933</v>
      </c>
      <c r="X15">
        <f>X14/(1+'Study Parameters'!$C$3) ^'MFSP Baseline'!X11</f>
        <v>723717.03716968512</v>
      </c>
      <c r="Y15">
        <f>Y14/(1+'Study Parameters'!$C$3) ^'MFSP Baseline'!Y11</f>
        <v>689254.32111398573</v>
      </c>
      <c r="Z15">
        <f>Z14/(1+'Study Parameters'!$C$3) ^'MFSP Baseline'!Z11</f>
        <v>656432.68677522463</v>
      </c>
      <c r="AA15">
        <f>AA14/(1+'Study Parameters'!$C$3) ^'MFSP Baseline'!AA11</f>
        <v>625173.98740497581</v>
      </c>
      <c r="AB15">
        <f>AB14/(1+'Study Parameters'!$C$3) ^'MFSP Baseline'!AB11</f>
        <v>595403.79752854828</v>
      </c>
      <c r="AC15">
        <f>AC14/(1+'Study Parameters'!$C$3) ^'MFSP Baseline'!AC11</f>
        <v>567051.23574147455</v>
      </c>
      <c r="AD15">
        <f>AD14/(1+'Study Parameters'!$C$3) ^'MFSP Baseline'!AD11</f>
        <v>540048.7959442616</v>
      </c>
      <c r="AE15">
        <f>AE14/(1+'Study Parameters'!$C$3) ^'MFSP Baseline'!AE11</f>
        <v>514332.18661358231</v>
      </c>
      <c r="AF15">
        <f>AF14/(1+'Study Parameters'!$C$3) ^'MFSP Baseline'!AF11</f>
        <v>489840.17772722145</v>
      </c>
    </row>
    <row r="17" spans="1:2" x14ac:dyDescent="0.25">
      <c r="A17" t="s">
        <v>106</v>
      </c>
      <c r="B17">
        <f>SUM(B13:AF13) /SUM(B15:AF15)</f>
        <v>1.2308147840827726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7"/>
  <sheetViews>
    <sheetView workbookViewId="0">
      <selection activeCell="B3" sqref="B3"/>
    </sheetView>
  </sheetViews>
  <sheetFormatPr defaultColWidth="11.25" defaultRowHeight="15.75" x14ac:dyDescent="0.25"/>
  <cols>
    <col min="1" max="1" width="26.75" bestFit="1" customWidth="1"/>
    <col min="2" max="11" width="12.25" bestFit="1" customWidth="1"/>
    <col min="12" max="12" width="14.5" bestFit="1" customWidth="1"/>
    <col min="13" max="32" width="12.25" bestFit="1" customWidth="1"/>
  </cols>
  <sheetData>
    <row r="1" spans="1:32" x14ac:dyDescent="0.25">
      <c r="A1" t="s">
        <v>101</v>
      </c>
    </row>
    <row r="2" spans="1:32" x14ac:dyDescent="0.25">
      <c r="A2" t="s">
        <v>1</v>
      </c>
      <c r="B2">
        <v>0</v>
      </c>
      <c r="C2">
        <v>1</v>
      </c>
      <c r="D2">
        <v>2</v>
      </c>
      <c r="E2">
        <v>3</v>
      </c>
      <c r="F2">
        <v>4</v>
      </c>
      <c r="G2">
        <v>5</v>
      </c>
      <c r="H2">
        <v>6</v>
      </c>
      <c r="I2">
        <v>7</v>
      </c>
      <c r="J2">
        <v>8</v>
      </c>
      <c r="K2">
        <v>9</v>
      </c>
      <c r="L2">
        <v>10</v>
      </c>
      <c r="M2">
        <v>11</v>
      </c>
      <c r="N2">
        <v>12</v>
      </c>
      <c r="O2">
        <v>13</v>
      </c>
      <c r="P2">
        <v>14</v>
      </c>
      <c r="Q2">
        <v>15</v>
      </c>
      <c r="R2">
        <v>16</v>
      </c>
      <c r="S2">
        <v>17</v>
      </c>
      <c r="T2">
        <v>18</v>
      </c>
      <c r="U2">
        <v>19</v>
      </c>
      <c r="V2">
        <v>20</v>
      </c>
      <c r="W2">
        <v>21</v>
      </c>
      <c r="X2">
        <v>22</v>
      </c>
      <c r="Y2">
        <v>23</v>
      </c>
      <c r="Z2">
        <v>24</v>
      </c>
      <c r="AA2">
        <v>25</v>
      </c>
      <c r="AB2">
        <v>26</v>
      </c>
      <c r="AC2">
        <v>27</v>
      </c>
      <c r="AD2">
        <v>28</v>
      </c>
      <c r="AE2">
        <v>29</v>
      </c>
      <c r="AF2">
        <v>30</v>
      </c>
    </row>
    <row r="3" spans="1:32" x14ac:dyDescent="0.25">
      <c r="A3" t="s">
        <v>102</v>
      </c>
      <c r="B3">
        <f>'Cost Components'!B11 * 10^6</f>
        <v>24927592.625570774</v>
      </c>
      <c r="C3" s="4">
        <f>'Cost Components'!$B$29 * 10^6</f>
        <v>13098218.875</v>
      </c>
      <c r="D3" s="4">
        <f>'Cost Components'!$B$29 * 10^6</f>
        <v>13098218.875</v>
      </c>
      <c r="E3" s="4">
        <f>'Cost Components'!$B$29 * 10^6</f>
        <v>13098218.875</v>
      </c>
      <c r="F3" s="4">
        <f>'Cost Components'!$B$29 * 10^6</f>
        <v>13098218.875</v>
      </c>
      <c r="G3" s="4">
        <f>'Cost Components'!$B$29 * 10^6</f>
        <v>13098218.875</v>
      </c>
      <c r="H3" s="4">
        <f>'Cost Components'!$B$29 * 10^6</f>
        <v>13098218.875</v>
      </c>
      <c r="I3" s="4">
        <f>'Cost Components'!$B$29 * 10^6</f>
        <v>13098218.875</v>
      </c>
      <c r="J3" s="4">
        <f>'Cost Components'!$B$29 * 10^6</f>
        <v>13098218.875</v>
      </c>
      <c r="K3" s="4">
        <f>'Cost Components'!$B$29 * 10^6</f>
        <v>13098218.875</v>
      </c>
      <c r="L3" s="4">
        <f>'Cost Components'!$B$29 * 10^6 + 'Cost Components'!B10 * 10^6</f>
        <v>17390858.875</v>
      </c>
      <c r="M3" s="4">
        <f>'Cost Components'!$B$29 * 10^6</f>
        <v>13098218.875</v>
      </c>
      <c r="N3" s="4">
        <f>'Cost Components'!$B$29 * 10^6</f>
        <v>13098218.875</v>
      </c>
      <c r="O3" s="4">
        <f>'Cost Components'!$B$29 * 10^6</f>
        <v>13098218.875</v>
      </c>
      <c r="P3" s="4">
        <f>'Cost Components'!$B$29 * 10^6</f>
        <v>13098218.875</v>
      </c>
      <c r="Q3" s="4">
        <f>'Cost Components'!$B$29 * 10^6</f>
        <v>13098218.875</v>
      </c>
      <c r="R3" s="4">
        <f>'Cost Components'!$B$29 * 10^6</f>
        <v>13098218.875</v>
      </c>
      <c r="S3" s="4">
        <f>'Cost Components'!$B$29 * 10^6</f>
        <v>13098218.875</v>
      </c>
      <c r="T3" s="4">
        <f>'Cost Components'!$B$29 * 10^6</f>
        <v>13098218.875</v>
      </c>
      <c r="U3" s="4">
        <f>'Cost Components'!$B$29 * 10^6</f>
        <v>13098218.875</v>
      </c>
      <c r="V3">
        <f>'Cost Components'!$B$29 * 10^6 + 'Cost Components'!B10 * 10^6</f>
        <v>17390858.875</v>
      </c>
      <c r="W3" s="4">
        <f>'Cost Components'!$B$29 * 10^6</f>
        <v>13098218.875</v>
      </c>
      <c r="X3" s="4">
        <f>'Cost Components'!$B$29 * 10^6</f>
        <v>13098218.875</v>
      </c>
      <c r="Y3" s="4">
        <f>'Cost Components'!$B$29 * 10^6</f>
        <v>13098218.875</v>
      </c>
      <c r="Z3" s="4">
        <f>'Cost Components'!$B$29 * 10^6</f>
        <v>13098218.875</v>
      </c>
      <c r="AA3" s="4">
        <f>'Cost Components'!$B$29 * 10^6</f>
        <v>13098218.875</v>
      </c>
      <c r="AB3" s="4">
        <f>'Cost Components'!$B$29 * 10^6</f>
        <v>13098218.875</v>
      </c>
      <c r="AC3" s="4">
        <f>'Cost Components'!$B$29 * 10^6</f>
        <v>13098218.875</v>
      </c>
      <c r="AD3" s="4">
        <f>'Cost Components'!$B$29 * 10^6</f>
        <v>13098218.875</v>
      </c>
      <c r="AE3" s="4">
        <f>'Cost Components'!$B$29 * 10^6</f>
        <v>13098218.875</v>
      </c>
      <c r="AF3" s="4">
        <f>'Cost Components'!$B$29 * 10^6</f>
        <v>13098218.875</v>
      </c>
    </row>
    <row r="4" spans="1:32" x14ac:dyDescent="0.25">
      <c r="A4" t="s">
        <v>103</v>
      </c>
      <c r="B4">
        <f>B3 / (1+'Study Parameters'!$C$3) ^B2</f>
        <v>24927592.625570774</v>
      </c>
      <c r="C4">
        <f>C3 / (1+'Study Parameters'!$C$3) ^C2</f>
        <v>12474494.166666666</v>
      </c>
      <c r="D4">
        <f>D3 / (1+'Study Parameters'!$C$3) ^D2</f>
        <v>11880470.634920634</v>
      </c>
      <c r="E4">
        <f>E3 / (1+'Study Parameters'!$C$3) ^E2</f>
        <v>11314733.938019652</v>
      </c>
      <c r="F4">
        <f>F3 / (1+'Study Parameters'!$C$3) ^F2</f>
        <v>10775937.083828241</v>
      </c>
      <c r="G4">
        <f>G3 / (1+'Study Parameters'!$C$3) ^G2</f>
        <v>10262797.222693561</v>
      </c>
      <c r="H4">
        <f>H3 / (1+'Study Parameters'!$C$3) ^H2</f>
        <v>9774092.5930414889</v>
      </c>
      <c r="I4">
        <f>I3 / (1+'Study Parameters'!$C$3) ^I2</f>
        <v>9308659.6124204621</v>
      </c>
      <c r="J4">
        <f>J3 / (1+'Study Parameters'!$C$3) ^J2</f>
        <v>8865390.1070671082</v>
      </c>
      <c r="K4">
        <f>K3 / (1+'Study Parameters'!$C$3) ^K2</f>
        <v>8443228.6733972467</v>
      </c>
      <c r="L4">
        <f>L3 / (1+'Study Parameters'!$C$3) ^L2</f>
        <v>10676478.75381944</v>
      </c>
      <c r="M4">
        <f>M3 / (1+'Study Parameters'!$C$3) ^M2</f>
        <v>7658257.3001335561</v>
      </c>
      <c r="N4">
        <f>N3 / (1+'Study Parameters'!$C$3) ^N2</f>
        <v>7293578.3810795778</v>
      </c>
      <c r="O4">
        <f>O3 / (1+'Study Parameters'!$C$3) ^O2</f>
        <v>6946265.1248376919</v>
      </c>
      <c r="P4">
        <f>P3 / (1+'Study Parameters'!$C$3) ^P2</f>
        <v>6615490.595083518</v>
      </c>
      <c r="Q4">
        <f>Q3 / (1+'Study Parameters'!$C$3) ^Q2</f>
        <v>6300467.2334128721</v>
      </c>
      <c r="R4">
        <f>R3 / (1+'Study Parameters'!$C$3) ^R2</f>
        <v>6000444.9842027361</v>
      </c>
      <c r="S4">
        <f>S3 / (1+'Study Parameters'!$C$3) ^S2</f>
        <v>5714709.50876451</v>
      </c>
      <c r="T4">
        <f>T3 / (1+'Study Parameters'!$C$3) ^T2</f>
        <v>5442580.4845376285</v>
      </c>
      <c r="U4">
        <f>U3 / (1+'Study Parameters'!$C$3) ^U2</f>
        <v>5183409.9852739321</v>
      </c>
      <c r="V4">
        <f>V3 / (1+'Study Parameters'!$C$3) ^V2</f>
        <v>6554431.808116083</v>
      </c>
      <c r="W4">
        <f>W3 / (1+'Study Parameters'!$C$3) ^W2</f>
        <v>4701505.6555772629</v>
      </c>
      <c r="X4">
        <f>X3 / (1+'Study Parameters'!$C$3) ^X2</f>
        <v>4477624.4338831073</v>
      </c>
      <c r="Y4">
        <f>Y3 / (1+'Study Parameters'!$C$3) ^Y2</f>
        <v>4264404.2227458162</v>
      </c>
      <c r="Z4">
        <f>Z3 / (1+'Study Parameters'!$C$3) ^Z2</f>
        <v>4061337.3549960158</v>
      </c>
      <c r="AA4">
        <f>AA3 / (1+'Study Parameters'!$C$3) ^AA2</f>
        <v>3867940.3380914433</v>
      </c>
      <c r="AB4">
        <f>AB3 / (1+'Study Parameters'!$C$3) ^AB2</f>
        <v>3683752.7029442317</v>
      </c>
      <c r="AC4">
        <f>AC3 / (1+'Study Parameters'!$C$3) ^AC2</f>
        <v>3508335.9075659346</v>
      </c>
      <c r="AD4">
        <f>AD3 / (1+'Study Parameters'!$C$3) ^AD2</f>
        <v>3341272.292919938</v>
      </c>
      <c r="AE4">
        <f>AE3 / (1+'Study Parameters'!$C$3) ^AE2</f>
        <v>3182164.0884951786</v>
      </c>
      <c r="AF4">
        <f>AF3 / (1+'Study Parameters'!$C$3) ^AF2</f>
        <v>3030632.4652335043</v>
      </c>
    </row>
    <row r="5" spans="1:32" x14ac:dyDescent="0.25">
      <c r="A5" t="s">
        <v>104</v>
      </c>
      <c r="B5">
        <f>'Study Parameters'!$C$24</f>
        <v>2117061.0211706101</v>
      </c>
      <c r="C5">
        <f>'Study Parameters'!$C$24</f>
        <v>2117061.0211706101</v>
      </c>
      <c r="D5">
        <f>'Study Parameters'!$C$24</f>
        <v>2117061.0211706101</v>
      </c>
      <c r="E5">
        <f>'Study Parameters'!$C$24</f>
        <v>2117061.0211706101</v>
      </c>
      <c r="F5">
        <f>'Study Parameters'!$C$24</f>
        <v>2117061.0211706101</v>
      </c>
      <c r="G5">
        <f>'Study Parameters'!$C$24</f>
        <v>2117061.0211706101</v>
      </c>
      <c r="H5">
        <f>'Study Parameters'!$C$24</f>
        <v>2117061.0211706101</v>
      </c>
      <c r="I5">
        <f>'Study Parameters'!$C$24</f>
        <v>2117061.0211706101</v>
      </c>
      <c r="J5">
        <f>'Study Parameters'!$C$24</f>
        <v>2117061.0211706101</v>
      </c>
      <c r="K5">
        <f>'Study Parameters'!$C$24</f>
        <v>2117061.0211706101</v>
      </c>
      <c r="L5">
        <f>'Study Parameters'!$C$24</f>
        <v>2117061.0211706101</v>
      </c>
      <c r="M5">
        <f>'Study Parameters'!$C$24</f>
        <v>2117061.0211706101</v>
      </c>
      <c r="N5">
        <f>'Study Parameters'!$C$24</f>
        <v>2117061.0211706101</v>
      </c>
      <c r="O5">
        <f>'Study Parameters'!$C$24</f>
        <v>2117061.0211706101</v>
      </c>
      <c r="P5">
        <f>'Study Parameters'!$C$24</f>
        <v>2117061.0211706101</v>
      </c>
      <c r="Q5">
        <f>'Study Parameters'!$C$24</f>
        <v>2117061.0211706101</v>
      </c>
      <c r="R5">
        <f>'Study Parameters'!$C$24</f>
        <v>2117061.0211706101</v>
      </c>
      <c r="S5">
        <f>'Study Parameters'!$C$24</f>
        <v>2117061.0211706101</v>
      </c>
      <c r="T5">
        <f>'Study Parameters'!$C$24</f>
        <v>2117061.0211706101</v>
      </c>
      <c r="U5">
        <f>'Study Parameters'!$C$24</f>
        <v>2117061.0211706101</v>
      </c>
      <c r="V5">
        <f>'Study Parameters'!$C$24</f>
        <v>2117061.0211706101</v>
      </c>
      <c r="W5">
        <f>'Study Parameters'!$C$24</f>
        <v>2117061.0211706101</v>
      </c>
      <c r="X5">
        <f>'Study Parameters'!$C$24</f>
        <v>2117061.0211706101</v>
      </c>
      <c r="Y5">
        <f>'Study Parameters'!$C$24</f>
        <v>2117061.0211706101</v>
      </c>
      <c r="Z5">
        <f>'Study Parameters'!$C$24</f>
        <v>2117061.0211706101</v>
      </c>
      <c r="AA5">
        <f>'Study Parameters'!$C$24</f>
        <v>2117061.0211706101</v>
      </c>
      <c r="AB5">
        <f>'Study Parameters'!$C$24</f>
        <v>2117061.0211706101</v>
      </c>
      <c r="AC5">
        <f>'Study Parameters'!$C$24</f>
        <v>2117061.0211706101</v>
      </c>
      <c r="AD5">
        <f>'Study Parameters'!$C$24</f>
        <v>2117061.0211706101</v>
      </c>
      <c r="AE5">
        <f>'Study Parameters'!$C$24</f>
        <v>2117061.0211706101</v>
      </c>
      <c r="AF5">
        <f>'Study Parameters'!$C$24</f>
        <v>2117061.0211706101</v>
      </c>
    </row>
    <row r="6" spans="1:32" x14ac:dyDescent="0.25">
      <c r="A6" t="s">
        <v>105</v>
      </c>
      <c r="B6">
        <f>B5/(1+'Study Parameters'!$C$3) ^'MFSP Baseline'!B2</f>
        <v>2117061.0211706101</v>
      </c>
      <c r="C6">
        <f>C5/(1+'Study Parameters'!$C$3) ^'MFSP Baseline'!C2</f>
        <v>2016248.5915910571</v>
      </c>
      <c r="D6">
        <f>D5/(1+'Study Parameters'!$C$3) ^'MFSP Baseline'!D2</f>
        <v>1920236.753896245</v>
      </c>
      <c r="E6">
        <f>E5/(1+'Study Parameters'!$C$3) ^'MFSP Baseline'!E2</f>
        <v>1828796.9084726141</v>
      </c>
      <c r="F6">
        <f>F5/(1+'Study Parameters'!$C$3) ^'MFSP Baseline'!F2</f>
        <v>1741711.3414024897</v>
      </c>
      <c r="G6">
        <f>G5/(1+'Study Parameters'!$C$3) ^'MFSP Baseline'!G2</f>
        <v>1658772.7060976091</v>
      </c>
      <c r="H6">
        <f>H5/(1+'Study Parameters'!$C$3) ^'MFSP Baseline'!H2</f>
        <v>1579783.5296167708</v>
      </c>
      <c r="I6">
        <f>I5/(1+'Study Parameters'!$C$3) ^'MFSP Baseline'!I2</f>
        <v>1504555.7424921624</v>
      </c>
      <c r="J6">
        <f>J5/(1+'Study Parameters'!$C$3) ^'MFSP Baseline'!J2</f>
        <v>1432910.2309449168</v>
      </c>
      <c r="K6">
        <f>K5/(1+'Study Parameters'!$C$3) ^'MFSP Baseline'!K2</f>
        <v>1364676.4104237303</v>
      </c>
      <c r="L6">
        <f>L5/(1+'Study Parameters'!$C$3) ^'MFSP Baseline'!L2</f>
        <v>1299691.8194511717</v>
      </c>
      <c r="M6">
        <f>M5/(1+'Study Parameters'!$C$3) ^'MFSP Baseline'!M2</f>
        <v>1237801.7328106395</v>
      </c>
      <c r="N6">
        <f>N5/(1+'Study Parameters'!$C$3) ^'MFSP Baseline'!N2</f>
        <v>1178858.7931529903</v>
      </c>
      <c r="O6">
        <f>O5/(1+'Study Parameters'!$C$3) ^'MFSP Baseline'!O2</f>
        <v>1122722.6601457046</v>
      </c>
      <c r="P6">
        <f>P5/(1+'Study Parameters'!$C$3) ^'MFSP Baseline'!P2</f>
        <v>1069259.6763292428</v>
      </c>
      <c r="Q6">
        <f>Q5/(1+'Study Parameters'!$C$3) ^'MFSP Baseline'!Q2</f>
        <v>1018342.5488849928</v>
      </c>
      <c r="R6">
        <f>R5/(1+'Study Parameters'!$C$3) ^'MFSP Baseline'!R2</f>
        <v>969850.04655713611</v>
      </c>
      <c r="S6">
        <f>S5/(1+'Study Parameters'!$C$3) ^'MFSP Baseline'!S2</f>
        <v>923666.71100679622</v>
      </c>
      <c r="T6">
        <f>T5/(1+'Study Parameters'!$C$3) ^'MFSP Baseline'!T2</f>
        <v>879682.58191123453</v>
      </c>
      <c r="U6">
        <f>U5/(1+'Study Parameters'!$C$3) ^'MFSP Baseline'!U2</f>
        <v>837792.93515355664</v>
      </c>
      <c r="V6">
        <f>V5/(1+'Study Parameters'!$C$3) ^'MFSP Baseline'!V2</f>
        <v>797898.03347957786</v>
      </c>
      <c r="W6">
        <f>W5/(1+'Study Parameters'!$C$3) ^'MFSP Baseline'!W2</f>
        <v>759902.88902816933</v>
      </c>
      <c r="X6">
        <f>X5/(1+'Study Parameters'!$C$3) ^'MFSP Baseline'!X2</f>
        <v>723717.03716968512</v>
      </c>
      <c r="Y6">
        <f>Y5/(1+'Study Parameters'!$C$3) ^'MFSP Baseline'!Y2</f>
        <v>689254.32111398573</v>
      </c>
      <c r="Z6">
        <f>Z5/(1+'Study Parameters'!$C$3) ^'MFSP Baseline'!Z2</f>
        <v>656432.68677522463</v>
      </c>
      <c r="AA6">
        <f>AA5/(1+'Study Parameters'!$C$3) ^'MFSP Baseline'!AA2</f>
        <v>625173.98740497581</v>
      </c>
      <c r="AB6">
        <f>AB5/(1+'Study Parameters'!$C$3) ^'MFSP Baseline'!AB2</f>
        <v>595403.79752854828</v>
      </c>
      <c r="AC6">
        <f>AC5/(1+'Study Parameters'!$C$3) ^'MFSP Baseline'!AC2</f>
        <v>567051.23574147455</v>
      </c>
      <c r="AD6">
        <f>AD5/(1+'Study Parameters'!$C$3) ^'MFSP Baseline'!AD2</f>
        <v>540048.7959442616</v>
      </c>
      <c r="AE6">
        <f>AE5/(1+'Study Parameters'!$C$3) ^'MFSP Baseline'!AE2</f>
        <v>514332.18661358231</v>
      </c>
      <c r="AF6">
        <f>AF5/(1+'Study Parameters'!$C$3) ^'MFSP Baseline'!AF2</f>
        <v>489840.17772722145</v>
      </c>
    </row>
    <row r="8" spans="1:32" x14ac:dyDescent="0.25">
      <c r="A8" t="s">
        <v>106</v>
      </c>
      <c r="B8">
        <f>SUM(B4:AF4) /SUM(B6:AF6)</f>
        <v>6.6509708850468314</v>
      </c>
    </row>
    <row r="10" spans="1:32" x14ac:dyDescent="0.25">
      <c r="A10" t="s">
        <v>107</v>
      </c>
    </row>
    <row r="11" spans="1:32" x14ac:dyDescent="0.25">
      <c r="A11" t="s">
        <v>1</v>
      </c>
      <c r="B11">
        <v>0</v>
      </c>
      <c r="C11">
        <v>1</v>
      </c>
      <c r="D11">
        <v>2</v>
      </c>
      <c r="E11">
        <v>3</v>
      </c>
      <c r="F11">
        <v>4</v>
      </c>
      <c r="G11">
        <v>5</v>
      </c>
      <c r="H11">
        <v>6</v>
      </c>
      <c r="I11">
        <v>7</v>
      </c>
      <c r="J11">
        <v>8</v>
      </c>
      <c r="K11">
        <v>9</v>
      </c>
      <c r="L11">
        <v>10</v>
      </c>
      <c r="M11">
        <v>11</v>
      </c>
      <c r="N11">
        <v>12</v>
      </c>
      <c r="O11">
        <v>13</v>
      </c>
      <c r="P11">
        <v>14</v>
      </c>
      <c r="Q11">
        <v>15</v>
      </c>
      <c r="R11">
        <v>16</v>
      </c>
      <c r="S11">
        <v>17</v>
      </c>
      <c r="T11">
        <v>18</v>
      </c>
      <c r="U11">
        <v>19</v>
      </c>
      <c r="V11">
        <v>20</v>
      </c>
      <c r="W11">
        <v>21</v>
      </c>
      <c r="X11">
        <v>22</v>
      </c>
      <c r="Y11">
        <v>23</v>
      </c>
      <c r="Z11">
        <v>24</v>
      </c>
      <c r="AA11">
        <v>25</v>
      </c>
      <c r="AB11">
        <v>26</v>
      </c>
      <c r="AC11">
        <v>27</v>
      </c>
      <c r="AD11">
        <v>28</v>
      </c>
      <c r="AE11">
        <v>29</v>
      </c>
      <c r="AF11">
        <v>30</v>
      </c>
    </row>
    <row r="12" spans="1:32" x14ac:dyDescent="0.25">
      <c r="A12" t="s">
        <v>102</v>
      </c>
      <c r="B12">
        <f>'Cost Components'!H11 * 10^6</f>
        <v>9127577.6255707759</v>
      </c>
      <c r="C12">
        <f>'Cost Components'!$H$29 * 10^6</f>
        <v>4098998.5000000005</v>
      </c>
      <c r="D12">
        <f>'Cost Components'!$H$29 * 10^6</f>
        <v>4098998.5000000005</v>
      </c>
      <c r="E12">
        <f>'Cost Components'!$H$29 * 10^6</f>
        <v>4098998.5000000005</v>
      </c>
      <c r="F12">
        <f>'Cost Components'!$H$29 * 10^6</f>
        <v>4098998.5000000005</v>
      </c>
      <c r="G12">
        <f>'Cost Components'!$H$29 * 10^6</f>
        <v>4098998.5000000005</v>
      </c>
      <c r="H12">
        <f>'Cost Components'!$H$29 * 10^6</f>
        <v>4098998.5000000005</v>
      </c>
      <c r="I12">
        <f>'Cost Components'!$H$29 * 10^6</f>
        <v>4098998.5000000005</v>
      </c>
      <c r="J12">
        <f>'Cost Components'!$H$29 * 10^6</f>
        <v>4098998.5000000005</v>
      </c>
      <c r="K12">
        <f>'Cost Components'!$H$29 * 10^6</f>
        <v>4098998.5000000005</v>
      </c>
      <c r="L12">
        <f>'Cost Components'!$H$29 * 10^6 + 'Cost Components'!H10 * 10^6</f>
        <v>5172998.5</v>
      </c>
      <c r="M12">
        <f>'Cost Components'!$H$29 * 10^6</f>
        <v>4098998.5000000005</v>
      </c>
      <c r="N12">
        <f>'Cost Components'!$H$29 * 10^6</f>
        <v>4098998.5000000005</v>
      </c>
      <c r="O12">
        <f>'Cost Components'!$H$29 * 10^6</f>
        <v>4098998.5000000005</v>
      </c>
      <c r="P12">
        <f>'Cost Components'!$H$29 * 10^6</f>
        <v>4098998.5000000005</v>
      </c>
      <c r="Q12">
        <f>'Cost Components'!$H$29 * 10^6</f>
        <v>4098998.5000000005</v>
      </c>
      <c r="R12">
        <f>'Cost Components'!$H$29 * 10^6</f>
        <v>4098998.5000000005</v>
      </c>
      <c r="S12">
        <f>'Cost Components'!$H$29 * 10^6</f>
        <v>4098998.5000000005</v>
      </c>
      <c r="T12">
        <f>'Cost Components'!$H$29 * 10^6</f>
        <v>4098998.5000000005</v>
      </c>
      <c r="U12">
        <f>'Cost Components'!$H$29 * 10^6</f>
        <v>4098998.5000000005</v>
      </c>
      <c r="V12">
        <f>'Cost Components'!$H$29 * 10^6+ 'Cost Components'!H10 * 10^6</f>
        <v>5172998.5</v>
      </c>
      <c r="W12">
        <f>'Cost Components'!$H$29 * 10^6</f>
        <v>4098998.5000000005</v>
      </c>
      <c r="X12">
        <f>'Cost Components'!$H$29 * 10^6</f>
        <v>4098998.5000000005</v>
      </c>
      <c r="Y12">
        <f>'Cost Components'!$H$29 * 10^6</f>
        <v>4098998.5000000005</v>
      </c>
      <c r="Z12">
        <f>'Cost Components'!$H$29 * 10^6</f>
        <v>4098998.5000000005</v>
      </c>
      <c r="AA12">
        <f>'Cost Components'!$H$29 * 10^6</f>
        <v>4098998.5000000005</v>
      </c>
      <c r="AB12">
        <f>'Cost Components'!$H$29 * 10^6</f>
        <v>4098998.5000000005</v>
      </c>
      <c r="AC12">
        <f>'Cost Components'!$H$29 * 10^6</f>
        <v>4098998.5000000005</v>
      </c>
      <c r="AD12">
        <f>'Cost Components'!$H$29 * 10^6</f>
        <v>4098998.5000000005</v>
      </c>
      <c r="AE12">
        <f>'Cost Components'!$H$29 * 10^6</f>
        <v>4098998.5000000005</v>
      </c>
      <c r="AF12">
        <f>'Cost Components'!$H$29 * 10^6</f>
        <v>4098998.5000000005</v>
      </c>
    </row>
    <row r="13" spans="1:32" x14ac:dyDescent="0.25">
      <c r="A13" t="s">
        <v>103</v>
      </c>
      <c r="B13">
        <f>B12 / (1+'Study Parameters'!$C$3) ^B11</f>
        <v>9127577.6255707759</v>
      </c>
      <c r="C13">
        <f>C12 / (1+'Study Parameters'!$C$3) ^C11</f>
        <v>3903808.0952380956</v>
      </c>
      <c r="D13">
        <f>D12 / (1+'Study Parameters'!$C$3) ^D11</f>
        <v>3717912.4716553292</v>
      </c>
      <c r="E13">
        <f>E12 / (1+'Study Parameters'!$C$3) ^E11</f>
        <v>3540869.0206241226</v>
      </c>
      <c r="F13">
        <f>F12 / (1+'Study Parameters'!$C$3) ^F11</f>
        <v>3372256.2101182123</v>
      </c>
      <c r="G13">
        <f>G12 / (1+'Study Parameters'!$C$3) ^G11</f>
        <v>3211672.5810649637</v>
      </c>
      <c r="H13">
        <f>H12 / (1+'Study Parameters'!$C$3) ^H11</f>
        <v>3058735.7914904421</v>
      </c>
      <c r="I13">
        <f>I12 / (1+'Study Parameters'!$C$3) ^I11</f>
        <v>2913081.706181373</v>
      </c>
      <c r="J13">
        <f>J12 / (1+'Study Parameters'!$C$3) ^J11</f>
        <v>2774363.529696546</v>
      </c>
      <c r="K13">
        <f>K12 / (1+'Study Parameters'!$C$3) ^K11</f>
        <v>2642250.9806633769</v>
      </c>
      <c r="L13">
        <f>L12 / (1+'Study Parameters'!$C$3) ^L11</f>
        <v>3175772.3396964674</v>
      </c>
      <c r="M13">
        <f>M12 / (1+'Study Parameters'!$C$3) ^M11</f>
        <v>2396599.5289463736</v>
      </c>
      <c r="N13">
        <f>N12 / (1+'Study Parameters'!$C$3) ^N11</f>
        <v>2282475.7418536893</v>
      </c>
      <c r="O13">
        <f>O12 / (1+'Study Parameters'!$C$3) ^O11</f>
        <v>2173786.4208130371</v>
      </c>
      <c r="P13">
        <f>P12 / (1+'Study Parameters'!$C$3) ^P11</f>
        <v>2070272.7817267026</v>
      </c>
      <c r="Q13">
        <f>Q12 / (1+'Study Parameters'!$C$3) ^Q11</f>
        <v>1971688.3635492399</v>
      </c>
      <c r="R13">
        <f>R12 / (1+'Study Parameters'!$C$3) ^R11</f>
        <v>1877798.4414754668</v>
      </c>
      <c r="S13">
        <f>S12 / (1+'Study Parameters'!$C$3) ^S11</f>
        <v>1788379.4680718728</v>
      </c>
      <c r="T13">
        <f>T12 / (1+'Study Parameters'!$C$3) ^T11</f>
        <v>1703218.5410208313</v>
      </c>
      <c r="U13">
        <f>U12 / (1+'Study Parameters'!$C$3) ^U11</f>
        <v>1622112.8962103154</v>
      </c>
      <c r="V13">
        <f>V12 / (1+'Study Parameters'!$C$3) ^V11</f>
        <v>1949648.7295678079</v>
      </c>
      <c r="W13">
        <f>W12 / (1+'Study Parameters'!$C$3) ^W11</f>
        <v>1471304.2142497194</v>
      </c>
      <c r="X13">
        <f>X12 / (1+'Study Parameters'!$C$3) ^X11</f>
        <v>1401242.1088092567</v>
      </c>
      <c r="Y13">
        <f>Y12 / (1+'Study Parameters'!$C$3) ^Y11</f>
        <v>1334516.2941040536</v>
      </c>
      <c r="Z13">
        <f>Z12 / (1+'Study Parameters'!$C$3) ^Z11</f>
        <v>1270967.899146718</v>
      </c>
      <c r="AA13">
        <f>AA12 / (1+'Study Parameters'!$C$3) ^AA11</f>
        <v>1210445.6182349694</v>
      </c>
      <c r="AB13">
        <f>AB12 / (1+'Study Parameters'!$C$3) ^AB11</f>
        <v>1152805.350699971</v>
      </c>
      <c r="AC13">
        <f>AC12 / (1+'Study Parameters'!$C$3) ^AC11</f>
        <v>1097909.8578094959</v>
      </c>
      <c r="AD13">
        <f>AD12 / (1+'Study Parameters'!$C$3) ^AD11</f>
        <v>1045628.4360090439</v>
      </c>
      <c r="AE13">
        <f>AE12 / (1+'Study Parameters'!$C$3) ^AE11</f>
        <v>995836.60572289873</v>
      </c>
      <c r="AF13">
        <f>AF12 / (1+'Study Parameters'!$C$3) ^AF11</f>
        <v>948415.81497418962</v>
      </c>
    </row>
    <row r="14" spans="1:32" x14ac:dyDescent="0.25">
      <c r="A14" t="s">
        <v>104</v>
      </c>
      <c r="B14">
        <f>'Study Parameters'!$C$24</f>
        <v>2117061.0211706101</v>
      </c>
      <c r="C14">
        <f>'Study Parameters'!$C$24</f>
        <v>2117061.0211706101</v>
      </c>
      <c r="D14">
        <f>'Study Parameters'!$C$24</f>
        <v>2117061.0211706101</v>
      </c>
      <c r="E14">
        <f>'Study Parameters'!$C$24</f>
        <v>2117061.0211706101</v>
      </c>
      <c r="F14">
        <f>'Study Parameters'!$C$24</f>
        <v>2117061.0211706101</v>
      </c>
      <c r="G14">
        <f>'Study Parameters'!$C$24</f>
        <v>2117061.0211706101</v>
      </c>
      <c r="H14">
        <f>'Study Parameters'!$C$24</f>
        <v>2117061.0211706101</v>
      </c>
      <c r="I14">
        <f>'Study Parameters'!$C$24</f>
        <v>2117061.0211706101</v>
      </c>
      <c r="J14">
        <f>'Study Parameters'!$C$24</f>
        <v>2117061.0211706101</v>
      </c>
      <c r="K14">
        <f>'Study Parameters'!$C$24</f>
        <v>2117061.0211706101</v>
      </c>
      <c r="L14">
        <f>'Study Parameters'!$C$24</f>
        <v>2117061.0211706101</v>
      </c>
      <c r="M14">
        <f>'Study Parameters'!$C$24</f>
        <v>2117061.0211706101</v>
      </c>
      <c r="N14">
        <f>'Study Parameters'!$C$24</f>
        <v>2117061.0211706101</v>
      </c>
      <c r="O14">
        <f>'Study Parameters'!$C$24</f>
        <v>2117061.0211706101</v>
      </c>
      <c r="P14">
        <f>'Study Parameters'!$C$24</f>
        <v>2117061.0211706101</v>
      </c>
      <c r="Q14">
        <f>'Study Parameters'!$C$24</f>
        <v>2117061.0211706101</v>
      </c>
      <c r="R14">
        <f>'Study Parameters'!$C$24</f>
        <v>2117061.0211706101</v>
      </c>
      <c r="S14">
        <f>'Study Parameters'!$C$24</f>
        <v>2117061.0211706101</v>
      </c>
      <c r="T14">
        <f>'Study Parameters'!$C$24</f>
        <v>2117061.0211706101</v>
      </c>
      <c r="U14">
        <f>'Study Parameters'!$C$24</f>
        <v>2117061.0211706101</v>
      </c>
      <c r="V14">
        <f>'Study Parameters'!$C$24</f>
        <v>2117061.0211706101</v>
      </c>
      <c r="W14">
        <f>'Study Parameters'!$C$24</f>
        <v>2117061.0211706101</v>
      </c>
      <c r="X14">
        <f>'Study Parameters'!$C$24</f>
        <v>2117061.0211706101</v>
      </c>
      <c r="Y14">
        <f>'Study Parameters'!$C$24</f>
        <v>2117061.0211706101</v>
      </c>
      <c r="Z14">
        <f>'Study Parameters'!$C$24</f>
        <v>2117061.0211706101</v>
      </c>
      <c r="AA14">
        <f>'Study Parameters'!$C$24</f>
        <v>2117061.0211706101</v>
      </c>
      <c r="AB14">
        <f>'Study Parameters'!$C$24</f>
        <v>2117061.0211706101</v>
      </c>
      <c r="AC14">
        <f>'Study Parameters'!$C$24</f>
        <v>2117061.0211706101</v>
      </c>
      <c r="AD14">
        <f>'Study Parameters'!$C$24</f>
        <v>2117061.0211706101</v>
      </c>
      <c r="AE14">
        <f>'Study Parameters'!$C$24</f>
        <v>2117061.0211706101</v>
      </c>
      <c r="AF14">
        <f>'Study Parameters'!$C$24</f>
        <v>2117061.0211706101</v>
      </c>
    </row>
    <row r="15" spans="1:32" x14ac:dyDescent="0.25">
      <c r="A15" t="s">
        <v>105</v>
      </c>
      <c r="B15">
        <f>B14/(1+'Study Parameters'!$C$3) ^'MFSP Baseline'!B11</f>
        <v>2117061.0211706101</v>
      </c>
      <c r="C15">
        <f>C14/(1+'Study Parameters'!$C$3) ^'MFSP Baseline'!C11</f>
        <v>2016248.5915910571</v>
      </c>
      <c r="D15">
        <f>D14/(1+'Study Parameters'!$C$3) ^'MFSP Baseline'!D11</f>
        <v>1920236.753896245</v>
      </c>
      <c r="E15">
        <f>E14/(1+'Study Parameters'!$C$3) ^'MFSP Baseline'!E11</f>
        <v>1828796.9084726141</v>
      </c>
      <c r="F15">
        <f>F14/(1+'Study Parameters'!$C$3) ^'MFSP Baseline'!F11</f>
        <v>1741711.3414024897</v>
      </c>
      <c r="G15">
        <f>G14/(1+'Study Parameters'!$C$3) ^'MFSP Baseline'!G11</f>
        <v>1658772.7060976091</v>
      </c>
      <c r="H15">
        <f>H14/(1+'Study Parameters'!$C$3) ^'MFSP Baseline'!H11</f>
        <v>1579783.5296167708</v>
      </c>
      <c r="I15">
        <f>I14/(1+'Study Parameters'!$C$3) ^'MFSP Baseline'!I11</f>
        <v>1504555.7424921624</v>
      </c>
      <c r="J15">
        <f>J14/(1+'Study Parameters'!$C$3) ^'MFSP Baseline'!J11</f>
        <v>1432910.2309449168</v>
      </c>
      <c r="K15">
        <f>K14/(1+'Study Parameters'!$C$3) ^'MFSP Baseline'!K11</f>
        <v>1364676.4104237303</v>
      </c>
      <c r="L15">
        <f>L14/(1+'Study Parameters'!$C$3) ^'MFSP Baseline'!L11</f>
        <v>1299691.8194511717</v>
      </c>
      <c r="M15">
        <f>M14/(1+'Study Parameters'!$C$3) ^'MFSP Baseline'!M11</f>
        <v>1237801.7328106395</v>
      </c>
      <c r="N15">
        <f>N14/(1+'Study Parameters'!$C$3) ^'MFSP Baseline'!N11</f>
        <v>1178858.7931529903</v>
      </c>
      <c r="O15">
        <f>O14/(1+'Study Parameters'!$C$3) ^'MFSP Baseline'!O11</f>
        <v>1122722.6601457046</v>
      </c>
      <c r="P15">
        <f>P14/(1+'Study Parameters'!$C$3) ^'MFSP Baseline'!P11</f>
        <v>1069259.6763292428</v>
      </c>
      <c r="Q15">
        <f>Q14/(1+'Study Parameters'!$C$3) ^'MFSP Baseline'!Q11</f>
        <v>1018342.5488849928</v>
      </c>
      <c r="R15">
        <f>R14/(1+'Study Parameters'!$C$3) ^'MFSP Baseline'!R11</f>
        <v>969850.04655713611</v>
      </c>
      <c r="S15">
        <f>S14/(1+'Study Parameters'!$C$3) ^'MFSP Baseline'!S11</f>
        <v>923666.71100679622</v>
      </c>
      <c r="T15">
        <f>T14/(1+'Study Parameters'!$C$3) ^'MFSP Baseline'!T11</f>
        <v>879682.58191123453</v>
      </c>
      <c r="U15">
        <f>U14/(1+'Study Parameters'!$C$3) ^'MFSP Baseline'!U11</f>
        <v>837792.93515355664</v>
      </c>
      <c r="V15">
        <f>V14/(1+'Study Parameters'!$C$3) ^'MFSP Baseline'!V11</f>
        <v>797898.03347957786</v>
      </c>
      <c r="W15">
        <f>W14/(1+'Study Parameters'!$C$3) ^'MFSP Baseline'!W11</f>
        <v>759902.88902816933</v>
      </c>
      <c r="X15">
        <f>X14/(1+'Study Parameters'!$C$3) ^'MFSP Baseline'!X11</f>
        <v>723717.03716968512</v>
      </c>
      <c r="Y15">
        <f>Y14/(1+'Study Parameters'!$C$3) ^'MFSP Baseline'!Y11</f>
        <v>689254.32111398573</v>
      </c>
      <c r="Z15">
        <f>Z14/(1+'Study Parameters'!$C$3) ^'MFSP Baseline'!Z11</f>
        <v>656432.68677522463</v>
      </c>
      <c r="AA15">
        <f>AA14/(1+'Study Parameters'!$C$3) ^'MFSP Baseline'!AA11</f>
        <v>625173.98740497581</v>
      </c>
      <c r="AB15">
        <f>AB14/(1+'Study Parameters'!$C$3) ^'MFSP Baseline'!AB11</f>
        <v>595403.79752854828</v>
      </c>
      <c r="AC15">
        <f>AC14/(1+'Study Parameters'!$C$3) ^'MFSP Baseline'!AC11</f>
        <v>567051.23574147455</v>
      </c>
      <c r="AD15">
        <f>AD14/(1+'Study Parameters'!$C$3) ^'MFSP Baseline'!AD11</f>
        <v>540048.7959442616</v>
      </c>
      <c r="AE15">
        <f>AE14/(1+'Study Parameters'!$C$3) ^'MFSP Baseline'!AE11</f>
        <v>514332.18661358231</v>
      </c>
      <c r="AF15">
        <f>AF14/(1+'Study Parameters'!$C$3) ^'MFSP Baseline'!AF11</f>
        <v>489840.17772722145</v>
      </c>
    </row>
    <row r="17" spans="1:2" x14ac:dyDescent="0.25">
      <c r="A17" t="s">
        <v>106</v>
      </c>
      <c r="B17">
        <f>SUM(B13:AF13) /SUM(B15:AF15)</f>
        <v>2.1119513050548209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4"/>
  <sheetViews>
    <sheetView topLeftCell="A10" workbookViewId="0">
      <selection activeCell="C33" sqref="C33"/>
    </sheetView>
  </sheetViews>
  <sheetFormatPr defaultColWidth="11.25" defaultRowHeight="15.75" x14ac:dyDescent="0.25"/>
  <cols>
    <col min="1" max="1" width="26.75" bestFit="1" customWidth="1"/>
    <col min="2" max="32" width="12.25" bestFit="1" customWidth="1"/>
  </cols>
  <sheetData>
    <row r="1" spans="1:32" x14ac:dyDescent="0.25">
      <c r="A1" t="s">
        <v>101</v>
      </c>
    </row>
    <row r="2" spans="1:32" x14ac:dyDescent="0.25">
      <c r="A2" t="s">
        <v>1</v>
      </c>
      <c r="B2">
        <v>0</v>
      </c>
      <c r="C2">
        <v>1</v>
      </c>
      <c r="D2">
        <v>2</v>
      </c>
      <c r="E2">
        <v>3</v>
      </c>
      <c r="F2">
        <v>4</v>
      </c>
      <c r="G2">
        <v>5</v>
      </c>
      <c r="H2">
        <v>6</v>
      </c>
      <c r="I2">
        <v>7</v>
      </c>
      <c r="J2">
        <v>8</v>
      </c>
      <c r="K2">
        <v>9</v>
      </c>
      <c r="L2">
        <v>10</v>
      </c>
      <c r="M2">
        <v>11</v>
      </c>
      <c r="N2">
        <v>12</v>
      </c>
      <c r="O2">
        <v>13</v>
      </c>
      <c r="P2">
        <v>14</v>
      </c>
      <c r="Q2">
        <v>15</v>
      </c>
      <c r="R2">
        <v>16</v>
      </c>
      <c r="S2">
        <v>17</v>
      </c>
      <c r="T2">
        <v>18</v>
      </c>
      <c r="U2">
        <v>19</v>
      </c>
      <c r="V2">
        <v>20</v>
      </c>
      <c r="W2">
        <v>21</v>
      </c>
      <c r="X2">
        <v>22</v>
      </c>
      <c r="Y2">
        <v>23</v>
      </c>
      <c r="Z2">
        <v>24</v>
      </c>
      <c r="AA2">
        <v>25</v>
      </c>
      <c r="AB2">
        <v>26</v>
      </c>
      <c r="AC2">
        <v>27</v>
      </c>
      <c r="AD2">
        <v>28</v>
      </c>
      <c r="AE2">
        <v>29</v>
      </c>
      <c r="AF2">
        <v>30</v>
      </c>
    </row>
    <row r="3" spans="1:32" x14ac:dyDescent="0.25">
      <c r="A3" t="s">
        <v>102</v>
      </c>
      <c r="B3">
        <f>'Cost Components'!B11 * 10^6</f>
        <v>24927592.625570774</v>
      </c>
      <c r="C3" s="4">
        <f>'Cost Components'!$B$29 * 10^6</f>
        <v>13098218.875</v>
      </c>
      <c r="D3" s="4">
        <f>'Cost Components'!$B$29 * 10^6</f>
        <v>13098218.875</v>
      </c>
      <c r="E3" s="4">
        <f>'Cost Components'!$B$29 * 10^6</f>
        <v>13098218.875</v>
      </c>
      <c r="F3" s="4">
        <f>'Cost Components'!$B$29 * 10^6</f>
        <v>13098218.875</v>
      </c>
      <c r="G3" s="4">
        <f>'Cost Components'!$B$29 * 10^6</f>
        <v>13098218.875</v>
      </c>
      <c r="H3" s="4">
        <f>'Cost Components'!$B$29 * 10^6</f>
        <v>13098218.875</v>
      </c>
      <c r="I3" s="4">
        <f>'Cost Components'!$B$29 * 10^6</f>
        <v>13098218.875</v>
      </c>
      <c r="J3" s="4">
        <f>'Cost Components'!$B$29 * 10^6</f>
        <v>13098218.875</v>
      </c>
      <c r="K3" s="4">
        <f>'Cost Components'!$B$29 * 10^6</f>
        <v>13098218.875</v>
      </c>
      <c r="L3" s="4">
        <f>'Cost Components'!$B$29 * 10^6 + 'Cost Components'!B10 * 10^6</f>
        <v>17390858.875</v>
      </c>
      <c r="M3" s="4">
        <f>'Cost Components'!$B$29 * 10^6</f>
        <v>13098218.875</v>
      </c>
      <c r="N3" s="4">
        <f>'Cost Components'!$B$29 * 10^6</f>
        <v>13098218.875</v>
      </c>
      <c r="O3" s="4">
        <f>'Cost Components'!$B$29 * 10^6</f>
        <v>13098218.875</v>
      </c>
      <c r="P3" s="4">
        <f>'Cost Components'!$B$29 * 10^6</f>
        <v>13098218.875</v>
      </c>
      <c r="Q3" s="4">
        <f>'Cost Components'!$B$29 * 10^6</f>
        <v>13098218.875</v>
      </c>
      <c r="R3" s="4">
        <f>'Cost Components'!$B$29 * 10^6</f>
        <v>13098218.875</v>
      </c>
      <c r="S3" s="4">
        <f>'Cost Components'!$B$29 * 10^6</f>
        <v>13098218.875</v>
      </c>
      <c r="T3" s="4">
        <f>'Cost Components'!$B$29 * 10^6</f>
        <v>13098218.875</v>
      </c>
      <c r="U3" s="4">
        <f>'Cost Components'!$B$29 * 10^6</f>
        <v>13098218.875</v>
      </c>
      <c r="V3">
        <f>'Cost Components'!$B$29 * 10^6 + 'Cost Components'!B10 * 10^6</f>
        <v>17390858.875</v>
      </c>
      <c r="W3" s="4">
        <f>'Cost Components'!$B$29 * 10^6</f>
        <v>13098218.875</v>
      </c>
      <c r="X3" s="4">
        <f>'Cost Components'!$B$29 * 10^6</f>
        <v>13098218.875</v>
      </c>
      <c r="Y3" s="4">
        <f>'Cost Components'!$B$29 * 10^6</f>
        <v>13098218.875</v>
      </c>
      <c r="Z3" s="4">
        <f>'Cost Components'!$B$29 * 10^6</f>
        <v>13098218.875</v>
      </c>
      <c r="AA3" s="4">
        <f>'Cost Components'!$B$29 * 10^6</f>
        <v>13098218.875</v>
      </c>
      <c r="AB3" s="4">
        <f>'Cost Components'!$B$29 * 10^6</f>
        <v>13098218.875</v>
      </c>
      <c r="AC3" s="4">
        <f>'Cost Components'!$B$29 * 10^6</f>
        <v>13098218.875</v>
      </c>
      <c r="AD3" s="4">
        <f>'Cost Components'!$B$29 * 10^6</f>
        <v>13098218.875</v>
      </c>
      <c r="AE3" s="4">
        <f>'Cost Components'!$B$29 * 10^6</f>
        <v>13098218.875</v>
      </c>
      <c r="AF3" s="4">
        <f>'Cost Components'!$B$29 * 10^6</f>
        <v>13098218.875</v>
      </c>
    </row>
    <row r="4" spans="1:32" x14ac:dyDescent="0.25">
      <c r="A4" t="s">
        <v>103</v>
      </c>
      <c r="B4">
        <f>B3 / (1+'Cost Components'!$B$30) ^B2</f>
        <v>24927592.625570774</v>
      </c>
      <c r="C4">
        <f>C3 / (1+'Cost Components'!$B$30) ^C2</f>
        <v>12241326.051401868</v>
      </c>
      <c r="D4">
        <f>D3 / (1+'Cost Components'!$B$30) ^D2</f>
        <v>11440491.636824176</v>
      </c>
      <c r="E4">
        <f>E3 / (1+'Cost Components'!$B$30) ^E2</f>
        <v>10692048.258714182</v>
      </c>
      <c r="F4">
        <f>F3 / (1+'Cost Components'!$B$30) ^F2</f>
        <v>9992568.466088023</v>
      </c>
      <c r="G4">
        <f>G3 / (1+'Cost Components'!$B$30) ^G2</f>
        <v>9338849.0337271225</v>
      </c>
      <c r="H4">
        <f>H3 / (1+'Cost Components'!$B$30) ^H2</f>
        <v>8727896.2932029199</v>
      </c>
      <c r="I4">
        <f>I3 / (1+'Cost Components'!$B$30) ^I2</f>
        <v>8156912.423554129</v>
      </c>
      <c r="J4">
        <f>J3 / (1+'Cost Components'!$B$30) ^J2</f>
        <v>7623282.638835635</v>
      </c>
      <c r="K4">
        <f>K3 / (1+'Cost Components'!$B$30) ^K2</f>
        <v>7124563.213865079</v>
      </c>
      <c r="L4">
        <f>L3 / (1+'Cost Components'!$B$30) ^L2</f>
        <v>8840630.7987210248</v>
      </c>
      <c r="M4">
        <f>M3 / (1+'Cost Components'!$B$30) ^M2</f>
        <v>6222869.4330204194</v>
      </c>
      <c r="N4">
        <f>N3 / (1+'Cost Components'!$B$30) ^N2</f>
        <v>5815765.8252527295</v>
      </c>
      <c r="O4">
        <f>O3 / (1+'Cost Components'!$B$30) ^O2</f>
        <v>5435295.1637875969</v>
      </c>
      <c r="P4">
        <f>P3 / (1+'Cost Components'!$B$30) ^P2</f>
        <v>5079715.1063435487</v>
      </c>
      <c r="Q4">
        <f>Q3 / (1+'Cost Components'!$B$30) ^Q2</f>
        <v>4747397.2956481762</v>
      </c>
      <c r="R4">
        <f>R3 / (1+'Cost Components'!$B$30) ^R2</f>
        <v>4436819.9024749314</v>
      </c>
      <c r="S4">
        <f>S3 / (1+'Cost Components'!$B$30) ^S2</f>
        <v>4146560.6565186279</v>
      </c>
      <c r="T4">
        <f>T3 / (1+'Cost Components'!$B$30) ^T2</f>
        <v>3875290.333194979</v>
      </c>
      <c r="U4">
        <f>U3 / (1+'Cost Components'!$B$30) ^U2</f>
        <v>3621766.6665373635</v>
      </c>
      <c r="V4">
        <f>V3 / (1+'Cost Components'!$B$30) ^V2</f>
        <v>4494128.4085542187</v>
      </c>
      <c r="W4">
        <f>W3 / (1+'Cost Components'!$B$30) ^W2</f>
        <v>3163391.2713227035</v>
      </c>
      <c r="X4">
        <f>X3 / (1+'Cost Components'!$B$30) ^X2</f>
        <v>2956440.440488508</v>
      </c>
      <c r="Y4">
        <f>Y3 / (1+'Cost Components'!$B$30) ^Y2</f>
        <v>2763028.4490546803</v>
      </c>
      <c r="Z4">
        <f>Z3 / (1+'Cost Components'!$B$30) ^Z2</f>
        <v>2582269.5785557758</v>
      </c>
      <c r="AA4">
        <f>AA3 / (1+'Cost Components'!$B$30) ^AA2</f>
        <v>2413336.0547250244</v>
      </c>
      <c r="AB4">
        <f>AB3 / (1+'Cost Components'!$B$30) ^AB2</f>
        <v>2255454.2567523592</v>
      </c>
      <c r="AC4">
        <f>AC3 / (1+'Cost Components'!$B$30) ^AC2</f>
        <v>2107901.1745349145</v>
      </c>
      <c r="AD4">
        <f>AD3 / (1+'Cost Components'!$B$30) ^AD2</f>
        <v>1970001.0976961823</v>
      </c>
      <c r="AE4">
        <f>AE3 / (1+'Cost Components'!$B$30) ^AE2</f>
        <v>1841122.5212113853</v>
      </c>
      <c r="AF4">
        <f>AF3 / (1+'Cost Components'!$B$30) ^AF2</f>
        <v>1720675.2534685845</v>
      </c>
    </row>
    <row r="5" spans="1:32" x14ac:dyDescent="0.25">
      <c r="A5" t="s">
        <v>104</v>
      </c>
      <c r="B5">
        <f>'Study Parameters'!$C$24</f>
        <v>2117061.0211706101</v>
      </c>
      <c r="C5">
        <f>'Study Parameters'!$C$24</f>
        <v>2117061.0211706101</v>
      </c>
      <c r="D5">
        <f>'Study Parameters'!$C$24</f>
        <v>2117061.0211706101</v>
      </c>
      <c r="E5">
        <f>'Study Parameters'!$C$24</f>
        <v>2117061.0211706101</v>
      </c>
      <c r="F5">
        <f>'Study Parameters'!$C$24</f>
        <v>2117061.0211706101</v>
      </c>
      <c r="G5">
        <f>'Study Parameters'!$C$24</f>
        <v>2117061.0211706101</v>
      </c>
      <c r="H5">
        <f>'Study Parameters'!$C$24</f>
        <v>2117061.0211706101</v>
      </c>
      <c r="I5">
        <f>'Study Parameters'!$C$24</f>
        <v>2117061.0211706101</v>
      </c>
      <c r="J5">
        <f>'Study Parameters'!$C$24</f>
        <v>2117061.0211706101</v>
      </c>
      <c r="K5">
        <f>'Study Parameters'!$C$24</f>
        <v>2117061.0211706101</v>
      </c>
      <c r="L5">
        <f>'Study Parameters'!$C$24</f>
        <v>2117061.0211706101</v>
      </c>
      <c r="M5">
        <f>'Study Parameters'!$C$24</f>
        <v>2117061.0211706101</v>
      </c>
      <c r="N5">
        <f>'Study Parameters'!$C$24</f>
        <v>2117061.0211706101</v>
      </c>
      <c r="O5">
        <f>'Study Parameters'!$C$24</f>
        <v>2117061.0211706101</v>
      </c>
      <c r="P5">
        <f>'Study Parameters'!$C$24</f>
        <v>2117061.0211706101</v>
      </c>
      <c r="Q5">
        <f>'Study Parameters'!$C$24</f>
        <v>2117061.0211706101</v>
      </c>
      <c r="R5">
        <f>'Study Parameters'!$C$24</f>
        <v>2117061.0211706101</v>
      </c>
      <c r="S5">
        <f>'Study Parameters'!$C$24</f>
        <v>2117061.0211706101</v>
      </c>
      <c r="T5">
        <f>'Study Parameters'!$C$24</f>
        <v>2117061.0211706101</v>
      </c>
      <c r="U5">
        <f>'Study Parameters'!$C$24</f>
        <v>2117061.0211706101</v>
      </c>
      <c r="V5">
        <f>'Study Parameters'!$C$24</f>
        <v>2117061.0211706101</v>
      </c>
      <c r="W5">
        <f>'Study Parameters'!$C$24</f>
        <v>2117061.0211706101</v>
      </c>
      <c r="X5">
        <f>'Study Parameters'!$C$24</f>
        <v>2117061.0211706101</v>
      </c>
      <c r="Y5">
        <f>'Study Parameters'!$C$24</f>
        <v>2117061.0211706101</v>
      </c>
      <c r="Z5">
        <f>'Study Parameters'!$C$24</f>
        <v>2117061.0211706101</v>
      </c>
      <c r="AA5">
        <f>'Study Parameters'!$C$24</f>
        <v>2117061.0211706101</v>
      </c>
      <c r="AB5">
        <f>'Study Parameters'!$C$24</f>
        <v>2117061.0211706101</v>
      </c>
      <c r="AC5">
        <f>'Study Parameters'!$C$24</f>
        <v>2117061.0211706101</v>
      </c>
      <c r="AD5">
        <f>'Study Parameters'!$C$24</f>
        <v>2117061.0211706101</v>
      </c>
      <c r="AE5">
        <f>'Study Parameters'!$C$24</f>
        <v>2117061.0211706101</v>
      </c>
      <c r="AF5">
        <f>'Study Parameters'!$C$24</f>
        <v>2117061.0211706101</v>
      </c>
    </row>
    <row r="6" spans="1:32" x14ac:dyDescent="0.25">
      <c r="A6" t="s">
        <v>105</v>
      </c>
      <c r="B6">
        <f>B5/(1+'Cost Components'!$B$30) ^'MFSP Baseline'!B2</f>
        <v>2117061.0211706101</v>
      </c>
      <c r="C6">
        <f>C5/(1+'Cost Components'!$B$30) ^'MFSP Baseline'!C2</f>
        <v>1978561.7020286075</v>
      </c>
      <c r="D6">
        <f>D5/(1+'Cost Components'!$B$30) ^'MFSP Baseline'!D2</f>
        <v>1849123.0860080444</v>
      </c>
      <c r="E6">
        <f>E5/(1+'Cost Components'!$B$30) ^'MFSP Baseline'!E2</f>
        <v>1728152.4168299478</v>
      </c>
      <c r="F6">
        <f>F5/(1+'Cost Components'!$B$30) ^'MFSP Baseline'!F2</f>
        <v>1615095.7166635029</v>
      </c>
      <c r="G6">
        <f>G5/(1+'Cost Components'!$B$30) ^'MFSP Baseline'!G2</f>
        <v>1509435.2492182269</v>
      </c>
      <c r="H6">
        <f>H5/(1+'Cost Components'!$B$30) ^'MFSP Baseline'!H2</f>
        <v>1410687.1488020814</v>
      </c>
      <c r="I6">
        <f>I5/(1+'Cost Components'!$B$30) ^'MFSP Baseline'!I2</f>
        <v>1318399.2044879263</v>
      </c>
      <c r="J6">
        <f>J5/(1+'Cost Components'!$B$30) ^'MFSP Baseline'!J2</f>
        <v>1232148.7892410527</v>
      </c>
      <c r="K6">
        <f>K5/(1+'Cost Components'!$B$30) ^'MFSP Baseline'!K2</f>
        <v>1151540.9245243482</v>
      </c>
      <c r="L6">
        <f>L5/(1+'Cost Components'!$B$30) ^'MFSP Baseline'!L2</f>
        <v>1076206.4715180825</v>
      </c>
      <c r="M6">
        <f>M5/(1+'Cost Components'!$B$30) ^'MFSP Baseline'!M2</f>
        <v>1005800.4406711049</v>
      </c>
      <c r="N6">
        <f>N5/(1+'Cost Components'!$B$30) ^'MFSP Baseline'!N2</f>
        <v>940000.41184215434</v>
      </c>
      <c r="O6">
        <f>O5/(1+'Cost Components'!$B$30) ^'MFSP Baseline'!O2</f>
        <v>878505.05779640586</v>
      </c>
      <c r="P6">
        <f>P5/(1+'Cost Components'!$B$30) ^'MFSP Baseline'!P2</f>
        <v>821032.76429570641</v>
      </c>
      <c r="Q6">
        <f>Q5/(1+'Cost Components'!$B$30) ^'MFSP Baseline'!Q2</f>
        <v>767320.34046327695</v>
      </c>
      <c r="R6">
        <f>R5/(1+'Cost Components'!$B$30) ^'MFSP Baseline'!R2</f>
        <v>717121.81351708143</v>
      </c>
      <c r="S6">
        <f>S5/(1+'Cost Components'!$B$30) ^'MFSP Baseline'!S2</f>
        <v>670207.30235241249</v>
      </c>
      <c r="T6">
        <f>T5/(1+'Cost Components'!$B$30) ^'MFSP Baseline'!T2</f>
        <v>626361.96481533872</v>
      </c>
      <c r="U6">
        <f>U5/(1+'Cost Components'!$B$30) ^'MFSP Baseline'!U2</f>
        <v>585385.01384611102</v>
      </c>
      <c r="V6">
        <f>V5/(1+'Cost Components'!$B$30) ^'MFSP Baseline'!V2</f>
        <v>547088.79798701964</v>
      </c>
      <c r="W6">
        <f>W5/(1+'Cost Components'!$B$30) ^'MFSP Baseline'!W2</f>
        <v>511297.94204394356</v>
      </c>
      <c r="X6">
        <f>X5/(1+'Cost Components'!$B$30) ^'MFSP Baseline'!X2</f>
        <v>477848.54396630242</v>
      </c>
      <c r="Y6">
        <f>Y5/(1+'Cost Components'!$B$30) ^'MFSP Baseline'!Y2</f>
        <v>446587.42426757235</v>
      </c>
      <c r="Z6">
        <f>Z5/(1+'Cost Components'!$B$30) ^'MFSP Baseline'!Z2</f>
        <v>417371.42454913299</v>
      </c>
      <c r="AA6">
        <f>AA5/(1+'Cost Components'!$B$30) ^'MFSP Baseline'!AA2</f>
        <v>390066.75191507756</v>
      </c>
      <c r="AB6">
        <f>AB5/(1+'Cost Components'!$B$30) ^'MFSP Baseline'!AB2</f>
        <v>364548.36627577344</v>
      </c>
      <c r="AC6">
        <f>AC5/(1+'Cost Components'!$B$30) ^'MFSP Baseline'!AC2</f>
        <v>340699.40773436765</v>
      </c>
      <c r="AD6">
        <f>AD5/(1+'Cost Components'!$B$30) ^'MFSP Baseline'!AD2</f>
        <v>318410.66143398848</v>
      </c>
      <c r="AE6">
        <f>AE5/(1+'Cost Components'!$B$30) ^'MFSP Baseline'!AE2</f>
        <v>297580.05741494254</v>
      </c>
      <c r="AF6">
        <f>AF5/(1+'Cost Components'!$B$30) ^'MFSP Baseline'!AF2</f>
        <v>278112.20319153508</v>
      </c>
    </row>
    <row r="8" spans="1:32" x14ac:dyDescent="0.25">
      <c r="A8" t="s">
        <v>106</v>
      </c>
      <c r="B8">
        <f>SUM(B4:AF4) /SUM(B6:AF6)</f>
        <v>6.719635538021123</v>
      </c>
    </row>
    <row r="10" spans="1:32" x14ac:dyDescent="0.25">
      <c r="A10" t="s">
        <v>107</v>
      </c>
    </row>
    <row r="11" spans="1:32" x14ac:dyDescent="0.25">
      <c r="A11" t="s">
        <v>1</v>
      </c>
      <c r="B11">
        <v>0</v>
      </c>
      <c r="C11">
        <v>1</v>
      </c>
      <c r="D11">
        <v>2</v>
      </c>
      <c r="E11">
        <v>3</v>
      </c>
      <c r="F11">
        <v>4</v>
      </c>
      <c r="G11">
        <v>5</v>
      </c>
      <c r="H11">
        <v>6</v>
      </c>
      <c r="I11">
        <v>7</v>
      </c>
      <c r="J11">
        <v>8</v>
      </c>
      <c r="K11">
        <v>9</v>
      </c>
      <c r="L11">
        <v>10</v>
      </c>
      <c r="M11">
        <v>11</v>
      </c>
      <c r="N11">
        <v>12</v>
      </c>
      <c r="O11">
        <v>13</v>
      </c>
      <c r="P11">
        <v>14</v>
      </c>
      <c r="Q11">
        <v>15</v>
      </c>
      <c r="R11">
        <v>16</v>
      </c>
      <c r="S11">
        <v>17</v>
      </c>
      <c r="T11">
        <v>18</v>
      </c>
      <c r="U11">
        <v>19</v>
      </c>
      <c r="V11">
        <v>20</v>
      </c>
      <c r="W11">
        <v>21</v>
      </c>
      <c r="X11">
        <v>22</v>
      </c>
      <c r="Y11">
        <v>23</v>
      </c>
      <c r="Z11">
        <v>24</v>
      </c>
      <c r="AA11">
        <v>25</v>
      </c>
      <c r="AB11">
        <v>26</v>
      </c>
      <c r="AC11">
        <v>27</v>
      </c>
      <c r="AD11">
        <v>28</v>
      </c>
      <c r="AE11">
        <v>29</v>
      </c>
      <c r="AF11">
        <v>30</v>
      </c>
    </row>
    <row r="12" spans="1:32" x14ac:dyDescent="0.25">
      <c r="A12" t="s">
        <v>102</v>
      </c>
      <c r="B12">
        <f>'Cost Components'!H11 * 10^6</f>
        <v>9127577.6255707759</v>
      </c>
      <c r="C12">
        <f>'Cost Components'!$H$29 * 10^6</f>
        <v>4098998.5000000005</v>
      </c>
      <c r="D12">
        <f>'Cost Components'!$H$29 * 10^6</f>
        <v>4098998.5000000005</v>
      </c>
      <c r="E12">
        <f>'Cost Components'!$H$29 * 10^6</f>
        <v>4098998.5000000005</v>
      </c>
      <c r="F12">
        <f>'Cost Components'!$H$29 * 10^6</f>
        <v>4098998.5000000005</v>
      </c>
      <c r="G12">
        <f>'Cost Components'!$H$29 * 10^6</f>
        <v>4098998.5000000005</v>
      </c>
      <c r="H12">
        <f>'Cost Components'!$H$29 * 10^6</f>
        <v>4098998.5000000005</v>
      </c>
      <c r="I12">
        <f>'Cost Components'!$H$29 * 10^6</f>
        <v>4098998.5000000005</v>
      </c>
      <c r="J12">
        <f>'Cost Components'!$H$29 * 10^6</f>
        <v>4098998.5000000005</v>
      </c>
      <c r="K12">
        <f>'Cost Components'!$H$29 * 10^6</f>
        <v>4098998.5000000005</v>
      </c>
      <c r="L12">
        <f>'Cost Components'!$H$29 * 10^6 + 'Cost Components'!H10 * 10^6</f>
        <v>5172998.5</v>
      </c>
      <c r="M12">
        <f>'Cost Components'!$H$29 * 10^6</f>
        <v>4098998.5000000005</v>
      </c>
      <c r="N12">
        <f>'Cost Components'!$H$29 * 10^6</f>
        <v>4098998.5000000005</v>
      </c>
      <c r="O12">
        <f>'Cost Components'!$H$29 * 10^6</f>
        <v>4098998.5000000005</v>
      </c>
      <c r="P12">
        <f>'Cost Components'!$H$29 * 10^6</f>
        <v>4098998.5000000005</v>
      </c>
      <c r="Q12">
        <f>'Cost Components'!$H$29 * 10^6</f>
        <v>4098998.5000000005</v>
      </c>
      <c r="R12">
        <f>'Cost Components'!$H$29 * 10^6</f>
        <v>4098998.5000000005</v>
      </c>
      <c r="S12">
        <f>'Cost Components'!$H$29 * 10^6</f>
        <v>4098998.5000000005</v>
      </c>
      <c r="T12">
        <f>'Cost Components'!$H$29 * 10^6</f>
        <v>4098998.5000000005</v>
      </c>
      <c r="U12">
        <f>'Cost Components'!$H$29 * 10^6</f>
        <v>4098998.5000000005</v>
      </c>
      <c r="V12">
        <f>'Cost Components'!$H$29 * 10^6+ 'Cost Components'!H10 * 10^6</f>
        <v>5172998.5</v>
      </c>
      <c r="W12">
        <f>'Cost Components'!$H$29 * 10^6</f>
        <v>4098998.5000000005</v>
      </c>
      <c r="X12">
        <f>'Cost Components'!$H$29 * 10^6</f>
        <v>4098998.5000000005</v>
      </c>
      <c r="Y12">
        <f>'Cost Components'!$H$29 * 10^6</f>
        <v>4098998.5000000005</v>
      </c>
      <c r="Z12">
        <f>'Cost Components'!$H$29 * 10^6</f>
        <v>4098998.5000000005</v>
      </c>
      <c r="AA12">
        <f>'Cost Components'!$H$29 * 10^6</f>
        <v>4098998.5000000005</v>
      </c>
      <c r="AB12">
        <f>'Cost Components'!$H$29 * 10^6</f>
        <v>4098998.5000000005</v>
      </c>
      <c r="AC12">
        <f>'Cost Components'!$H$29 * 10^6</f>
        <v>4098998.5000000005</v>
      </c>
      <c r="AD12">
        <f>'Cost Components'!$H$29 * 10^6</f>
        <v>4098998.5000000005</v>
      </c>
      <c r="AE12">
        <f>'Cost Components'!$H$29 * 10^6</f>
        <v>4098998.5000000005</v>
      </c>
      <c r="AF12">
        <f>'Cost Components'!$H$29 * 10^6</f>
        <v>4098998.5000000005</v>
      </c>
    </row>
    <row r="13" spans="1:32" x14ac:dyDescent="0.25">
      <c r="A13" t="s">
        <v>103</v>
      </c>
      <c r="B13">
        <f>B12 / (1+'Cost Components'!$B$30) ^B11</f>
        <v>9127577.6255707759</v>
      </c>
      <c r="C13">
        <f>C12 / (1+'Cost Components'!$B$30) ^C11</f>
        <v>3830839.7196261683</v>
      </c>
      <c r="D13">
        <f>D12 / (1+'Cost Components'!$B$30) ^D11</f>
        <v>3580224.0370338024</v>
      </c>
      <c r="E13">
        <f>E12 / (1+'Cost Components'!$B$30) ^E11</f>
        <v>3346003.7729287869</v>
      </c>
      <c r="F13">
        <f>F12 / (1+'Cost Components'!$B$30) ^F11</f>
        <v>3127106.3298399881</v>
      </c>
      <c r="G13">
        <f>G12 / (1+'Cost Components'!$B$30) ^G11</f>
        <v>2922529.2802242879</v>
      </c>
      <c r="H13">
        <f>H12 / (1+'Cost Components'!$B$30) ^H11</f>
        <v>2731335.7759105493</v>
      </c>
      <c r="I13">
        <f>I12 / (1+'Cost Components'!$B$30) ^I11</f>
        <v>2552650.2578603262</v>
      </c>
      <c r="J13">
        <f>J12 / (1+'Cost Components'!$B$30) ^J11</f>
        <v>2385654.4465984358</v>
      </c>
      <c r="K13">
        <f>K12 / (1+'Cost Components'!$B$30) ^K11</f>
        <v>2229583.5949518089</v>
      </c>
      <c r="L13">
        <f>L12 / (1+'Cost Components'!$B$30) ^L11</f>
        <v>2629690.1256889571</v>
      </c>
      <c r="M13">
        <f>M12 / (1+'Cost Components'!$B$30) ^M11</f>
        <v>1947404.6597535233</v>
      </c>
      <c r="N13">
        <f>N12 / (1+'Cost Components'!$B$30) ^N11</f>
        <v>1820004.3549098354</v>
      </c>
      <c r="O13">
        <f>O12 / (1+'Cost Components'!$B$30) ^O11</f>
        <v>1700938.6494484441</v>
      </c>
      <c r="P13">
        <f>P12 / (1+'Cost Components'!$B$30) ^P11</f>
        <v>1589662.2892041535</v>
      </c>
      <c r="Q13">
        <f>Q12 / (1+'Cost Components'!$B$30) ^Q11</f>
        <v>1485665.6908450029</v>
      </c>
      <c r="R13">
        <f>R12 / (1+'Cost Components'!$B$30) ^R11</f>
        <v>1388472.608266358</v>
      </c>
      <c r="S13">
        <f>S12 / (1+'Cost Components'!$B$30) ^S11</f>
        <v>1297637.951650802</v>
      </c>
      <c r="T13">
        <f>T12 / (1+'Cost Components'!$B$30) ^T11</f>
        <v>1212745.7492063569</v>
      </c>
      <c r="U13">
        <f>U12 / (1+'Cost Components'!$B$30) ^U11</f>
        <v>1133407.2422489317</v>
      </c>
      <c r="V13">
        <f>V12 / (1+'Cost Components'!$B$30) ^V11</f>
        <v>1336801.1139276386</v>
      </c>
      <c r="W13">
        <f>W12 / (1+'Cost Components'!$B$30) ^W11</f>
        <v>989961.78028555482</v>
      </c>
      <c r="X13">
        <f>X12 / (1+'Cost Components'!$B$30) ^X11</f>
        <v>925197.92550051853</v>
      </c>
      <c r="Y13">
        <f>Y12 / (1+'Cost Components'!$B$30) ^Y11</f>
        <v>864670.95841169951</v>
      </c>
      <c r="Z13">
        <f>Z12 / (1+'Cost Components'!$B$30) ^Z11</f>
        <v>808103.69945018645</v>
      </c>
      <c r="AA13">
        <f>AA12 / (1+'Cost Components'!$B$30) ^AA11</f>
        <v>755237.10228989378</v>
      </c>
      <c r="AB13">
        <f>AB12 / (1+'Cost Components'!$B$30) ^AB11</f>
        <v>705829.06756064855</v>
      </c>
      <c r="AC13">
        <f>AC12 / (1+'Cost Components'!$B$30) ^AC11</f>
        <v>659653.33416883019</v>
      </c>
      <c r="AD13">
        <f>AD12 / (1+'Cost Components'!$B$30) ^AD11</f>
        <v>616498.44314843963</v>
      </c>
      <c r="AE13">
        <f>AE12 / (1+'Cost Components'!$B$30) ^AE11</f>
        <v>576166.76929760713</v>
      </c>
      <c r="AF13">
        <f>AF12 / (1+'Cost Components'!$B$30) ^AF11</f>
        <v>538473.61616598791</v>
      </c>
    </row>
    <row r="14" spans="1:32" x14ac:dyDescent="0.25">
      <c r="A14" t="s">
        <v>104</v>
      </c>
      <c r="B14">
        <f>'Study Parameters'!$C$24</f>
        <v>2117061.0211706101</v>
      </c>
      <c r="C14">
        <f>'Study Parameters'!$C$24</f>
        <v>2117061.0211706101</v>
      </c>
      <c r="D14">
        <f>'Study Parameters'!$C$24</f>
        <v>2117061.0211706101</v>
      </c>
      <c r="E14">
        <f>'Study Parameters'!$C$24</f>
        <v>2117061.0211706101</v>
      </c>
      <c r="F14">
        <f>'Study Parameters'!$C$24</f>
        <v>2117061.0211706101</v>
      </c>
      <c r="G14">
        <f>'Study Parameters'!$C$24</f>
        <v>2117061.0211706101</v>
      </c>
      <c r="H14">
        <f>'Study Parameters'!$C$24</f>
        <v>2117061.0211706101</v>
      </c>
      <c r="I14">
        <f>'Study Parameters'!$C$24</f>
        <v>2117061.0211706101</v>
      </c>
      <c r="J14">
        <f>'Study Parameters'!$C$24</f>
        <v>2117061.0211706101</v>
      </c>
      <c r="K14">
        <f>'Study Parameters'!$C$24</f>
        <v>2117061.0211706101</v>
      </c>
      <c r="L14">
        <f>'Study Parameters'!$C$24</f>
        <v>2117061.0211706101</v>
      </c>
      <c r="M14">
        <f>'Study Parameters'!$C$24</f>
        <v>2117061.0211706101</v>
      </c>
      <c r="N14">
        <f>'Study Parameters'!$C$24</f>
        <v>2117061.0211706101</v>
      </c>
      <c r="O14">
        <f>'Study Parameters'!$C$24</f>
        <v>2117061.0211706101</v>
      </c>
      <c r="P14">
        <f>'Study Parameters'!$C$24</f>
        <v>2117061.0211706101</v>
      </c>
      <c r="Q14">
        <f>'Study Parameters'!$C$24</f>
        <v>2117061.0211706101</v>
      </c>
      <c r="R14">
        <f>'Study Parameters'!$C$24</f>
        <v>2117061.0211706101</v>
      </c>
      <c r="S14">
        <f>'Study Parameters'!$C$24</f>
        <v>2117061.0211706101</v>
      </c>
      <c r="T14">
        <f>'Study Parameters'!$C$24</f>
        <v>2117061.0211706101</v>
      </c>
      <c r="U14">
        <f>'Study Parameters'!$C$24</f>
        <v>2117061.0211706101</v>
      </c>
      <c r="V14">
        <f>'Study Parameters'!$C$24</f>
        <v>2117061.0211706101</v>
      </c>
      <c r="W14">
        <f>'Study Parameters'!$C$24</f>
        <v>2117061.0211706101</v>
      </c>
      <c r="X14">
        <f>'Study Parameters'!$C$24</f>
        <v>2117061.0211706101</v>
      </c>
      <c r="Y14">
        <f>'Study Parameters'!$C$24</f>
        <v>2117061.0211706101</v>
      </c>
      <c r="Z14">
        <f>'Study Parameters'!$C$24</f>
        <v>2117061.0211706101</v>
      </c>
      <c r="AA14">
        <f>'Study Parameters'!$C$24</f>
        <v>2117061.0211706101</v>
      </c>
      <c r="AB14">
        <f>'Study Parameters'!$C$24</f>
        <v>2117061.0211706101</v>
      </c>
      <c r="AC14">
        <f>'Study Parameters'!$C$24</f>
        <v>2117061.0211706101</v>
      </c>
      <c r="AD14">
        <f>'Study Parameters'!$C$24</f>
        <v>2117061.0211706101</v>
      </c>
      <c r="AE14">
        <f>'Study Parameters'!$C$24</f>
        <v>2117061.0211706101</v>
      </c>
      <c r="AF14">
        <f>'Study Parameters'!$C$24</f>
        <v>2117061.0211706101</v>
      </c>
    </row>
    <row r="15" spans="1:32" x14ac:dyDescent="0.25">
      <c r="A15" t="s">
        <v>105</v>
      </c>
      <c r="B15">
        <f>B14/(1+'Cost Components'!$B$30) ^'MFSP Baseline'!B11</f>
        <v>2117061.0211706101</v>
      </c>
      <c r="C15">
        <f>C14/(1+'Cost Components'!$B$30) ^'MFSP Baseline'!C11</f>
        <v>1978561.7020286075</v>
      </c>
      <c r="D15">
        <f>D14/(1+'Cost Components'!$B$30) ^'MFSP Baseline'!D11</f>
        <v>1849123.0860080444</v>
      </c>
      <c r="E15">
        <f>E14/(1+'Cost Components'!$B$30) ^'MFSP Baseline'!E11</f>
        <v>1728152.4168299478</v>
      </c>
      <c r="F15">
        <f>F14/(1+'Cost Components'!$B$30) ^'MFSP Baseline'!F11</f>
        <v>1615095.7166635029</v>
      </c>
      <c r="G15">
        <f>G14/(1+'Cost Components'!$B$30) ^'MFSP Baseline'!G11</f>
        <v>1509435.2492182269</v>
      </c>
      <c r="H15">
        <f>H14/(1+'Cost Components'!$B$30) ^'MFSP Baseline'!H11</f>
        <v>1410687.1488020814</v>
      </c>
      <c r="I15">
        <f>I14/(1+'Cost Components'!$B$30) ^'MFSP Baseline'!I11</f>
        <v>1318399.2044879263</v>
      </c>
      <c r="J15">
        <f>J14/(1+'Cost Components'!$B$30) ^'MFSP Baseline'!J11</f>
        <v>1232148.7892410527</v>
      </c>
      <c r="K15">
        <f>K14/(1+'Cost Components'!$B$30) ^'MFSP Baseline'!K11</f>
        <v>1151540.9245243482</v>
      </c>
      <c r="L15">
        <f>L14/(1+'Cost Components'!$B$30) ^'MFSP Baseline'!L11</f>
        <v>1076206.4715180825</v>
      </c>
      <c r="M15">
        <f>M14/(1+'Cost Components'!$B$30) ^'MFSP Baseline'!M11</f>
        <v>1005800.4406711049</v>
      </c>
      <c r="N15">
        <f>N14/(1+'Cost Components'!$B$30) ^'MFSP Baseline'!N11</f>
        <v>940000.41184215434</v>
      </c>
      <c r="O15">
        <f>O14/(1+'Cost Components'!$B$30) ^'MFSP Baseline'!O11</f>
        <v>878505.05779640586</v>
      </c>
      <c r="P15">
        <f>P14/(1+'Cost Components'!$B$30) ^'MFSP Baseline'!P11</f>
        <v>821032.76429570641</v>
      </c>
      <c r="Q15">
        <f>Q14/(1+'Cost Components'!$B$30) ^'MFSP Baseline'!Q11</f>
        <v>767320.34046327695</v>
      </c>
      <c r="R15">
        <f>R14/(1+'Cost Components'!$B$30) ^'MFSP Baseline'!R11</f>
        <v>717121.81351708143</v>
      </c>
      <c r="S15">
        <f>S14/(1+'Cost Components'!$B$30) ^'MFSP Baseline'!S11</f>
        <v>670207.30235241249</v>
      </c>
      <c r="T15">
        <f>T14/(1+'Cost Components'!$B$30) ^'MFSP Baseline'!T11</f>
        <v>626361.96481533872</v>
      </c>
      <c r="U15">
        <f>U14/(1+'Cost Components'!$B$30) ^'MFSP Baseline'!U11</f>
        <v>585385.01384611102</v>
      </c>
      <c r="V15">
        <f>V14/(1+'Cost Components'!$B$30) ^'MFSP Baseline'!V11</f>
        <v>547088.79798701964</v>
      </c>
      <c r="W15">
        <f>W14/(1+'Cost Components'!$B$30) ^'MFSP Baseline'!W11</f>
        <v>511297.94204394356</v>
      </c>
      <c r="X15">
        <f>X14/(1+'Cost Components'!$B$30) ^'MFSP Baseline'!X11</f>
        <v>477848.54396630242</v>
      </c>
      <c r="Y15">
        <f>Y14/(1+'Cost Components'!$B$30) ^'MFSP Baseline'!Y11</f>
        <v>446587.42426757235</v>
      </c>
      <c r="Z15">
        <f>Z14/(1+'Cost Components'!$B$30) ^'MFSP Baseline'!Z11</f>
        <v>417371.42454913299</v>
      </c>
      <c r="AA15">
        <f>AA14/(1+'Cost Components'!$B$30) ^'MFSP Baseline'!AA11</f>
        <v>390066.75191507756</v>
      </c>
      <c r="AB15">
        <f>AB14/(1+'Cost Components'!$B$30) ^'MFSP Baseline'!AB11</f>
        <v>364548.36627577344</v>
      </c>
      <c r="AC15">
        <f>AC14/(1+'Cost Components'!$B$30) ^'MFSP Baseline'!AC11</f>
        <v>340699.40773436765</v>
      </c>
      <c r="AD15">
        <f>AD14/(1+'Cost Components'!$B$30) ^'MFSP Baseline'!AD11</f>
        <v>318410.66143398848</v>
      </c>
      <c r="AE15">
        <f>AE14/(1+'Cost Components'!$B$30) ^'MFSP Baseline'!AE11</f>
        <v>297580.05741494254</v>
      </c>
      <c r="AF15">
        <f>AF14/(1+'Cost Components'!$B$30) ^'MFSP Baseline'!AF11</f>
        <v>278112.20319153508</v>
      </c>
    </row>
    <row r="17" spans="1:32" x14ac:dyDescent="0.25">
      <c r="A17" t="s">
        <v>106</v>
      </c>
      <c r="B17">
        <f>SUM(B13:AF13) /SUM(B15:AF15)</f>
        <v>2.1423223021110553</v>
      </c>
    </row>
    <row r="19" spans="1:32" x14ac:dyDescent="0.25">
      <c r="A19" t="s">
        <v>108</v>
      </c>
    </row>
    <row r="20" spans="1:32" x14ac:dyDescent="0.25">
      <c r="A20" t="s">
        <v>1</v>
      </c>
      <c r="B20">
        <v>0</v>
      </c>
      <c r="C20">
        <v>1</v>
      </c>
      <c r="D20">
        <v>2</v>
      </c>
      <c r="E20">
        <v>3</v>
      </c>
      <c r="F20">
        <v>4</v>
      </c>
      <c r="G20">
        <v>5</v>
      </c>
      <c r="H20">
        <v>6</v>
      </c>
      <c r="I20">
        <v>7</v>
      </c>
      <c r="J20">
        <v>8</v>
      </c>
      <c r="K20">
        <v>9</v>
      </c>
      <c r="L20">
        <v>10</v>
      </c>
      <c r="M20">
        <v>11</v>
      </c>
      <c r="N20">
        <v>12</v>
      </c>
      <c r="O20">
        <v>13</v>
      </c>
      <c r="P20">
        <v>14</v>
      </c>
      <c r="Q20">
        <v>15</v>
      </c>
      <c r="R20">
        <v>16</v>
      </c>
      <c r="S20">
        <v>17</v>
      </c>
      <c r="T20">
        <v>18</v>
      </c>
      <c r="U20">
        <v>19</v>
      </c>
      <c r="V20">
        <v>20</v>
      </c>
      <c r="W20">
        <v>21</v>
      </c>
      <c r="X20">
        <v>22</v>
      </c>
      <c r="Y20">
        <v>23</v>
      </c>
      <c r="Z20">
        <v>24</v>
      </c>
      <c r="AA20">
        <v>25</v>
      </c>
      <c r="AB20">
        <v>26</v>
      </c>
      <c r="AC20">
        <v>27</v>
      </c>
      <c r="AD20">
        <v>28</v>
      </c>
      <c r="AE20">
        <v>29</v>
      </c>
      <c r="AF20">
        <v>30</v>
      </c>
    </row>
    <row r="21" spans="1:32" x14ac:dyDescent="0.25">
      <c r="A21" t="s">
        <v>109</v>
      </c>
      <c r="B21">
        <v>0</v>
      </c>
      <c r="C21" s="15">
        <f>('Cost Components'!$B$26 * 10^6) / (1+Inputs!$C$5) ^'MFSP WACC Corrected'!C20</f>
        <v>3977570.0934579438</v>
      </c>
      <c r="D21" s="15">
        <f>('Cost Components'!$B$26 * 10^6) / (1+Inputs!$C$5) ^'MFSP WACC Corrected'!D20</f>
        <v>3717355.2275307886</v>
      </c>
      <c r="E21" s="15">
        <f>('Cost Components'!$B$26 * 10^6) / (1+Inputs!$C$5) ^'MFSP WACC Corrected'!E20</f>
        <v>3474163.7640474658</v>
      </c>
      <c r="F21" s="15">
        <f>('Cost Components'!$B$26 * 10^6) / (1+Inputs!$C$5) ^'MFSP WACC Corrected'!F20</f>
        <v>3246882.0224742675</v>
      </c>
      <c r="G21" s="15">
        <f>('Cost Components'!$B$26 * 10^6) / (1+Inputs!$C$5) ^'MFSP WACC Corrected'!G20</f>
        <v>3034469.1798824924</v>
      </c>
      <c r="H21" s="15">
        <f>('Cost Components'!$B$26 * 10^6) / (1+Inputs!$C$5) ^'MFSP WACC Corrected'!H20</f>
        <v>2835952.5045630774</v>
      </c>
      <c r="I21" s="15">
        <f>('Cost Components'!$B$26 * 10^6) / (1+Inputs!$C$5) ^'MFSP WACC Corrected'!I20</f>
        <v>2650422.9014608199</v>
      </c>
      <c r="J21" s="15">
        <f>('Cost Components'!$B$26 * 10^6) / (1+Inputs!$C$5) ^'MFSP WACC Corrected'!J20</f>
        <v>2477030.7490288038</v>
      </c>
      <c r="K21" s="15">
        <f>('Cost Components'!$B$26 * 10^6) / (1+Inputs!$C$5) ^'MFSP WACC Corrected'!K20</f>
        <v>2314982.0084381341</v>
      </c>
      <c r="L21" s="15">
        <f>('Cost Components'!$B$26 * 10^6) / (1+Inputs!$C$5) ^'MFSP WACC Corrected'!L20</f>
        <v>2163534.5873253588</v>
      </c>
      <c r="M21" s="15">
        <f>('Cost Components'!$B$26 * 10^6) / (1+Inputs!$C$5) ^'MFSP WACC Corrected'!M20</f>
        <v>2021994.9414255689</v>
      </c>
      <c r="N21" s="15">
        <f>('Cost Components'!$B$26 * 10^6) / (1+Inputs!$C$5) ^'MFSP WACC Corrected'!N20</f>
        <v>1889714.8985285694</v>
      </c>
      <c r="O21" s="15">
        <f>('Cost Components'!$B$26 * 10^6) / (1+Inputs!$C$5) ^'MFSP WACC Corrected'!O20</f>
        <v>1766088.690213616</v>
      </c>
      <c r="P21" s="15">
        <f>('Cost Components'!$B$26 * 10^6) / (1+Inputs!$C$5) ^'MFSP WACC Corrected'!P20</f>
        <v>1650550.1777697348</v>
      </c>
      <c r="Q21" s="15">
        <f>('Cost Components'!$B$26 * 10^6) / (1+Inputs!$C$5) ^'MFSP WACC Corrected'!Q20</f>
        <v>1542570.2595978829</v>
      </c>
      <c r="R21" s="15">
        <f>('Cost Components'!$B$26 * 10^6) / (1+Inputs!$C$5) ^'MFSP WACC Corrected'!R20</f>
        <v>1441654.4482223205</v>
      </c>
      <c r="S21" s="15">
        <f>('Cost Components'!$B$26 * 10^6) / (1+Inputs!$C$5) ^'MFSP WACC Corrected'!S20</f>
        <v>1347340.6058152528</v>
      </c>
      <c r="T21" s="15">
        <f>('Cost Components'!$B$26 * 10^6) / (1+Inputs!$C$5) ^'MFSP WACC Corrected'!T20</f>
        <v>1259196.8278647223</v>
      </c>
      <c r="U21" s="15">
        <f>('Cost Components'!$B$26 * 10^6) / (1+Inputs!$C$5) ^'MFSP WACC Corrected'!U20</f>
        <v>1176819.4652941329</v>
      </c>
      <c r="V21" s="15">
        <f>('Cost Components'!$B$26 * 10^6) / (1+Inputs!$C$5) ^'MFSP WACC Corrected'!V20</f>
        <v>1099831.2759758253</v>
      </c>
      <c r="W21" s="15">
        <f>('Cost Components'!$B$26 * 10^6) / (1+Inputs!$C$5) ^'MFSP WACC Corrected'!W20</f>
        <v>1027879.6971736683</v>
      </c>
      <c r="X21" s="15">
        <f>('Cost Components'!$B$26 * 10^6) / (1+Inputs!$C$5) ^'MFSP WACC Corrected'!X20</f>
        <v>960635.23100342834</v>
      </c>
      <c r="Y21" s="15">
        <f>('Cost Components'!$B$26 * 10^6) / (1+Inputs!$C$5) ^'MFSP WACC Corrected'!Y20</f>
        <v>897789.93551722274</v>
      </c>
      <c r="Z21" s="15">
        <f>('Cost Components'!$B$26 * 10^6) / (1+Inputs!$C$5) ^'MFSP WACC Corrected'!Z20</f>
        <v>839056.01450207725</v>
      </c>
      <c r="AA21" s="15">
        <f>('Cost Components'!$B$26 * 10^6) / (1+Inputs!$C$5) ^'MFSP WACC Corrected'!AA20</f>
        <v>784164.49953465164</v>
      </c>
      <c r="AB21" s="15">
        <f>('Cost Components'!$B$26 * 10^6) / (1+Inputs!$C$5) ^'MFSP WACC Corrected'!AB20</f>
        <v>732864.01825668383</v>
      </c>
      <c r="AC21" s="15">
        <f>('Cost Components'!$B$26 * 10^6) / (1+Inputs!$C$5) ^'MFSP WACC Corrected'!AC20</f>
        <v>684919.64323054545</v>
      </c>
      <c r="AD21" s="15">
        <f>('Cost Components'!$B$26 * 10^6) / (1+Inputs!$C$5) ^'MFSP WACC Corrected'!AD20</f>
        <v>640111.8161033137</v>
      </c>
      <c r="AE21" s="15">
        <f>('Cost Components'!$B$26 * 10^6) / (1+Inputs!$C$5) ^'MFSP WACC Corrected'!AE20</f>
        <v>598235.34215262963</v>
      </c>
      <c r="AF21" s="15">
        <f>('Cost Components'!$B$26 * 10^6) / (1+Inputs!$C$5) ^'MFSP WACC Corrected'!AF20</f>
        <v>559098.45060993417</v>
      </c>
    </row>
    <row r="22" spans="1:32" x14ac:dyDescent="0.25">
      <c r="A22" t="s">
        <v>110</v>
      </c>
      <c r="B22">
        <v>0</v>
      </c>
      <c r="C22" s="15">
        <f>('Cost Components'!$B$28 * 10^6) / (1+Inputs!$C$5) ^'MFSP WACC Corrected'!C20</f>
        <v>7856983.1775700934</v>
      </c>
      <c r="D22" s="15">
        <f>('Cost Components'!$B$28 * 10^6) / (1+Inputs!$C$5) ^'MFSP WACC Corrected'!D20</f>
        <v>7342974.9323084988</v>
      </c>
      <c r="E22" s="15">
        <f>('Cost Components'!$B$28 * 10^6) / (1+Inputs!$C$5) ^'MFSP WACC Corrected'!E20</f>
        <v>6862593.394680839</v>
      </c>
      <c r="F22" s="15">
        <f>('Cost Components'!$B$28 * 10^6) / (1+Inputs!$C$5) ^'MFSP WACC Corrected'!F20</f>
        <v>6413638.6866176073</v>
      </c>
      <c r="G22" s="15">
        <f>('Cost Components'!$B$28 * 10^6) / (1+Inputs!$C$5) ^'MFSP WACC Corrected'!G20</f>
        <v>5994054.8473061742</v>
      </c>
      <c r="H22" s="15">
        <f>('Cost Components'!$B$28 * 10^6) / (1+Inputs!$C$5) ^'MFSP WACC Corrected'!H20</f>
        <v>5601920.4180431543</v>
      </c>
      <c r="I22" s="15">
        <f>('Cost Components'!$B$28 * 10^6) / (1+Inputs!$C$5) ^'MFSP WACC Corrected'!I20</f>
        <v>5235439.6430309843</v>
      </c>
      <c r="J22" s="15">
        <f>('Cost Components'!$B$28 * 10^6) / (1+Inputs!$C$5) ^'MFSP WACC Corrected'!J20</f>
        <v>4892934.2458233507</v>
      </c>
      <c r="K22" s="15">
        <f>('Cost Components'!$B$28 * 10^6) / (1+Inputs!$C$5) ^'MFSP WACC Corrected'!K20</f>
        <v>4572835.7437601397</v>
      </c>
      <c r="L22" s="15">
        <f>('Cost Components'!$B$28 * 10^6) / (1+Inputs!$C$5) ^'MFSP WACC Corrected'!L20</f>
        <v>4273678.2651963923</v>
      </c>
      <c r="M22" s="15">
        <f>('Cost Components'!$B$28 * 10^6) / (1+Inputs!$C$5) ^'MFSP WACC Corrected'!M20</f>
        <v>3994091.8366321423</v>
      </c>
      <c r="N22" s="15">
        <f>('Cost Components'!$B$28 * 10^6) / (1+Inputs!$C$5) ^'MFSP WACC Corrected'!N20</f>
        <v>3732796.109002003</v>
      </c>
      <c r="O22" s="15">
        <f>('Cost Components'!$B$28 * 10^6) / (1+Inputs!$C$5) ^'MFSP WACC Corrected'!O20</f>
        <v>3488594.494394395</v>
      </c>
      <c r="P22" s="15">
        <f>('Cost Components'!$B$28 * 10^6) / (1+Inputs!$C$5) ^'MFSP WACC Corrected'!P20</f>
        <v>3260368.6863499018</v>
      </c>
      <c r="Q22" s="15">
        <f>('Cost Components'!$B$28 * 10^6) / (1+Inputs!$C$5) ^'MFSP WACC Corrected'!Q20</f>
        <v>3047073.5386447678</v>
      </c>
      <c r="R22" s="15">
        <f>('Cost Components'!$B$28 * 10^6) / (1+Inputs!$C$5) ^'MFSP WACC Corrected'!R20</f>
        <v>2847732.2791072601</v>
      </c>
      <c r="S22" s="15">
        <f>('Cost Components'!$B$28 * 10^6) / (1+Inputs!$C$5) ^'MFSP WACC Corrected'!S20</f>
        <v>2661432.0365488413</v>
      </c>
      <c r="T22" s="15">
        <f>('Cost Components'!$B$28 * 10^6) / (1+Inputs!$C$5) ^'MFSP WACC Corrected'!T20</f>
        <v>2487319.6603260199</v>
      </c>
      <c r="U22" s="15">
        <f>('Cost Components'!$B$28 * 10^6) / (1+Inputs!$C$5) ^'MFSP WACC Corrected'!U20</f>
        <v>2324597.8133888035</v>
      </c>
      <c r="V22" s="15">
        <f>('Cost Components'!$B$28 * 10^6) / (1+Inputs!$C$5) ^'MFSP WACC Corrected'!V20</f>
        <v>2172521.3209241154</v>
      </c>
      <c r="W22" s="15">
        <f>('Cost Components'!$B$28 * 10^6) / (1+Inputs!$C$5) ^'MFSP WACC Corrected'!W20</f>
        <v>2030393.757873005</v>
      </c>
      <c r="X22" s="15">
        <f>('Cost Components'!$B$28 * 10^6) / (1+Inputs!$C$5) ^'MFSP WACC Corrected'!X20</f>
        <v>1897564.2596943972</v>
      </c>
      <c r="Y22" s="15">
        <f>('Cost Components'!$B$28 * 10^6) / (1+Inputs!$C$5) ^'MFSP WACC Corrected'!Y20</f>
        <v>1773424.5417704645</v>
      </c>
      <c r="Z22" s="15">
        <f>('Cost Components'!$B$28 * 10^6) / (1+Inputs!$C$5) ^'MFSP WACC Corrected'!Z20</f>
        <v>1657406.1138041725</v>
      </c>
      <c r="AA22" s="15">
        <f>('Cost Components'!$B$28 * 10^6) / (1+Inputs!$C$5) ^'MFSP WACC Corrected'!AA20</f>
        <v>1548977.6764524975</v>
      </c>
      <c r="AB22" s="15">
        <f>('Cost Components'!$B$28 * 10^6) / (1+Inputs!$C$5) ^'MFSP WACC Corrected'!AB20</f>
        <v>1447642.6882733623</v>
      </c>
      <c r="AC22" s="15">
        <f>('Cost Components'!$B$28 * 10^6) / (1+Inputs!$C$5) ^'MFSP WACC Corrected'!AC20</f>
        <v>1352937.0918442635</v>
      </c>
      <c r="AD22" s="15">
        <f>('Cost Components'!$B$28 * 10^6) / (1+Inputs!$C$5) ^'MFSP WACC Corrected'!AD20</f>
        <v>1264427.1886394988</v>
      </c>
      <c r="AE22" s="15">
        <f>('Cost Components'!$B$28 * 10^6) / (1+Inputs!$C$5) ^'MFSP WACC Corrected'!AE20</f>
        <v>1181707.652934111</v>
      </c>
      <c r="AF22" s="15">
        <f>('Cost Components'!$B$28 * 10^6) / (1+Inputs!$C$5) ^'MFSP WACC Corrected'!AF20</f>
        <v>1104399.6756393563</v>
      </c>
    </row>
    <row r="23" spans="1:32" x14ac:dyDescent="0.25">
      <c r="A23" t="s">
        <v>111</v>
      </c>
      <c r="B23" s="15">
        <f>'Cost Components'!B11 * 10^6</f>
        <v>24927592.625570774</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row>
    <row r="24" spans="1:32" x14ac:dyDescent="0.25">
      <c r="A24" t="s">
        <v>112</v>
      </c>
      <c r="B24" s="15">
        <v>0</v>
      </c>
      <c r="C24" s="15">
        <f>SUM('Cost Components'!$B$15:$B$18) * 10^6</f>
        <v>435246.875</v>
      </c>
      <c r="D24" s="15">
        <f>SUM('Cost Components'!$B$15:$B$18) * 10^6</f>
        <v>435246.875</v>
      </c>
      <c r="E24" s="15">
        <f>SUM('Cost Components'!$B$15:$B$18) * 10^6</f>
        <v>435246.875</v>
      </c>
      <c r="F24" s="15">
        <f>SUM('Cost Components'!$B$15:$B$18) * 10^6</f>
        <v>435246.875</v>
      </c>
      <c r="G24" s="15">
        <f>SUM('Cost Components'!$B$15:$B$18) * 10^6</f>
        <v>435246.875</v>
      </c>
      <c r="H24" s="15">
        <f>SUM('Cost Components'!$B$15:$B$18) * 10^6</f>
        <v>435246.875</v>
      </c>
      <c r="I24" s="15">
        <f>SUM('Cost Components'!$B$15:$B$18) * 10^6</f>
        <v>435246.875</v>
      </c>
      <c r="J24" s="15">
        <f>SUM('Cost Components'!$B$15:$B$18) * 10^6</f>
        <v>435246.875</v>
      </c>
      <c r="K24" s="15">
        <f>SUM('Cost Components'!$B$15:$B$18) * 10^6</f>
        <v>435246.875</v>
      </c>
      <c r="L24" s="15">
        <f>SUM('Cost Components'!$B$15:$B$18) * 10^6</f>
        <v>435246.875</v>
      </c>
      <c r="M24" s="15">
        <f>SUM('Cost Components'!$B$15:$B$18) * 10^6</f>
        <v>435246.875</v>
      </c>
      <c r="N24" s="15">
        <f>SUM('Cost Components'!$B$15:$B$18) * 10^6</f>
        <v>435246.875</v>
      </c>
      <c r="O24" s="15">
        <f>SUM('Cost Components'!$B$15:$B$18) * 10^6</f>
        <v>435246.875</v>
      </c>
      <c r="P24" s="15">
        <f>SUM('Cost Components'!$B$15:$B$18) * 10^6</f>
        <v>435246.875</v>
      </c>
      <c r="Q24" s="15">
        <f>SUM('Cost Components'!$B$15:$B$18) * 10^6</f>
        <v>435246.875</v>
      </c>
      <c r="R24" s="15">
        <f>SUM('Cost Components'!$B$15:$B$18) * 10^6</f>
        <v>435246.875</v>
      </c>
      <c r="S24" s="15">
        <f>SUM('Cost Components'!$B$15:$B$18) * 10^6</f>
        <v>435246.875</v>
      </c>
      <c r="T24" s="15">
        <f>SUM('Cost Components'!$B$15:$B$18) * 10^6</f>
        <v>435246.875</v>
      </c>
      <c r="U24" s="15">
        <f>SUM('Cost Components'!$B$15:$B$18) * 10^6</f>
        <v>435246.875</v>
      </c>
      <c r="V24" s="15">
        <f>SUM('Cost Components'!$B$15:$B$18) * 10^6</f>
        <v>435246.875</v>
      </c>
      <c r="W24" s="15">
        <f>SUM('Cost Components'!$B$15:$B$18) * 10^6</f>
        <v>435246.875</v>
      </c>
      <c r="X24" s="15">
        <f>SUM('Cost Components'!$B$15:$B$18) * 10^6</f>
        <v>435246.875</v>
      </c>
      <c r="Y24" s="15">
        <f>SUM('Cost Components'!$B$15:$B$18) * 10^6</f>
        <v>435246.875</v>
      </c>
      <c r="Z24" s="15">
        <f>SUM('Cost Components'!$B$15:$B$18) * 10^6</f>
        <v>435246.875</v>
      </c>
      <c r="AA24" s="15">
        <f>SUM('Cost Components'!$B$15:$B$18) * 10^6</f>
        <v>435246.875</v>
      </c>
      <c r="AB24" s="15">
        <f>SUM('Cost Components'!$B$15:$B$18) * 10^6</f>
        <v>435246.875</v>
      </c>
      <c r="AC24" s="15">
        <f>SUM('Cost Components'!$B$15:$B$18) * 10^6</f>
        <v>435246.875</v>
      </c>
      <c r="AD24" s="15">
        <f>SUM('Cost Components'!$B$15:$B$18) * 10^6</f>
        <v>435246.875</v>
      </c>
      <c r="AE24" s="15">
        <f>SUM('Cost Components'!$B$15:$B$18) * 10^6</f>
        <v>435246.875</v>
      </c>
      <c r="AF24" s="15">
        <f>SUM('Cost Components'!$B$15:$B$18) * 10^6</f>
        <v>435246.875</v>
      </c>
    </row>
    <row r="25" spans="1:32" x14ac:dyDescent="0.25">
      <c r="A25" t="s">
        <v>113</v>
      </c>
      <c r="B25">
        <f t="shared" ref="B25:AF25" si="0">SUM(B21:B24)</f>
        <v>24927592.625570774</v>
      </c>
      <c r="C25">
        <f t="shared" si="0"/>
        <v>12269800.146028038</v>
      </c>
      <c r="D25">
        <f t="shared" si="0"/>
        <v>11495577.034839287</v>
      </c>
      <c r="E25">
        <f t="shared" si="0"/>
        <v>10772004.033728305</v>
      </c>
      <c r="F25">
        <f t="shared" si="0"/>
        <v>10095767.584091876</v>
      </c>
      <c r="G25">
        <f t="shared" si="0"/>
        <v>9463770.9021886662</v>
      </c>
      <c r="H25">
        <f t="shared" si="0"/>
        <v>8873119.7976062316</v>
      </c>
      <c r="I25">
        <f t="shared" si="0"/>
        <v>8321109.4194918042</v>
      </c>
      <c r="J25">
        <f t="shared" si="0"/>
        <v>7805211.8698521545</v>
      </c>
      <c r="K25">
        <f t="shared" si="0"/>
        <v>7323064.6271982733</v>
      </c>
      <c r="L25">
        <f t="shared" si="0"/>
        <v>6872459.7275217511</v>
      </c>
      <c r="M25">
        <f t="shared" si="0"/>
        <v>6451333.6530577112</v>
      </c>
      <c r="N25">
        <f t="shared" si="0"/>
        <v>6057757.8825305719</v>
      </c>
      <c r="O25">
        <f t="shared" si="0"/>
        <v>5689930.0596080106</v>
      </c>
      <c r="P25">
        <f t="shared" si="0"/>
        <v>5346165.7391196368</v>
      </c>
      <c r="Q25">
        <f t="shared" si="0"/>
        <v>5024890.6732426509</v>
      </c>
      <c r="R25">
        <f t="shared" si="0"/>
        <v>4724633.6023295801</v>
      </c>
      <c r="S25">
        <f t="shared" si="0"/>
        <v>4444019.517364094</v>
      </c>
      <c r="T25">
        <f t="shared" si="0"/>
        <v>4181763.3631907422</v>
      </c>
      <c r="U25">
        <f t="shared" si="0"/>
        <v>3936664.1536829364</v>
      </c>
      <c r="V25">
        <f t="shared" si="0"/>
        <v>3707599.4718999406</v>
      </c>
      <c r="W25">
        <f t="shared" si="0"/>
        <v>3493520.3300466733</v>
      </c>
      <c r="X25">
        <f t="shared" si="0"/>
        <v>3293446.3656978253</v>
      </c>
      <c r="Y25">
        <f t="shared" si="0"/>
        <v>3106461.3522876874</v>
      </c>
      <c r="Z25">
        <f t="shared" si="0"/>
        <v>2931709.0033062496</v>
      </c>
      <c r="AA25">
        <f t="shared" si="0"/>
        <v>2768389.0509871491</v>
      </c>
      <c r="AB25">
        <f t="shared" si="0"/>
        <v>2615753.5815300462</v>
      </c>
      <c r="AC25">
        <f t="shared" si="0"/>
        <v>2473103.6100748088</v>
      </c>
      <c r="AD25">
        <f t="shared" si="0"/>
        <v>2339785.8797428124</v>
      </c>
      <c r="AE25">
        <f t="shared" si="0"/>
        <v>2215189.8700867407</v>
      </c>
      <c r="AF25">
        <f t="shared" si="0"/>
        <v>2098745.0012492905</v>
      </c>
    </row>
    <row r="27" spans="1:32" x14ac:dyDescent="0.25">
      <c r="A27" t="s">
        <v>114</v>
      </c>
      <c r="B27" s="7"/>
    </row>
    <row r="28" spans="1:32" x14ac:dyDescent="0.25">
      <c r="A28" t="s">
        <v>93</v>
      </c>
      <c r="B28" s="7">
        <f>SUM(B21:AF21) / SUM(B25:AF25)</f>
        <v>0.27066824143591162</v>
      </c>
    </row>
    <row r="29" spans="1:32" x14ac:dyDescent="0.25">
      <c r="A29" t="s">
        <v>115</v>
      </c>
      <c r="B29" s="7">
        <f>SUM(B22:AF22) / SUM(B25:AF25)</f>
        <v>0.53465703172954604</v>
      </c>
    </row>
    <row r="30" spans="1:32" x14ac:dyDescent="0.25">
      <c r="A30" t="s">
        <v>81</v>
      </c>
      <c r="B30" s="7">
        <f>SUM(B23:AF23) / SUM(B25:AF25)</f>
        <v>0.12775496718907892</v>
      </c>
    </row>
    <row r="31" spans="1:32" x14ac:dyDescent="0.25">
      <c r="A31" t="s">
        <v>116</v>
      </c>
      <c r="B31" s="7">
        <f>SUM(B24:AF24) / SUM(B25:AF25)</f>
        <v>6.691975964546347E-2</v>
      </c>
    </row>
    <row r="33" spans="1:32" x14ac:dyDescent="0.25">
      <c r="A33" t="s">
        <v>117</v>
      </c>
    </row>
    <row r="34" spans="1:32" x14ac:dyDescent="0.25">
      <c r="A34" t="s">
        <v>1</v>
      </c>
      <c r="B34">
        <v>0</v>
      </c>
      <c r="C34">
        <v>1</v>
      </c>
      <c r="D34">
        <v>2</v>
      </c>
      <c r="E34">
        <v>3</v>
      </c>
      <c r="F34">
        <v>4</v>
      </c>
      <c r="G34">
        <v>5</v>
      </c>
      <c r="H34">
        <v>6</v>
      </c>
      <c r="I34">
        <v>7</v>
      </c>
      <c r="J34">
        <v>8</v>
      </c>
      <c r="K34">
        <v>9</v>
      </c>
      <c r="L34">
        <v>10</v>
      </c>
      <c r="M34">
        <v>11</v>
      </c>
      <c r="N34">
        <v>12</v>
      </c>
      <c r="O34">
        <v>13</v>
      </c>
      <c r="P34">
        <v>14</v>
      </c>
      <c r="Q34">
        <v>15</v>
      </c>
      <c r="R34">
        <v>16</v>
      </c>
      <c r="S34">
        <v>17</v>
      </c>
      <c r="T34">
        <v>18</v>
      </c>
      <c r="U34">
        <v>19</v>
      </c>
      <c r="V34">
        <v>20</v>
      </c>
      <c r="W34">
        <v>21</v>
      </c>
      <c r="X34">
        <v>22</v>
      </c>
      <c r="Y34">
        <v>23</v>
      </c>
      <c r="Z34">
        <v>24</v>
      </c>
      <c r="AA34">
        <v>25</v>
      </c>
      <c r="AB34">
        <v>26</v>
      </c>
      <c r="AC34">
        <v>27</v>
      </c>
      <c r="AD34">
        <v>28</v>
      </c>
      <c r="AE34">
        <v>29</v>
      </c>
      <c r="AF34">
        <v>30</v>
      </c>
    </row>
    <row r="35" spans="1:32" x14ac:dyDescent="0.25">
      <c r="A35" t="s">
        <v>109</v>
      </c>
      <c r="B35">
        <v>0</v>
      </c>
      <c r="C35" s="15">
        <f>('Cost Components'!$H$26 * 10^6) / (1+Inputs!$C$5) ^'MFSP WACC Corrected'!C34</f>
        <v>683644.85981308413</v>
      </c>
      <c r="D35" s="15">
        <f>('Cost Components'!$H$26 * 10^6) / (1+Inputs!$C$5) ^'MFSP WACC Corrected'!D34</f>
        <v>638920.42973185424</v>
      </c>
      <c r="E35" s="15">
        <f>('Cost Components'!$H$26 * 10^6) / (1+Inputs!$C$5) ^'MFSP WACC Corrected'!E34</f>
        <v>597121.89694565814</v>
      </c>
      <c r="F35" s="15">
        <f>('Cost Components'!$H$26 * 10^6) / (1+Inputs!$C$5) ^'MFSP WACC Corrected'!F34</f>
        <v>558057.84761276469</v>
      </c>
      <c r="G35" s="15">
        <f>('Cost Components'!$H$26 * 10^6) / (1+Inputs!$C$5) ^'MFSP WACC Corrected'!G34</f>
        <v>521549.3902923034</v>
      </c>
      <c r="H35" s="15">
        <f>('Cost Components'!$H$26 * 10^6) / (1+Inputs!$C$5) ^'MFSP WACC Corrected'!H34</f>
        <v>487429.33672177891</v>
      </c>
      <c r="I35" s="15">
        <f>('Cost Components'!$H$26 * 10^6) / (1+Inputs!$C$5) ^'MFSP WACC Corrected'!I34</f>
        <v>455541.43618857837</v>
      </c>
      <c r="J35" s="15">
        <f>('Cost Components'!$H$26 * 10^6) / (1+Inputs!$C$5) ^'MFSP WACC Corrected'!J34</f>
        <v>425739.65998932562</v>
      </c>
      <c r="K35" s="15">
        <f>('Cost Components'!$H$26 * 10^6) / (1+Inputs!$C$5) ^'MFSP WACC Corrected'!K34</f>
        <v>397887.53270030429</v>
      </c>
      <c r="L35" s="15">
        <f>('Cost Components'!$H$26 * 10^6) / (1+Inputs!$C$5) ^'MFSP WACC Corrected'!L34</f>
        <v>371857.50719654607</v>
      </c>
      <c r="M35" s="15">
        <f>('Cost Components'!$H$26 * 10^6) / (1+Inputs!$C$5) ^'MFSP WACC Corrected'!M34</f>
        <v>347530.38055751962</v>
      </c>
      <c r="N35" s="15">
        <f>('Cost Components'!$H$26 * 10^6) / (1+Inputs!$C$5) ^'MFSP WACC Corrected'!N34</f>
        <v>324794.74818459788</v>
      </c>
      <c r="O35" s="15">
        <f>('Cost Components'!$H$26 * 10^6) / (1+Inputs!$C$5) ^'MFSP WACC Corrected'!O34</f>
        <v>303546.49363046524</v>
      </c>
      <c r="P35" s="15">
        <f>('Cost Components'!$H$26 * 10^6) / (1+Inputs!$C$5) ^'MFSP WACC Corrected'!P34</f>
        <v>283688.31180417317</v>
      </c>
      <c r="Q35" s="15">
        <f>('Cost Components'!$H$26 * 10^6) / (1+Inputs!$C$5) ^'MFSP WACC Corrected'!Q34</f>
        <v>265129.26336838608</v>
      </c>
      <c r="R35" s="15">
        <f>('Cost Components'!$H$26 * 10^6) / (1+Inputs!$C$5) ^'MFSP WACC Corrected'!R34</f>
        <v>247784.35828821134</v>
      </c>
      <c r="S35" s="15">
        <f>('Cost Components'!$H$26 * 10^6) / (1+Inputs!$C$5) ^'MFSP WACC Corrected'!S34</f>
        <v>231574.16662449657</v>
      </c>
      <c r="T35" s="15">
        <f>('Cost Components'!$H$26 * 10^6) / (1+Inputs!$C$5) ^'MFSP WACC Corrected'!T34</f>
        <v>216424.45478924914</v>
      </c>
      <c r="U35" s="15">
        <f>('Cost Components'!$H$26 * 10^6) / (1+Inputs!$C$5) ^'MFSP WACC Corrected'!U34</f>
        <v>202265.84559742908</v>
      </c>
      <c r="V35" s="15">
        <f>('Cost Components'!$H$26 * 10^6) / (1+Inputs!$C$5) ^'MFSP WACC Corrected'!V34</f>
        <v>189033.50055834497</v>
      </c>
      <c r="W35" s="15">
        <f>('Cost Components'!$H$26 * 10^6) / (1+Inputs!$C$5) ^'MFSP WACC Corrected'!W34</f>
        <v>176666.82295172426</v>
      </c>
      <c r="X35" s="15">
        <f>('Cost Components'!$H$26 * 10^6) / (1+Inputs!$C$5) ^'MFSP WACC Corrected'!X34</f>
        <v>165109.18032871425</v>
      </c>
      <c r="Y35" s="15">
        <f>('Cost Components'!$H$26 * 10^6) / (1+Inputs!$C$5) ^'MFSP WACC Corrected'!Y34</f>
        <v>154307.64516702265</v>
      </c>
      <c r="Z35" s="15">
        <f>('Cost Components'!$H$26 * 10^6) / (1+Inputs!$C$5) ^'MFSP WACC Corrected'!Z34</f>
        <v>144212.75249254453</v>
      </c>
      <c r="AA35" s="15">
        <f>('Cost Components'!$H$26 * 10^6) / (1+Inputs!$C$5) ^'MFSP WACC Corrected'!AA34</f>
        <v>134778.27335751825</v>
      </c>
      <c r="AB35" s="15">
        <f>('Cost Components'!$H$26 * 10^6) / (1+Inputs!$C$5) ^'MFSP WACC Corrected'!AB34</f>
        <v>125961.00313786753</v>
      </c>
      <c r="AC35" s="15">
        <f>('Cost Components'!$H$26 * 10^6) / (1+Inputs!$C$5) ^'MFSP WACC Corrected'!AC34</f>
        <v>117720.56368025001</v>
      </c>
      <c r="AD35" s="15">
        <f>('Cost Components'!$H$26 * 10^6) / (1+Inputs!$C$5) ^'MFSP WACC Corrected'!AD34</f>
        <v>110019.21839275704</v>
      </c>
      <c r="AE35" s="15">
        <f>('Cost Components'!$H$26 * 10^6) / (1+Inputs!$C$5) ^'MFSP WACC Corrected'!AE34</f>
        <v>102821.6994324832</v>
      </c>
      <c r="AF35" s="15">
        <f>('Cost Components'!$H$26 * 10^6) / (1+Inputs!$C$5) ^'MFSP WACC Corrected'!AF34</f>
        <v>96095.046198582437</v>
      </c>
    </row>
    <row r="36" spans="1:32" x14ac:dyDescent="0.25">
      <c r="A36" t="s">
        <v>110</v>
      </c>
      <c r="B36">
        <v>0</v>
      </c>
      <c r="C36" s="15">
        <f>('Cost Components'!$H$28 * 10^6) / (1+Inputs!$C$5) ^'MFSP WACC Corrected'!C34</f>
        <v>2997229.9065420558</v>
      </c>
      <c r="D36" s="15">
        <f>('Cost Components'!$H$28 * 10^6) / (1+Inputs!$C$5) ^'MFSP WACC Corrected'!D34</f>
        <v>2801149.4453664073</v>
      </c>
      <c r="E36" s="15">
        <f>('Cost Components'!$H$28 * 10^6) / (1+Inputs!$C$5) ^'MFSP WACC Corrected'!E34</f>
        <v>2617896.67791253</v>
      </c>
      <c r="F36" s="15">
        <f>('Cost Components'!$H$28 * 10^6) / (1+Inputs!$C$5) ^'MFSP WACC Corrected'!F34</f>
        <v>2446632.4092640472</v>
      </c>
      <c r="G36" s="15">
        <f>('Cost Components'!$H$28 * 10^6) / (1+Inputs!$C$5) ^'MFSP WACC Corrected'!G34</f>
        <v>2286572.3451065859</v>
      </c>
      <c r="H36" s="15">
        <f>('Cost Components'!$H$28 * 10^6) / (1+Inputs!$C$5) ^'MFSP WACC Corrected'!H34</f>
        <v>2136983.5000996129</v>
      </c>
      <c r="I36" s="15">
        <f>('Cost Components'!$H$28 * 10^6) / (1+Inputs!$C$5) ^'MFSP WACC Corrected'!I34</f>
        <v>1997180.8412145916</v>
      </c>
      <c r="J36" s="15">
        <f>('Cost Components'!$H$28 * 10^6) / (1+Inputs!$C$5) ^'MFSP WACC Corrected'!J34</f>
        <v>1866524.1506678427</v>
      </c>
      <c r="K36" s="15">
        <f>('Cost Components'!$H$28 * 10^6) / (1+Inputs!$C$5) ^'MFSP WACC Corrected'!K34</f>
        <v>1744415.0940820957</v>
      </c>
      <c r="L36" s="15">
        <f>('Cost Components'!$H$28 * 10^6) / (1+Inputs!$C$5) ^'MFSP WACC Corrected'!L34</f>
        <v>1630294.4804505568</v>
      </c>
      <c r="M36" s="15">
        <f>('Cost Components'!$H$28 * 10^6) / (1+Inputs!$C$5) ^'MFSP WACC Corrected'!M34</f>
        <v>1523639.7013556603</v>
      </c>
      <c r="N36" s="15">
        <f>('Cost Components'!$H$28 * 10^6) / (1+Inputs!$C$5) ^'MFSP WACC Corrected'!N34</f>
        <v>1423962.3377155708</v>
      </c>
      <c r="O36" s="15">
        <f>('Cost Components'!$H$28 * 10^6) / (1+Inputs!$C$5) ^'MFSP WACC Corrected'!O34</f>
        <v>1330805.923098664</v>
      </c>
      <c r="P36" s="15">
        <f>('Cost Components'!$H$28 * 10^6) / (1+Inputs!$C$5) ^'MFSP WACC Corrected'!P34</f>
        <v>1243743.8533632376</v>
      </c>
      <c r="Q36" s="15">
        <f>('Cost Components'!$H$28 * 10^6) / (1+Inputs!$C$5) ^'MFSP WACC Corrected'!Q34</f>
        <v>1162377.4330497545</v>
      </c>
      <c r="R36" s="15">
        <f>('Cost Components'!$H$28 * 10^6) / (1+Inputs!$C$5) ^'MFSP WACC Corrected'!R34</f>
        <v>1086334.0495792101</v>
      </c>
      <c r="S36" s="15">
        <f>('Cost Components'!$H$28 * 10^6) / (1+Inputs!$C$5) ^'MFSP WACC Corrected'!S34</f>
        <v>1015265.4668964579</v>
      </c>
      <c r="T36" s="15">
        <f>('Cost Components'!$H$28 * 10^6) / (1+Inputs!$C$5) ^'MFSP WACC Corrected'!T34</f>
        <v>948846.23074435326</v>
      </c>
      <c r="U36" s="15">
        <f>('Cost Components'!$H$28 * 10^6) / (1+Inputs!$C$5) ^'MFSP WACC Corrected'!U34</f>
        <v>886772.17826575064</v>
      </c>
      <c r="V36" s="15">
        <f>('Cost Components'!$H$28 * 10^6) / (1+Inputs!$C$5) ^'MFSP WACC Corrected'!V34</f>
        <v>828759.04510817816</v>
      </c>
      <c r="W36" s="15">
        <f>('Cost Components'!$H$28 * 10^6) / (1+Inputs!$C$5) ^'MFSP WACC Corrected'!W34</f>
        <v>774541.16365250293</v>
      </c>
      <c r="X36" s="15">
        <f>('Cost Components'!$H$28 * 10^6) / (1+Inputs!$C$5) ^'MFSP WACC Corrected'!X34</f>
        <v>723870.24640420836</v>
      </c>
      <c r="Y36" s="15">
        <f>('Cost Components'!$H$28 * 10^6) / (1+Inputs!$C$5) ^'MFSP WACC Corrected'!Y34</f>
        <v>676514.24897589569</v>
      </c>
      <c r="Z36" s="15">
        <f>('Cost Components'!$H$28 * 10^6) / (1+Inputs!$C$5) ^'MFSP WACC Corrected'!Z34</f>
        <v>632256.30745410803</v>
      </c>
      <c r="AA36" s="15">
        <f>('Cost Components'!$H$28 * 10^6) / (1+Inputs!$C$5) ^'MFSP WACC Corrected'!AA34</f>
        <v>590893.7452842131</v>
      </c>
      <c r="AB36" s="15">
        <f>('Cost Components'!$H$28 * 10^6) / (1+Inputs!$C$5) ^'MFSP WACC Corrected'!AB34</f>
        <v>552237.14512543287</v>
      </c>
      <c r="AC36" s="15">
        <f>('Cost Components'!$H$28 * 10^6) / (1+Inputs!$C$5) ^'MFSP WACC Corrected'!AC34</f>
        <v>516109.48142563808</v>
      </c>
      <c r="AD36" s="15">
        <f>('Cost Components'!$H$28 * 10^6) / (1+Inputs!$C$5) ^'MFSP WACC Corrected'!AD34</f>
        <v>482345.3097435871</v>
      </c>
      <c r="AE36" s="15">
        <f>('Cost Components'!$H$28 * 10^6) / (1+Inputs!$C$5) ^'MFSP WACC Corrected'!AE34</f>
        <v>450790.00910615613</v>
      </c>
      <c r="AF36" s="15">
        <f>('Cost Components'!$H$28 * 10^6) / (1+Inputs!$C$5) ^'MFSP WACC Corrected'!AF34</f>
        <v>421299.0739309871</v>
      </c>
    </row>
    <row r="37" spans="1:32" x14ac:dyDescent="0.25">
      <c r="A37" t="s">
        <v>111</v>
      </c>
      <c r="B37" s="15">
        <f>'Cost Components'!H11 * 10^6</f>
        <v>9127577.6255707759</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row>
    <row r="38" spans="1:32" x14ac:dyDescent="0.25">
      <c r="A38" t="s">
        <v>112</v>
      </c>
      <c r="B38" s="15">
        <v>0</v>
      </c>
      <c r="C38" s="15">
        <f>SUM('Cost Components'!$H$15:$H$18) * 10^6</f>
        <v>160462.49999999997</v>
      </c>
      <c r="D38" s="15">
        <f>SUM('Cost Components'!$H$15:$H$18) * 10^6</f>
        <v>160462.49999999997</v>
      </c>
      <c r="E38" s="15">
        <f>SUM('Cost Components'!$H$15:$H$18) * 10^6</f>
        <v>160462.49999999997</v>
      </c>
      <c r="F38" s="15">
        <f>SUM('Cost Components'!$H$15:$H$18) * 10^6</f>
        <v>160462.49999999997</v>
      </c>
      <c r="G38" s="15">
        <f>SUM('Cost Components'!$H$15:$H$18) * 10^6</f>
        <v>160462.49999999997</v>
      </c>
      <c r="H38" s="15">
        <f>SUM('Cost Components'!$H$15:$H$18) * 10^6</f>
        <v>160462.49999999997</v>
      </c>
      <c r="I38" s="15">
        <f>SUM('Cost Components'!$H$15:$H$18) * 10^6</f>
        <v>160462.49999999997</v>
      </c>
      <c r="J38" s="15">
        <f>SUM('Cost Components'!$H$15:$H$18) * 10^6</f>
        <v>160462.49999999997</v>
      </c>
      <c r="K38" s="15">
        <f>SUM('Cost Components'!$H$15:$H$18) * 10^6</f>
        <v>160462.49999999997</v>
      </c>
      <c r="L38" s="15">
        <f>SUM('Cost Components'!$H$15:$H$18) * 10^6</f>
        <v>160462.49999999997</v>
      </c>
      <c r="M38" s="15">
        <f>SUM('Cost Components'!$H$15:$H$18) * 10^6</f>
        <v>160462.49999999997</v>
      </c>
      <c r="N38" s="15">
        <f>SUM('Cost Components'!$H$15:$H$18) * 10^6</f>
        <v>160462.49999999997</v>
      </c>
      <c r="O38" s="15">
        <f>SUM('Cost Components'!$H$15:$H$18) * 10^6</f>
        <v>160462.49999999997</v>
      </c>
      <c r="P38" s="15">
        <f>SUM('Cost Components'!$H$15:$H$18) * 10^6</f>
        <v>160462.49999999997</v>
      </c>
      <c r="Q38" s="15">
        <f>SUM('Cost Components'!$H$15:$H$18) * 10^6</f>
        <v>160462.49999999997</v>
      </c>
      <c r="R38" s="15">
        <f>SUM('Cost Components'!$H$15:$H$18) * 10^6</f>
        <v>160462.49999999997</v>
      </c>
      <c r="S38" s="15">
        <f>SUM('Cost Components'!$H$15:$H$18) * 10^6</f>
        <v>160462.49999999997</v>
      </c>
      <c r="T38" s="15">
        <f>SUM('Cost Components'!$H$15:$H$18) * 10^6</f>
        <v>160462.49999999997</v>
      </c>
      <c r="U38" s="15">
        <f>SUM('Cost Components'!$H$15:$H$18) * 10^6</f>
        <v>160462.49999999997</v>
      </c>
      <c r="V38" s="15">
        <f>SUM('Cost Components'!$H$15:$H$18) * 10^6</f>
        <v>160462.49999999997</v>
      </c>
      <c r="W38" s="15">
        <f>SUM('Cost Components'!$H$15:$H$18) * 10^6</f>
        <v>160462.49999999997</v>
      </c>
      <c r="X38" s="15">
        <f>SUM('Cost Components'!$H$15:$H$18) * 10^6</f>
        <v>160462.49999999997</v>
      </c>
      <c r="Y38" s="15">
        <f>SUM('Cost Components'!$H$15:$H$18) * 10^6</f>
        <v>160462.49999999997</v>
      </c>
      <c r="Z38" s="15">
        <f>SUM('Cost Components'!$H$15:$H$18) * 10^6</f>
        <v>160462.49999999997</v>
      </c>
      <c r="AA38" s="15">
        <f>SUM('Cost Components'!$H$15:$H$18) * 10^6</f>
        <v>160462.49999999997</v>
      </c>
      <c r="AB38" s="15">
        <f>SUM('Cost Components'!$H$15:$H$18) * 10^6</f>
        <v>160462.49999999997</v>
      </c>
      <c r="AC38" s="15">
        <f>SUM('Cost Components'!$H$15:$H$18) * 10^6</f>
        <v>160462.49999999997</v>
      </c>
      <c r="AD38" s="15">
        <f>SUM('Cost Components'!$H$15:$H$18) * 10^6</f>
        <v>160462.49999999997</v>
      </c>
      <c r="AE38" s="15">
        <f>SUM('Cost Components'!$H$15:$H$18) * 10^6</f>
        <v>160462.49999999997</v>
      </c>
      <c r="AF38" s="15">
        <f>SUM('Cost Components'!$H$15:$H$18) * 10^6</f>
        <v>160462.49999999997</v>
      </c>
    </row>
    <row r="39" spans="1:32" x14ac:dyDescent="0.25">
      <c r="A39" t="s">
        <v>113</v>
      </c>
      <c r="B39">
        <f t="shared" ref="B39:AF39" si="1">SUM(B35:B38)</f>
        <v>9127577.6255707759</v>
      </c>
      <c r="C39">
        <f t="shared" si="1"/>
        <v>3841337.2663551401</v>
      </c>
      <c r="D39">
        <f t="shared" si="1"/>
        <v>3600532.3750982615</v>
      </c>
      <c r="E39">
        <f t="shared" si="1"/>
        <v>3375481.0748581882</v>
      </c>
      <c r="F39">
        <f t="shared" si="1"/>
        <v>3165152.7568768119</v>
      </c>
      <c r="G39">
        <f t="shared" si="1"/>
        <v>2968584.2353988895</v>
      </c>
      <c r="H39">
        <f t="shared" si="1"/>
        <v>2784875.3368213917</v>
      </c>
      <c r="I39">
        <f t="shared" si="1"/>
        <v>2613184.7774031702</v>
      </c>
      <c r="J39">
        <f t="shared" si="1"/>
        <v>2452726.3106571683</v>
      </c>
      <c r="K39">
        <f t="shared" si="1"/>
        <v>2302765.1267824001</v>
      </c>
      <c r="L39">
        <f t="shared" si="1"/>
        <v>2162614.4876471027</v>
      </c>
      <c r="M39">
        <f t="shared" si="1"/>
        <v>2031632.58191318</v>
      </c>
      <c r="N39">
        <f t="shared" si="1"/>
        <v>1909219.5859001686</v>
      </c>
      <c r="O39">
        <f t="shared" si="1"/>
        <v>1794814.9167291294</v>
      </c>
      <c r="P39">
        <f t="shared" si="1"/>
        <v>1687894.6651674109</v>
      </c>
      <c r="Q39">
        <f t="shared" si="1"/>
        <v>1587969.1964181405</v>
      </c>
      <c r="R39">
        <f t="shared" si="1"/>
        <v>1494580.9078674214</v>
      </c>
      <c r="S39">
        <f t="shared" si="1"/>
        <v>1407302.1335209545</v>
      </c>
      <c r="T39">
        <f t="shared" si="1"/>
        <v>1325733.1855336025</v>
      </c>
      <c r="U39">
        <f t="shared" si="1"/>
        <v>1249500.5238631796</v>
      </c>
      <c r="V39">
        <f t="shared" si="1"/>
        <v>1178255.045666523</v>
      </c>
      <c r="W39">
        <f t="shared" si="1"/>
        <v>1111670.4866042272</v>
      </c>
      <c r="X39">
        <f t="shared" si="1"/>
        <v>1049441.9267329227</v>
      </c>
      <c r="Y39">
        <f t="shared" si="1"/>
        <v>991284.39414291829</v>
      </c>
      <c r="Z39">
        <f t="shared" si="1"/>
        <v>936931.5599466525</v>
      </c>
      <c r="AA39">
        <f t="shared" si="1"/>
        <v>886134.51864173135</v>
      </c>
      <c r="AB39">
        <f t="shared" si="1"/>
        <v>838660.64826330042</v>
      </c>
      <c r="AC39">
        <f t="shared" si="1"/>
        <v>794292.54510588804</v>
      </c>
      <c r="AD39">
        <f t="shared" si="1"/>
        <v>752827.02813634416</v>
      </c>
      <c r="AE39">
        <f t="shared" si="1"/>
        <v>714074.20853863936</v>
      </c>
      <c r="AF39">
        <f t="shared" si="1"/>
        <v>677856.62012956955</v>
      </c>
    </row>
    <row r="40" spans="1:32" x14ac:dyDescent="0.25">
      <c r="A40" t="s">
        <v>118</v>
      </c>
      <c r="B40" s="7"/>
    </row>
    <row r="41" spans="1:32" x14ac:dyDescent="0.25">
      <c r="A41" t="s">
        <v>93</v>
      </c>
      <c r="B41" s="7">
        <f>SUM(B35:AF35) / SUM(B39:AF39)</f>
        <v>0.1445073137443435</v>
      </c>
    </row>
    <row r="42" spans="1:32" x14ac:dyDescent="0.25">
      <c r="A42" t="s">
        <v>115</v>
      </c>
      <c r="B42" s="7">
        <f>SUM(B36:AF36) / SUM(B39:AF39)</f>
        <v>0.63354772035735396</v>
      </c>
    </row>
    <row r="43" spans="1:32" x14ac:dyDescent="0.25">
      <c r="A43" t="s">
        <v>81</v>
      </c>
      <c r="B43" s="7">
        <f>SUM(B37:AF37) / SUM(B39:AF39)</f>
        <v>0.14530909792898825</v>
      </c>
    </row>
    <row r="44" spans="1:32" x14ac:dyDescent="0.25">
      <c r="A44" t="s">
        <v>116</v>
      </c>
      <c r="B44" s="7">
        <f>SUM(B38:AF38) / SUM(B39:AF39)</f>
        <v>7.6635867969314167E-2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D26" sqref="D26"/>
    </sheetView>
  </sheetViews>
  <sheetFormatPr defaultColWidth="11.25" defaultRowHeight="15.75" x14ac:dyDescent="0.25"/>
  <cols>
    <col min="1" max="1" width="89.5" customWidth="1"/>
  </cols>
  <sheetData>
    <row r="1" spans="1:1" ht="67.900000000000006" customHeight="1" x14ac:dyDescent="0.25">
      <c r="A1" s="17" t="s">
        <v>119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2"/>
  <sheetViews>
    <sheetView workbookViewId="0">
      <selection activeCell="C8" sqref="C8"/>
    </sheetView>
  </sheetViews>
  <sheetFormatPr defaultColWidth="11.25" defaultRowHeight="15.75" x14ac:dyDescent="0.25"/>
  <cols>
    <col min="1" max="1" width="26.75" bestFit="1" customWidth="1"/>
    <col min="2" max="2" width="11.75" bestFit="1" customWidth="1"/>
  </cols>
  <sheetData>
    <row r="1" spans="1:32" x14ac:dyDescent="0.25">
      <c r="A1" t="s">
        <v>0</v>
      </c>
      <c r="B1" t="s">
        <v>120</v>
      </c>
      <c r="C1" t="s">
        <v>121</v>
      </c>
      <c r="D1" t="s">
        <v>31</v>
      </c>
      <c r="E1" t="s">
        <v>32</v>
      </c>
    </row>
    <row r="2" spans="1:32" x14ac:dyDescent="0.25">
      <c r="A2" t="s">
        <v>122</v>
      </c>
      <c r="B2">
        <v>8760</v>
      </c>
      <c r="C2">
        <v>4200</v>
      </c>
      <c r="D2" t="s">
        <v>123</v>
      </c>
      <c r="E2" t="s">
        <v>124</v>
      </c>
    </row>
    <row r="3" spans="1:32" x14ac:dyDescent="0.25">
      <c r="A3" t="s">
        <v>125</v>
      </c>
      <c r="B3">
        <f>'Study Parameters'!C24</f>
        <v>2117061.0211706101</v>
      </c>
      <c r="C3">
        <f>(C2/B2) * B3</f>
        <v>1015029.2567256349</v>
      </c>
    </row>
    <row r="5" spans="1:32" x14ac:dyDescent="0.25">
      <c r="A5">
        <v>2024</v>
      </c>
    </row>
    <row r="6" spans="1:32" x14ac:dyDescent="0.25">
      <c r="A6" t="s">
        <v>1</v>
      </c>
      <c r="B6">
        <v>0</v>
      </c>
      <c r="C6">
        <v>1</v>
      </c>
      <c r="D6">
        <v>2</v>
      </c>
      <c r="E6">
        <v>3</v>
      </c>
      <c r="F6">
        <v>4</v>
      </c>
      <c r="G6">
        <v>5</v>
      </c>
      <c r="H6">
        <v>6</v>
      </c>
      <c r="I6">
        <v>7</v>
      </c>
      <c r="J6">
        <v>8</v>
      </c>
      <c r="K6">
        <v>9</v>
      </c>
      <c r="L6">
        <v>10</v>
      </c>
      <c r="M6">
        <v>11</v>
      </c>
      <c r="N6">
        <v>12</v>
      </c>
      <c r="O6">
        <v>13</v>
      </c>
      <c r="P6">
        <v>14</v>
      </c>
      <c r="Q6">
        <v>15</v>
      </c>
      <c r="R6">
        <v>16</v>
      </c>
      <c r="S6">
        <v>17</v>
      </c>
      <c r="T6">
        <v>18</v>
      </c>
      <c r="U6">
        <v>19</v>
      </c>
      <c r="V6">
        <v>20</v>
      </c>
      <c r="W6">
        <v>21</v>
      </c>
      <c r="X6">
        <v>22</v>
      </c>
      <c r="Y6">
        <v>23</v>
      </c>
      <c r="Z6">
        <v>24</v>
      </c>
      <c r="AA6">
        <v>25</v>
      </c>
      <c r="AB6">
        <v>26</v>
      </c>
      <c r="AC6">
        <v>27</v>
      </c>
      <c r="AD6">
        <v>28</v>
      </c>
      <c r="AE6">
        <v>29</v>
      </c>
      <c r="AF6">
        <v>30</v>
      </c>
    </row>
    <row r="7" spans="1:32" x14ac:dyDescent="0.25">
      <c r="A7" t="s">
        <v>102</v>
      </c>
      <c r="B7" s="4">
        <f>('Cost Components'!B11-'Cost Components'!B9-'Cost Components'!B7-'Cost Components'!B6) * 10^6</f>
        <v>19854592.625570774</v>
      </c>
      <c r="C7">
        <f>('Cost Components'!$B$37-'Cost Components'!$B$17-'Cost Components'!$B$18-'Cost Components'!$B$20) * 10^6</f>
        <v>8658161.8750000037</v>
      </c>
      <c r="D7">
        <f>('Cost Components'!$B$37-'Cost Components'!$B$17-'Cost Components'!$B$18-'Cost Components'!$B$20) * 10^6</f>
        <v>8658161.8750000037</v>
      </c>
      <c r="E7">
        <f>('Cost Components'!$B$37-'Cost Components'!$B$17-'Cost Components'!$B$18-'Cost Components'!$B$20) * 10^6</f>
        <v>8658161.8750000037</v>
      </c>
      <c r="F7">
        <f>('Cost Components'!$B$37-'Cost Components'!$B$17-'Cost Components'!$B$18-'Cost Components'!$B$20) * 10^6</f>
        <v>8658161.8750000037</v>
      </c>
      <c r="G7">
        <f>('Cost Components'!$B$37-'Cost Components'!$B$17-'Cost Components'!$B$18-'Cost Components'!$B$20) * 10^6</f>
        <v>8658161.8750000037</v>
      </c>
      <c r="H7">
        <f>('Cost Components'!$B$37-'Cost Components'!$B$17-'Cost Components'!$B$18-'Cost Components'!$B$20) * 10^6</f>
        <v>8658161.8750000037</v>
      </c>
      <c r="I7">
        <f>('Cost Components'!$B$37-'Cost Components'!$B$17-'Cost Components'!$B$18-'Cost Components'!$B$20) * 10^6</f>
        <v>8658161.8750000037</v>
      </c>
      <c r="J7">
        <f>('Cost Components'!$B$37-'Cost Components'!$B$17-'Cost Components'!$B$18-'Cost Components'!$B$20) * 10^6</f>
        <v>8658161.8750000037</v>
      </c>
      <c r="K7">
        <f>('Cost Components'!$B$37-'Cost Components'!$B$17-'Cost Components'!$B$18-'Cost Components'!$B$20) * 10^6</f>
        <v>8658161.8750000037</v>
      </c>
      <c r="L7">
        <f>('Cost Components'!$B$37-'Cost Components'!$B$17-'Cost Components'!$B$18-'Cost Components'!$B$20) * 10^6</f>
        <v>8658161.8750000037</v>
      </c>
      <c r="M7">
        <f>('Cost Components'!$B$37-'Cost Components'!$B$17-'Cost Components'!$B$18-'Cost Components'!$B$20) * 10^6</f>
        <v>8658161.8750000037</v>
      </c>
      <c r="N7">
        <f>('Cost Components'!$B$37-'Cost Components'!$B$17-'Cost Components'!$B$18-'Cost Components'!$B$20) * 10^6</f>
        <v>8658161.8750000037</v>
      </c>
      <c r="O7">
        <f>('Cost Components'!$B$37-'Cost Components'!$B$17-'Cost Components'!$B$18-'Cost Components'!$B$20) * 10^6</f>
        <v>8658161.8750000037</v>
      </c>
      <c r="P7">
        <f>('Cost Components'!$B$37-'Cost Components'!$B$17-'Cost Components'!$B$18-'Cost Components'!$B$20) * 10^6</f>
        <v>8658161.8750000037</v>
      </c>
      <c r="Q7">
        <f>('Cost Components'!$B$37-'Cost Components'!$B$17-'Cost Components'!$B$18-'Cost Components'!$B$20) * 10^6</f>
        <v>8658161.8750000037</v>
      </c>
      <c r="R7">
        <f>('Cost Components'!$B$37-'Cost Components'!$B$17-'Cost Components'!$B$18-'Cost Components'!$B$20) * 10^6</f>
        <v>8658161.8750000037</v>
      </c>
      <c r="S7">
        <f>('Cost Components'!$B$37-'Cost Components'!$B$17-'Cost Components'!$B$18-'Cost Components'!$B$20) * 10^6</f>
        <v>8658161.8750000037</v>
      </c>
      <c r="T7">
        <f>('Cost Components'!$B$37-'Cost Components'!$B$17-'Cost Components'!$B$18-'Cost Components'!$B$20) * 10^6</f>
        <v>8658161.8750000037</v>
      </c>
      <c r="U7">
        <f>('Cost Components'!$B$37-'Cost Components'!$B$17-'Cost Components'!$B$18-'Cost Components'!$B$20) * 10^6</f>
        <v>8658161.8750000037</v>
      </c>
      <c r="V7">
        <f>('Cost Components'!$B$37-'Cost Components'!$B$17-'Cost Components'!$B$18-'Cost Components'!$B$20) * 10^6</f>
        <v>8658161.8750000037</v>
      </c>
      <c r="W7">
        <f>('Cost Components'!$B$37-'Cost Components'!$B$17-'Cost Components'!$B$18-'Cost Components'!$B$20) * 10^6</f>
        <v>8658161.8750000037</v>
      </c>
      <c r="X7">
        <f>('Cost Components'!$B$37-'Cost Components'!$B$17-'Cost Components'!$B$18-'Cost Components'!$B$20) * 10^6</f>
        <v>8658161.8750000037</v>
      </c>
      <c r="Y7">
        <f>('Cost Components'!$B$37-'Cost Components'!$B$17-'Cost Components'!$B$18-'Cost Components'!$B$20) * 10^6</f>
        <v>8658161.8750000037</v>
      </c>
      <c r="Z7">
        <f>('Cost Components'!$B$37-'Cost Components'!$B$17-'Cost Components'!$B$18-'Cost Components'!$B$20) * 10^6</f>
        <v>8658161.8750000037</v>
      </c>
      <c r="AA7">
        <f>('Cost Components'!$B$37-'Cost Components'!$B$17-'Cost Components'!$B$18-'Cost Components'!$B$20) * 10^6</f>
        <v>8658161.8750000037</v>
      </c>
      <c r="AB7">
        <f>('Cost Components'!$B$37-'Cost Components'!$B$17-'Cost Components'!$B$18-'Cost Components'!$B$20) * 10^6</f>
        <v>8658161.8750000037</v>
      </c>
      <c r="AC7">
        <f>('Cost Components'!$B$37-'Cost Components'!$B$17-'Cost Components'!$B$18-'Cost Components'!$B$20) * 10^6</f>
        <v>8658161.8750000037</v>
      </c>
      <c r="AD7">
        <f>('Cost Components'!$B$37-'Cost Components'!$B$17-'Cost Components'!$B$18-'Cost Components'!$B$20) * 10^6</f>
        <v>8658161.8750000037</v>
      </c>
      <c r="AE7">
        <f>('Cost Components'!$B$37-'Cost Components'!$B$17-'Cost Components'!$B$18-'Cost Components'!$B$20) * 10^6</f>
        <v>8658161.8750000037</v>
      </c>
      <c r="AF7">
        <f>('Cost Components'!$B$37-'Cost Components'!$B$17-'Cost Components'!$B$18-'Cost Components'!$B$20) * 10^6</f>
        <v>8658161.8750000037</v>
      </c>
    </row>
    <row r="8" spans="1:32" x14ac:dyDescent="0.25">
      <c r="A8" t="s">
        <v>103</v>
      </c>
      <c r="B8">
        <f>B7 / (1+'Cost Components'!$B$30) ^B6</f>
        <v>19854592.625570774</v>
      </c>
      <c r="C8">
        <f>C7 / (1+'Cost Components'!$B$30) ^C6</f>
        <v>8091740.0700934613</v>
      </c>
      <c r="D8">
        <f>D7 / (1+'Cost Components'!$B$30) ^D6</f>
        <v>7562373.897283609</v>
      </c>
      <c r="E8">
        <f>E7 / (1+'Cost Components'!$B$30) ^E6</f>
        <v>7067639.1563398205</v>
      </c>
      <c r="F8">
        <f>F7 / (1+'Cost Components'!$B$30) ^F6</f>
        <v>6605270.2395699266</v>
      </c>
      <c r="G8">
        <f>G7 / (1+'Cost Components'!$B$30) ^G6</f>
        <v>6173149.7566074068</v>
      </c>
      <c r="H8">
        <f>H7 / (1+'Cost Components'!$B$30) ^H6</f>
        <v>5769298.837950848</v>
      </c>
      <c r="I8">
        <f>I7 / (1+'Cost Components'!$B$30) ^I6</f>
        <v>5391868.0728512593</v>
      </c>
      <c r="J8">
        <f>J7 / (1+'Cost Components'!$B$30) ^J6</f>
        <v>5039129.0400479063</v>
      </c>
      <c r="K8">
        <f>K7 / (1+'Cost Components'!$B$30) ^K6</f>
        <v>4709466.3925681366</v>
      </c>
      <c r="L8">
        <f>L7 / (1+'Cost Components'!$B$30) ^L6</f>
        <v>4401370.4603440529</v>
      </c>
      <c r="M8">
        <f>M7 / (1+'Cost Components'!$B$30) ^M6</f>
        <v>4113430.3367701424</v>
      </c>
      <c r="N8">
        <f>N7 / (1+'Cost Components'!$B$30) ^N6</f>
        <v>3844327.4175421898</v>
      </c>
      <c r="O8">
        <f>O7 / (1+'Cost Components'!$B$30) ^O6</f>
        <v>3592829.3621889623</v>
      </c>
      <c r="P8">
        <f>P7 / (1+'Cost Components'!$B$30) ^P6</f>
        <v>3357784.4506438901</v>
      </c>
      <c r="Q8">
        <f>Q7 / (1+'Cost Components'!$B$30) ^Q6</f>
        <v>3138116.3090129811</v>
      </c>
      <c r="R8">
        <f>R7 / (1+'Cost Components'!$B$30) ^R6</f>
        <v>2932818.9803859638</v>
      </c>
      <c r="S8">
        <f>S7 / (1+'Cost Components'!$B$30) ^S6</f>
        <v>2740952.3181177233</v>
      </c>
      <c r="T8">
        <f>T7 / (1+'Cost Components'!$B$30) ^T6</f>
        <v>2561637.6804838534</v>
      </c>
      <c r="U8">
        <f>U7 / (1+'Cost Components'!$B$30) ^U6</f>
        <v>2394053.9069942553</v>
      </c>
      <c r="V8">
        <f>V7 / (1+'Cost Components'!$B$30) ^V6</f>
        <v>2237433.5579385567</v>
      </c>
      <c r="W8">
        <f>W7 / (1+'Cost Components'!$B$30) ^W6</f>
        <v>2091059.3999425762</v>
      </c>
      <c r="X8">
        <f>X7 / (1+'Cost Components'!$B$30) ^X6</f>
        <v>1954261.12144166</v>
      </c>
      <c r="Y8">
        <f>Y7 / (1+'Cost Components'!$B$30) ^Y6</f>
        <v>1826412.2630295889</v>
      </c>
      <c r="Z8">
        <f>Z7 / (1+'Cost Components'!$B$30) ^Z6</f>
        <v>1706927.3486257838</v>
      </c>
      <c r="AA8">
        <f>AA7 / (1+'Cost Components'!$B$30) ^AA6</f>
        <v>1595259.2043231623</v>
      </c>
      <c r="AB8">
        <f>AB7 / (1+'Cost Components'!$B$30) ^AB6</f>
        <v>1490896.4526384696</v>
      </c>
      <c r="AC8">
        <f>AC7 / (1+'Cost Components'!$B$30) ^AC6</f>
        <v>1393361.1706901581</v>
      </c>
      <c r="AD8">
        <f>AD7 / (1+'Cost Components'!$B$30) ^AD6</f>
        <v>1302206.7015795873</v>
      </c>
      <c r="AE8">
        <f>AE7 / (1+'Cost Components'!$B$30) ^AE6</f>
        <v>1217015.6089528853</v>
      </c>
      <c r="AF8">
        <f>AF7 / (1+'Cost Components'!$B$30) ^AF6</f>
        <v>1137397.7653765285</v>
      </c>
    </row>
    <row r="9" spans="1:32" x14ac:dyDescent="0.25">
      <c r="A9" t="s">
        <v>104</v>
      </c>
      <c r="B9">
        <v>0</v>
      </c>
      <c r="C9">
        <f t="shared" ref="C9:AF9" si="0">$C$3</f>
        <v>1015029.2567256349</v>
      </c>
      <c r="D9">
        <f t="shared" si="0"/>
        <v>1015029.2567256349</v>
      </c>
      <c r="E9">
        <f t="shared" si="0"/>
        <v>1015029.2567256349</v>
      </c>
      <c r="F9">
        <f t="shared" si="0"/>
        <v>1015029.2567256349</v>
      </c>
      <c r="G9">
        <f t="shared" si="0"/>
        <v>1015029.2567256349</v>
      </c>
      <c r="H9">
        <f t="shared" si="0"/>
        <v>1015029.2567256349</v>
      </c>
      <c r="I9">
        <f t="shared" si="0"/>
        <v>1015029.2567256349</v>
      </c>
      <c r="J9">
        <f t="shared" si="0"/>
        <v>1015029.2567256349</v>
      </c>
      <c r="K9">
        <f t="shared" si="0"/>
        <v>1015029.2567256349</v>
      </c>
      <c r="L9">
        <f t="shared" si="0"/>
        <v>1015029.2567256349</v>
      </c>
      <c r="M9">
        <f t="shared" si="0"/>
        <v>1015029.2567256349</v>
      </c>
      <c r="N9">
        <f t="shared" si="0"/>
        <v>1015029.2567256349</v>
      </c>
      <c r="O9">
        <f t="shared" si="0"/>
        <v>1015029.2567256349</v>
      </c>
      <c r="P9">
        <f t="shared" si="0"/>
        <v>1015029.2567256349</v>
      </c>
      <c r="Q9">
        <f t="shared" si="0"/>
        <v>1015029.2567256349</v>
      </c>
      <c r="R9">
        <f t="shared" si="0"/>
        <v>1015029.2567256349</v>
      </c>
      <c r="S9">
        <f t="shared" si="0"/>
        <v>1015029.2567256349</v>
      </c>
      <c r="T9">
        <f t="shared" si="0"/>
        <v>1015029.2567256349</v>
      </c>
      <c r="U9">
        <f t="shared" si="0"/>
        <v>1015029.2567256349</v>
      </c>
      <c r="V9">
        <f t="shared" si="0"/>
        <v>1015029.2567256349</v>
      </c>
      <c r="W9">
        <f t="shared" si="0"/>
        <v>1015029.2567256349</v>
      </c>
      <c r="X9">
        <f t="shared" si="0"/>
        <v>1015029.2567256349</v>
      </c>
      <c r="Y9">
        <f t="shared" si="0"/>
        <v>1015029.2567256349</v>
      </c>
      <c r="Z9">
        <f t="shared" si="0"/>
        <v>1015029.2567256349</v>
      </c>
      <c r="AA9">
        <f t="shared" si="0"/>
        <v>1015029.2567256349</v>
      </c>
      <c r="AB9">
        <f t="shared" si="0"/>
        <v>1015029.2567256349</v>
      </c>
      <c r="AC9">
        <f t="shared" si="0"/>
        <v>1015029.2567256349</v>
      </c>
      <c r="AD9">
        <f t="shared" si="0"/>
        <v>1015029.2567256349</v>
      </c>
      <c r="AE9">
        <f t="shared" si="0"/>
        <v>1015029.2567256349</v>
      </c>
      <c r="AF9">
        <f t="shared" si="0"/>
        <v>1015029.2567256349</v>
      </c>
    </row>
    <row r="10" spans="1:32" x14ac:dyDescent="0.25">
      <c r="A10" t="s">
        <v>105</v>
      </c>
      <c r="B10">
        <v>0</v>
      </c>
      <c r="C10">
        <f>C9/(1+'Cost Components'!$B$30) ^'FLH Sensitivity Parameters'!C6</f>
        <v>948625.47357535968</v>
      </c>
      <c r="D10">
        <f>D9/(1+'Cost Components'!$B$30) ^'FLH Sensitivity Parameters'!D6</f>
        <v>886565.86315454182</v>
      </c>
      <c r="E10">
        <f>E9/(1+'Cost Components'!$B$30) ^'FLH Sensitivity Parameters'!E6</f>
        <v>828566.22724723525</v>
      </c>
      <c r="F10">
        <f>F9/(1+'Cost Components'!$B$30) ^'FLH Sensitivity Parameters'!F6</f>
        <v>774360.96004414512</v>
      </c>
      <c r="G10">
        <f>G9/(1+'Cost Components'!$B$30) ^'FLH Sensitivity Parameters'!G6</f>
        <v>723701.83181695803</v>
      </c>
      <c r="H10">
        <f>H9/(1+'Cost Components'!$B$30) ^'FLH Sensitivity Parameters'!H6</f>
        <v>676356.85216538142</v>
      </c>
      <c r="I10">
        <f>I9/(1+'Cost Components'!$B$30) ^'FLH Sensitivity Parameters'!I6</f>
        <v>632109.20763119753</v>
      </c>
      <c r="J10">
        <f>J9/(1+'Cost Components'!$B$30) ^'FLH Sensitivity Parameters'!J6</f>
        <v>590756.26881420333</v>
      </c>
      <c r="K10">
        <f>K9/(1+'Cost Components'!$B$30) ^'FLH Sensitivity Parameters'!K6</f>
        <v>552108.66244318057</v>
      </c>
      <c r="L10">
        <f>L9/(1+'Cost Components'!$B$30) ^'FLH Sensitivity Parameters'!L6</f>
        <v>515989.40415250527</v>
      </c>
      <c r="M10">
        <f>M9/(1+'Cost Components'!$B$30) ^'FLH Sensitivity Parameters'!M6</f>
        <v>482233.08799299551</v>
      </c>
      <c r="N10">
        <f>N9/(1+'Cost Components'!$B$30) ^'FLH Sensitivity Parameters'!N6</f>
        <v>450685.12896541646</v>
      </c>
      <c r="O10">
        <f>O9/(1+'Cost Components'!$B$30) ^'FLH Sensitivity Parameters'!O6</f>
        <v>421201.05510786577</v>
      </c>
      <c r="P10">
        <f>P9/(1+'Cost Components'!$B$30) ^'FLH Sensitivity Parameters'!P6</f>
        <v>393645.84589520172</v>
      </c>
      <c r="Q10">
        <f>Q9/(1+'Cost Components'!$B$30) ^'FLH Sensitivity Parameters'!Q6</f>
        <v>367893.31392074923</v>
      </c>
      <c r="R10">
        <f>R9/(1+'Cost Components'!$B$30) ^'FLH Sensitivity Parameters'!R6</f>
        <v>343825.52702873765</v>
      </c>
      <c r="S10">
        <f>S9/(1+'Cost Components'!$B$30) ^'FLH Sensitivity Parameters'!S6</f>
        <v>321332.26825115667</v>
      </c>
      <c r="T10">
        <f>T9/(1+'Cost Components'!$B$30) ^'FLH Sensitivity Parameters'!T6</f>
        <v>300310.53107584734</v>
      </c>
      <c r="U10">
        <f>U9/(1+'Cost Components'!$B$30) ^'FLH Sensitivity Parameters'!U6</f>
        <v>280664.04773443675</v>
      </c>
      <c r="V10">
        <f>V9/(1+'Cost Components'!$B$30) ^'FLH Sensitivity Parameters'!V6</f>
        <v>262302.8483499409</v>
      </c>
      <c r="W10">
        <f>W9/(1+'Cost Components'!$B$30) ^'FLH Sensitivity Parameters'!W6</f>
        <v>245142.8489251784</v>
      </c>
      <c r="X10">
        <f>X9/(1+'Cost Components'!$B$30) ^'FLH Sensitivity Parameters'!X6</f>
        <v>229105.46628521345</v>
      </c>
      <c r="Y10">
        <f>Y9/(1+'Cost Components'!$B$30) ^'FLH Sensitivity Parameters'!Y6</f>
        <v>214117.25821047986</v>
      </c>
      <c r="Z10">
        <f>Z9/(1+'Cost Components'!$B$30) ^'FLH Sensitivity Parameters'!Z6</f>
        <v>200109.587112598</v>
      </c>
      <c r="AA10">
        <f>AA9/(1+'Cost Components'!$B$30) ^'FLH Sensitivity Parameters'!AA6</f>
        <v>187018.30571270839</v>
      </c>
      <c r="AB10">
        <f>AB9/(1+'Cost Components'!$B$30) ^'FLH Sensitivity Parameters'!AB6</f>
        <v>174783.46328290505</v>
      </c>
      <c r="AC10">
        <f>AC9/(1+'Cost Components'!$B$30) ^'FLH Sensitivity Parameters'!AC6</f>
        <v>163349.03110551872</v>
      </c>
      <c r="AD10">
        <f>AD9/(1+'Cost Components'!$B$30) ^'FLH Sensitivity Parameters'!AD6</f>
        <v>152662.64589300819</v>
      </c>
      <c r="AE10">
        <f>AE9/(1+'Cost Components'!$B$30) ^'FLH Sensitivity Parameters'!AE6</f>
        <v>142675.36999346557</v>
      </c>
      <c r="AF10">
        <f>AF9/(1+'Cost Components'!$B$30) ^'FLH Sensitivity Parameters'!AF6</f>
        <v>133341.4672836127</v>
      </c>
    </row>
    <row r="12" spans="1:32" x14ac:dyDescent="0.25">
      <c r="A12" t="s">
        <v>106</v>
      </c>
      <c r="B12">
        <f>SUM(B8:AF8) /SUM(B10:AF10)</f>
        <v>10.106282178471034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7"/>
  <sheetViews>
    <sheetView workbookViewId="0">
      <selection activeCell="K4" sqref="K4"/>
    </sheetView>
  </sheetViews>
  <sheetFormatPr defaultColWidth="10.75" defaultRowHeight="15.75" x14ac:dyDescent="0.25"/>
  <cols>
    <col min="1" max="1" width="17" bestFit="1" customWidth="1"/>
    <col min="2" max="2" width="9.5" bestFit="1" customWidth="1"/>
    <col min="3" max="3" width="12.25" bestFit="1" customWidth="1"/>
    <col min="4" max="4" width="14.25" bestFit="1" customWidth="1"/>
    <col min="5" max="5" width="17.75" bestFit="1" customWidth="1"/>
    <col min="6" max="6" width="15.25" bestFit="1" customWidth="1"/>
    <col min="7" max="7" width="15.25" customWidth="1"/>
    <col min="9" max="9" width="17" bestFit="1" customWidth="1"/>
    <col min="10" max="10" width="9.5" bestFit="1" customWidth="1"/>
    <col min="11" max="11" width="12.25" bestFit="1" customWidth="1"/>
    <col min="12" max="12" width="14.25" bestFit="1" customWidth="1"/>
    <col min="13" max="13" width="17.75" bestFit="1" customWidth="1"/>
    <col min="14" max="14" width="15.25" bestFit="1" customWidth="1"/>
  </cols>
  <sheetData>
    <row r="1" spans="1:14" x14ac:dyDescent="0.25">
      <c r="A1" s="30">
        <v>2024</v>
      </c>
      <c r="B1" s="31"/>
      <c r="C1" s="31"/>
      <c r="D1" s="31"/>
      <c r="E1" s="31"/>
      <c r="F1" s="31"/>
      <c r="G1" s="16"/>
      <c r="I1" s="30">
        <v>2050</v>
      </c>
      <c r="J1" s="31"/>
      <c r="K1" s="31"/>
      <c r="L1" s="31"/>
      <c r="M1" s="31"/>
      <c r="N1" s="31"/>
    </row>
    <row r="2" spans="1:14" x14ac:dyDescent="0.25">
      <c r="A2" s="9" t="s">
        <v>0</v>
      </c>
      <c r="B2" s="9" t="s">
        <v>3</v>
      </c>
      <c r="C2" s="8" t="s">
        <v>126</v>
      </c>
      <c r="D2" s="8" t="s">
        <v>127</v>
      </c>
      <c r="E2" s="8" t="s">
        <v>128</v>
      </c>
      <c r="F2" s="8" t="s">
        <v>129</v>
      </c>
      <c r="G2" s="10" t="s">
        <v>130</v>
      </c>
      <c r="I2" s="9" t="s">
        <v>0</v>
      </c>
      <c r="J2" s="9" t="s">
        <v>3</v>
      </c>
      <c r="K2" s="8" t="s">
        <v>126</v>
      </c>
      <c r="L2" s="8" t="s">
        <v>127</v>
      </c>
      <c r="M2" s="8" t="s">
        <v>128</v>
      </c>
      <c r="N2" s="8" t="s">
        <v>129</v>
      </c>
    </row>
    <row r="3" spans="1:14" x14ac:dyDescent="0.25">
      <c r="A3" s="9" t="s">
        <v>131</v>
      </c>
      <c r="B3" s="9" t="s">
        <v>132</v>
      </c>
      <c r="C3" s="8">
        <f>'MFSP Baseline'!B8</f>
        <v>4.969113935214537</v>
      </c>
      <c r="D3" s="8">
        <f>'MFSP LCOE Corrected'!B8</f>
        <v>5.0709081677093488</v>
      </c>
      <c r="E3" s="8">
        <f>'MFSP CO2 Corrected'!B8</f>
        <v>6.6509708850468314</v>
      </c>
      <c r="F3" s="8">
        <f>'MFSP WACC Corrected'!B8</f>
        <v>6.719635538021123</v>
      </c>
      <c r="G3" s="10">
        <f>'FLH Sensitivity Parameters'!B12</f>
        <v>10.106282178471034</v>
      </c>
      <c r="I3" s="9" t="s">
        <v>131</v>
      </c>
      <c r="J3" s="9" t="s">
        <v>132</v>
      </c>
      <c r="K3" s="8">
        <f>'MFSP Baseline'!B17</f>
        <v>1.7976211653116483</v>
      </c>
      <c r="L3" s="8">
        <f>'MFSP LCOE Corrected'!B17</f>
        <v>1.2308147840827726</v>
      </c>
      <c r="M3" s="8">
        <f>'MFSP CO2 Corrected'!B17</f>
        <v>2.1119513050548209</v>
      </c>
      <c r="N3" s="8">
        <f>'MFSP WACC Corrected'!B17</f>
        <v>2.1423223021110553</v>
      </c>
    </row>
    <row r="4" spans="1:14" x14ac:dyDescent="0.25">
      <c r="A4" s="9" t="s">
        <v>131</v>
      </c>
      <c r="B4" s="9" t="s">
        <v>21</v>
      </c>
      <c r="C4" s="8">
        <f>C3/Inputs!$C$6</f>
        <v>5.5212377057939301</v>
      </c>
      <c r="D4" s="8">
        <f>D3/Inputs!$C$6</f>
        <v>5.634342408565943</v>
      </c>
      <c r="E4" s="8">
        <f>E3/Inputs!$C$6</f>
        <v>7.3899676500520348</v>
      </c>
      <c r="F4" s="8">
        <f>F3/Inputs!$C$6</f>
        <v>7.4662617089123584</v>
      </c>
      <c r="G4" s="10">
        <f>G3/Inputs!$C$6</f>
        <v>11.22920242052337</v>
      </c>
      <c r="I4" s="9" t="s">
        <v>131</v>
      </c>
      <c r="J4" s="9" t="s">
        <v>21</v>
      </c>
      <c r="K4" s="8">
        <f>K3/Inputs!$C$6</f>
        <v>1.9973568503462757</v>
      </c>
      <c r="L4" s="8">
        <f>L3/Inputs!$C$6</f>
        <v>1.3675719823141916</v>
      </c>
      <c r="M4" s="8">
        <f>M3/Inputs!$C$6</f>
        <v>2.346612561172023</v>
      </c>
      <c r="N4" s="8">
        <f>N3/Inputs!$C$6</f>
        <v>2.3803581134567282</v>
      </c>
    </row>
    <row r="5" spans="1:14" x14ac:dyDescent="0.25">
      <c r="A5" s="9" t="s">
        <v>133</v>
      </c>
      <c r="B5" s="9" t="s">
        <v>21</v>
      </c>
      <c r="C5" s="12">
        <f>Inputs!$C$16</f>
        <v>0.8</v>
      </c>
      <c r="D5" s="12">
        <f>Inputs!$C$16</f>
        <v>0.8</v>
      </c>
      <c r="E5" s="12">
        <f>Inputs!$C$16</f>
        <v>0.8</v>
      </c>
      <c r="F5" s="12">
        <f>Inputs!$C$16</f>
        <v>0.8</v>
      </c>
      <c r="G5" s="13">
        <f>Inputs!$C$16</f>
        <v>0.8</v>
      </c>
      <c r="I5" s="9" t="s">
        <v>133</v>
      </c>
      <c r="J5" s="9" t="s">
        <v>21</v>
      </c>
      <c r="K5" s="12">
        <f>Inputs!$C$18</f>
        <v>1.7</v>
      </c>
      <c r="L5" s="12">
        <f>Inputs!$C$18</f>
        <v>1.7</v>
      </c>
      <c r="M5" s="12">
        <f>Inputs!$C$18</f>
        <v>1.7</v>
      </c>
      <c r="N5" s="12">
        <f>Inputs!$C$18</f>
        <v>1.7</v>
      </c>
    </row>
    <row r="6" spans="1:14" x14ac:dyDescent="0.25">
      <c r="A6" s="9" t="s">
        <v>134</v>
      </c>
      <c r="B6" s="9" t="s">
        <v>135</v>
      </c>
      <c r="C6" s="12">
        <f>'Study Parameters'!$C$37</f>
        <v>8.7962962962962958</v>
      </c>
      <c r="D6" s="12">
        <f>'Study Parameters'!$C$37</f>
        <v>8.7962962962962958</v>
      </c>
      <c r="E6" s="12">
        <f>'Study Parameters'!$C$37</f>
        <v>8.7962962962962958</v>
      </c>
      <c r="F6" s="12">
        <f>'Study Parameters'!$C$37</f>
        <v>8.7962962962962958</v>
      </c>
      <c r="G6" s="13">
        <f>'Study Parameters'!$C$37</f>
        <v>8.7962962962962958</v>
      </c>
      <c r="I6" s="9" t="s">
        <v>134</v>
      </c>
      <c r="J6" s="9" t="s">
        <v>135</v>
      </c>
      <c r="K6" s="12">
        <f>'Study Parameters'!$C$37</f>
        <v>8.7962962962962958</v>
      </c>
      <c r="L6" s="12">
        <f>'Study Parameters'!$C$37</f>
        <v>8.7962962962962958</v>
      </c>
      <c r="M6" s="12">
        <f>'Study Parameters'!$C$37</f>
        <v>8.7962962962962958</v>
      </c>
      <c r="N6" s="12">
        <f>'Study Parameters'!$C$37</f>
        <v>8.7962962962962958</v>
      </c>
    </row>
    <row r="7" spans="1:14" x14ac:dyDescent="0.25">
      <c r="A7" s="9" t="s">
        <v>136</v>
      </c>
      <c r="B7" s="9" t="s">
        <v>135</v>
      </c>
      <c r="C7" s="8">
        <f>Inputs!$C$11</f>
        <v>88.7</v>
      </c>
      <c r="D7" s="8">
        <f>Inputs!$C$11</f>
        <v>88.7</v>
      </c>
      <c r="E7" s="8">
        <f>Inputs!$C$11</f>
        <v>88.7</v>
      </c>
      <c r="F7" s="8">
        <f>Inputs!$C$11</f>
        <v>88.7</v>
      </c>
      <c r="G7" s="10">
        <f>Inputs!$C$11</f>
        <v>88.7</v>
      </c>
      <c r="I7" s="9" t="s">
        <v>136</v>
      </c>
      <c r="J7" s="9" t="s">
        <v>135</v>
      </c>
      <c r="K7" s="8">
        <f>Inputs!$C$12</f>
        <v>88.7</v>
      </c>
      <c r="L7" s="8">
        <f>Inputs!$C$12</f>
        <v>88.7</v>
      </c>
      <c r="M7" s="8">
        <f>Inputs!$C$12</f>
        <v>88.7</v>
      </c>
      <c r="N7" s="8">
        <f>Inputs!$C$12</f>
        <v>88.7</v>
      </c>
    </row>
    <row r="8" spans="1:14" x14ac:dyDescent="0.25">
      <c r="A8" s="9" t="s">
        <v>137</v>
      </c>
      <c r="B8" s="9" t="s">
        <v>135</v>
      </c>
      <c r="C8" s="12">
        <f>C7-C6</f>
        <v>79.903703703703712</v>
      </c>
      <c r="D8" s="12">
        <f>D7-D6</f>
        <v>79.903703703703712</v>
      </c>
      <c r="E8" s="12">
        <f>E7-E6</f>
        <v>79.903703703703712</v>
      </c>
      <c r="F8" s="12">
        <f>F7-F6</f>
        <v>79.903703703703712</v>
      </c>
      <c r="G8" s="13">
        <f>G7-G6</f>
        <v>79.903703703703712</v>
      </c>
      <c r="I8" s="9" t="s">
        <v>137</v>
      </c>
      <c r="J8" s="9" t="s">
        <v>135</v>
      </c>
      <c r="K8" s="12">
        <f>K7-K6</f>
        <v>79.903703703703712</v>
      </c>
      <c r="L8" s="12">
        <f>L7-L6</f>
        <v>79.903703703703712</v>
      </c>
      <c r="M8" s="12">
        <f>M7-M6</f>
        <v>79.903703703703712</v>
      </c>
      <c r="N8" s="12">
        <f>N7-N6</f>
        <v>79.903703703703712</v>
      </c>
    </row>
    <row r="9" spans="1:14" x14ac:dyDescent="0.25">
      <c r="A9" s="9" t="s">
        <v>137</v>
      </c>
      <c r="B9" s="9" t="s">
        <v>138</v>
      </c>
      <c r="C9" s="12">
        <f>C8*Inputs!$C$14</f>
        <v>2771.8275200000007</v>
      </c>
      <c r="D9" s="12">
        <f>D8*Inputs!$C$14</f>
        <v>2771.8275200000007</v>
      </c>
      <c r="E9" s="12">
        <f>E8*Inputs!$C$14</f>
        <v>2771.8275200000007</v>
      </c>
      <c r="F9" s="12">
        <f>F8*Inputs!$C$14</f>
        <v>2771.8275200000007</v>
      </c>
      <c r="G9" s="13">
        <f>G8*Inputs!$C$14</f>
        <v>2771.8275200000007</v>
      </c>
      <c r="I9" s="9" t="s">
        <v>137</v>
      </c>
      <c r="J9" s="9" t="s">
        <v>138</v>
      </c>
      <c r="K9" s="12">
        <f>K8*Inputs!$C$14</f>
        <v>2771.8275200000007</v>
      </c>
      <c r="L9" s="12">
        <f>L8*Inputs!$C$14</f>
        <v>2771.8275200000007</v>
      </c>
      <c r="M9" s="12">
        <f>M8*Inputs!$C$14</f>
        <v>2771.8275200000007</v>
      </c>
      <c r="N9" s="12">
        <f>N8*Inputs!$C$14</f>
        <v>2771.8275200000007</v>
      </c>
    </row>
    <row r="10" spans="1:14" x14ac:dyDescent="0.25">
      <c r="A10" s="9" t="s">
        <v>139</v>
      </c>
      <c r="B10" s="9" t="s">
        <v>29</v>
      </c>
      <c r="C10" s="14">
        <f>((C4-C5) /C9 )* 10^6</f>
        <v>1703.2941883028598</v>
      </c>
      <c r="D10" s="14">
        <f>((D4-D5) /D9 )* 10^6</f>
        <v>1744.0992896145076</v>
      </c>
      <c r="E10" s="14">
        <f>((E4-E5) /E9 )* 10^6</f>
        <v>2377.4811392492534</v>
      </c>
      <c r="F10" s="14">
        <f>((F4-F5) /F9 )* 10^6</f>
        <v>2405.0059611618103</v>
      </c>
      <c r="G10" s="18">
        <f>((G4-G5) /G9 )* 10^6</f>
        <v>3762.5726511739686</v>
      </c>
      <c r="I10" s="9" t="s">
        <v>139</v>
      </c>
      <c r="J10" s="9" t="s">
        <v>29</v>
      </c>
      <c r="K10" s="14">
        <f>((K4-K5) /K9 )* 10^6</f>
        <v>107.27826612612451</v>
      </c>
      <c r="L10" s="14">
        <f>((L4-L5) /L9 )* 10^6</f>
        <v>-119.9309896763736</v>
      </c>
      <c r="M10" s="14">
        <f>((M4-M5) /M9 )* 10^6</f>
        <v>233.28022992282828</v>
      </c>
      <c r="N10" s="14">
        <f>((N4-N5) /N9 )* 10^6</f>
        <v>245.4547076063117</v>
      </c>
    </row>
    <row r="12" spans="1:14" x14ac:dyDescent="0.25">
      <c r="A12" s="32" t="s">
        <v>140</v>
      </c>
      <c r="B12" s="32"/>
      <c r="C12" s="32"/>
      <c r="I12" s="32" t="s">
        <v>140</v>
      </c>
      <c r="J12" s="32"/>
      <c r="K12" s="32"/>
    </row>
    <row r="13" spans="1:14" x14ac:dyDescent="0.25">
      <c r="A13" s="19" t="s">
        <v>0</v>
      </c>
      <c r="B13" s="19" t="s">
        <v>3</v>
      </c>
      <c r="C13" t="s">
        <v>2</v>
      </c>
      <c r="I13" s="19" t="s">
        <v>0</v>
      </c>
      <c r="J13" s="19" t="s">
        <v>3</v>
      </c>
      <c r="K13" t="s">
        <v>2</v>
      </c>
    </row>
    <row r="14" spans="1:14" x14ac:dyDescent="0.25">
      <c r="A14" s="19" t="s">
        <v>141</v>
      </c>
      <c r="B14" s="19" t="s">
        <v>138</v>
      </c>
      <c r="C14" s="4">
        <f>C6*Inputs!$C$14</f>
        <v>305.14000000000004</v>
      </c>
      <c r="I14" s="19" t="s">
        <v>141</v>
      </c>
      <c r="J14" s="19" t="s">
        <v>138</v>
      </c>
      <c r="K14" s="4">
        <f>K6*Inputs!$C$14</f>
        <v>305.14000000000004</v>
      </c>
    </row>
    <row r="15" spans="1:14" x14ac:dyDescent="0.25">
      <c r="A15" s="19" t="s">
        <v>142</v>
      </c>
      <c r="B15" s="19" t="s">
        <v>21</v>
      </c>
      <c r="C15" s="20">
        <f>C14*10^-6*Inputs!$C$32</f>
        <v>0.41834694000000006</v>
      </c>
      <c r="I15" s="19" t="s">
        <v>142</v>
      </c>
      <c r="J15" s="19" t="s">
        <v>21</v>
      </c>
      <c r="K15" s="20">
        <f>K14*10^-6*Inputs!$C$33</f>
        <v>0.15958822</v>
      </c>
    </row>
    <row r="16" spans="1:14" x14ac:dyDescent="0.25">
      <c r="A16" s="19" t="s">
        <v>143</v>
      </c>
      <c r="B16" s="19" t="s">
        <v>21</v>
      </c>
      <c r="C16" s="20">
        <f>F4+C15</f>
        <v>7.8846086489123586</v>
      </c>
      <c r="I16" s="19" t="s">
        <v>143</v>
      </c>
      <c r="J16" s="19" t="s">
        <v>21</v>
      </c>
      <c r="K16" s="20">
        <f>N4+K15</f>
        <v>2.539946333456728</v>
      </c>
    </row>
    <row r="17" spans="1:11" x14ac:dyDescent="0.25">
      <c r="A17" s="19" t="s">
        <v>144</v>
      </c>
      <c r="B17" s="19" t="s">
        <v>29</v>
      </c>
      <c r="C17" s="4">
        <f>(C16-C5) /C9 * 10^6</f>
        <v>2555.9341617736582</v>
      </c>
      <c r="I17" s="19" t="s">
        <v>144</v>
      </c>
      <c r="J17" s="19" t="s">
        <v>29</v>
      </c>
      <c r="K17" s="4">
        <f>(K16-K5) /K9 * 10^6</f>
        <v>303.02979799288806</v>
      </c>
    </row>
  </sheetData>
  <mergeCells count="4">
    <mergeCell ref="I1:N1"/>
    <mergeCell ref="A1:F1"/>
    <mergeCell ref="A12:C12"/>
    <mergeCell ref="I12:K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Inputs</vt:lpstr>
      <vt:lpstr>Study Parameters</vt:lpstr>
      <vt:lpstr>Cost Components</vt:lpstr>
      <vt:lpstr>MFSP Baseline</vt:lpstr>
      <vt:lpstr>MFSP LCOE Corrected</vt:lpstr>
      <vt:lpstr>MFSP CO2 Corrected</vt:lpstr>
      <vt:lpstr>MFSP WACC Corrected</vt:lpstr>
      <vt:lpstr>FLH Sensitivity Note</vt:lpstr>
      <vt:lpstr>FLH Sensitivity Parameters</vt:lpstr>
      <vt:lpstr>Outputs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Yash Dubey</dc:creator>
  <cp:keywords/>
  <dc:description/>
  <cp:lastModifiedBy>Dubey  Yash</cp:lastModifiedBy>
  <cp:revision/>
  <dcterms:created xsi:type="dcterms:W3CDTF">2024-06-17T11:09:19Z</dcterms:created>
  <dcterms:modified xsi:type="dcterms:W3CDTF">2025-05-05T16:03:37Z</dcterms:modified>
  <cp:category/>
  <cp:contentStatus/>
</cp:coreProperties>
</file>
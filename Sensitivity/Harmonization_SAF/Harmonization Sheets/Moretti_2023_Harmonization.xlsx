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94" documentId="13_ncr:1_{AD1138F4-22D8-874F-A515-8FAECA50D6A6}" xr6:coauthVersionLast="47" xr6:coauthVersionMax="47" xr10:uidLastSave="{1C3B01BC-B1DB-40B4-9ADF-70F5F5A1DC85}"/>
  <bookViews>
    <workbookView xWindow="1950" yWindow="1950" windowWidth="28800" windowHeight="15345" tabRatio="1000" firstSheet="1" activeTab="1" xr2:uid="{00000000-000D-0000-FFFF-FFFF00000000}"/>
  </bookViews>
  <sheets>
    <sheet name="Readme" sheetId="1" r:id="rId1"/>
    <sheet name="Inputs" sheetId="2" r:id="rId2"/>
    <sheet name="Study Parameters" sheetId="3" r:id="rId3"/>
    <sheet name="Cost Components" sheetId="4" r:id="rId4"/>
    <sheet name="MFSP Baseline" sheetId="5" r:id="rId5"/>
    <sheet name="MFSP LCOE Corrected" sheetId="6" r:id="rId6"/>
    <sheet name="MFSP CO2 Price Corrected" sheetId="7" r:id="rId7"/>
    <sheet name="MFSP WACC Corrected" sheetId="8" r:id="rId8"/>
    <sheet name="Outputs" sheetId="9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N36" i="4" s="1"/>
  <c r="C32" i="2"/>
  <c r="B36" i="4" s="1"/>
  <c r="C30" i="2"/>
  <c r="C29" i="2"/>
  <c r="C27" i="2"/>
  <c r="C26" i="2"/>
  <c r="C24" i="2"/>
  <c r="C23" i="2"/>
  <c r="C21" i="2"/>
  <c r="C20" i="2"/>
  <c r="C18" i="2"/>
  <c r="S5" i="9" s="1"/>
  <c r="C16" i="2"/>
  <c r="C15" i="2"/>
  <c r="C14" i="2"/>
  <c r="C13" i="2"/>
  <c r="C12" i="2"/>
  <c r="C11" i="2"/>
  <c r="R7" i="9" s="1"/>
  <c r="R8" i="9" s="1"/>
  <c r="C9" i="2"/>
  <c r="C8" i="2"/>
  <c r="B34" i="4" s="1"/>
  <c r="C6" i="2"/>
  <c r="H29" i="4" s="1"/>
  <c r="C5" i="2"/>
  <c r="N38" i="4" s="1"/>
  <c r="C4" i="2"/>
  <c r="C3" i="2"/>
  <c r="T6" i="9"/>
  <c r="S6" i="9"/>
  <c r="R6" i="9"/>
  <c r="Q6" i="9"/>
  <c r="M6" i="9"/>
  <c r="L6" i="9"/>
  <c r="K6" i="9"/>
  <c r="J6" i="9"/>
  <c r="F6" i="9"/>
  <c r="E6" i="9"/>
  <c r="D6" i="9"/>
  <c r="C6" i="9"/>
  <c r="V14" i="8"/>
  <c r="W23" i="7"/>
  <c r="W24" i="7" s="1"/>
  <c r="T23" i="7"/>
  <c r="T24" i="7" s="1"/>
  <c r="R23" i="7"/>
  <c r="R24" i="7" s="1"/>
  <c r="B21" i="7"/>
  <c r="B22" i="7" s="1"/>
  <c r="X14" i="7"/>
  <c r="X15" i="7" s="1"/>
  <c r="W14" i="7"/>
  <c r="W15" i="7" s="1"/>
  <c r="R14" i="7"/>
  <c r="R15" i="7" s="1"/>
  <c r="B6" i="7"/>
  <c r="B24" i="6"/>
  <c r="AA23" i="6"/>
  <c r="AA24" i="6" s="1"/>
  <c r="Y23" i="6"/>
  <c r="Y24" i="6" s="1"/>
  <c r="H23" i="6"/>
  <c r="H24" i="6" s="1"/>
  <c r="G23" i="6"/>
  <c r="G24" i="6" s="1"/>
  <c r="F23" i="6"/>
  <c r="F24" i="6" s="1"/>
  <c r="B21" i="6"/>
  <c r="B15" i="6"/>
  <c r="L14" i="6"/>
  <c r="L15" i="6" s="1"/>
  <c r="K14" i="6"/>
  <c r="K15" i="6" s="1"/>
  <c r="J14" i="6"/>
  <c r="J15" i="6" s="1"/>
  <c r="H14" i="6"/>
  <c r="H15" i="6" s="1"/>
  <c r="B12" i="6"/>
  <c r="B13" i="6" s="1"/>
  <c r="O5" i="6"/>
  <c r="O6" i="6" s="1"/>
  <c r="M5" i="6"/>
  <c r="M6" i="6" s="1"/>
  <c r="K5" i="6"/>
  <c r="K6" i="6" s="1"/>
  <c r="B3" i="6"/>
  <c r="B4" i="6" s="1"/>
  <c r="V24" i="5"/>
  <c r="V25" i="5" s="1"/>
  <c r="L24" i="5"/>
  <c r="L25" i="5" s="1"/>
  <c r="K24" i="5"/>
  <c r="K25" i="5" s="1"/>
  <c r="J24" i="5"/>
  <c r="J25" i="5" s="1"/>
  <c r="I24" i="5"/>
  <c r="I25" i="5" s="1"/>
  <c r="B22" i="5"/>
  <c r="B23" i="5" s="1"/>
  <c r="Z14" i="5"/>
  <c r="Z15" i="5" s="1"/>
  <c r="Y14" i="5"/>
  <c r="Y15" i="5" s="1"/>
  <c r="X14" i="5"/>
  <c r="X15" i="5" s="1"/>
  <c r="W14" i="5"/>
  <c r="V14" i="5"/>
  <c r="V15" i="5" s="1"/>
  <c r="K14" i="5"/>
  <c r="K15" i="5" s="1"/>
  <c r="D14" i="5"/>
  <c r="D15" i="5" s="1"/>
  <c r="C14" i="5"/>
  <c r="C15" i="5" s="1"/>
  <c r="E6" i="5"/>
  <c r="B6" i="5"/>
  <c r="R5" i="5"/>
  <c r="R6" i="5" s="1"/>
  <c r="Q5" i="5"/>
  <c r="Q6" i="5" s="1"/>
  <c r="P5" i="5"/>
  <c r="P6" i="5" s="1"/>
  <c r="I5" i="5"/>
  <c r="I6" i="5" s="1"/>
  <c r="H5" i="5"/>
  <c r="H6" i="5" s="1"/>
  <c r="G5" i="5"/>
  <c r="G6" i="5" s="1"/>
  <c r="F5" i="5"/>
  <c r="F6" i="5" s="1"/>
  <c r="E5" i="5"/>
  <c r="B3" i="5"/>
  <c r="B4" i="5" s="1"/>
  <c r="N28" i="4"/>
  <c r="H28" i="4"/>
  <c r="B28" i="4"/>
  <c r="B25" i="4"/>
  <c r="N22" i="4"/>
  <c r="H22" i="4"/>
  <c r="H21" i="4"/>
  <c r="H20" i="4"/>
  <c r="B20" i="4"/>
  <c r="N14" i="4"/>
  <c r="B21" i="8" s="1"/>
  <c r="H14" i="4"/>
  <c r="B12" i="7" s="1"/>
  <c r="B13" i="7" s="1"/>
  <c r="B14" i="4"/>
  <c r="B22" i="4" s="1"/>
  <c r="C41" i="3"/>
  <c r="C40" i="3"/>
  <c r="B18" i="4" s="1"/>
  <c r="C20" i="3"/>
  <c r="H23" i="8" s="1"/>
  <c r="C14" i="3"/>
  <c r="C13" i="3"/>
  <c r="C12" i="3"/>
  <c r="Q14" i="9" l="1"/>
  <c r="Q15" i="9" s="1"/>
  <c r="J14" i="9"/>
  <c r="J15" i="9" s="1"/>
  <c r="C14" i="9"/>
  <c r="C15" i="9" s="1"/>
  <c r="H24" i="8"/>
  <c r="N29" i="4"/>
  <c r="B29" i="4"/>
  <c r="B38" i="4"/>
  <c r="Q33" i="8" s="1"/>
  <c r="H38" i="4"/>
  <c r="R9" i="9"/>
  <c r="T5" i="9"/>
  <c r="H36" i="4"/>
  <c r="R5" i="9"/>
  <c r="N34" i="4"/>
  <c r="H34" i="4"/>
  <c r="N18" i="4"/>
  <c r="H18" i="4"/>
  <c r="W15" i="5"/>
  <c r="E23" i="6"/>
  <c r="E24" i="6" s="1"/>
  <c r="V14" i="7"/>
  <c r="V15" i="7" s="1"/>
  <c r="J23" i="7"/>
  <c r="J24" i="7" s="1"/>
  <c r="L14" i="5"/>
  <c r="L15" i="5" s="1"/>
  <c r="W24" i="5"/>
  <c r="W25" i="5" s="1"/>
  <c r="P5" i="6"/>
  <c r="P6" i="6" s="1"/>
  <c r="D23" i="8"/>
  <c r="D24" i="8" s="1"/>
  <c r="S5" i="5"/>
  <c r="S6" i="5" s="1"/>
  <c r="M14" i="5"/>
  <c r="M15" i="5" s="1"/>
  <c r="X24" i="5"/>
  <c r="X25" i="5" s="1"/>
  <c r="C5" i="7"/>
  <c r="C6" i="7" s="1"/>
  <c r="F23" i="8"/>
  <c r="F24" i="8" s="1"/>
  <c r="B19" i="4"/>
  <c r="B27" i="4" s="1"/>
  <c r="B26" i="4"/>
  <c r="T5" i="5"/>
  <c r="T6" i="5" s="1"/>
  <c r="N14" i="5"/>
  <c r="N15" i="5" s="1"/>
  <c r="Z24" i="5"/>
  <c r="Z25" i="5" s="1"/>
  <c r="H5" i="7"/>
  <c r="H6" i="7" s="1"/>
  <c r="U23" i="8"/>
  <c r="U24" i="8" s="1"/>
  <c r="J23" i="8"/>
  <c r="J24" i="8" s="1"/>
  <c r="Z14" i="8"/>
  <c r="O14" i="8"/>
  <c r="D14" i="8"/>
  <c r="T5" i="8"/>
  <c r="I5" i="8"/>
  <c r="Y23" i="7"/>
  <c r="Y24" i="7" s="1"/>
  <c r="N23" i="7"/>
  <c r="N24" i="7" s="1"/>
  <c r="C23" i="7"/>
  <c r="C24" i="7" s="1"/>
  <c r="S14" i="7"/>
  <c r="S15" i="7" s="1"/>
  <c r="H14" i="7"/>
  <c r="H15" i="7" s="1"/>
  <c r="X5" i="7"/>
  <c r="X6" i="7" s="1"/>
  <c r="M5" i="7"/>
  <c r="M6" i="7" s="1"/>
  <c r="T23" i="8"/>
  <c r="T24" i="8" s="1"/>
  <c r="I23" i="8"/>
  <c r="I24" i="8" s="1"/>
  <c r="Y14" i="8"/>
  <c r="N14" i="8"/>
  <c r="C14" i="8"/>
  <c r="S5" i="8"/>
  <c r="H5" i="8"/>
  <c r="R23" i="8"/>
  <c r="R24" i="8" s="1"/>
  <c r="G23" i="8"/>
  <c r="G24" i="8" s="1"/>
  <c r="W14" i="8"/>
  <c r="L14" i="8"/>
  <c r="Q5" i="8"/>
  <c r="F5" i="8"/>
  <c r="V23" i="7"/>
  <c r="V24" i="7" s="1"/>
  <c r="K23" i="7"/>
  <c r="K24" i="7" s="1"/>
  <c r="AA14" i="7"/>
  <c r="AA15" i="7" s="1"/>
  <c r="P14" i="7"/>
  <c r="P15" i="7" s="1"/>
  <c r="E14" i="7"/>
  <c r="E15" i="7" s="1"/>
  <c r="U5" i="7"/>
  <c r="U6" i="7" s="1"/>
  <c r="J5" i="7"/>
  <c r="J6" i="7" s="1"/>
  <c r="W23" i="8"/>
  <c r="W24" i="8" s="1"/>
  <c r="L23" i="8"/>
  <c r="L24" i="8" s="1"/>
  <c r="Q14" i="8"/>
  <c r="F14" i="8"/>
  <c r="V5" i="8"/>
  <c r="K5" i="8"/>
  <c r="V23" i="8"/>
  <c r="V24" i="8" s="1"/>
  <c r="K23" i="8"/>
  <c r="K24" i="8" s="1"/>
  <c r="AA14" i="8"/>
  <c r="P14" i="8"/>
  <c r="E14" i="8"/>
  <c r="U5" i="8"/>
  <c r="J5" i="8"/>
  <c r="Z23" i="7"/>
  <c r="Z24" i="7" s="1"/>
  <c r="O23" i="7"/>
  <c r="O24" i="7" s="1"/>
  <c r="D23" i="7"/>
  <c r="D24" i="7" s="1"/>
  <c r="T14" i="7"/>
  <c r="T15" i="7" s="1"/>
  <c r="I14" i="7"/>
  <c r="I15" i="7" s="1"/>
  <c r="X23" i="8"/>
  <c r="X24" i="8" s="1"/>
  <c r="C23" i="8"/>
  <c r="C24" i="8" s="1"/>
  <c r="X14" i="8"/>
  <c r="G14" i="8"/>
  <c r="AA5" i="8"/>
  <c r="G5" i="8"/>
  <c r="S23" i="7"/>
  <c r="S24" i="7" s="1"/>
  <c r="E23" i="7"/>
  <c r="E24" i="7" s="1"/>
  <c r="Q14" i="7"/>
  <c r="Q15" i="7" s="1"/>
  <c r="W5" i="7"/>
  <c r="W6" i="7" s="1"/>
  <c r="I5" i="7"/>
  <c r="I6" i="7" s="1"/>
  <c r="X23" i="6"/>
  <c r="X24" i="6" s="1"/>
  <c r="M23" i="6"/>
  <c r="M24" i="6" s="1"/>
  <c r="R14" i="6"/>
  <c r="R15" i="6" s="1"/>
  <c r="G14" i="6"/>
  <c r="G15" i="6" s="1"/>
  <c r="W5" i="6"/>
  <c r="W6" i="6" s="1"/>
  <c r="L5" i="6"/>
  <c r="L6" i="6" s="1"/>
  <c r="Q23" i="8"/>
  <c r="Q24" i="8" s="1"/>
  <c r="U14" i="8"/>
  <c r="Y5" i="8"/>
  <c r="D5" i="8"/>
  <c r="Q23" i="7"/>
  <c r="Q24" i="7" s="1"/>
  <c r="N14" i="7"/>
  <c r="N15" i="7" s="1"/>
  <c r="T5" i="7"/>
  <c r="T6" i="7" s="1"/>
  <c r="G5" i="7"/>
  <c r="G6" i="7" s="1"/>
  <c r="V23" i="6"/>
  <c r="V24" i="6" s="1"/>
  <c r="K23" i="6"/>
  <c r="K24" i="6" s="1"/>
  <c r="AA14" i="6"/>
  <c r="AA15" i="6" s="1"/>
  <c r="P14" i="6"/>
  <c r="P15" i="6" s="1"/>
  <c r="E14" i="6"/>
  <c r="E15" i="6" s="1"/>
  <c r="U5" i="6"/>
  <c r="U6" i="6" s="1"/>
  <c r="J5" i="6"/>
  <c r="J6" i="6" s="1"/>
  <c r="Y24" i="5"/>
  <c r="Y25" i="5" s="1"/>
  <c r="N24" i="5"/>
  <c r="N25" i="5" s="1"/>
  <c r="C24" i="5"/>
  <c r="C25" i="5" s="1"/>
  <c r="P23" i="8"/>
  <c r="P24" i="8" s="1"/>
  <c r="T14" i="8"/>
  <c r="X5" i="8"/>
  <c r="C5" i="8"/>
  <c r="P23" i="7"/>
  <c r="P24" i="7" s="1"/>
  <c r="M14" i="7"/>
  <c r="M15" i="7" s="1"/>
  <c r="S5" i="7"/>
  <c r="S6" i="7" s="1"/>
  <c r="F5" i="7"/>
  <c r="F6" i="7" s="1"/>
  <c r="U23" i="6"/>
  <c r="U24" i="6" s="1"/>
  <c r="J23" i="6"/>
  <c r="J24" i="6" s="1"/>
  <c r="Z14" i="6"/>
  <c r="Z15" i="6" s="1"/>
  <c r="O14" i="6"/>
  <c r="O15" i="6" s="1"/>
  <c r="D14" i="6"/>
  <c r="D15" i="6" s="1"/>
  <c r="T5" i="6"/>
  <c r="T6" i="6" s="1"/>
  <c r="I5" i="6"/>
  <c r="I6" i="6" s="1"/>
  <c r="O23" i="8"/>
  <c r="O24" i="8" s="1"/>
  <c r="S14" i="8"/>
  <c r="W5" i="8"/>
  <c r="M23" i="7"/>
  <c r="M24" i="7" s="1"/>
  <c r="Z14" i="7"/>
  <c r="Z15" i="7" s="1"/>
  <c r="L14" i="7"/>
  <c r="L15" i="7" s="1"/>
  <c r="R5" i="7"/>
  <c r="R6" i="7" s="1"/>
  <c r="E5" i="7"/>
  <c r="E6" i="7" s="1"/>
  <c r="T23" i="6"/>
  <c r="T24" i="6" s="1"/>
  <c r="I23" i="6"/>
  <c r="I24" i="6" s="1"/>
  <c r="Y14" i="6"/>
  <c r="Y15" i="6" s="1"/>
  <c r="N14" i="6"/>
  <c r="N15" i="6" s="1"/>
  <c r="C14" i="6"/>
  <c r="C15" i="6" s="1"/>
  <c r="S5" i="6"/>
  <c r="S6" i="6" s="1"/>
  <c r="H5" i="6"/>
  <c r="H6" i="6" s="1"/>
  <c r="N23" i="8"/>
  <c r="N24" i="8" s="1"/>
  <c r="R14" i="8"/>
  <c r="R5" i="8"/>
  <c r="L23" i="7"/>
  <c r="L24" i="7" s="1"/>
  <c r="Y14" i="7"/>
  <c r="Y15" i="7" s="1"/>
  <c r="K14" i="7"/>
  <c r="K15" i="7" s="1"/>
  <c r="Q5" i="7"/>
  <c r="Q6" i="7" s="1"/>
  <c r="D5" i="7"/>
  <c r="D6" i="7" s="1"/>
  <c r="Z23" i="8"/>
  <c r="Z24" i="8" s="1"/>
  <c r="E23" i="8"/>
  <c r="E24" i="8" s="1"/>
  <c r="I14" i="8"/>
  <c r="M5" i="8"/>
  <c r="U23" i="7"/>
  <c r="U24" i="7" s="1"/>
  <c r="G23" i="7"/>
  <c r="G24" i="7" s="1"/>
  <c r="U14" i="7"/>
  <c r="U15" i="7" s="1"/>
  <c r="D14" i="7"/>
  <c r="D15" i="7" s="1"/>
  <c r="Z5" i="7"/>
  <c r="Z6" i="7" s="1"/>
  <c r="L5" i="7"/>
  <c r="L6" i="7" s="1"/>
  <c r="Z23" i="6"/>
  <c r="Z24" i="6" s="1"/>
  <c r="O23" i="6"/>
  <c r="O24" i="6" s="1"/>
  <c r="D23" i="6"/>
  <c r="D24" i="6" s="1"/>
  <c r="T14" i="6"/>
  <c r="T15" i="6" s="1"/>
  <c r="I14" i="6"/>
  <c r="I15" i="6" s="1"/>
  <c r="Y5" i="6"/>
  <c r="Y6" i="6" s="1"/>
  <c r="N5" i="6"/>
  <c r="N6" i="6" s="1"/>
  <c r="C5" i="6"/>
  <c r="C6" i="6" s="1"/>
  <c r="R24" i="5"/>
  <c r="R25" i="5" s="1"/>
  <c r="O5" i="8"/>
  <c r="F14" i="7"/>
  <c r="F15" i="7" s="1"/>
  <c r="P5" i="7"/>
  <c r="P6" i="7" s="1"/>
  <c r="Q23" i="6"/>
  <c r="Q24" i="6" s="1"/>
  <c r="U14" i="6"/>
  <c r="U15" i="6" s="1"/>
  <c r="X5" i="6"/>
  <c r="X6" i="6" s="1"/>
  <c r="D5" i="6"/>
  <c r="D6" i="6" s="1"/>
  <c r="Q24" i="5"/>
  <c r="Q25" i="5" s="1"/>
  <c r="E24" i="5"/>
  <c r="E25" i="5" s="1"/>
  <c r="R14" i="5"/>
  <c r="R15" i="5" s="1"/>
  <c r="G14" i="5"/>
  <c r="G15" i="5" s="1"/>
  <c r="W5" i="5"/>
  <c r="W6" i="5" s="1"/>
  <c r="L5" i="5"/>
  <c r="L6" i="5" s="1"/>
  <c r="AA24" i="5"/>
  <c r="AA25" i="5" s="1"/>
  <c r="AA23" i="8"/>
  <c r="AA24" i="8" s="1"/>
  <c r="N5" i="8"/>
  <c r="C14" i="7"/>
  <c r="C15" i="7" s="1"/>
  <c r="O5" i="7"/>
  <c r="O6" i="7" s="1"/>
  <c r="P23" i="6"/>
  <c r="P24" i="6" s="1"/>
  <c r="S14" i="6"/>
  <c r="S15" i="6" s="1"/>
  <c r="V5" i="6"/>
  <c r="V6" i="6" s="1"/>
  <c r="P24" i="5"/>
  <c r="P25" i="5" s="1"/>
  <c r="D24" i="5"/>
  <c r="D25" i="5" s="1"/>
  <c r="Q14" i="5"/>
  <c r="Q15" i="5" s="1"/>
  <c r="F14" i="5"/>
  <c r="F15" i="5" s="1"/>
  <c r="V5" i="5"/>
  <c r="V6" i="5" s="1"/>
  <c r="K5" i="5"/>
  <c r="K6" i="5" s="1"/>
  <c r="K5" i="7"/>
  <c r="K6" i="7" s="1"/>
  <c r="L23" i="6"/>
  <c r="L24" i="6" s="1"/>
  <c r="Y23" i="8"/>
  <c r="Y24" i="8" s="1"/>
  <c r="L5" i="8"/>
  <c r="AA23" i="7"/>
  <c r="AA24" i="7" s="1"/>
  <c r="N5" i="7"/>
  <c r="N6" i="7" s="1"/>
  <c r="N23" i="6"/>
  <c r="N24" i="6" s="1"/>
  <c r="Q14" i="6"/>
  <c r="Q15" i="6" s="1"/>
  <c r="R5" i="6"/>
  <c r="R6" i="6" s="1"/>
  <c r="O24" i="5"/>
  <c r="O25" i="5" s="1"/>
  <c r="AA14" i="5"/>
  <c r="AA15" i="5" s="1"/>
  <c r="P14" i="5"/>
  <c r="P15" i="5" s="1"/>
  <c r="E14" i="5"/>
  <c r="E15" i="5" s="1"/>
  <c r="U5" i="5"/>
  <c r="U6" i="5" s="1"/>
  <c r="J5" i="5"/>
  <c r="J6" i="5" s="1"/>
  <c r="S23" i="8"/>
  <c r="S24" i="8" s="1"/>
  <c r="E5" i="8"/>
  <c r="X23" i="7"/>
  <c r="X24" i="7" s="1"/>
  <c r="K14" i="8"/>
  <c r="I23" i="7"/>
  <c r="I24" i="7" s="1"/>
  <c r="O14" i="7"/>
  <c r="O15" i="7" s="1"/>
  <c r="AA5" i="7"/>
  <c r="AA6" i="7" s="1"/>
  <c r="W23" i="6"/>
  <c r="W24" i="6" s="1"/>
  <c r="C23" i="6"/>
  <c r="C24" i="6" s="1"/>
  <c r="X14" i="6"/>
  <c r="X15" i="6" s="1"/>
  <c r="F14" i="6"/>
  <c r="F15" i="6" s="1"/>
  <c r="G5" i="6"/>
  <c r="G6" i="6" s="1"/>
  <c r="U24" i="5"/>
  <c r="U25" i="5" s="1"/>
  <c r="H24" i="5"/>
  <c r="H25" i="5" s="1"/>
  <c r="U14" i="5"/>
  <c r="U15" i="5" s="1"/>
  <c r="J14" i="5"/>
  <c r="J15" i="5" s="1"/>
  <c r="Z5" i="5"/>
  <c r="Z6" i="5" s="1"/>
  <c r="O5" i="5"/>
  <c r="O6" i="5" s="1"/>
  <c r="D5" i="5"/>
  <c r="D6" i="5" s="1"/>
  <c r="J14" i="8"/>
  <c r="Z5" i="8"/>
  <c r="H23" i="7"/>
  <c r="H24" i="7" s="1"/>
  <c r="J14" i="7"/>
  <c r="J15" i="7" s="1"/>
  <c r="Y5" i="7"/>
  <c r="Y6" i="7" s="1"/>
  <c r="S23" i="6"/>
  <c r="S24" i="6" s="1"/>
  <c r="W14" i="6"/>
  <c r="W15" i="6" s="1"/>
  <c r="AA5" i="6"/>
  <c r="AA6" i="6" s="1"/>
  <c r="F5" i="6"/>
  <c r="F6" i="6" s="1"/>
  <c r="T24" i="5"/>
  <c r="T25" i="5" s="1"/>
  <c r="G24" i="5"/>
  <c r="G25" i="5" s="1"/>
  <c r="T14" i="5"/>
  <c r="T15" i="5" s="1"/>
  <c r="I14" i="5"/>
  <c r="I15" i="5" s="1"/>
  <c r="Y5" i="5"/>
  <c r="Y6" i="5" s="1"/>
  <c r="N5" i="5"/>
  <c r="N6" i="5" s="1"/>
  <c r="C5" i="5"/>
  <c r="C6" i="5" s="1"/>
  <c r="M14" i="6"/>
  <c r="M15" i="6" s="1"/>
  <c r="Q5" i="6"/>
  <c r="Q6" i="6" s="1"/>
  <c r="M24" i="5"/>
  <c r="M25" i="5" s="1"/>
  <c r="H14" i="8"/>
  <c r="P5" i="8"/>
  <c r="F23" i="7"/>
  <c r="F24" i="7" s="1"/>
  <c r="G14" i="7"/>
  <c r="G15" i="7" s="1"/>
  <c r="V5" i="7"/>
  <c r="V6" i="7" s="1"/>
  <c r="R23" i="6"/>
  <c r="R24" i="6" s="1"/>
  <c r="V14" i="6"/>
  <c r="V15" i="6" s="1"/>
  <c r="Z5" i="6"/>
  <c r="Z6" i="6" s="1"/>
  <c r="E5" i="6"/>
  <c r="E6" i="6" s="1"/>
  <c r="S24" i="5"/>
  <c r="S25" i="5" s="1"/>
  <c r="F24" i="5"/>
  <c r="F25" i="5" s="1"/>
  <c r="S14" i="5"/>
  <c r="S15" i="5" s="1"/>
  <c r="H14" i="5"/>
  <c r="H15" i="5" s="1"/>
  <c r="X5" i="5"/>
  <c r="X6" i="5" s="1"/>
  <c r="M5" i="5"/>
  <c r="M6" i="5" s="1"/>
  <c r="AA5" i="5"/>
  <c r="AA6" i="5" s="1"/>
  <c r="O14" i="5"/>
  <c r="O15" i="5" s="1"/>
  <c r="M14" i="8"/>
  <c r="M23" i="8"/>
  <c r="M24" i="8" s="1"/>
  <c r="N21" i="4"/>
  <c r="F5" i="9"/>
  <c r="E5" i="9"/>
  <c r="D5" i="9"/>
  <c r="K5" i="9"/>
  <c r="J5" i="9"/>
  <c r="M5" i="9"/>
  <c r="L5" i="9"/>
  <c r="Q5" i="9"/>
  <c r="B6" i="8"/>
  <c r="B15" i="8"/>
  <c r="B15" i="7"/>
  <c r="B24" i="7"/>
  <c r="B6" i="6"/>
  <c r="C5" i="9"/>
  <c r="F7" i="9"/>
  <c r="F8" i="9" s="1"/>
  <c r="F9" i="9" s="1"/>
  <c r="E7" i="9"/>
  <c r="E8" i="9" s="1"/>
  <c r="E9" i="9" s="1"/>
  <c r="D7" i="9"/>
  <c r="D8" i="9" s="1"/>
  <c r="D9" i="9" s="1"/>
  <c r="T7" i="9"/>
  <c r="T8" i="9" s="1"/>
  <c r="T9" i="9" s="1"/>
  <c r="C7" i="9"/>
  <c r="S7" i="9"/>
  <c r="S8" i="9" s="1"/>
  <c r="S9" i="9" s="1"/>
  <c r="K7" i="9"/>
  <c r="K8" i="9" s="1"/>
  <c r="K9" i="9" s="1"/>
  <c r="J7" i="9"/>
  <c r="J8" i="9" s="1"/>
  <c r="J9" i="9" s="1"/>
  <c r="Q7" i="9"/>
  <c r="Q8" i="9" s="1"/>
  <c r="Q9" i="9" s="1"/>
  <c r="M7" i="9"/>
  <c r="M8" i="9" s="1"/>
  <c r="M9" i="9" s="1"/>
  <c r="L7" i="9"/>
  <c r="L8" i="9" s="1"/>
  <c r="L9" i="9" s="1"/>
  <c r="B3" i="8"/>
  <c r="B4" i="8" s="1"/>
  <c r="B31" i="8"/>
  <c r="B3" i="7"/>
  <c r="B4" i="7" s="1"/>
  <c r="N20" i="4"/>
  <c r="B22" i="6"/>
  <c r="B45" i="8"/>
  <c r="B12" i="8"/>
  <c r="B13" i="8" s="1"/>
  <c r="B21" i="4"/>
  <c r="B12" i="5"/>
  <c r="B13" i="5" s="1"/>
  <c r="B15" i="5"/>
  <c r="B22" i="8"/>
  <c r="B24" i="8"/>
  <c r="C8" i="9" l="1"/>
  <c r="C9" i="9" s="1"/>
  <c r="J34" i="8"/>
  <c r="B30" i="4"/>
  <c r="J3" i="5" s="1"/>
  <c r="J4" i="5" s="1"/>
  <c r="R33" i="8"/>
  <c r="H15" i="8"/>
  <c r="X34" i="8"/>
  <c r="H46" i="8"/>
  <c r="C46" i="8"/>
  <c r="F32" i="8"/>
  <c r="W33" i="8"/>
  <c r="H47" i="8"/>
  <c r="Q34" i="8"/>
  <c r="T46" i="8"/>
  <c r="X46" i="8"/>
  <c r="S15" i="8"/>
  <c r="U15" i="8"/>
  <c r="F15" i="8"/>
  <c r="F6" i="8"/>
  <c r="D32" i="8"/>
  <c r="K34" i="8"/>
  <c r="J46" i="8"/>
  <c r="N46" i="8"/>
  <c r="H32" i="8"/>
  <c r="D33" i="8"/>
  <c r="L34" i="8"/>
  <c r="K46" i="8"/>
  <c r="O46" i="8"/>
  <c r="O6" i="8"/>
  <c r="X6" i="8"/>
  <c r="AA6" i="8"/>
  <c r="U6" i="8"/>
  <c r="M32" i="8"/>
  <c r="Y33" i="8"/>
  <c r="M34" i="8"/>
  <c r="U46" i="8"/>
  <c r="Z46" i="8"/>
  <c r="E6" i="8"/>
  <c r="T15" i="8"/>
  <c r="G15" i="8"/>
  <c r="E15" i="8"/>
  <c r="Y32" i="8"/>
  <c r="I33" i="8"/>
  <c r="E46" i="8"/>
  <c r="T32" i="8"/>
  <c r="R6" i="8"/>
  <c r="Y34" i="8"/>
  <c r="G46" i="8"/>
  <c r="J15" i="8"/>
  <c r="M6" i="8"/>
  <c r="C15" i="8"/>
  <c r="L32" i="8"/>
  <c r="G32" i="8"/>
  <c r="R34" i="8"/>
  <c r="F46" i="8"/>
  <c r="P46" i="8"/>
  <c r="AA15" i="8"/>
  <c r="H6" i="8"/>
  <c r="Z33" i="8"/>
  <c r="I34" i="8"/>
  <c r="C34" i="8"/>
  <c r="AA46" i="8"/>
  <c r="S6" i="8"/>
  <c r="V32" i="8"/>
  <c r="E34" i="8"/>
  <c r="L46" i="8"/>
  <c r="R46" i="8"/>
  <c r="I15" i="8"/>
  <c r="D6" i="8"/>
  <c r="K6" i="8"/>
  <c r="N15" i="8"/>
  <c r="I6" i="8"/>
  <c r="W32" i="8"/>
  <c r="D15" i="8"/>
  <c r="G34" i="8"/>
  <c r="I46" i="8"/>
  <c r="X15" i="8"/>
  <c r="P15" i="8"/>
  <c r="D34" i="8"/>
  <c r="L6" i="8"/>
  <c r="K32" i="8"/>
  <c r="Q46" i="8"/>
  <c r="Z6" i="8"/>
  <c r="R15" i="8"/>
  <c r="P34" i="8"/>
  <c r="S46" i="8"/>
  <c r="M46" i="8"/>
  <c r="P6" i="8"/>
  <c r="N6" i="8"/>
  <c r="W6" i="8"/>
  <c r="Y6" i="8"/>
  <c r="V6" i="8"/>
  <c r="Y15" i="8"/>
  <c r="T6" i="8"/>
  <c r="J32" i="8"/>
  <c r="P32" i="8"/>
  <c r="S32" i="8"/>
  <c r="E32" i="8"/>
  <c r="N33" i="8"/>
  <c r="Z32" i="8"/>
  <c r="AA32" i="8"/>
  <c r="G33" i="8"/>
  <c r="P33" i="8"/>
  <c r="W15" i="8"/>
  <c r="O32" i="8"/>
  <c r="N32" i="8"/>
  <c r="C33" i="8"/>
  <c r="H33" i="8"/>
  <c r="L33" i="8"/>
  <c r="S33" i="8"/>
  <c r="AA33" i="8"/>
  <c r="T33" i="8"/>
  <c r="V15" i="8"/>
  <c r="H34" i="8"/>
  <c r="Q15" i="8"/>
  <c r="Q6" i="8"/>
  <c r="O15" i="8"/>
  <c r="Q32" i="8"/>
  <c r="X32" i="8"/>
  <c r="X33" i="8"/>
  <c r="J33" i="8"/>
  <c r="V46" i="8"/>
  <c r="Y46" i="8"/>
  <c r="T34" i="8"/>
  <c r="S34" i="8"/>
  <c r="M15" i="8"/>
  <c r="W46" i="8"/>
  <c r="D46" i="8"/>
  <c r="K15" i="8"/>
  <c r="C6" i="8"/>
  <c r="G6" i="8"/>
  <c r="J6" i="8"/>
  <c r="L15" i="8"/>
  <c r="Z15" i="8"/>
  <c r="R32" i="8"/>
  <c r="C32" i="8"/>
  <c r="M33" i="8"/>
  <c r="U33" i="8"/>
  <c r="U32" i="8"/>
  <c r="I32" i="8"/>
  <c r="E33" i="8"/>
  <c r="K33" i="8"/>
  <c r="N47" i="8"/>
  <c r="V33" i="8"/>
  <c r="F33" i="8"/>
  <c r="F47" i="8"/>
  <c r="O47" i="8"/>
  <c r="U47" i="8"/>
  <c r="J47" i="8"/>
  <c r="R47" i="8"/>
  <c r="Q47" i="8"/>
  <c r="D47" i="8"/>
  <c r="Z47" i="8"/>
  <c r="I47" i="8"/>
  <c r="E47" i="8"/>
  <c r="O33" i="8"/>
  <c r="G47" i="8"/>
  <c r="S47" i="8"/>
  <c r="K47" i="8"/>
  <c r="T47" i="8"/>
  <c r="V47" i="8"/>
  <c r="AA47" i="8"/>
  <c r="P47" i="8"/>
  <c r="L47" i="8"/>
  <c r="W47" i="8"/>
  <c r="C47" i="8"/>
  <c r="M47" i="8"/>
  <c r="Y47" i="8"/>
  <c r="X47" i="8"/>
  <c r="B49" i="8"/>
  <c r="W34" i="8"/>
  <c r="U34" i="8"/>
  <c r="N34" i="8"/>
  <c r="F34" i="8"/>
  <c r="H26" i="4"/>
  <c r="H27" i="4"/>
  <c r="H19" i="4"/>
  <c r="H25" i="4"/>
  <c r="N26" i="4"/>
  <c r="N27" i="4"/>
  <c r="N30" i="4" s="1"/>
  <c r="N25" i="4"/>
  <c r="N19" i="4"/>
  <c r="B35" i="8"/>
  <c r="O34" i="8"/>
  <c r="AA34" i="8"/>
  <c r="V34" i="8"/>
  <c r="Z34" i="8"/>
  <c r="I3" i="5" l="1"/>
  <c r="I4" i="5" s="1"/>
  <c r="P3" i="5"/>
  <c r="P4" i="5" s="1"/>
  <c r="L3" i="5"/>
  <c r="L4" i="5" s="1"/>
  <c r="C3" i="5"/>
  <c r="C4" i="5" s="1"/>
  <c r="Z3" i="5"/>
  <c r="Z4" i="5" s="1"/>
  <c r="T3" i="5"/>
  <c r="T4" i="5" s="1"/>
  <c r="F3" i="5"/>
  <c r="F4" i="5" s="1"/>
  <c r="G3" i="5"/>
  <c r="G4" i="5" s="1"/>
  <c r="AA3" i="5"/>
  <c r="AA4" i="5" s="1"/>
  <c r="U3" i="5"/>
  <c r="U4" i="5" s="1"/>
  <c r="B35" i="4"/>
  <c r="S3" i="6" s="1"/>
  <c r="S4" i="6" s="1"/>
  <c r="K3" i="5"/>
  <c r="K4" i="5" s="1"/>
  <c r="E3" i="5"/>
  <c r="E4" i="5" s="1"/>
  <c r="V3" i="5"/>
  <c r="V4" i="5" s="1"/>
  <c r="N3" i="5"/>
  <c r="N4" i="5" s="1"/>
  <c r="Q3" i="5"/>
  <c r="Q4" i="5" s="1"/>
  <c r="W3" i="5"/>
  <c r="W4" i="5" s="1"/>
  <c r="M3" i="5"/>
  <c r="M4" i="5" s="1"/>
  <c r="O3" i="5"/>
  <c r="O4" i="5" s="1"/>
  <c r="R3" i="5"/>
  <c r="R4" i="5" s="1"/>
  <c r="H3" i="5"/>
  <c r="H4" i="5" s="1"/>
  <c r="X3" i="5"/>
  <c r="X4" i="5" s="1"/>
  <c r="S3" i="5"/>
  <c r="S4" i="5" s="1"/>
  <c r="Y3" i="5"/>
  <c r="Y4" i="5" s="1"/>
  <c r="D3" i="5"/>
  <c r="D4" i="5" s="1"/>
  <c r="W35" i="8"/>
  <c r="L35" i="8"/>
  <c r="K35" i="8"/>
  <c r="G35" i="8"/>
  <c r="R35" i="8"/>
  <c r="Y35" i="8"/>
  <c r="D35" i="8"/>
  <c r="Q35" i="8"/>
  <c r="P35" i="8"/>
  <c r="J35" i="8"/>
  <c r="Z35" i="8"/>
  <c r="I35" i="8"/>
  <c r="M35" i="8"/>
  <c r="T35" i="8"/>
  <c r="C35" i="8"/>
  <c r="E35" i="8"/>
  <c r="S35" i="8"/>
  <c r="N35" i="8"/>
  <c r="U35" i="8"/>
  <c r="F35" i="8"/>
  <c r="X35" i="8"/>
  <c r="H35" i="8"/>
  <c r="AA35" i="8"/>
  <c r="V35" i="8"/>
  <c r="O35" i="8"/>
  <c r="T22" i="5"/>
  <c r="T23" i="5" s="1"/>
  <c r="I22" i="5"/>
  <c r="I23" i="5" s="1"/>
  <c r="S22" i="5"/>
  <c r="S23" i="5" s="1"/>
  <c r="H22" i="5"/>
  <c r="H23" i="5" s="1"/>
  <c r="R22" i="5"/>
  <c r="R23" i="5" s="1"/>
  <c r="G22" i="5"/>
  <c r="G23" i="5" s="1"/>
  <c r="W22" i="5"/>
  <c r="W23" i="5" s="1"/>
  <c r="L22" i="5"/>
  <c r="L23" i="5" s="1"/>
  <c r="V22" i="5"/>
  <c r="V23" i="5" s="1"/>
  <c r="K22" i="5"/>
  <c r="K23" i="5" s="1"/>
  <c r="F22" i="5"/>
  <c r="F23" i="5" s="1"/>
  <c r="U22" i="5"/>
  <c r="U23" i="5" s="1"/>
  <c r="J22" i="5"/>
  <c r="J23" i="5" s="1"/>
  <c r="P22" i="5"/>
  <c r="P23" i="5" s="1"/>
  <c r="O22" i="5"/>
  <c r="O23" i="5" s="1"/>
  <c r="E22" i="5"/>
  <c r="E23" i="5" s="1"/>
  <c r="D22" i="5"/>
  <c r="D23" i="5" s="1"/>
  <c r="N22" i="5"/>
  <c r="N23" i="5" s="1"/>
  <c r="N35" i="4"/>
  <c r="M22" i="5"/>
  <c r="M23" i="5" s="1"/>
  <c r="AA22" i="5"/>
  <c r="AA23" i="5" s="1"/>
  <c r="C22" i="5"/>
  <c r="C23" i="5" s="1"/>
  <c r="Y22" i="5"/>
  <c r="Y23" i="5" s="1"/>
  <c r="X22" i="5"/>
  <c r="X23" i="5" s="1"/>
  <c r="Q22" i="5"/>
  <c r="Q23" i="5" s="1"/>
  <c r="Z22" i="5"/>
  <c r="Z23" i="5" s="1"/>
  <c r="I48" i="8"/>
  <c r="I49" i="8" s="1"/>
  <c r="W48" i="8"/>
  <c r="W49" i="8" s="1"/>
  <c r="C48" i="8"/>
  <c r="P48" i="8"/>
  <c r="P49" i="8" s="1"/>
  <c r="L48" i="8"/>
  <c r="L49" i="8" s="1"/>
  <c r="AA48" i="8"/>
  <c r="AA49" i="8" s="1"/>
  <c r="U48" i="8"/>
  <c r="U49" i="8" s="1"/>
  <c r="R48" i="8"/>
  <c r="R49" i="8" s="1"/>
  <c r="Q48" i="8"/>
  <c r="Q49" i="8" s="1"/>
  <c r="J48" i="8"/>
  <c r="J49" i="8" s="1"/>
  <c r="G48" i="8"/>
  <c r="G49" i="8" s="1"/>
  <c r="M48" i="8"/>
  <c r="M49" i="8" s="1"/>
  <c r="E48" i="8"/>
  <c r="E49" i="8" s="1"/>
  <c r="V48" i="8"/>
  <c r="V49" i="8" s="1"/>
  <c r="X48" i="8"/>
  <c r="X49" i="8" s="1"/>
  <c r="S48" i="8"/>
  <c r="S49" i="8" s="1"/>
  <c r="K48" i="8"/>
  <c r="K49" i="8" s="1"/>
  <c r="F48" i="8"/>
  <c r="F49" i="8" s="1"/>
  <c r="D48" i="8"/>
  <c r="D49" i="8" s="1"/>
  <c r="O48" i="8"/>
  <c r="O49" i="8" s="1"/>
  <c r="H30" i="4"/>
  <c r="N48" i="8"/>
  <c r="N49" i="8" s="1"/>
  <c r="T48" i="8"/>
  <c r="T49" i="8" s="1"/>
  <c r="Z48" i="8"/>
  <c r="Z49" i="8" s="1"/>
  <c r="Y48" i="8"/>
  <c r="Y49" i="8" s="1"/>
  <c r="H48" i="8"/>
  <c r="H49" i="8" s="1"/>
  <c r="J3" i="6" l="1"/>
  <c r="J4" i="6" s="1"/>
  <c r="U3" i="6"/>
  <c r="U4" i="6" s="1"/>
  <c r="D3" i="6"/>
  <c r="D4" i="6" s="1"/>
  <c r="C3" i="6"/>
  <c r="C4" i="6" s="1"/>
  <c r="W3" i="6"/>
  <c r="W4" i="6" s="1"/>
  <c r="B8" i="5"/>
  <c r="C3" i="9" s="1"/>
  <c r="C4" i="9" s="1"/>
  <c r="C10" i="9" s="1"/>
  <c r="AA3" i="6"/>
  <c r="AA4" i="6" s="1"/>
  <c r="O3" i="6"/>
  <c r="O4" i="6" s="1"/>
  <c r="V3" i="6"/>
  <c r="V4" i="6" s="1"/>
  <c r="Z3" i="6"/>
  <c r="Z4" i="6" s="1"/>
  <c r="G3" i="6"/>
  <c r="G4" i="6" s="1"/>
  <c r="E3" i="6"/>
  <c r="E4" i="6" s="1"/>
  <c r="P3" i="6"/>
  <c r="P4" i="6" s="1"/>
  <c r="F3" i="6"/>
  <c r="F4" i="6" s="1"/>
  <c r="N3" i="6"/>
  <c r="N4" i="6" s="1"/>
  <c r="B37" i="4"/>
  <c r="P3" i="8" s="1"/>
  <c r="P4" i="8" s="1"/>
  <c r="L3" i="6"/>
  <c r="L4" i="6" s="1"/>
  <c r="X3" i="6"/>
  <c r="X4" i="6" s="1"/>
  <c r="Y3" i="6"/>
  <c r="Y4" i="6" s="1"/>
  <c r="Q3" i="6"/>
  <c r="Q4" i="6" s="1"/>
  <c r="H3" i="6"/>
  <c r="H4" i="6" s="1"/>
  <c r="I3" i="6"/>
  <c r="I4" i="6" s="1"/>
  <c r="K3" i="6"/>
  <c r="K4" i="6" s="1"/>
  <c r="M3" i="6"/>
  <c r="M4" i="6" s="1"/>
  <c r="R3" i="6"/>
  <c r="R4" i="6" s="1"/>
  <c r="T3" i="6"/>
  <c r="T4" i="6" s="1"/>
  <c r="B40" i="8"/>
  <c r="B41" i="8"/>
  <c r="B39" i="8"/>
  <c r="B38" i="8"/>
  <c r="B27" i="5"/>
  <c r="Q3" i="9" s="1"/>
  <c r="Q4" i="9" s="1"/>
  <c r="Q10" i="9" s="1"/>
  <c r="C49" i="8"/>
  <c r="Y12" i="5"/>
  <c r="Y13" i="5" s="1"/>
  <c r="N12" i="5"/>
  <c r="N13" i="5" s="1"/>
  <c r="C12" i="5"/>
  <c r="C13" i="5" s="1"/>
  <c r="X12" i="5"/>
  <c r="X13" i="5" s="1"/>
  <c r="M12" i="5"/>
  <c r="M13" i="5" s="1"/>
  <c r="W12" i="5"/>
  <c r="W13" i="5" s="1"/>
  <c r="L12" i="5"/>
  <c r="L13" i="5" s="1"/>
  <c r="Q12" i="5"/>
  <c r="Q13" i="5" s="1"/>
  <c r="F12" i="5"/>
  <c r="F13" i="5" s="1"/>
  <c r="AA12" i="5"/>
  <c r="AA13" i="5" s="1"/>
  <c r="P12" i="5"/>
  <c r="P13" i="5" s="1"/>
  <c r="E12" i="5"/>
  <c r="E13" i="5" s="1"/>
  <c r="Z12" i="5"/>
  <c r="Z13" i="5" s="1"/>
  <c r="O12" i="5"/>
  <c r="O13" i="5" s="1"/>
  <c r="D12" i="5"/>
  <c r="D13" i="5" s="1"/>
  <c r="T12" i="5"/>
  <c r="T13" i="5" s="1"/>
  <c r="S12" i="5"/>
  <c r="S13" i="5" s="1"/>
  <c r="R12" i="5"/>
  <c r="R13" i="5" s="1"/>
  <c r="J12" i="5"/>
  <c r="J13" i="5" s="1"/>
  <c r="I12" i="5"/>
  <c r="I13" i="5" s="1"/>
  <c r="G12" i="5"/>
  <c r="G13" i="5" s="1"/>
  <c r="K12" i="5"/>
  <c r="K13" i="5" s="1"/>
  <c r="H12" i="5"/>
  <c r="H13" i="5" s="1"/>
  <c r="V12" i="5"/>
  <c r="V13" i="5" s="1"/>
  <c r="U12" i="5"/>
  <c r="U13" i="5" s="1"/>
  <c r="H35" i="4"/>
  <c r="T21" i="6"/>
  <c r="T22" i="6" s="1"/>
  <c r="I21" i="6"/>
  <c r="I22" i="6" s="1"/>
  <c r="R21" i="6"/>
  <c r="R22" i="6" s="1"/>
  <c r="G21" i="6"/>
  <c r="G22" i="6" s="1"/>
  <c r="Q21" i="6"/>
  <c r="Q22" i="6" s="1"/>
  <c r="F21" i="6"/>
  <c r="F22" i="6" s="1"/>
  <c r="AA21" i="6"/>
  <c r="AA22" i="6" s="1"/>
  <c r="P21" i="6"/>
  <c r="P22" i="6" s="1"/>
  <c r="E21" i="6"/>
  <c r="E22" i="6" s="1"/>
  <c r="V21" i="6"/>
  <c r="V22" i="6" s="1"/>
  <c r="K21" i="6"/>
  <c r="K22" i="6" s="1"/>
  <c r="Z21" i="6"/>
  <c r="Z22" i="6" s="1"/>
  <c r="H21" i="6"/>
  <c r="H22" i="6" s="1"/>
  <c r="Y21" i="6"/>
  <c r="Y22" i="6" s="1"/>
  <c r="D21" i="6"/>
  <c r="D22" i="6" s="1"/>
  <c r="X21" i="6"/>
  <c r="X22" i="6" s="1"/>
  <c r="C21" i="6"/>
  <c r="C22" i="6" s="1"/>
  <c r="M21" i="6"/>
  <c r="M22" i="6" s="1"/>
  <c r="L21" i="6"/>
  <c r="L22" i="6" s="1"/>
  <c r="W21" i="6"/>
  <c r="W22" i="6" s="1"/>
  <c r="J21" i="6"/>
  <c r="J22" i="6" s="1"/>
  <c r="N37" i="4"/>
  <c r="O21" i="6"/>
  <c r="O22" i="6" s="1"/>
  <c r="S21" i="6"/>
  <c r="S22" i="6" s="1"/>
  <c r="N21" i="6"/>
  <c r="N22" i="6" s="1"/>
  <c r="U21" i="6"/>
  <c r="U22" i="6" s="1"/>
  <c r="Y3" i="8" l="1"/>
  <c r="Y4" i="8" s="1"/>
  <c r="J3" i="7"/>
  <c r="J4" i="7" s="1"/>
  <c r="M3" i="7"/>
  <c r="M4" i="7" s="1"/>
  <c r="V3" i="8"/>
  <c r="V4" i="8" s="1"/>
  <c r="W3" i="7"/>
  <c r="W4" i="7" s="1"/>
  <c r="N3" i="7"/>
  <c r="N4" i="7" s="1"/>
  <c r="J3" i="8"/>
  <c r="J4" i="8" s="1"/>
  <c r="O3" i="7"/>
  <c r="O4" i="7" s="1"/>
  <c r="K3" i="8"/>
  <c r="K4" i="8" s="1"/>
  <c r="C3" i="8"/>
  <c r="C4" i="8" s="1"/>
  <c r="T3" i="8"/>
  <c r="T4" i="8" s="1"/>
  <c r="F3" i="8"/>
  <c r="F4" i="8" s="1"/>
  <c r="Q3" i="8"/>
  <c r="Q4" i="8" s="1"/>
  <c r="H3" i="8"/>
  <c r="H4" i="8" s="1"/>
  <c r="Q3" i="7"/>
  <c r="Q4" i="7" s="1"/>
  <c r="Y3" i="7"/>
  <c r="Y4" i="7" s="1"/>
  <c r="M3" i="8"/>
  <c r="M4" i="8" s="1"/>
  <c r="Z3" i="7"/>
  <c r="Z4" i="7" s="1"/>
  <c r="X3" i="8"/>
  <c r="X4" i="8" s="1"/>
  <c r="L3" i="7"/>
  <c r="L4" i="7" s="1"/>
  <c r="AA3" i="8"/>
  <c r="AA4" i="8" s="1"/>
  <c r="G3" i="8"/>
  <c r="G4" i="8" s="1"/>
  <c r="X3" i="7"/>
  <c r="X4" i="7" s="1"/>
  <c r="AA3" i="7"/>
  <c r="AA4" i="7" s="1"/>
  <c r="R3" i="8"/>
  <c r="R4" i="8" s="1"/>
  <c r="F3" i="7"/>
  <c r="F4" i="7" s="1"/>
  <c r="S3" i="7"/>
  <c r="S4" i="7" s="1"/>
  <c r="C3" i="7"/>
  <c r="C4" i="7" s="1"/>
  <c r="B8" i="6"/>
  <c r="D3" i="9" s="1"/>
  <c r="D4" i="9" s="1"/>
  <c r="D10" i="9" s="1"/>
  <c r="P3" i="7"/>
  <c r="P4" i="7" s="1"/>
  <c r="S3" i="8"/>
  <c r="S4" i="8" s="1"/>
  <c r="O3" i="8"/>
  <c r="O4" i="8" s="1"/>
  <c r="R3" i="7"/>
  <c r="R4" i="7" s="1"/>
  <c r="U3" i="8"/>
  <c r="U4" i="8" s="1"/>
  <c r="N3" i="8"/>
  <c r="N4" i="8" s="1"/>
  <c r="T3" i="7"/>
  <c r="T4" i="7" s="1"/>
  <c r="K3" i="7"/>
  <c r="K4" i="7" s="1"/>
  <c r="G3" i="7"/>
  <c r="G4" i="7" s="1"/>
  <c r="E3" i="8"/>
  <c r="E4" i="8" s="1"/>
  <c r="E3" i="7"/>
  <c r="E4" i="7" s="1"/>
  <c r="D3" i="8"/>
  <c r="D4" i="8" s="1"/>
  <c r="L3" i="8"/>
  <c r="L4" i="8" s="1"/>
  <c r="I3" i="8"/>
  <c r="I4" i="8" s="1"/>
  <c r="D3" i="7"/>
  <c r="D4" i="7" s="1"/>
  <c r="Z3" i="8"/>
  <c r="Z4" i="8" s="1"/>
  <c r="H3" i="7"/>
  <c r="H4" i="7" s="1"/>
  <c r="I3" i="7"/>
  <c r="I4" i="7" s="1"/>
  <c r="V3" i="7"/>
  <c r="V4" i="7" s="1"/>
  <c r="W3" i="8"/>
  <c r="W4" i="8" s="1"/>
  <c r="U3" i="7"/>
  <c r="U4" i="7" s="1"/>
  <c r="B54" i="8"/>
  <c r="B52" i="8"/>
  <c r="B53" i="8"/>
  <c r="B26" i="6"/>
  <c r="R3" i="9" s="1"/>
  <c r="R4" i="9" s="1"/>
  <c r="R10" i="9" s="1"/>
  <c r="Q21" i="8"/>
  <c r="Q22" i="8" s="1"/>
  <c r="F21" i="8"/>
  <c r="F22" i="8" s="1"/>
  <c r="U21" i="7"/>
  <c r="U22" i="7" s="1"/>
  <c r="J21" i="7"/>
  <c r="J22" i="7" s="1"/>
  <c r="AA21" i="8"/>
  <c r="AA22" i="8" s="1"/>
  <c r="P21" i="8"/>
  <c r="P22" i="8" s="1"/>
  <c r="E21" i="8"/>
  <c r="E22" i="8" s="1"/>
  <c r="Y21" i="8"/>
  <c r="Y22" i="8" s="1"/>
  <c r="N21" i="8"/>
  <c r="N22" i="8" s="1"/>
  <c r="C21" i="8"/>
  <c r="C22" i="8" s="1"/>
  <c r="R21" i="7"/>
  <c r="R22" i="7" s="1"/>
  <c r="G21" i="7"/>
  <c r="G22" i="7" s="1"/>
  <c r="S21" i="8"/>
  <c r="S22" i="8" s="1"/>
  <c r="H21" i="8"/>
  <c r="H22" i="8" s="1"/>
  <c r="R21" i="8"/>
  <c r="R22" i="8" s="1"/>
  <c r="G21" i="8"/>
  <c r="G22" i="8" s="1"/>
  <c r="V21" i="7"/>
  <c r="V22" i="7" s="1"/>
  <c r="K21" i="7"/>
  <c r="K22" i="7" s="1"/>
  <c r="L21" i="8"/>
  <c r="L22" i="8" s="1"/>
  <c r="Y21" i="7"/>
  <c r="Y22" i="7" s="1"/>
  <c r="I21" i="7"/>
  <c r="I22" i="7" s="1"/>
  <c r="J21" i="8"/>
  <c r="J22" i="8" s="1"/>
  <c r="W21" i="7"/>
  <c r="W22" i="7" s="1"/>
  <c r="F21" i="7"/>
  <c r="F22" i="7" s="1"/>
  <c r="Z21" i="8"/>
  <c r="Z22" i="8" s="1"/>
  <c r="I21" i="8"/>
  <c r="I22" i="8" s="1"/>
  <c r="T21" i="7"/>
  <c r="T22" i="7" s="1"/>
  <c r="E21" i="7"/>
  <c r="E22" i="7" s="1"/>
  <c r="X21" i="8"/>
  <c r="X22" i="8" s="1"/>
  <c r="D21" i="8"/>
  <c r="D22" i="8" s="1"/>
  <c r="S21" i="7"/>
  <c r="S22" i="7" s="1"/>
  <c r="D21" i="7"/>
  <c r="D22" i="7" s="1"/>
  <c r="W21" i="8"/>
  <c r="W22" i="8" s="1"/>
  <c r="Q21" i="7"/>
  <c r="Q22" i="7" s="1"/>
  <c r="C21" i="7"/>
  <c r="C22" i="7" s="1"/>
  <c r="O21" i="8"/>
  <c r="O22" i="8" s="1"/>
  <c r="AA21" i="7"/>
  <c r="AA22" i="7" s="1"/>
  <c r="M21" i="7"/>
  <c r="M22" i="7" s="1"/>
  <c r="P21" i="7"/>
  <c r="P22" i="7" s="1"/>
  <c r="O21" i="7"/>
  <c r="O22" i="7" s="1"/>
  <c r="V21" i="8"/>
  <c r="V22" i="8" s="1"/>
  <c r="L21" i="7"/>
  <c r="L22" i="7" s="1"/>
  <c r="N21" i="7"/>
  <c r="N22" i="7" s="1"/>
  <c r="Z21" i="7"/>
  <c r="Z22" i="7" s="1"/>
  <c r="X21" i="7"/>
  <c r="X22" i="7" s="1"/>
  <c r="M21" i="8"/>
  <c r="M22" i="8" s="1"/>
  <c r="U21" i="8"/>
  <c r="U22" i="8" s="1"/>
  <c r="T21" i="8"/>
  <c r="T22" i="8" s="1"/>
  <c r="K21" i="8"/>
  <c r="K22" i="8" s="1"/>
  <c r="H21" i="7"/>
  <c r="H22" i="7" s="1"/>
  <c r="Y12" i="6"/>
  <c r="Y13" i="6" s="1"/>
  <c r="N12" i="6"/>
  <c r="N13" i="6" s="1"/>
  <c r="C12" i="6"/>
  <c r="C13" i="6" s="1"/>
  <c r="W12" i="6"/>
  <c r="W13" i="6" s="1"/>
  <c r="L12" i="6"/>
  <c r="L13" i="6" s="1"/>
  <c r="V12" i="6"/>
  <c r="V13" i="6" s="1"/>
  <c r="K12" i="6"/>
  <c r="K13" i="6" s="1"/>
  <c r="U12" i="6"/>
  <c r="U13" i="6" s="1"/>
  <c r="J12" i="6"/>
  <c r="J13" i="6" s="1"/>
  <c r="AA12" i="6"/>
  <c r="AA13" i="6" s="1"/>
  <c r="P12" i="6"/>
  <c r="P13" i="6" s="1"/>
  <c r="E12" i="6"/>
  <c r="E13" i="6" s="1"/>
  <c r="I12" i="6"/>
  <c r="I13" i="6" s="1"/>
  <c r="H37" i="4"/>
  <c r="H12" i="6"/>
  <c r="H13" i="6" s="1"/>
  <c r="F12" i="6"/>
  <c r="F13" i="6" s="1"/>
  <c r="G12" i="6"/>
  <c r="G13" i="6" s="1"/>
  <c r="Q12" i="6"/>
  <c r="Q13" i="6" s="1"/>
  <c r="O12" i="6"/>
  <c r="O13" i="6" s="1"/>
  <c r="Z12" i="6"/>
  <c r="Z13" i="6" s="1"/>
  <c r="M12" i="6"/>
  <c r="M13" i="6" s="1"/>
  <c r="S12" i="6"/>
  <c r="S13" i="6" s="1"/>
  <c r="R12" i="6"/>
  <c r="R13" i="6" s="1"/>
  <c r="D12" i="6"/>
  <c r="D13" i="6" s="1"/>
  <c r="X12" i="6"/>
  <c r="X13" i="6" s="1"/>
  <c r="T12" i="6"/>
  <c r="T13" i="6" s="1"/>
  <c r="B55" i="8"/>
  <c r="B17" i="5"/>
  <c r="J3" i="9" s="1"/>
  <c r="J4" i="9" s="1"/>
  <c r="J10" i="9" s="1"/>
  <c r="B8" i="7" l="1"/>
  <c r="E3" i="9" s="1"/>
  <c r="E4" i="9" s="1"/>
  <c r="E10" i="9" s="1"/>
  <c r="B8" i="8"/>
  <c r="F3" i="9" s="1"/>
  <c r="F4" i="9" s="1"/>
  <c r="F10" i="9" s="1"/>
  <c r="B26" i="7"/>
  <c r="S3" i="9" s="1"/>
  <c r="S4" i="9" s="1"/>
  <c r="S10" i="9" s="1"/>
  <c r="B17" i="6"/>
  <c r="K3" i="9" s="1"/>
  <c r="K4" i="9" s="1"/>
  <c r="K10" i="9" s="1"/>
  <c r="B26" i="8"/>
  <c r="T3" i="9" s="1"/>
  <c r="T4" i="9" s="1"/>
  <c r="V12" i="8"/>
  <c r="V13" i="8" s="1"/>
  <c r="K12" i="8"/>
  <c r="K13" i="8" s="1"/>
  <c r="Z12" i="7"/>
  <c r="Z13" i="7" s="1"/>
  <c r="O12" i="7"/>
  <c r="O13" i="7" s="1"/>
  <c r="D12" i="7"/>
  <c r="D13" i="7" s="1"/>
  <c r="U12" i="8"/>
  <c r="U13" i="8" s="1"/>
  <c r="J12" i="8"/>
  <c r="J13" i="8" s="1"/>
  <c r="S12" i="8"/>
  <c r="S13" i="8" s="1"/>
  <c r="H12" i="8"/>
  <c r="H13" i="8" s="1"/>
  <c r="W12" i="7"/>
  <c r="W13" i="7" s="1"/>
  <c r="L12" i="7"/>
  <c r="L13" i="7" s="1"/>
  <c r="X12" i="8"/>
  <c r="X13" i="8" s="1"/>
  <c r="M12" i="8"/>
  <c r="M13" i="8" s="1"/>
  <c r="W12" i="8"/>
  <c r="W13" i="8" s="1"/>
  <c r="L12" i="8"/>
  <c r="L13" i="8" s="1"/>
  <c r="P12" i="8"/>
  <c r="P13" i="8" s="1"/>
  <c r="X12" i="7"/>
  <c r="X13" i="7" s="1"/>
  <c r="J12" i="7"/>
  <c r="J13" i="7" s="1"/>
  <c r="N12" i="8"/>
  <c r="N13" i="8" s="1"/>
  <c r="U12" i="7"/>
  <c r="U13" i="7" s="1"/>
  <c r="H12" i="7"/>
  <c r="H13" i="7" s="1"/>
  <c r="I12" i="8"/>
  <c r="I13" i="8" s="1"/>
  <c r="T12" i="7"/>
  <c r="T13" i="7" s="1"/>
  <c r="G12" i="7"/>
  <c r="G13" i="7" s="1"/>
  <c r="G12" i="8"/>
  <c r="G13" i="8" s="1"/>
  <c r="S12" i="7"/>
  <c r="S13" i="7" s="1"/>
  <c r="F12" i="7"/>
  <c r="F13" i="7" s="1"/>
  <c r="AA12" i="8"/>
  <c r="AA13" i="8" s="1"/>
  <c r="F12" i="8"/>
  <c r="F13" i="8" s="1"/>
  <c r="R12" i="7"/>
  <c r="R13" i="7" s="1"/>
  <c r="E12" i="7"/>
  <c r="E13" i="7" s="1"/>
  <c r="R12" i="8"/>
  <c r="R13" i="8" s="1"/>
  <c r="AA12" i="7"/>
  <c r="AA13" i="7" s="1"/>
  <c r="M12" i="7"/>
  <c r="M13" i="7" s="1"/>
  <c r="E12" i="8"/>
  <c r="E13" i="8" s="1"/>
  <c r="Y12" i="7"/>
  <c r="Y13" i="7" s="1"/>
  <c r="D12" i="8"/>
  <c r="D13" i="8" s="1"/>
  <c r="V12" i="7"/>
  <c r="V13" i="7" s="1"/>
  <c r="P12" i="7"/>
  <c r="P13" i="7" s="1"/>
  <c r="C12" i="8"/>
  <c r="C13" i="8" s="1"/>
  <c r="Q12" i="7"/>
  <c r="Q13" i="7" s="1"/>
  <c r="T12" i="8"/>
  <c r="T13" i="8" s="1"/>
  <c r="Q12" i="8"/>
  <c r="Q13" i="8" s="1"/>
  <c r="O12" i="8"/>
  <c r="O13" i="8" s="1"/>
  <c r="K12" i="7"/>
  <c r="K13" i="7" s="1"/>
  <c r="N12" i="7"/>
  <c r="N13" i="7" s="1"/>
  <c r="I12" i="7"/>
  <c r="I13" i="7" s="1"/>
  <c r="Z12" i="8"/>
  <c r="Z13" i="8" s="1"/>
  <c r="Y12" i="8"/>
  <c r="Y13" i="8" s="1"/>
  <c r="C12" i="7"/>
  <c r="C13" i="7" s="1"/>
  <c r="C16" i="9" l="1"/>
  <c r="C17" i="9" s="1"/>
  <c r="T10" i="9"/>
  <c r="Q16" i="9"/>
  <c r="Q17" i="9" s="1"/>
  <c r="B17" i="7"/>
  <c r="L3" i="9" s="1"/>
  <c r="L4" i="9" s="1"/>
  <c r="L10" i="9" s="1"/>
  <c r="B17" i="8"/>
  <c r="M3" i="9" s="1"/>
  <c r="M4" i="9" s="1"/>
  <c r="M10" i="9" l="1"/>
  <c r="J16" i="9"/>
  <c r="J17" i="9" s="1"/>
</calcChain>
</file>

<file path=xl/sharedStrings.xml><?xml version="1.0" encoding="utf-8"?>
<sst xmlns="http://schemas.openxmlformats.org/spreadsheetml/2006/main" count="654" uniqueCount="152">
  <si>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</si>
  <si>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</si>
  <si>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</si>
  <si>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</si>
  <si>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</si>
  <si>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</si>
  <si>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</si>
  <si>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</si>
  <si>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</si>
  <si>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</si>
  <si>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</si>
  <si>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</si>
  <si>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</si>
  <si>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</si>
  <si>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</si>
  <si>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</si>
  <si>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</si>
  <si>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</si>
  <si>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</si>
  <si>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</si>
  <si>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</si>
  <si>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</si>
  <si>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</si>
  <si>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</si>
  <si>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</si>
  <si>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</si>
  <si>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</si>
  <si>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</si>
  <si>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</si>
  <si>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</si>
  <si>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Key Parameters</t>
  </si>
  <si>
    <t>Source</t>
  </si>
  <si>
    <t>Note</t>
  </si>
  <si>
    <t>Lifetime (years)</t>
  </si>
  <si>
    <t>Both</t>
  </si>
  <si>
    <t>Discount Rate</t>
  </si>
  <si>
    <t>Discount Rate (Baseline)</t>
  </si>
  <si>
    <t>Discount Rate (Optimistic)</t>
  </si>
  <si>
    <t>Full load (hours)</t>
  </si>
  <si>
    <t>Debt-to-Equity Ratio</t>
  </si>
  <si>
    <t>Debt-to-Equity Ratio (Baseline)</t>
  </si>
  <si>
    <t>Debt-to-Equity Ratio (Optimistic)</t>
  </si>
  <si>
    <t>Debt Interest Rate</t>
  </si>
  <si>
    <t>Moretti et. al. 2023 Supplementary Information Table A.1</t>
  </si>
  <si>
    <t>Sierra Gorda site</t>
  </si>
  <si>
    <t xml:space="preserve">Calculated </t>
  </si>
  <si>
    <t>WACC - Baseline</t>
  </si>
  <si>
    <t>WACC - Optimistic</t>
  </si>
  <si>
    <t>Process Parameters</t>
  </si>
  <si>
    <t>CO2 Capture</t>
  </si>
  <si>
    <t>kt/year</t>
  </si>
  <si>
    <t>Moretti et. al. 2023 Supplementary Information Table B.1</t>
  </si>
  <si>
    <t>Jet Fuel Output</t>
  </si>
  <si>
    <t>Moretti et. al. 2023 Supplementary Information Table A.3</t>
  </si>
  <si>
    <t>l/year</t>
  </si>
  <si>
    <t>Electricity Output</t>
  </si>
  <si>
    <t>MWh/year</t>
  </si>
  <si>
    <t>Moretti et. al. 2023 Supplementary Information Table B.2</t>
  </si>
  <si>
    <t>Fuel Characteristics</t>
  </si>
  <si>
    <t>Energy Density Jet Fuel</t>
  </si>
  <si>
    <t>Moretti et. al. 2023 Supplementary Information Table A.8</t>
  </si>
  <si>
    <t>LHV considered</t>
  </si>
  <si>
    <t>Volumetric Density Jet Fuel</t>
  </si>
  <si>
    <t>gCO/MJ</t>
  </si>
  <si>
    <t>Moretti et. al. 2023</t>
  </si>
  <si>
    <t>Plant Scale</t>
  </si>
  <si>
    <t>Heliostat Field</t>
  </si>
  <si>
    <t>km2</t>
  </si>
  <si>
    <t>Moretti et. al. 2023 Table 1</t>
  </si>
  <si>
    <t>External Costs</t>
  </si>
  <si>
    <t>Electricity</t>
  </si>
  <si>
    <t>€/MWh</t>
  </si>
  <si>
    <t>DAC</t>
  </si>
  <si>
    <t>€/tCO2</t>
  </si>
  <si>
    <t>Labour Costs</t>
  </si>
  <si>
    <t>M€/year</t>
  </si>
  <si>
    <t>Moretti et. al. 2023 Supplementary Information Labour Cost Equation</t>
  </si>
  <si>
    <t>Economic Assumptions 2024</t>
  </si>
  <si>
    <t>Economic Assumptions 2050 - Baseline</t>
  </si>
  <si>
    <t>Economic Assumptions 2050 - Optimistic</t>
  </si>
  <si>
    <t>CAPEX</t>
  </si>
  <si>
    <t>Component</t>
  </si>
  <si>
    <t>Notes</t>
  </si>
  <si>
    <t xml:space="preserve">Heliostat </t>
  </si>
  <si>
    <t>€/m2</t>
  </si>
  <si>
    <t xml:space="preserve">Moretti et. al. 2023 </t>
  </si>
  <si>
    <t>Receiver</t>
  </si>
  <si>
    <t>Power Block</t>
  </si>
  <si>
    <t>M€</t>
  </si>
  <si>
    <t>Solar Redox</t>
  </si>
  <si>
    <t>Conversion factor applied according to Solar redox section in the paper</t>
  </si>
  <si>
    <t>Heat Exchanger</t>
  </si>
  <si>
    <t>Heat Exchangers</t>
  </si>
  <si>
    <t>Vacuum Pumps</t>
  </si>
  <si>
    <t>Thermal Energy Storage</t>
  </si>
  <si>
    <t>CO2 separator</t>
  </si>
  <si>
    <t>FT Synthesis Unit</t>
  </si>
  <si>
    <t xml:space="preserve">FT Distillation </t>
  </si>
  <si>
    <t>Total Capex</t>
  </si>
  <si>
    <t>OPEX</t>
  </si>
  <si>
    <t>Labour</t>
  </si>
  <si>
    <t>Overhead</t>
  </si>
  <si>
    <t>Moretti et. al. 2023 Supplementary Information Table A.7</t>
  </si>
  <si>
    <t>Maintenance and Repairs</t>
  </si>
  <si>
    <t>Local Taxes</t>
  </si>
  <si>
    <t>Insurance</t>
  </si>
  <si>
    <t>Administrative Cost</t>
  </si>
  <si>
    <t>Laboratory Charges</t>
  </si>
  <si>
    <t>Sales and Marketing</t>
  </si>
  <si>
    <t>CO2 Cost</t>
  </si>
  <si>
    <t>Surplus Electricity</t>
  </si>
  <si>
    <t xml:space="preserve">Total OPEX </t>
  </si>
  <si>
    <t>Total OPEX</t>
  </si>
  <si>
    <t>Standardized Economic Assumptions 2024</t>
  </si>
  <si>
    <t>Standardized Economic Assumptions 2050 (Baseline)</t>
  </si>
  <si>
    <t>Standardized Economic Assumptions 2050 (Optimistic)</t>
  </si>
  <si>
    <t>LCOE Corrected OPEX</t>
  </si>
  <si>
    <t>CO2 Corrected OPEX</t>
  </si>
  <si>
    <t>Economic Model 2024</t>
  </si>
  <si>
    <t>Cost (€)</t>
  </si>
  <si>
    <t>Discounted Cost (€)</t>
  </si>
  <si>
    <t>Production (l)</t>
  </si>
  <si>
    <t>Discounted Production (l)</t>
  </si>
  <si>
    <t>Minimum Fuel Selling Price (€/l)</t>
  </si>
  <si>
    <t>Economic Model 2050 - Baseline</t>
  </si>
  <si>
    <t>Economic Model 2050 - Optimistic</t>
  </si>
  <si>
    <t>Contribution to Final Cost - 2024</t>
  </si>
  <si>
    <t>Electricity Surplus (Discounted)</t>
  </si>
  <si>
    <t>Total</t>
  </si>
  <si>
    <t xml:space="preserve">CO2 Cost </t>
  </si>
  <si>
    <t>Other OPEX</t>
  </si>
  <si>
    <t>Contribution to Final Cost - 2050</t>
  </si>
  <si>
    <t>2050 - Baseline</t>
  </si>
  <si>
    <t>2050 - Optimistic</t>
  </si>
  <si>
    <t>Base case</t>
  </si>
  <si>
    <t>Electricity correction</t>
  </si>
  <si>
    <t>DAC correction</t>
  </si>
  <si>
    <t>WACC correction</t>
  </si>
  <si>
    <t>Syn-Fuel cost</t>
  </si>
  <si>
    <t>€/l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</si>
  <si>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</si>
  <si>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</si>
  <si>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</si>
  <si>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</si>
  <si>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</si>
  <si>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</si>
  <si>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</si>
  <si>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 xml:space="preserve">Full Abatement </t>
  </si>
  <si>
    <t>Residual Emissions</t>
  </si>
  <si>
    <t>Emissions Reduction Cost</t>
  </si>
  <si>
    <t>Effective Synfuel Cost</t>
  </si>
  <si>
    <t>Effective Abatement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</si>
</sst>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 (Body)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9" fontId="1" fillId="0" borderId="0"/>
  </cellStyleXfs>
  <cellXfs count="41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2" fontId="0" fillId="0" borderId="0" xfId="0" applyNumberFormat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164" fontId="0" fillId="0" borderId="0" xfId="0" applyNumberFormat="1"/>
    <xf numFmtId="165" fontId="0" fillId="0" borderId="0" xfId="2" applyNumberFormat="1" applyFont="1"/>
    <xf numFmtId="0" fontId="0" fillId="0" borderId="0" xfId="2" applyNumberFormat="1" applyFont="1"/>
    <xf numFmtId="164" fontId="0" fillId="0" borderId="0" xfId="1" applyFont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164" fontId="0" fillId="0" borderId="1" xfId="0" applyNumberFormat="1" applyBorder="1"/>
    <xf numFmtId="9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4" fillId="0" borderId="1" xfId="0" applyFont="1" applyBorder="1"/>
    <xf numFmtId="0" fontId="5" fillId="0" borderId="1" xfId="0" applyFont="1" applyBorder="1"/>
    <xf numFmtId="164" fontId="4" fillId="0" borderId="1" xfId="0" applyNumberFormat="1" applyFont="1" applyBorder="1"/>
    <xf numFmtId="2" fontId="4" fillId="0" borderId="1" xfId="0" applyNumberFormat="1" applyFont="1" applyBorder="1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9" fontId="0" fillId="0" borderId="0" xfId="2" applyFont="1"/>
    <xf numFmtId="1" fontId="0" fillId="0" borderId="1" xfId="0" applyNumberFormat="1" applyBorder="1"/>
    <xf numFmtId="9" fontId="1" fillId="0" borderId="0" xfId="2"/>
    <xf numFmtId="0" fontId="5" fillId="0" borderId="0" xfId="0" applyFont="1"/>
    <xf numFmtId="0" fontId="2" fillId="2" borderId="0" xfId="0" applyFont="1" applyFill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3" borderId="6" xfId="0" applyFont="1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4">
          <cell r="C4">
            <v>2024</v>
          </cell>
        </row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0.8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1282</v>
          </cell>
        </row>
        <row r="34">
          <cell r="C34">
            <v>480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11"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3"/>
  <sheetViews>
    <sheetView tabSelected="1" workbookViewId="0">
      <selection activeCell="G25" sqref="G25"/>
    </sheetView>
  </sheetViews>
  <sheetFormatPr defaultColWidth="11" defaultRowHeight="15.75"/>
  <cols>
    <col min="3" max="3" width="12.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/>
      <c r="C2" s="3"/>
      <c r="D2" s="3"/>
    </row>
    <row r="3" spans="1:4">
      <c r="A3" t="s">
        <v>5</v>
      </c>
      <c r="C3">
        <f>[1]Inputs!C4</f>
        <v>2024</v>
      </c>
    </row>
    <row r="4" spans="1:4">
      <c r="A4" t="s">
        <v>6</v>
      </c>
      <c r="C4" s="28">
        <f>[1]Inputs!C5</f>
        <v>0.02</v>
      </c>
    </row>
    <row r="5" spans="1:4">
      <c r="A5" t="s">
        <v>7</v>
      </c>
      <c r="C5" s="28">
        <f>[1]Inputs!C6</f>
        <v>7.0000000000000007E-2</v>
      </c>
    </row>
    <row r="6" spans="1:4">
      <c r="A6" t="s">
        <v>8</v>
      </c>
      <c r="C6">
        <f>[1]Inputs!C7</f>
        <v>0.9</v>
      </c>
    </row>
    <row r="7" spans="1:4">
      <c r="A7" s="2" t="s">
        <v>9</v>
      </c>
      <c r="B7" s="3"/>
      <c r="C7" s="3"/>
      <c r="D7" s="3"/>
    </row>
    <row r="8" spans="1:4">
      <c r="A8" s="5" t="s">
        <v>10</v>
      </c>
      <c r="B8">
        <v>2024</v>
      </c>
      <c r="C8" s="4">
        <f>[1]Inputs!C9</f>
        <v>64</v>
      </c>
      <c r="D8" t="s">
        <v>11</v>
      </c>
    </row>
    <row r="9" spans="1:4">
      <c r="A9" s="5" t="s">
        <v>10</v>
      </c>
      <c r="B9">
        <v>2050</v>
      </c>
      <c r="C9" s="4">
        <f>[1]Inputs!C10</f>
        <v>11</v>
      </c>
      <c r="D9" t="s">
        <v>11</v>
      </c>
    </row>
    <row r="10" spans="1:4">
      <c r="A10" s="2" t="s">
        <v>12</v>
      </c>
      <c r="B10" s="3"/>
      <c r="C10" s="3"/>
      <c r="D10" s="3"/>
    </row>
    <row r="11" spans="1:4">
      <c r="A11" t="s">
        <v>13</v>
      </c>
      <c r="B11">
        <v>2024</v>
      </c>
      <c r="C11" s="4">
        <f>[1]Inputs!C12</f>
        <v>88.7</v>
      </c>
      <c r="D11" t="s">
        <v>14</v>
      </c>
    </row>
    <row r="12" spans="1:4">
      <c r="A12" t="s">
        <v>13</v>
      </c>
      <c r="B12">
        <v>2050</v>
      </c>
      <c r="C12" s="4">
        <f>[1]Inputs!C13</f>
        <v>88.7</v>
      </c>
      <c r="D12" t="s">
        <v>14</v>
      </c>
    </row>
    <row r="13" spans="1:4">
      <c r="A13" t="s">
        <v>15</v>
      </c>
      <c r="C13" s="4">
        <f>[1]Inputs!C14</f>
        <v>43.2</v>
      </c>
      <c r="D13" t="s">
        <v>16</v>
      </c>
    </row>
    <row r="14" spans="1:4">
      <c r="A14" t="s">
        <v>15</v>
      </c>
      <c r="C14" s="4">
        <f>[1]Inputs!C15</f>
        <v>34.689600000000006</v>
      </c>
      <c r="D14" t="s">
        <v>17</v>
      </c>
    </row>
    <row r="15" spans="1:4">
      <c r="A15" t="s">
        <v>18</v>
      </c>
      <c r="C15" s="4">
        <f>[1]Inputs!C16</f>
        <v>0.80300000000000005</v>
      </c>
      <c r="D15" t="s">
        <v>19</v>
      </c>
    </row>
    <row r="16" spans="1:4">
      <c r="A16" t="s">
        <v>20</v>
      </c>
      <c r="B16">
        <v>2024</v>
      </c>
      <c r="C16" s="4">
        <f>[1]Inputs!C17</f>
        <v>0.8</v>
      </c>
      <c r="D16" t="s">
        <v>21</v>
      </c>
    </row>
    <row r="17" spans="1:4">
      <c r="A17" s="2" t="s">
        <v>22</v>
      </c>
      <c r="B17" s="3"/>
      <c r="C17" s="3"/>
      <c r="D17" s="3"/>
    </row>
    <row r="18" spans="1:4">
      <c r="A18" s="5" t="s">
        <v>20</v>
      </c>
      <c r="B18">
        <v>2050</v>
      </c>
      <c r="C18" s="4">
        <f>[1]Inputs!C19</f>
        <v>0.8</v>
      </c>
      <c r="D18" t="s">
        <v>21</v>
      </c>
    </row>
    <row r="19" spans="1:4">
      <c r="A19" s="6" t="s">
        <v>23</v>
      </c>
      <c r="B19" s="7"/>
      <c r="C19" s="7"/>
      <c r="D19" s="7"/>
    </row>
    <row r="20" spans="1:4">
      <c r="A20" t="s">
        <v>20</v>
      </c>
      <c r="B20">
        <v>2024</v>
      </c>
      <c r="C20" s="4">
        <f>[1]Inputs!C21</f>
        <v>0.32246153846153797</v>
      </c>
      <c r="D20" t="s">
        <v>21</v>
      </c>
    </row>
    <row r="21" spans="1:4">
      <c r="A21" t="s">
        <v>20</v>
      </c>
      <c r="B21">
        <v>2050</v>
      </c>
      <c r="C21" s="4">
        <f>[1]Inputs!C22</f>
        <v>0.20923076923076925</v>
      </c>
      <c r="D21" t="s">
        <v>21</v>
      </c>
    </row>
    <row r="22" spans="1:4">
      <c r="A22" s="6" t="s">
        <v>24</v>
      </c>
      <c r="B22" s="7"/>
      <c r="C22" s="7"/>
      <c r="D22" s="7"/>
    </row>
    <row r="23" spans="1:4">
      <c r="A23" t="s">
        <v>20</v>
      </c>
      <c r="B23">
        <v>2024</v>
      </c>
      <c r="C23" s="4">
        <f>[1]Inputs!C24</f>
        <v>1.0209014091790563</v>
      </c>
      <c r="D23" t="s">
        <v>21</v>
      </c>
    </row>
    <row r="24" spans="1:4">
      <c r="A24" t="s">
        <v>20</v>
      </c>
      <c r="B24">
        <v>2050</v>
      </c>
      <c r="C24" s="4">
        <f>[1]Inputs!C25</f>
        <v>2.0095593639301876</v>
      </c>
      <c r="D24" t="s">
        <v>21</v>
      </c>
    </row>
    <row r="25" spans="1:4">
      <c r="A25" s="6" t="s">
        <v>25</v>
      </c>
      <c r="B25" s="7"/>
      <c r="C25" s="7"/>
      <c r="D25" s="7"/>
    </row>
    <row r="26" spans="1:4">
      <c r="A26" t="s">
        <v>20</v>
      </c>
      <c r="B26">
        <v>2024</v>
      </c>
      <c r="C26" s="4">
        <f>[1]Inputs!C27</f>
        <v>0.4828683335488041</v>
      </c>
      <c r="D26" t="s">
        <v>21</v>
      </c>
    </row>
    <row r="27" spans="1:4">
      <c r="A27" t="s">
        <v>20</v>
      </c>
      <c r="B27">
        <v>2050</v>
      </c>
      <c r="C27" s="4">
        <f>[1]Inputs!C28</f>
        <v>0.89646574789915967</v>
      </c>
      <c r="D27" t="s">
        <v>21</v>
      </c>
    </row>
    <row r="28" spans="1:4">
      <c r="A28" s="6" t="s">
        <v>26</v>
      </c>
      <c r="B28" s="7"/>
      <c r="C28" s="7"/>
      <c r="D28" s="7"/>
    </row>
    <row r="29" spans="1:4">
      <c r="A29" t="s">
        <v>20</v>
      </c>
      <c r="B29">
        <v>2024</v>
      </c>
      <c r="C29" s="4">
        <f>[1]Inputs!C30</f>
        <v>1.8838712863606983</v>
      </c>
      <c r="D29" t="s">
        <v>21</v>
      </c>
    </row>
    <row r="30" spans="1:4">
      <c r="A30" t="s">
        <v>20</v>
      </c>
      <c r="B30">
        <v>2050</v>
      </c>
      <c r="C30" s="4">
        <f>[1]Inputs!C31</f>
        <v>3.7893730833872015</v>
      </c>
      <c r="D30" t="s">
        <v>21</v>
      </c>
    </row>
    <row r="31" spans="1:4">
      <c r="A31" s="2" t="s">
        <v>27</v>
      </c>
      <c r="B31" s="3"/>
      <c r="C31" s="3"/>
      <c r="D31" s="3"/>
    </row>
    <row r="32" spans="1:4">
      <c r="A32" t="s">
        <v>28</v>
      </c>
      <c r="B32">
        <v>2024</v>
      </c>
      <c r="C32" s="4">
        <f>[1]Inputs!C33</f>
        <v>1282</v>
      </c>
      <c r="D32" t="s">
        <v>29</v>
      </c>
    </row>
    <row r="33" spans="1:4">
      <c r="A33" t="s">
        <v>28</v>
      </c>
      <c r="B33">
        <v>2050</v>
      </c>
      <c r="C33" s="4">
        <f>[1]Inputs!C34</f>
        <v>480</v>
      </c>
      <c r="D3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1"/>
  <sheetViews>
    <sheetView workbookViewId="0">
      <selection sqref="A1:XFD1"/>
    </sheetView>
  </sheetViews>
  <sheetFormatPr defaultColWidth="11" defaultRowHeight="15.75"/>
  <cols>
    <col min="1" max="1" width="18.375" bestFit="1" customWidth="1"/>
  </cols>
  <sheetData>
    <row r="1" spans="1:6" s="2" customFormat="1">
      <c r="A1" s="2" t="s">
        <v>30</v>
      </c>
    </row>
    <row r="2" spans="1:6" s="1" customFormat="1">
      <c r="A2" t="s">
        <v>0</v>
      </c>
      <c r="B2" t="s">
        <v>1</v>
      </c>
      <c r="C2" t="s">
        <v>2</v>
      </c>
      <c r="D2" t="s">
        <v>31</v>
      </c>
      <c r="E2" t="s">
        <v>32</v>
      </c>
    </row>
    <row r="3" spans="1:6">
      <c r="A3" t="s">
        <v>33</v>
      </c>
      <c r="B3" t="s">
        <v>34</v>
      </c>
      <c r="C3">
        <v>25</v>
      </c>
    </row>
    <row r="4" spans="1:6">
      <c r="A4" t="s">
        <v>35</v>
      </c>
      <c r="B4" s="10">
        <v>2024</v>
      </c>
      <c r="C4" s="9">
        <v>6.5000000000000002E-2</v>
      </c>
    </row>
    <row r="5" spans="1:6">
      <c r="A5" t="s">
        <v>36</v>
      </c>
      <c r="B5" s="10">
        <v>2050</v>
      </c>
      <c r="C5" s="9">
        <v>6.5000000000000002E-2</v>
      </c>
    </row>
    <row r="6" spans="1:6">
      <c r="A6" t="s">
        <v>37</v>
      </c>
      <c r="B6" s="10">
        <v>2050</v>
      </c>
      <c r="C6" s="9">
        <v>0.05</v>
      </c>
    </row>
    <row r="7" spans="1:6">
      <c r="A7" t="s">
        <v>38</v>
      </c>
      <c r="B7" t="s">
        <v>34</v>
      </c>
      <c r="C7">
        <v>8000</v>
      </c>
    </row>
    <row r="8" spans="1:6">
      <c r="A8" t="s">
        <v>39</v>
      </c>
      <c r="B8">
        <v>2024</v>
      </c>
      <c r="C8">
        <v>2</v>
      </c>
    </row>
    <row r="9" spans="1:6">
      <c r="A9" t="s">
        <v>40</v>
      </c>
      <c r="B9">
        <v>2050</v>
      </c>
      <c r="C9">
        <v>2</v>
      </c>
    </row>
    <row r="10" spans="1:6">
      <c r="A10" t="s">
        <v>41</v>
      </c>
      <c r="B10">
        <v>2050</v>
      </c>
      <c r="C10">
        <v>1.5</v>
      </c>
    </row>
    <row r="11" spans="1:6">
      <c r="A11" t="s">
        <v>42</v>
      </c>
      <c r="B11" s="9" t="s">
        <v>34</v>
      </c>
      <c r="C11" s="9">
        <v>4.5999999999999999E-2</v>
      </c>
      <c r="D11" t="s">
        <v>43</v>
      </c>
      <c r="E11" t="s">
        <v>44</v>
      </c>
    </row>
    <row r="12" spans="1:6">
      <c r="A12" t="s">
        <v>7</v>
      </c>
      <c r="B12" s="10">
        <v>2024</v>
      </c>
      <c r="C12" s="9">
        <f>(C8*C11 + 1 *C4) / (1+C8)</f>
        <v>5.2333333333333336E-2</v>
      </c>
      <c r="D12" t="s">
        <v>45</v>
      </c>
    </row>
    <row r="13" spans="1:6">
      <c r="A13" t="s">
        <v>46</v>
      </c>
      <c r="B13" s="10">
        <v>2050</v>
      </c>
      <c r="C13" s="9">
        <f>(C9*C11 + 1 *C5) /(1+C9)</f>
        <v>5.2333333333333336E-2</v>
      </c>
      <c r="D13" t="s">
        <v>45</v>
      </c>
    </row>
    <row r="14" spans="1:6">
      <c r="A14" t="s">
        <v>47</v>
      </c>
      <c r="B14" s="10">
        <v>2050</v>
      </c>
      <c r="C14" s="9">
        <f>(C10*C11+C5) / (1+C10)</f>
        <v>5.3600000000000002E-2</v>
      </c>
      <c r="D14" t="s">
        <v>45</v>
      </c>
    </row>
    <row r="15" spans="1:6" s="2" customFormat="1">
      <c r="A15" s="2" t="s">
        <v>48</v>
      </c>
    </row>
    <row r="16" spans="1:6">
      <c r="A16" t="s">
        <v>0</v>
      </c>
      <c r="B16" t="s">
        <v>1</v>
      </c>
      <c r="C16" t="s">
        <v>2</v>
      </c>
      <c r="D16" t="s">
        <v>3</v>
      </c>
      <c r="E16" t="s">
        <v>31</v>
      </c>
      <c r="F16" t="s">
        <v>32</v>
      </c>
    </row>
    <row r="17" spans="1:6">
      <c r="A17" t="s">
        <v>49</v>
      </c>
      <c r="B17">
        <v>2024</v>
      </c>
      <c r="C17">
        <v>61.9</v>
      </c>
      <c r="D17" t="s">
        <v>50</v>
      </c>
      <c r="E17" t="s">
        <v>51</v>
      </c>
      <c r="F17" t="s">
        <v>44</v>
      </c>
    </row>
    <row r="18" spans="1:6">
      <c r="A18" t="s">
        <v>49</v>
      </c>
      <c r="B18">
        <v>2050</v>
      </c>
      <c r="C18">
        <v>116.9</v>
      </c>
      <c r="D18" t="s">
        <v>50</v>
      </c>
      <c r="E18" t="s">
        <v>51</v>
      </c>
      <c r="F18" t="s">
        <v>44</v>
      </c>
    </row>
    <row r="19" spans="1:6">
      <c r="A19" t="s">
        <v>52</v>
      </c>
      <c r="B19" t="s">
        <v>34</v>
      </c>
      <c r="C19">
        <v>24.3</v>
      </c>
      <c r="D19" t="s">
        <v>50</v>
      </c>
      <c r="E19" t="s">
        <v>53</v>
      </c>
    </row>
    <row r="20" spans="1:6">
      <c r="A20" t="s">
        <v>52</v>
      </c>
      <c r="B20" t="s">
        <v>34</v>
      </c>
      <c r="C20">
        <f>C19*10^6 / C28</f>
        <v>31354838.709677417</v>
      </c>
      <c r="D20" t="s">
        <v>54</v>
      </c>
    </row>
    <row r="22" spans="1:6">
      <c r="A22" t="s">
        <v>55</v>
      </c>
      <c r="B22">
        <v>2024</v>
      </c>
      <c r="C22">
        <v>176679</v>
      </c>
      <c r="D22" t="s">
        <v>56</v>
      </c>
      <c r="E22" t="s">
        <v>57</v>
      </c>
    </row>
    <row r="23" spans="1:6">
      <c r="A23" t="s">
        <v>55</v>
      </c>
      <c r="B23">
        <v>2050</v>
      </c>
      <c r="C23">
        <v>55</v>
      </c>
      <c r="D23" t="s">
        <v>56</v>
      </c>
      <c r="E23" t="s">
        <v>57</v>
      </c>
    </row>
    <row r="25" spans="1:6" s="3" customFormat="1">
      <c r="A25" s="2" t="s">
        <v>58</v>
      </c>
    </row>
    <row r="26" spans="1:6">
      <c r="A26" t="s">
        <v>0</v>
      </c>
      <c r="B26" t="s">
        <v>1</v>
      </c>
      <c r="C26" t="s">
        <v>2</v>
      </c>
      <c r="D26" t="s">
        <v>3</v>
      </c>
      <c r="E26" t="s">
        <v>31</v>
      </c>
      <c r="F26" t="s">
        <v>32</v>
      </c>
    </row>
    <row r="27" spans="1:6">
      <c r="A27" t="s">
        <v>59</v>
      </c>
      <c r="C27">
        <v>43.2</v>
      </c>
      <c r="D27" t="s">
        <v>16</v>
      </c>
      <c r="E27" t="s">
        <v>60</v>
      </c>
      <c r="F27" t="s">
        <v>61</v>
      </c>
    </row>
    <row r="28" spans="1:6">
      <c r="A28" t="s">
        <v>62</v>
      </c>
      <c r="C28">
        <v>0.77500000000000002</v>
      </c>
      <c r="D28" t="s">
        <v>19</v>
      </c>
      <c r="E28" t="s">
        <v>60</v>
      </c>
    </row>
    <row r="29" spans="1:6">
      <c r="A29" t="s">
        <v>13</v>
      </c>
      <c r="B29">
        <v>2024</v>
      </c>
      <c r="C29">
        <v>13.5</v>
      </c>
      <c r="D29" t="s">
        <v>63</v>
      </c>
      <c r="E29" t="s">
        <v>64</v>
      </c>
    </row>
    <row r="30" spans="1:6">
      <c r="A30" t="s">
        <v>13</v>
      </c>
      <c r="B30">
        <v>2050</v>
      </c>
      <c r="C30">
        <v>9.6999999999999993</v>
      </c>
      <c r="D30" t="s">
        <v>63</v>
      </c>
      <c r="E30" t="s">
        <v>64</v>
      </c>
    </row>
    <row r="31" spans="1:6" s="2" customFormat="1">
      <c r="A31" s="2" t="s">
        <v>65</v>
      </c>
    </row>
    <row r="32" spans="1:6">
      <c r="A32" t="s">
        <v>0</v>
      </c>
      <c r="B32" t="s">
        <v>1</v>
      </c>
      <c r="C32" t="s">
        <v>2</v>
      </c>
      <c r="D32" t="s">
        <v>3</v>
      </c>
      <c r="E32" t="s">
        <v>31</v>
      </c>
      <c r="F32" t="s">
        <v>32</v>
      </c>
    </row>
    <row r="33" spans="1:6">
      <c r="A33" t="s">
        <v>66</v>
      </c>
      <c r="B33" t="s">
        <v>34</v>
      </c>
      <c r="C33">
        <v>1</v>
      </c>
      <c r="D33" t="s">
        <v>67</v>
      </c>
      <c r="E33" t="s">
        <v>68</v>
      </c>
    </row>
    <row r="35" spans="1:6" s="2" customFormat="1">
      <c r="A35" s="2" t="s">
        <v>69</v>
      </c>
    </row>
    <row r="36" spans="1:6">
      <c r="A36" t="s">
        <v>0</v>
      </c>
      <c r="B36" t="s">
        <v>1</v>
      </c>
      <c r="C36" t="s">
        <v>2</v>
      </c>
      <c r="D36" t="s">
        <v>3</v>
      </c>
      <c r="E36" t="s">
        <v>31</v>
      </c>
      <c r="F36" t="s">
        <v>32</v>
      </c>
    </row>
    <row r="37" spans="1:6">
      <c r="A37" t="s">
        <v>70</v>
      </c>
      <c r="B37" t="s">
        <v>34</v>
      </c>
      <c r="C37">
        <v>50</v>
      </c>
      <c r="D37" t="s">
        <v>71</v>
      </c>
      <c r="E37" t="s">
        <v>64</v>
      </c>
    </row>
    <row r="38" spans="1:6">
      <c r="A38" t="s">
        <v>72</v>
      </c>
      <c r="B38">
        <v>2024</v>
      </c>
      <c r="C38">
        <v>730</v>
      </c>
      <c r="D38" t="s">
        <v>73</v>
      </c>
      <c r="E38" t="s">
        <v>64</v>
      </c>
    </row>
    <row r="39" spans="1:6">
      <c r="A39" t="s">
        <v>72</v>
      </c>
      <c r="B39">
        <v>2050</v>
      </c>
      <c r="C39">
        <v>237</v>
      </c>
      <c r="D39" t="s">
        <v>73</v>
      </c>
      <c r="E39" t="s">
        <v>64</v>
      </c>
    </row>
    <row r="40" spans="1:6">
      <c r="A40" t="s">
        <v>74</v>
      </c>
      <c r="B40">
        <v>2024</v>
      </c>
      <c r="C40" s="25">
        <f>(C19* 10 * 1.2 * 21761)  * (1+0.15) / 10^6</f>
        <v>7.2973337399999991</v>
      </c>
      <c r="D40" t="s">
        <v>75</v>
      </c>
      <c r="E40" t="s">
        <v>76</v>
      </c>
    </row>
    <row r="41" spans="1:6">
      <c r="B41">
        <v>2050</v>
      </c>
      <c r="C41" s="25">
        <f>(C19* 10 * 1.2 * 21761 * 1.02 ^ 25)  * (1+0.15) / 10^6</f>
        <v>11.972049477453723</v>
      </c>
      <c r="D41" t="s">
        <v>75</v>
      </c>
      <c r="E41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38"/>
  <sheetViews>
    <sheetView topLeftCell="A2" zoomScaleNormal="100" workbookViewId="0">
      <selection activeCell="B30" sqref="B30"/>
    </sheetView>
  </sheetViews>
  <sheetFormatPr defaultColWidth="11" defaultRowHeight="15.75"/>
  <cols>
    <col min="1" max="1" width="20" bestFit="1" customWidth="1"/>
    <col min="2" max="2" width="14.5" bestFit="1" customWidth="1"/>
    <col min="5" max="5" width="12.5" customWidth="1"/>
  </cols>
  <sheetData>
    <row r="1" spans="1:17">
      <c r="A1" s="32" t="s">
        <v>77</v>
      </c>
      <c r="B1" s="33"/>
      <c r="C1" s="33"/>
      <c r="D1" s="33"/>
      <c r="E1" s="34"/>
      <c r="G1" s="32" t="s">
        <v>78</v>
      </c>
      <c r="H1" s="33"/>
      <c r="I1" s="33"/>
      <c r="J1" s="33"/>
      <c r="K1" s="34"/>
      <c r="M1" s="32" t="s">
        <v>79</v>
      </c>
      <c r="N1" s="33"/>
      <c r="O1" s="33"/>
      <c r="P1" s="33"/>
      <c r="Q1" s="34"/>
    </row>
    <row r="2" spans="1:17">
      <c r="A2" s="38" t="s">
        <v>80</v>
      </c>
      <c r="B2" s="33"/>
      <c r="C2" s="33"/>
      <c r="D2" s="33"/>
      <c r="E2" s="34"/>
      <c r="G2" s="38" t="s">
        <v>80</v>
      </c>
      <c r="H2" s="33"/>
      <c r="I2" s="33"/>
      <c r="J2" s="33"/>
      <c r="K2" s="34"/>
      <c r="M2" s="38" t="s">
        <v>80</v>
      </c>
      <c r="N2" s="33"/>
      <c r="O2" s="33"/>
      <c r="P2" s="33"/>
      <c r="Q2" s="34"/>
    </row>
    <row r="3" spans="1:17">
      <c r="A3" s="12" t="s">
        <v>81</v>
      </c>
      <c r="B3" s="12" t="s">
        <v>2</v>
      </c>
      <c r="C3" s="12" t="s">
        <v>3</v>
      </c>
      <c r="D3" s="12" t="s">
        <v>31</v>
      </c>
      <c r="E3" s="12" t="s">
        <v>82</v>
      </c>
      <c r="G3" s="12" t="s">
        <v>81</v>
      </c>
      <c r="H3" s="12" t="s">
        <v>2</v>
      </c>
      <c r="I3" s="12" t="s">
        <v>3</v>
      </c>
      <c r="J3" s="12" t="s">
        <v>31</v>
      </c>
      <c r="K3" s="12" t="s">
        <v>82</v>
      </c>
      <c r="M3" s="12" t="s">
        <v>81</v>
      </c>
      <c r="N3" s="12" t="s">
        <v>2</v>
      </c>
      <c r="O3" s="12" t="s">
        <v>3</v>
      </c>
      <c r="P3" s="12" t="s">
        <v>31</v>
      </c>
      <c r="Q3" s="12" t="s">
        <v>82</v>
      </c>
    </row>
    <row r="4" spans="1:17">
      <c r="A4" s="12" t="s">
        <v>83</v>
      </c>
      <c r="B4" s="12">
        <v>120</v>
      </c>
      <c r="C4" s="12" t="s">
        <v>84</v>
      </c>
      <c r="D4" s="12" t="s">
        <v>85</v>
      </c>
      <c r="E4" s="12"/>
      <c r="G4" s="12" t="s">
        <v>83</v>
      </c>
      <c r="H4" s="12">
        <v>100</v>
      </c>
      <c r="I4" s="12" t="s">
        <v>84</v>
      </c>
      <c r="J4" s="12" t="s">
        <v>85</v>
      </c>
      <c r="K4" s="12"/>
      <c r="M4" s="12" t="s">
        <v>83</v>
      </c>
      <c r="N4" s="12">
        <v>100</v>
      </c>
      <c r="O4" s="12" t="s">
        <v>84</v>
      </c>
      <c r="P4" s="12" t="s">
        <v>85</v>
      </c>
      <c r="Q4" s="12"/>
    </row>
    <row r="5" spans="1:17">
      <c r="A5" s="12" t="s">
        <v>86</v>
      </c>
      <c r="B5" s="12">
        <v>50</v>
      </c>
      <c r="C5" s="12" t="s">
        <v>84</v>
      </c>
      <c r="D5" s="12" t="s">
        <v>85</v>
      </c>
      <c r="E5" s="12"/>
      <c r="G5" s="12" t="s">
        <v>86</v>
      </c>
      <c r="H5" s="12">
        <v>40</v>
      </c>
      <c r="I5" s="12" t="s">
        <v>84</v>
      </c>
      <c r="J5" s="12" t="s">
        <v>85</v>
      </c>
      <c r="K5" s="12"/>
      <c r="M5" s="12" t="s">
        <v>86</v>
      </c>
      <c r="N5" s="12">
        <v>40</v>
      </c>
      <c r="O5" s="12" t="s">
        <v>84</v>
      </c>
      <c r="P5" s="12" t="s">
        <v>85</v>
      </c>
      <c r="Q5" s="12"/>
    </row>
    <row r="6" spans="1:17">
      <c r="A6" s="12" t="s">
        <v>87</v>
      </c>
      <c r="B6" s="12">
        <v>14.4</v>
      </c>
      <c r="C6" s="12" t="s">
        <v>88</v>
      </c>
      <c r="D6" s="12" t="s">
        <v>85</v>
      </c>
      <c r="E6" s="12"/>
      <c r="G6" s="12" t="s">
        <v>87</v>
      </c>
      <c r="H6" s="12">
        <v>14.4</v>
      </c>
      <c r="I6" s="12" t="s">
        <v>88</v>
      </c>
      <c r="J6" s="12" t="s">
        <v>85</v>
      </c>
      <c r="K6" s="12"/>
      <c r="M6" s="12" t="s">
        <v>87</v>
      </c>
      <c r="N6" s="12">
        <v>11.2</v>
      </c>
      <c r="O6" s="12" t="s">
        <v>88</v>
      </c>
      <c r="P6" s="12" t="s">
        <v>85</v>
      </c>
      <c r="Q6" s="12"/>
    </row>
    <row r="7" spans="1:17">
      <c r="A7" s="12" t="s">
        <v>89</v>
      </c>
      <c r="B7" s="12">
        <v>9</v>
      </c>
      <c r="C7" s="12" t="s">
        <v>88</v>
      </c>
      <c r="D7" s="12" t="s">
        <v>85</v>
      </c>
      <c r="E7" s="12" t="s">
        <v>90</v>
      </c>
      <c r="G7" s="12" t="s">
        <v>89</v>
      </c>
      <c r="H7" s="12">
        <v>2.7</v>
      </c>
      <c r="I7" s="12" t="s">
        <v>88</v>
      </c>
      <c r="J7" s="12" t="s">
        <v>85</v>
      </c>
      <c r="K7" s="12" t="s">
        <v>90</v>
      </c>
      <c r="M7" s="12" t="s">
        <v>89</v>
      </c>
      <c r="N7" s="12">
        <v>2.7</v>
      </c>
      <c r="O7" s="12" t="s">
        <v>88</v>
      </c>
      <c r="P7" s="12" t="s">
        <v>85</v>
      </c>
      <c r="Q7" s="12" t="s">
        <v>90</v>
      </c>
    </row>
    <row r="8" spans="1:17">
      <c r="A8" s="12" t="s">
        <v>91</v>
      </c>
      <c r="B8" s="12">
        <v>0.76</v>
      </c>
      <c r="C8" s="12" t="s">
        <v>88</v>
      </c>
      <c r="D8" s="12" t="s">
        <v>85</v>
      </c>
      <c r="E8" s="12"/>
      <c r="G8" s="12" t="s">
        <v>92</v>
      </c>
      <c r="H8" s="12">
        <v>0.44</v>
      </c>
      <c r="I8" s="12" t="s">
        <v>88</v>
      </c>
      <c r="J8" s="12" t="s">
        <v>85</v>
      </c>
      <c r="K8" s="12"/>
      <c r="M8" s="12" t="s">
        <v>92</v>
      </c>
      <c r="N8" s="12">
        <v>0.44</v>
      </c>
      <c r="O8" s="12" t="s">
        <v>88</v>
      </c>
      <c r="P8" s="12" t="s">
        <v>85</v>
      </c>
      <c r="Q8" s="12"/>
    </row>
    <row r="9" spans="1:17">
      <c r="A9" s="12" t="s">
        <v>93</v>
      </c>
      <c r="B9" s="12">
        <v>0.46</v>
      </c>
      <c r="C9" s="12" t="s">
        <v>88</v>
      </c>
      <c r="D9" s="12" t="s">
        <v>85</v>
      </c>
      <c r="E9" s="12"/>
      <c r="G9" s="12" t="s">
        <v>93</v>
      </c>
      <c r="H9" s="12">
        <v>0.36</v>
      </c>
      <c r="I9" s="12" t="s">
        <v>88</v>
      </c>
      <c r="J9" s="12" t="s">
        <v>85</v>
      </c>
      <c r="K9" s="12"/>
      <c r="M9" s="12" t="s">
        <v>93</v>
      </c>
      <c r="N9" s="12">
        <v>0.36</v>
      </c>
      <c r="O9" s="12" t="s">
        <v>88</v>
      </c>
      <c r="P9" s="12" t="s">
        <v>85</v>
      </c>
      <c r="Q9" s="12"/>
    </row>
    <row r="10" spans="1:17">
      <c r="A10" s="12" t="s">
        <v>94</v>
      </c>
      <c r="B10" s="12">
        <v>1.85</v>
      </c>
      <c r="C10" s="12" t="s">
        <v>88</v>
      </c>
      <c r="D10" s="12" t="s">
        <v>85</v>
      </c>
      <c r="E10" s="12"/>
      <c r="G10" s="12" t="s">
        <v>94</v>
      </c>
      <c r="H10" s="12">
        <v>1.22</v>
      </c>
      <c r="I10" s="12" t="s">
        <v>88</v>
      </c>
      <c r="J10" s="12" t="s">
        <v>85</v>
      </c>
      <c r="K10" s="12"/>
      <c r="M10" s="12" t="s">
        <v>94</v>
      </c>
      <c r="N10" s="12">
        <v>1.22</v>
      </c>
      <c r="O10" s="12" t="s">
        <v>88</v>
      </c>
      <c r="P10" s="12" t="s">
        <v>85</v>
      </c>
      <c r="Q10" s="12"/>
    </row>
    <row r="11" spans="1:17">
      <c r="A11" s="12" t="s">
        <v>95</v>
      </c>
      <c r="B11" s="12">
        <v>16.899999999999999</v>
      </c>
      <c r="C11" s="12" t="s">
        <v>88</v>
      </c>
      <c r="D11" s="12" t="s">
        <v>85</v>
      </c>
      <c r="E11" s="12"/>
      <c r="G11" s="12" t="s">
        <v>95</v>
      </c>
      <c r="H11" s="12">
        <v>16.899999999999999</v>
      </c>
      <c r="I11" s="12" t="s">
        <v>88</v>
      </c>
      <c r="J11" s="12" t="s">
        <v>85</v>
      </c>
      <c r="K11" s="12"/>
      <c r="M11" s="12" t="s">
        <v>95</v>
      </c>
      <c r="N11" s="12">
        <v>12.2</v>
      </c>
      <c r="O11" s="12" t="s">
        <v>88</v>
      </c>
      <c r="P11" s="12" t="s">
        <v>85</v>
      </c>
      <c r="Q11" s="12"/>
    </row>
    <row r="12" spans="1:17">
      <c r="A12" s="12" t="s">
        <v>96</v>
      </c>
      <c r="B12" s="12">
        <v>114.5</v>
      </c>
      <c r="C12" s="12" t="s">
        <v>88</v>
      </c>
      <c r="D12" s="12" t="s">
        <v>85</v>
      </c>
      <c r="E12" s="12"/>
      <c r="G12" s="12" t="s">
        <v>96</v>
      </c>
      <c r="H12" s="12">
        <v>114.5</v>
      </c>
      <c r="I12" s="12" t="s">
        <v>88</v>
      </c>
      <c r="J12" s="12" t="s">
        <v>85</v>
      </c>
      <c r="K12" s="12"/>
      <c r="M12" s="12" t="s">
        <v>96</v>
      </c>
      <c r="N12" s="12">
        <v>55.4</v>
      </c>
      <c r="O12" s="12" t="s">
        <v>88</v>
      </c>
      <c r="P12" s="12" t="s">
        <v>85</v>
      </c>
      <c r="Q12" s="12"/>
    </row>
    <row r="13" spans="1:17">
      <c r="A13" s="12" t="s">
        <v>97</v>
      </c>
      <c r="B13" s="12">
        <v>34.799999999999997</v>
      </c>
      <c r="C13" s="12" t="s">
        <v>88</v>
      </c>
      <c r="D13" s="12" t="s">
        <v>85</v>
      </c>
      <c r="E13" s="12"/>
      <c r="G13" s="12" t="s">
        <v>97</v>
      </c>
      <c r="H13" s="12">
        <v>34.799999999999997</v>
      </c>
      <c r="I13" s="12" t="s">
        <v>88</v>
      </c>
      <c r="J13" s="12" t="s">
        <v>85</v>
      </c>
      <c r="K13" s="12"/>
      <c r="M13" s="12" t="s">
        <v>97</v>
      </c>
      <c r="N13" s="12">
        <v>34.799999999999997</v>
      </c>
      <c r="O13" s="12" t="s">
        <v>88</v>
      </c>
      <c r="P13" s="12" t="s">
        <v>85</v>
      </c>
      <c r="Q13" s="12"/>
    </row>
    <row r="14" spans="1:17" s="1" customFormat="1">
      <c r="A14" s="13" t="s">
        <v>98</v>
      </c>
      <c r="B14" s="13">
        <f>SUM(B4:B13)</f>
        <v>362.67</v>
      </c>
      <c r="C14" s="13" t="s">
        <v>88</v>
      </c>
      <c r="D14" s="13"/>
      <c r="E14" s="13"/>
      <c r="G14" s="13" t="s">
        <v>98</v>
      </c>
      <c r="H14" s="13">
        <f>SUM(H4:H13)</f>
        <v>325.32</v>
      </c>
      <c r="I14" s="13" t="s">
        <v>88</v>
      </c>
      <c r="J14" s="13"/>
      <c r="K14" s="13"/>
      <c r="M14" s="13" t="s">
        <v>98</v>
      </c>
      <c r="N14" s="13">
        <f>SUM(N4:N13)</f>
        <v>258.32</v>
      </c>
      <c r="O14" s="13" t="s">
        <v>88</v>
      </c>
      <c r="P14" s="13"/>
      <c r="Q14" s="13"/>
    </row>
    <row r="16" spans="1:17" ht="15" customHeight="1">
      <c r="A16" s="35" t="s">
        <v>99</v>
      </c>
      <c r="B16" s="36"/>
      <c r="C16" s="36"/>
      <c r="D16" s="36"/>
      <c r="E16" s="37"/>
      <c r="G16" s="35" t="s">
        <v>99</v>
      </c>
      <c r="H16" s="36"/>
      <c r="I16" s="36"/>
      <c r="J16" s="36"/>
      <c r="K16" s="37"/>
      <c r="M16" s="35" t="s">
        <v>99</v>
      </c>
      <c r="N16" s="36"/>
      <c r="O16" s="36"/>
      <c r="P16" s="36"/>
      <c r="Q16" s="37"/>
    </row>
    <row r="17" spans="1:17" ht="15" customHeight="1">
      <c r="A17" s="12" t="s">
        <v>81</v>
      </c>
      <c r="B17" s="12" t="s">
        <v>2</v>
      </c>
      <c r="C17" s="12" t="s">
        <v>3</v>
      </c>
      <c r="D17" s="12" t="s">
        <v>31</v>
      </c>
      <c r="E17" s="12" t="s">
        <v>82</v>
      </c>
      <c r="G17" s="12" t="s">
        <v>81</v>
      </c>
      <c r="H17" s="12" t="s">
        <v>2</v>
      </c>
      <c r="I17" s="12" t="s">
        <v>3</v>
      </c>
      <c r="J17" s="12" t="s">
        <v>31</v>
      </c>
      <c r="K17" s="12" t="s">
        <v>82</v>
      </c>
      <c r="M17" s="12" t="s">
        <v>81</v>
      </c>
      <c r="N17" s="12" t="s">
        <v>2</v>
      </c>
      <c r="O17" s="12" t="s">
        <v>3</v>
      </c>
      <c r="P17" s="12" t="s">
        <v>31</v>
      </c>
      <c r="Q17" s="12" t="s">
        <v>82</v>
      </c>
    </row>
    <row r="18" spans="1:17" ht="15" customHeight="1">
      <c r="A18" s="12" t="s">
        <v>100</v>
      </c>
      <c r="B18" s="27">
        <f>'Study Parameters'!C40</f>
        <v>7.2973337399999991</v>
      </c>
      <c r="C18" s="12" t="s">
        <v>75</v>
      </c>
      <c r="D18" s="12" t="s">
        <v>76</v>
      </c>
      <c r="E18" s="12"/>
      <c r="G18" s="12" t="s">
        <v>100</v>
      </c>
      <c r="H18" s="27">
        <f>'Study Parameters'!C41</f>
        <v>11.972049477453723</v>
      </c>
      <c r="I18" s="12" t="s">
        <v>75</v>
      </c>
      <c r="J18" s="12" t="s">
        <v>76</v>
      </c>
      <c r="K18" s="12"/>
      <c r="M18" s="12" t="s">
        <v>100</v>
      </c>
      <c r="N18" s="27">
        <f>'Study Parameters'!C41</f>
        <v>11.972049477453723</v>
      </c>
      <c r="O18" s="12"/>
      <c r="P18" s="12"/>
      <c r="Q18" s="12"/>
    </row>
    <row r="19" spans="1:17" ht="15" customHeight="1">
      <c r="A19" s="12" t="s">
        <v>101</v>
      </c>
      <c r="B19" s="27">
        <f>0.35 * B18</f>
        <v>2.5540668089999996</v>
      </c>
      <c r="C19" s="12" t="s">
        <v>75</v>
      </c>
      <c r="D19" s="12" t="s">
        <v>102</v>
      </c>
      <c r="E19" s="12"/>
      <c r="G19" s="12" t="s">
        <v>101</v>
      </c>
      <c r="H19" s="12">
        <f>0.35*H18</f>
        <v>4.1902173171088029</v>
      </c>
      <c r="I19" s="12" t="s">
        <v>75</v>
      </c>
      <c r="J19" s="12" t="s">
        <v>102</v>
      </c>
      <c r="K19" s="12"/>
      <c r="M19" s="12" t="s">
        <v>101</v>
      </c>
      <c r="N19" s="12">
        <f>0.35*N18</f>
        <v>4.1902173171088029</v>
      </c>
      <c r="O19" s="12"/>
      <c r="P19" s="12"/>
      <c r="Q19" s="12"/>
    </row>
    <row r="20" spans="1:17">
      <c r="A20" s="12" t="s">
        <v>103</v>
      </c>
      <c r="B20" s="12">
        <f>0.025 * B14</f>
        <v>9.0667500000000008</v>
      </c>
      <c r="C20" s="12" t="s">
        <v>75</v>
      </c>
      <c r="D20" s="12" t="s">
        <v>102</v>
      </c>
      <c r="E20" s="12"/>
      <c r="G20" s="12" t="s">
        <v>103</v>
      </c>
      <c r="H20" s="12">
        <f>0.01 * H14</f>
        <v>3.2532000000000001</v>
      </c>
      <c r="I20" s="12" t="s">
        <v>75</v>
      </c>
      <c r="J20" s="12" t="s">
        <v>102</v>
      </c>
      <c r="K20" s="12"/>
      <c r="M20" s="12" t="s">
        <v>103</v>
      </c>
      <c r="N20" s="12">
        <f>0.01 * N14</f>
        <v>2.5832000000000002</v>
      </c>
      <c r="O20" s="12" t="s">
        <v>75</v>
      </c>
      <c r="P20" s="12" t="s">
        <v>102</v>
      </c>
      <c r="Q20" s="12"/>
    </row>
    <row r="21" spans="1:17">
      <c r="A21" s="12" t="s">
        <v>104</v>
      </c>
      <c r="B21" s="12">
        <f>0.01 * B14</f>
        <v>3.6267</v>
      </c>
      <c r="C21" s="12" t="s">
        <v>75</v>
      </c>
      <c r="D21" s="12" t="s">
        <v>102</v>
      </c>
      <c r="E21" s="12"/>
      <c r="G21" s="12" t="s">
        <v>104</v>
      </c>
      <c r="H21" s="12">
        <f>0.01 * H14</f>
        <v>3.2532000000000001</v>
      </c>
      <c r="I21" s="12" t="s">
        <v>75</v>
      </c>
      <c r="J21" s="12" t="s">
        <v>102</v>
      </c>
      <c r="K21" s="12"/>
      <c r="M21" s="12" t="s">
        <v>104</v>
      </c>
      <c r="N21" s="12">
        <f>0.01 * N14</f>
        <v>2.5832000000000002</v>
      </c>
      <c r="O21" s="12" t="s">
        <v>75</v>
      </c>
      <c r="P21" s="12" t="s">
        <v>102</v>
      </c>
      <c r="Q21" s="12"/>
    </row>
    <row r="22" spans="1:17">
      <c r="A22" s="12" t="s">
        <v>105</v>
      </c>
      <c r="B22" s="12">
        <f>0.01*B14</f>
        <v>3.6267</v>
      </c>
      <c r="C22" s="12" t="s">
        <v>75</v>
      </c>
      <c r="D22" s="12" t="s">
        <v>102</v>
      </c>
      <c r="E22" s="12"/>
      <c r="G22" s="12" t="s">
        <v>105</v>
      </c>
      <c r="H22" s="12">
        <f>0.01 * H14</f>
        <v>3.2532000000000001</v>
      </c>
      <c r="I22" s="12" t="s">
        <v>75</v>
      </c>
      <c r="J22" s="12" t="s">
        <v>102</v>
      </c>
      <c r="K22" s="12"/>
      <c r="M22" s="12" t="s">
        <v>105</v>
      </c>
      <c r="N22" s="12">
        <f>0.01 * N14</f>
        <v>2.5832000000000002</v>
      </c>
      <c r="O22" s="12" t="s">
        <v>75</v>
      </c>
      <c r="P22" s="12" t="s">
        <v>102</v>
      </c>
      <c r="Q22" s="12"/>
    </row>
    <row r="23" spans="1:17">
      <c r="D23" s="12" t="s">
        <v>102</v>
      </c>
      <c r="E23" s="12"/>
      <c r="H23" s="12"/>
      <c r="I23" s="12" t="s">
        <v>75</v>
      </c>
      <c r="J23" s="12" t="s">
        <v>102</v>
      </c>
      <c r="K23" s="12"/>
      <c r="N23" s="12"/>
      <c r="O23" s="12" t="s">
        <v>75</v>
      </c>
      <c r="P23" s="12" t="s">
        <v>102</v>
      </c>
      <c r="Q23" s="12"/>
    </row>
    <row r="24" spans="1:17">
      <c r="C24" s="12"/>
      <c r="D24" s="12" t="s">
        <v>102</v>
      </c>
      <c r="E24" s="12"/>
      <c r="H24" s="12"/>
      <c r="I24" s="12" t="s">
        <v>75</v>
      </c>
      <c r="J24" s="12" t="s">
        <v>102</v>
      </c>
      <c r="K24" s="12"/>
      <c r="N24" s="12"/>
      <c r="O24" s="12" t="s">
        <v>75</v>
      </c>
      <c r="P24" s="12" t="s">
        <v>102</v>
      </c>
      <c r="Q24" s="12"/>
    </row>
    <row r="25" spans="1:17">
      <c r="A25" s="12" t="s">
        <v>106</v>
      </c>
      <c r="B25" s="12">
        <f>0.2*B18</f>
        <v>1.4594667479999999</v>
      </c>
      <c r="C25" s="12" t="s">
        <v>75</v>
      </c>
      <c r="D25" s="12" t="s">
        <v>102</v>
      </c>
      <c r="E25" s="12"/>
      <c r="G25" s="12" t="s">
        <v>106</v>
      </c>
      <c r="H25" s="12">
        <f>0.02 * H18</f>
        <v>0.23944098954907447</v>
      </c>
      <c r="I25" s="12" t="s">
        <v>75</v>
      </c>
      <c r="J25" s="12" t="s">
        <v>102</v>
      </c>
      <c r="K25" s="12"/>
      <c r="M25" s="12" t="s">
        <v>106</v>
      </c>
      <c r="N25" s="12">
        <f>0.02 * N18</f>
        <v>0.23944098954907447</v>
      </c>
      <c r="O25" s="12" t="s">
        <v>75</v>
      </c>
      <c r="P25" s="12" t="s">
        <v>102</v>
      </c>
      <c r="Q25" s="12"/>
    </row>
    <row r="26" spans="1:17">
      <c r="A26" s="12" t="s">
        <v>107</v>
      </c>
      <c r="B26" s="12">
        <f>0.15*B18</f>
        <v>1.0946000609999997</v>
      </c>
      <c r="C26" s="12" t="s">
        <v>75</v>
      </c>
      <c r="D26" s="12" t="s">
        <v>102</v>
      </c>
      <c r="E26" s="12"/>
      <c r="G26" s="12" t="s">
        <v>107</v>
      </c>
      <c r="H26" s="12">
        <f>0.15 *H18</f>
        <v>1.7958074216180584</v>
      </c>
      <c r="I26" s="12" t="s">
        <v>75</v>
      </c>
      <c r="J26" s="12" t="s">
        <v>102</v>
      </c>
      <c r="K26" s="12"/>
      <c r="M26" s="12" t="s">
        <v>107</v>
      </c>
      <c r="N26" s="12">
        <f>0.15 *N18</f>
        <v>1.7958074216180584</v>
      </c>
      <c r="O26" s="12" t="s">
        <v>75</v>
      </c>
      <c r="P26" s="12" t="s">
        <v>102</v>
      </c>
      <c r="Q26" s="12"/>
    </row>
    <row r="27" spans="1:17">
      <c r="A27" s="12" t="s">
        <v>108</v>
      </c>
      <c r="B27" s="12">
        <f>0.065 * SUM(B18:B26)</f>
        <v>1.8671651282700001</v>
      </c>
      <c r="C27" s="12" t="s">
        <v>75</v>
      </c>
      <c r="D27" s="12"/>
      <c r="E27" s="12"/>
      <c r="G27" s="12" t="s">
        <v>108</v>
      </c>
      <c r="H27" s="12">
        <f>0.065 * SUM(H18:H26)</f>
        <v>1.8172124883724279</v>
      </c>
      <c r="I27" s="12"/>
      <c r="J27" s="12"/>
      <c r="K27" s="12"/>
      <c r="M27" s="12" t="s">
        <v>108</v>
      </c>
      <c r="N27" s="12">
        <f>0.065 * SUM(N18:N26)</f>
        <v>1.6865624883724282</v>
      </c>
      <c r="O27" s="12"/>
      <c r="P27" s="12"/>
      <c r="Q27" s="12"/>
    </row>
    <row r="28" spans="1:17">
      <c r="A28" s="12" t="s">
        <v>109</v>
      </c>
      <c r="B28" s="12">
        <f>('Study Parameters'!C38*'Study Parameters'!C17* 1000) / 10^6</f>
        <v>45.186999999999998</v>
      </c>
      <c r="C28" s="12" t="s">
        <v>75</v>
      </c>
      <c r="D28" s="12" t="s">
        <v>85</v>
      </c>
      <c r="E28" s="12"/>
      <c r="G28" s="12" t="s">
        <v>109</v>
      </c>
      <c r="H28" s="12">
        <f>('Study Parameters'!$C$39*'Study Parameters'!$C$18 * 10^3) / 10^6</f>
        <v>27.705300000000005</v>
      </c>
      <c r="I28" s="12" t="s">
        <v>75</v>
      </c>
      <c r="J28" s="12" t="s">
        <v>85</v>
      </c>
      <c r="K28" s="12"/>
      <c r="M28" s="12" t="s">
        <v>109</v>
      </c>
      <c r="N28" s="12">
        <f>('Study Parameters'!$C$39*'Study Parameters'!$C$18 * 10^3) / 10^6</f>
        <v>27.705300000000005</v>
      </c>
      <c r="O28" s="12" t="s">
        <v>75</v>
      </c>
      <c r="P28" s="12" t="s">
        <v>85</v>
      </c>
      <c r="Q28" s="12"/>
    </row>
    <row r="29" spans="1:17">
      <c r="A29" s="12" t="s">
        <v>110</v>
      </c>
      <c r="B29" s="12">
        <f>('Study Parameters'!C22* 'Study Parameters'!C37) * Inputs!C6 / 10^6</f>
        <v>7.9505549999999996</v>
      </c>
      <c r="C29" s="12" t="s">
        <v>75</v>
      </c>
      <c r="D29" s="12" t="s">
        <v>102</v>
      </c>
      <c r="E29" s="12"/>
      <c r="G29" s="12" t="s">
        <v>110</v>
      </c>
      <c r="H29" s="12">
        <f>('Study Parameters'!$C$23*'Study Parameters'!$C$37) * Inputs!$C$6 / 10^6</f>
        <v>2.4750000000000002E-3</v>
      </c>
      <c r="I29" s="12" t="s">
        <v>75</v>
      </c>
      <c r="J29" s="12" t="s">
        <v>102</v>
      </c>
      <c r="K29" s="12"/>
      <c r="M29" s="12" t="s">
        <v>110</v>
      </c>
      <c r="N29" s="12">
        <f>('Study Parameters'!$C$23*'Study Parameters'!$C$37) * Inputs!$C$6 / 10^6</f>
        <v>2.4750000000000002E-3</v>
      </c>
      <c r="O29" s="12" t="s">
        <v>75</v>
      </c>
      <c r="P29" s="12" t="s">
        <v>102</v>
      </c>
      <c r="Q29" s="12"/>
    </row>
    <row r="30" spans="1:17">
      <c r="A30" s="13" t="s">
        <v>111</v>
      </c>
      <c r="B30" s="13">
        <f>SUM(B20:B28)-B29</f>
        <v>57.977826937270002</v>
      </c>
      <c r="C30" s="13" t="s">
        <v>75</v>
      </c>
      <c r="D30" s="12"/>
      <c r="E30" s="12"/>
      <c r="G30" s="13" t="s">
        <v>112</v>
      </c>
      <c r="H30" s="13">
        <f>SUM(H20:H28)</f>
        <v>41.317360899539565</v>
      </c>
      <c r="I30" s="13" t="s">
        <v>75</v>
      </c>
      <c r="J30" s="12"/>
      <c r="K30" s="12"/>
      <c r="M30" s="13" t="s">
        <v>112</v>
      </c>
      <c r="N30" s="13">
        <f>SUM(N20:N28)</f>
        <v>39.176710899539572</v>
      </c>
      <c r="O30" s="13" t="s">
        <v>75</v>
      </c>
      <c r="P30" s="12"/>
      <c r="Q30" s="12"/>
    </row>
    <row r="32" spans="1:17">
      <c r="A32" s="30" t="s">
        <v>113</v>
      </c>
      <c r="B32" s="31"/>
      <c r="C32" s="31"/>
      <c r="D32" s="31"/>
      <c r="E32" s="31"/>
      <c r="G32" s="30" t="s">
        <v>114</v>
      </c>
      <c r="H32" s="31"/>
      <c r="I32" s="31"/>
      <c r="J32" s="31"/>
      <c r="K32" s="31"/>
      <c r="M32" s="30" t="s">
        <v>115</v>
      </c>
      <c r="N32" s="31"/>
      <c r="O32" s="31"/>
      <c r="P32" s="31"/>
      <c r="Q32" s="31"/>
    </row>
    <row r="33" spans="1:17">
      <c r="A33" s="12" t="s">
        <v>81</v>
      </c>
      <c r="B33" s="12" t="s">
        <v>2</v>
      </c>
      <c r="C33" s="12" t="s">
        <v>3</v>
      </c>
      <c r="D33" s="12" t="s">
        <v>31</v>
      </c>
      <c r="E33" s="12" t="s">
        <v>82</v>
      </c>
      <c r="G33" s="12" t="s">
        <v>81</v>
      </c>
      <c r="H33" s="12" t="s">
        <v>2</v>
      </c>
      <c r="I33" s="12" t="s">
        <v>3</v>
      </c>
      <c r="J33" s="12" t="s">
        <v>31</v>
      </c>
      <c r="K33" s="12" t="s">
        <v>82</v>
      </c>
      <c r="M33" s="12" t="s">
        <v>81</v>
      </c>
      <c r="N33" s="12" t="s">
        <v>2</v>
      </c>
      <c r="O33" s="12" t="s">
        <v>3</v>
      </c>
      <c r="P33" s="12" t="s">
        <v>31</v>
      </c>
      <c r="Q33" s="12" t="s">
        <v>82</v>
      </c>
    </row>
    <row r="34" spans="1:17">
      <c r="A34" s="12" t="s">
        <v>110</v>
      </c>
      <c r="B34" s="12">
        <f>(Inputs!C8*'Study Parameters'!C22) / 10^6</f>
        <v>11.307456</v>
      </c>
      <c r="C34" s="12" t="s">
        <v>75</v>
      </c>
      <c r="D34" s="12"/>
      <c r="E34" s="12"/>
      <c r="G34" s="12" t="s">
        <v>110</v>
      </c>
      <c r="H34" s="12">
        <f>(Inputs!$C$9*'Study Parameters'!$C$23*Inputs!$C$6) / 10^6</f>
        <v>5.4449999999999995E-4</v>
      </c>
      <c r="I34" s="12" t="s">
        <v>75</v>
      </c>
      <c r="J34" s="12"/>
      <c r="K34" s="12"/>
      <c r="M34" s="12" t="s">
        <v>110</v>
      </c>
      <c r="N34" s="12">
        <f>(Inputs!$C$9*'Study Parameters'!$C$23*Inputs!$C$6) / 10^6</f>
        <v>5.4449999999999995E-4</v>
      </c>
      <c r="O34" s="12" t="s">
        <v>75</v>
      </c>
      <c r="P34" s="12"/>
      <c r="Q34" s="12"/>
    </row>
    <row r="35" spans="1:17">
      <c r="A35" s="14" t="s">
        <v>116</v>
      </c>
      <c r="B35" s="14">
        <f>B30+B29-B34</f>
        <v>54.620925937270002</v>
      </c>
      <c r="C35" s="14" t="s">
        <v>75</v>
      </c>
      <c r="D35" s="12"/>
      <c r="E35" s="12"/>
      <c r="G35" s="14" t="s">
        <v>116</v>
      </c>
      <c r="H35" s="14">
        <f>H30+H29-H34</f>
        <v>41.319291399539566</v>
      </c>
      <c r="I35" s="14" t="s">
        <v>75</v>
      </c>
      <c r="J35" s="12"/>
      <c r="K35" s="12"/>
      <c r="M35" s="14" t="s">
        <v>116</v>
      </c>
      <c r="N35" s="14">
        <f>N30+N29-N34</f>
        <v>39.178641399539572</v>
      </c>
      <c r="O35" s="14" t="s">
        <v>75</v>
      </c>
      <c r="P35" s="12"/>
      <c r="Q35" s="12"/>
    </row>
    <row r="36" spans="1:17">
      <c r="A36" s="12" t="s">
        <v>109</v>
      </c>
      <c r="B36" s="15">
        <f>(Inputs!C32*'Study Parameters'!C17* 1000) / 10^6</f>
        <v>79.355800000000002</v>
      </c>
      <c r="C36" s="12" t="s">
        <v>75</v>
      </c>
      <c r="D36" s="12"/>
      <c r="E36" s="12"/>
      <c r="G36" s="12" t="s">
        <v>109</v>
      </c>
      <c r="H36" s="15">
        <f>(Inputs!$C$33 * 'Study Parameters'!$C$18 * 1000) / 10 ^ 6</f>
        <v>56.112000000000002</v>
      </c>
      <c r="I36" s="12" t="s">
        <v>75</v>
      </c>
      <c r="J36" s="12"/>
      <c r="K36" s="12"/>
      <c r="M36" s="12" t="s">
        <v>109</v>
      </c>
      <c r="N36" s="15">
        <f>(Inputs!$C$33 * 'Study Parameters'!$C$18 * 1000) / 10 ^ 6</f>
        <v>56.112000000000002</v>
      </c>
      <c r="O36" s="12" t="s">
        <v>75</v>
      </c>
      <c r="P36" s="12"/>
      <c r="Q36" s="12"/>
    </row>
    <row r="37" spans="1:17">
      <c r="A37" s="17" t="s">
        <v>117</v>
      </c>
      <c r="B37" s="18">
        <f>B35-B28+B36</f>
        <v>88.789725937270006</v>
      </c>
      <c r="C37" s="17" t="s">
        <v>75</v>
      </c>
      <c r="D37" s="12"/>
      <c r="E37" s="12"/>
      <c r="G37" s="17" t="s">
        <v>117</v>
      </c>
      <c r="H37" s="18">
        <f>H35-H28+H36</f>
        <v>69.725991399539566</v>
      </c>
      <c r="I37" s="17" t="s">
        <v>75</v>
      </c>
      <c r="J37" s="12"/>
      <c r="K37" s="12"/>
      <c r="M37" s="17" t="s">
        <v>117</v>
      </c>
      <c r="N37" s="18">
        <f>N35-N28+N36</f>
        <v>67.585341399539573</v>
      </c>
      <c r="O37" s="17" t="s">
        <v>75</v>
      </c>
      <c r="P37" s="12"/>
      <c r="Q37" s="12"/>
    </row>
    <row r="38" spans="1:17">
      <c r="A38" s="12" t="s">
        <v>7</v>
      </c>
      <c r="B38" s="16">
        <f>Inputs!C5</f>
        <v>7.0000000000000007E-2</v>
      </c>
      <c r="C38" s="12"/>
      <c r="D38" s="12"/>
      <c r="E38" s="12"/>
      <c r="G38" s="12" t="s">
        <v>7</v>
      </c>
      <c r="H38" s="16">
        <f>Inputs!$C$5</f>
        <v>7.0000000000000007E-2</v>
      </c>
      <c r="I38" s="12"/>
      <c r="J38" s="12"/>
      <c r="K38" s="12"/>
      <c r="M38" s="12" t="s">
        <v>7</v>
      </c>
      <c r="N38" s="16">
        <f>Inputs!$C$5</f>
        <v>7.0000000000000007E-2</v>
      </c>
      <c r="O38" s="12"/>
      <c r="P38" s="12"/>
      <c r="Q38" s="12"/>
    </row>
  </sheetData>
  <mergeCells count="12">
    <mergeCell ref="G32:K32"/>
    <mergeCell ref="M32:Q32"/>
    <mergeCell ref="G1:K1"/>
    <mergeCell ref="A1:E1"/>
    <mergeCell ref="A32:E32"/>
    <mergeCell ref="M1:Q1"/>
    <mergeCell ref="M16:Q16"/>
    <mergeCell ref="M2:Q2"/>
    <mergeCell ref="A16:E16"/>
    <mergeCell ref="A2:E2"/>
    <mergeCell ref="G16:K16"/>
    <mergeCell ref="G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A27"/>
  <sheetViews>
    <sheetView zoomScale="99" workbookViewId="0">
      <selection activeCell="B9" sqref="B9"/>
    </sheetView>
  </sheetViews>
  <sheetFormatPr defaultColWidth="11" defaultRowHeight="15.75"/>
  <cols>
    <col min="1" max="1" width="26.875" bestFit="1" customWidth="1"/>
    <col min="2" max="2" width="17.125" bestFit="1" customWidth="1"/>
    <col min="3" max="27" width="15.5" bestFit="1" customWidth="1"/>
  </cols>
  <sheetData>
    <row r="1" spans="1:27">
      <c r="A1" t="s">
        <v>118</v>
      </c>
    </row>
    <row r="2" spans="1:27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>
      <c r="A3" t="s">
        <v>119</v>
      </c>
      <c r="B3" s="23">
        <f>'Cost Components'!B14 * 10^6</f>
        <v>362670000</v>
      </c>
      <c r="C3" s="23">
        <f>'Cost Components'!$B$30*10^6</f>
        <v>57977826.937270001</v>
      </c>
      <c r="D3" s="23">
        <f>'Cost Components'!$B$30*10^6</f>
        <v>57977826.937270001</v>
      </c>
      <c r="E3" s="23">
        <f>'Cost Components'!$B$30*10^6</f>
        <v>57977826.937270001</v>
      </c>
      <c r="F3" s="23">
        <f>'Cost Components'!$B$30*10^6</f>
        <v>57977826.937270001</v>
      </c>
      <c r="G3" s="23">
        <f>'Cost Components'!$B$30*10^6</f>
        <v>57977826.937270001</v>
      </c>
      <c r="H3" s="23">
        <f>'Cost Components'!$B$30*10^6</f>
        <v>57977826.937270001</v>
      </c>
      <c r="I3" s="23">
        <f>'Cost Components'!$B$30*10^6</f>
        <v>57977826.937270001</v>
      </c>
      <c r="J3" s="23">
        <f>'Cost Components'!$B$30*10^6</f>
        <v>57977826.937270001</v>
      </c>
      <c r="K3" s="23">
        <f>'Cost Components'!$B$30*10^6</f>
        <v>57977826.937270001</v>
      </c>
      <c r="L3" s="23">
        <f>'Cost Components'!$B$30*10^6</f>
        <v>57977826.937270001</v>
      </c>
      <c r="M3" s="23">
        <f>'Cost Components'!$B$30*10^6</f>
        <v>57977826.937270001</v>
      </c>
      <c r="N3" s="23">
        <f>'Cost Components'!$B$30*10^6</f>
        <v>57977826.937270001</v>
      </c>
      <c r="O3" s="23">
        <f>'Cost Components'!$B$30*10^6</f>
        <v>57977826.937270001</v>
      </c>
      <c r="P3" s="23">
        <f>'Cost Components'!$B$30*10^6</f>
        <v>57977826.937270001</v>
      </c>
      <c r="Q3" s="23">
        <f>'Cost Components'!$B$30*10^6</f>
        <v>57977826.937270001</v>
      </c>
      <c r="R3" s="23">
        <f>'Cost Components'!$B$30*10^6</f>
        <v>57977826.937270001</v>
      </c>
      <c r="S3" s="23">
        <f>'Cost Components'!$B$30*10^6</f>
        <v>57977826.937270001</v>
      </c>
      <c r="T3" s="23">
        <f>'Cost Components'!$B$30*10^6</f>
        <v>57977826.937270001</v>
      </c>
      <c r="U3" s="23">
        <f>'Cost Components'!$B$30*10^6</f>
        <v>57977826.937270001</v>
      </c>
      <c r="V3" s="23">
        <f>'Cost Components'!$B$30*10^6</f>
        <v>57977826.937270001</v>
      </c>
      <c r="W3" s="23">
        <f>'Cost Components'!$B$30*10^6</f>
        <v>57977826.937270001</v>
      </c>
      <c r="X3" s="23">
        <f>'Cost Components'!$B$30*10^6</f>
        <v>57977826.937270001</v>
      </c>
      <c r="Y3" s="23">
        <f>'Cost Components'!$B$30*10^6</f>
        <v>57977826.937270001</v>
      </c>
      <c r="Z3" s="23">
        <f>'Cost Components'!$B$30*10^6</f>
        <v>57977826.937270001</v>
      </c>
      <c r="AA3" s="23">
        <f>'Cost Components'!$B$30*10^6</f>
        <v>57977826.937270001</v>
      </c>
    </row>
    <row r="4" spans="1:27">
      <c r="A4" t="s">
        <v>120</v>
      </c>
      <c r="B4" s="24">
        <f>B3 / (1+'Study Parameters'!$C$12) ^'MFSP Baseline'!B2</f>
        <v>362670000</v>
      </c>
      <c r="C4" s="24">
        <f>C3 / (1+'Study Parameters'!$C$12) ^'MFSP Baseline'!C2</f>
        <v>55094545.711691476</v>
      </c>
      <c r="D4" s="24">
        <f>D3 / (1+'Study Parameters'!$C$12) ^'MFSP Baseline'!D2</f>
        <v>52354652.244242772</v>
      </c>
      <c r="E4" s="24">
        <f>E3 / (1+'Study Parameters'!$C$12) ^'MFSP Baseline'!E2</f>
        <v>49751015.7531607</v>
      </c>
      <c r="F4" s="24">
        <f>F3 / (1+'Study Parameters'!$C$12) ^'MFSP Baseline'!F2</f>
        <v>47276860.075857483</v>
      </c>
      <c r="G4" s="24">
        <f>G3 / (1+'Study Parameters'!$C$12) ^'MFSP Baseline'!G2</f>
        <v>44925746.033440746</v>
      </c>
      <c r="H4" s="24">
        <f>H3 / (1+'Study Parameters'!$C$12) ^'MFSP Baseline'!H2</f>
        <v>42691554.672259182</v>
      </c>
      <c r="I4" s="24">
        <f>I3 / (1+'Study Parameters'!$C$12) ^'MFSP Baseline'!I2</f>
        <v>40568471.338858902</v>
      </c>
      <c r="J4" s="24">
        <f>J3 / (1+'Study Parameters'!$C$12) ^'MFSP Baseline'!J2</f>
        <v>38550970.546904244</v>
      </c>
      <c r="K4" s="24">
        <f>K3 / (1+'Study Parameters'!$C$12) ^'MFSP Baseline'!K2</f>
        <v>36633801.596678086</v>
      </c>
      <c r="L4" s="24">
        <f>L3 / (1+'Study Parameters'!$C$12) ^'MFSP Baseline'!L2</f>
        <v>34811974.90973527</v>
      </c>
      <c r="M4" s="24">
        <f>M3 / (1+'Study Parameters'!$C$12) ^'MFSP Baseline'!M2</f>
        <v>33080749.043144066</v>
      </c>
      <c r="N4" s="24">
        <f>N3 / (1+'Study Parameters'!$C$12) ^'MFSP Baseline'!N2</f>
        <v>31435618.349519223</v>
      </c>
      <c r="O4" s="24">
        <f>O3 / (1+'Study Parameters'!$C$12) ^'MFSP Baseline'!O2</f>
        <v>29872301.250730969</v>
      </c>
      <c r="P4" s="24">
        <f>P3 / (1+'Study Parameters'!$C$12) ^'MFSP Baseline'!P2</f>
        <v>28386729.09477127</v>
      </c>
      <c r="Q4" s="24">
        <f>Q3 / (1+'Study Parameters'!$C$12) ^'MFSP Baseline'!Q2</f>
        <v>26975035.56677663</v>
      </c>
      <c r="R4" s="24">
        <f>R3 / (1+'Study Parameters'!$C$12) ^'MFSP Baseline'!R2</f>
        <v>25633546.626648679</v>
      </c>
      <c r="S4" s="24">
        <f>S3 / (1+'Study Parameters'!$C$12) ^'MFSP Baseline'!S2</f>
        <v>24358770.947084583</v>
      </c>
      <c r="T4" s="24">
        <f>T3 / (1+'Study Parameters'!$C$12) ^'MFSP Baseline'!T2</f>
        <v>23147390.827131372</v>
      </c>
      <c r="U4" s="24">
        <f>U3 / (1+'Study Parameters'!$C$12) ^'MFSP Baseline'!U2</f>
        <v>21996253.55761613</v>
      </c>
      <c r="V4" s="24">
        <f>V3 / (1+'Study Parameters'!$C$12) ^'MFSP Baseline'!V2</f>
        <v>20902363.215979848</v>
      </c>
      <c r="W4" s="24">
        <f>W3 / (1+'Study Parameters'!$C$12) ^'MFSP Baseline'!W2</f>
        <v>19862872.869160451</v>
      </c>
      <c r="X4" s="24">
        <f>X3 / (1+'Study Parameters'!$C$12) ^'MFSP Baseline'!X2</f>
        <v>18875077.164232295</v>
      </c>
      <c r="Y4" s="24">
        <f>Y3 / (1+'Study Parameters'!$C$12) ^'MFSP Baseline'!Y2</f>
        <v>17936405.287518814</v>
      </c>
      <c r="Z4" s="24">
        <f>Z3 / (1+'Study Parameters'!$C$12) ^'MFSP Baseline'!Z2</f>
        <v>17044414.273853794</v>
      </c>
      <c r="AA4" s="24">
        <f>AA3 / (1+'Study Parameters'!$C$12) ^'MFSP Baseline'!AA2</f>
        <v>16196782.648578202</v>
      </c>
    </row>
    <row r="5" spans="1:27">
      <c r="A5" t="s">
        <v>121</v>
      </c>
      <c r="B5">
        <v>0</v>
      </c>
      <c r="C5">
        <f>'Study Parameters'!$C$20</f>
        <v>31354838.709677417</v>
      </c>
      <c r="D5">
        <f>'Study Parameters'!$C$20</f>
        <v>31354838.709677417</v>
      </c>
      <c r="E5">
        <f>'Study Parameters'!$C$20</f>
        <v>31354838.709677417</v>
      </c>
      <c r="F5">
        <f>'Study Parameters'!$C$20</f>
        <v>31354838.709677417</v>
      </c>
      <c r="G5">
        <f>'Study Parameters'!$C$20</f>
        <v>31354838.709677417</v>
      </c>
      <c r="H5">
        <f>'Study Parameters'!$C$20</f>
        <v>31354838.709677417</v>
      </c>
      <c r="I5">
        <f>'Study Parameters'!$C$20</f>
        <v>31354838.709677417</v>
      </c>
      <c r="J5">
        <f>'Study Parameters'!$C$20</f>
        <v>31354838.709677417</v>
      </c>
      <c r="K5">
        <f>'Study Parameters'!$C$20</f>
        <v>31354838.709677417</v>
      </c>
      <c r="L5">
        <f>'Study Parameters'!$C$20</f>
        <v>31354838.709677417</v>
      </c>
      <c r="M5">
        <f>'Study Parameters'!$C$20</f>
        <v>31354838.709677417</v>
      </c>
      <c r="N5">
        <f>'Study Parameters'!$C$20</f>
        <v>31354838.709677417</v>
      </c>
      <c r="O5">
        <f>'Study Parameters'!$C$20</f>
        <v>31354838.709677417</v>
      </c>
      <c r="P5">
        <f>'Study Parameters'!$C$20</f>
        <v>31354838.709677417</v>
      </c>
      <c r="Q5">
        <f>'Study Parameters'!$C$20</f>
        <v>31354838.709677417</v>
      </c>
      <c r="R5">
        <f>'Study Parameters'!$C$20</f>
        <v>31354838.709677417</v>
      </c>
      <c r="S5">
        <f>'Study Parameters'!$C$20</f>
        <v>31354838.709677417</v>
      </c>
      <c r="T5">
        <f>'Study Parameters'!$C$20</f>
        <v>31354838.709677417</v>
      </c>
      <c r="U5">
        <f>'Study Parameters'!$C$20</f>
        <v>31354838.709677417</v>
      </c>
      <c r="V5">
        <f>'Study Parameters'!$C$20</f>
        <v>31354838.709677417</v>
      </c>
      <c r="W5">
        <f>'Study Parameters'!$C$20</f>
        <v>31354838.709677417</v>
      </c>
      <c r="X5">
        <f>'Study Parameters'!$C$20</f>
        <v>31354838.709677417</v>
      </c>
      <c r="Y5">
        <f>'Study Parameters'!$C$20</f>
        <v>31354838.709677417</v>
      </c>
      <c r="Z5">
        <f>'Study Parameters'!$C$20</f>
        <v>31354838.709677417</v>
      </c>
      <c r="AA5">
        <f>'Study Parameters'!$C$20</f>
        <v>31354838.709677417</v>
      </c>
    </row>
    <row r="6" spans="1:27">
      <c r="A6" t="s">
        <v>122</v>
      </c>
      <c r="B6">
        <f>B5 / (1+'Study Parameters'!$C$12) ^ 'MFSP Baseline'!B2</f>
        <v>0</v>
      </c>
      <c r="C6">
        <f>C5 / (1+'Study Parameters'!$C$12) ^ 'MFSP Baseline'!C2</f>
        <v>29795538.843532547</v>
      </c>
      <c r="D6">
        <f>D5 / (1+'Study Parameters'!$C$12) ^ 'MFSP Baseline'!D2</f>
        <v>28313784.140195638</v>
      </c>
      <c r="E6">
        <f>E5 / (1+'Study Parameters'!$C$12) ^ 'MFSP Baseline'!E2</f>
        <v>26905718.220014863</v>
      </c>
      <c r="F6">
        <f>F5 / (1+'Study Parameters'!$C$12) ^ 'MFSP Baseline'!F2</f>
        <v>25567676.48401792</v>
      </c>
      <c r="G6">
        <f>G5 / (1+'Study Parameters'!$C$12) ^ 'MFSP Baseline'!G2</f>
        <v>24296176.576513704</v>
      </c>
      <c r="H6">
        <f>H5 / (1+'Study Parameters'!$C$12) ^ 'MFSP Baseline'!H2</f>
        <v>23087909.321995918</v>
      </c>
      <c r="I6">
        <f>I5 / (1+'Study Parameters'!$C$12) ^ 'MFSP Baseline'!I2</f>
        <v>21939730.112761404</v>
      </c>
      <c r="J6">
        <f>J5 / (1+'Study Parameters'!$C$12) ^ 'MFSP Baseline'!J2</f>
        <v>20848650.724828698</v>
      </c>
      <c r="K6">
        <f>K5 / (1+'Study Parameters'!$C$12) ^ 'MFSP Baseline'!K2</f>
        <v>19811831.540857174</v>
      </c>
      <c r="L6">
        <f>L5 / (1+'Study Parameters'!$C$12) ^ 'MFSP Baseline'!L2</f>
        <v>18826574.159826264</v>
      </c>
      <c r="M6">
        <f>M5 / (1+'Study Parameters'!$C$12) ^ 'MFSP Baseline'!M2</f>
        <v>17890314.374240987</v>
      </c>
      <c r="N6">
        <f>N5 / (1+'Study Parameters'!$C$12) ^ 'MFSP Baseline'!N2</f>
        <v>17000615.4965863</v>
      </c>
      <c r="O6">
        <f>O5 / (1+'Study Parameters'!$C$12) ^ 'MFSP Baseline'!O2</f>
        <v>16155162.017661991</v>
      </c>
      <c r="P6">
        <f>P5 / (1+'Study Parameters'!$C$12) ^ 'MFSP Baseline'!P2</f>
        <v>15351753.580293307</v>
      </c>
      <c r="Q6">
        <f>Q5 / (1+'Study Parameters'!$C$12) ^ 'MFSP Baseline'!Q2</f>
        <v>14588299.252733583</v>
      </c>
      <c r="R6">
        <f>R5 / (1+'Study Parameters'!$C$12) ^ 'MFSP Baseline'!R2</f>
        <v>13862812.086854843</v>
      </c>
      <c r="S6">
        <f>S5 / (1+'Study Parameters'!$C$12) ^ 'MFSP Baseline'!S2</f>
        <v>13173403.946963741</v>
      </c>
      <c r="T6">
        <f>T5 / (1+'Study Parameters'!$C$12) ^ 'MFSP Baseline'!T2</f>
        <v>12518280.595784359</v>
      </c>
      <c r="U6">
        <f>U5 / (1+'Study Parameters'!$C$12) ^ 'MFSP Baseline'!U2</f>
        <v>11895737.02481884</v>
      </c>
      <c r="V6">
        <f>V5 / (1+'Study Parameters'!$C$12) ^ 'MFSP Baseline'!V2</f>
        <v>11304153.016932694</v>
      </c>
      <c r="W6">
        <f>W5 / (1+'Study Parameters'!$C$12) ^ 'MFSP Baseline'!W2</f>
        <v>10741988.929616118</v>
      </c>
      <c r="X6">
        <f>X5 / (1+'Study Parameters'!$C$12) ^ 'MFSP Baseline'!X2</f>
        <v>10207781.687946895</v>
      </c>
      <c r="Y6">
        <f>Y5 / (1+'Study Parameters'!$C$12) ^ 'MFSP Baseline'!Y2</f>
        <v>9700140.9768263195</v>
      </c>
      <c r="Z6">
        <f>Z5 / (1+'Study Parameters'!$C$12) ^ 'MFSP Baseline'!Z2</f>
        <v>9217745.6225780658</v>
      </c>
      <c r="AA6">
        <f>AA5 / (1+'Study Parameters'!$C$12) ^ 'MFSP Baseline'!AA2</f>
        <v>8759340.154492937</v>
      </c>
    </row>
    <row r="8" spans="1:27">
      <c r="A8" t="s">
        <v>123</v>
      </c>
      <c r="B8" s="8">
        <f>SUM(B4:AA4) / SUM(B6:AA6)</f>
        <v>2.6890654410787684</v>
      </c>
    </row>
    <row r="10" spans="1:27">
      <c r="A10" t="s">
        <v>124</v>
      </c>
    </row>
    <row r="11" spans="1:27">
      <c r="A11" t="s">
        <v>1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</row>
    <row r="12" spans="1:27">
      <c r="A12" t="s">
        <v>119</v>
      </c>
      <c r="B12" s="23">
        <f>'Cost Components'!H14 * 10 ^ 6</f>
        <v>325320000</v>
      </c>
      <c r="C12" s="23">
        <f>'Cost Components'!$H$30 * 10 ^ 6</f>
        <v>41317360.899539568</v>
      </c>
      <c r="D12" s="23">
        <f>'Cost Components'!$H$30 * 10 ^ 6</f>
        <v>41317360.899539568</v>
      </c>
      <c r="E12" s="23">
        <f>'Cost Components'!$H$30 * 10 ^ 6</f>
        <v>41317360.899539568</v>
      </c>
      <c r="F12" s="23">
        <f>'Cost Components'!$H$30 * 10 ^ 6</f>
        <v>41317360.899539568</v>
      </c>
      <c r="G12" s="23">
        <f>'Cost Components'!$H$30 * 10 ^ 6</f>
        <v>41317360.899539568</v>
      </c>
      <c r="H12" s="23">
        <f>'Cost Components'!$H$30 * 10 ^ 6</f>
        <v>41317360.899539568</v>
      </c>
      <c r="I12" s="23">
        <f>'Cost Components'!$H$30 * 10 ^ 6</f>
        <v>41317360.899539568</v>
      </c>
      <c r="J12" s="23">
        <f>'Cost Components'!$H$30 * 10 ^ 6</f>
        <v>41317360.899539568</v>
      </c>
      <c r="K12" s="23">
        <f>'Cost Components'!$H$30 * 10 ^ 6</f>
        <v>41317360.899539568</v>
      </c>
      <c r="L12" s="23">
        <f>'Cost Components'!$H$30 * 10 ^ 6</f>
        <v>41317360.899539568</v>
      </c>
      <c r="M12" s="23">
        <f>'Cost Components'!$H$30 * 10 ^ 6</f>
        <v>41317360.899539568</v>
      </c>
      <c r="N12" s="23">
        <f>'Cost Components'!$H$30 * 10 ^ 6</f>
        <v>41317360.899539568</v>
      </c>
      <c r="O12" s="23">
        <f>'Cost Components'!$H$30 * 10 ^ 6</f>
        <v>41317360.899539568</v>
      </c>
      <c r="P12" s="23">
        <f>'Cost Components'!$H$30 * 10 ^ 6</f>
        <v>41317360.899539568</v>
      </c>
      <c r="Q12" s="23">
        <f>'Cost Components'!$H$30 * 10 ^ 6</f>
        <v>41317360.899539568</v>
      </c>
      <c r="R12" s="23">
        <f>'Cost Components'!$H$30 * 10 ^ 6</f>
        <v>41317360.899539568</v>
      </c>
      <c r="S12" s="23">
        <f>'Cost Components'!$H$30 * 10 ^ 6</f>
        <v>41317360.899539568</v>
      </c>
      <c r="T12" s="23">
        <f>'Cost Components'!$H$30 * 10 ^ 6</f>
        <v>41317360.899539568</v>
      </c>
      <c r="U12" s="23">
        <f>'Cost Components'!$H$30 * 10 ^ 6</f>
        <v>41317360.899539568</v>
      </c>
      <c r="V12" s="23">
        <f>'Cost Components'!$H$30 * 10 ^ 6</f>
        <v>41317360.899539568</v>
      </c>
      <c r="W12" s="23">
        <f>'Cost Components'!$H$30 * 10 ^ 6</f>
        <v>41317360.899539568</v>
      </c>
      <c r="X12" s="23">
        <f>'Cost Components'!$H$30 * 10 ^ 6</f>
        <v>41317360.899539568</v>
      </c>
      <c r="Y12" s="23">
        <f>'Cost Components'!$H$30 * 10 ^ 6</f>
        <v>41317360.899539568</v>
      </c>
      <c r="Z12" s="23">
        <f>'Cost Components'!$H$30 * 10 ^ 6</f>
        <v>41317360.899539568</v>
      </c>
      <c r="AA12" s="23">
        <f>'Cost Components'!$H$30 * 10 ^ 6</f>
        <v>41317360.899539568</v>
      </c>
    </row>
    <row r="13" spans="1:27">
      <c r="A13" t="s">
        <v>120</v>
      </c>
      <c r="B13" s="24">
        <f>B12 / (1+'Study Parameters'!$C$13) ^'MFSP Baseline'!B11</f>
        <v>325320000</v>
      </c>
      <c r="C13" s="24">
        <f>C12 / (1+'Study Parameters'!$C$13) ^'MFSP Baseline'!C11</f>
        <v>39262617.262787044</v>
      </c>
      <c r="D13" s="24">
        <f>D12 / (1+'Study Parameters'!$C$13) ^'MFSP Baseline'!D11</f>
        <v>37310057.582629435</v>
      </c>
      <c r="E13" s="24">
        <f>E12 / (1+'Study Parameters'!$C$13) ^'MFSP Baseline'!E11</f>
        <v>35454600.173547134</v>
      </c>
      <c r="F13" s="24">
        <f>F12 / (1+'Study Parameters'!$C$13) ^'MFSP Baseline'!F11</f>
        <v>33691416.066088498</v>
      </c>
      <c r="G13" s="24">
        <f>G12 / (1+'Study Parameters'!$C$13) ^'MFSP Baseline'!G11</f>
        <v>32015916.439108491</v>
      </c>
      <c r="H13" s="24">
        <f>H12 / (1+'Study Parameters'!$C$13) ^'MFSP Baseline'!H11</f>
        <v>30423740.677011549</v>
      </c>
      <c r="I13" s="24">
        <f>I12 / (1+'Study Parameters'!$C$13) ^'MFSP Baseline'!I11</f>
        <v>28910745.020916902</v>
      </c>
      <c r="J13" s="24">
        <f>J12 / (1+'Study Parameters'!$C$13) ^'MFSP Baseline'!J11</f>
        <v>27472991.784209911</v>
      </c>
      <c r="K13" s="24">
        <f>K12 / (1+'Study Parameters'!$C$13) ^'MFSP Baseline'!K11</f>
        <v>26106739.104412332</v>
      </c>
      <c r="L13" s="24">
        <f>L12 / (1+'Study Parameters'!$C$13) ^'MFSP Baseline'!L11</f>
        <v>24808431.20469971</v>
      </c>
      <c r="M13" s="24">
        <f>M12 / (1+'Study Parameters'!$C$13) ^'MFSP Baseline'!M11</f>
        <v>23574689.13972098</v>
      </c>
      <c r="N13" s="24">
        <f>N12 / (1+'Study Parameters'!$C$13) ^'MFSP Baseline'!N11</f>
        <v>22402302.001635391</v>
      </c>
      <c r="O13" s="24">
        <f>O12 / (1+'Study Parameters'!$C$13) ^'MFSP Baseline'!O11</f>
        <v>21288218.563479941</v>
      </c>
      <c r="P13" s="24">
        <f>P12 / (1+'Study Parameters'!$C$13) ^'MFSP Baseline'!P11</f>
        <v>20229539.338118412</v>
      </c>
      <c r="Q13" s="24">
        <f>Q12 / (1+'Study Parameters'!$C$13) ^'MFSP Baseline'!Q11</f>
        <v>19223509.032104921</v>
      </c>
      <c r="R13" s="24">
        <f>R12 / (1+'Study Parameters'!$C$13) ^'MFSP Baseline'!R11</f>
        <v>18267509.374822538</v>
      </c>
      <c r="S13" s="24">
        <f>S12 / (1+'Study Parameters'!$C$13) ^'MFSP Baseline'!S11</f>
        <v>17359052.304234277</v>
      </c>
      <c r="T13" s="24">
        <f>T12 / (1+'Study Parameters'!$C$13) ^'MFSP Baseline'!T11</f>
        <v>16495773.491511824</v>
      </c>
      <c r="U13" s="24">
        <f>U12 / (1+'Study Parameters'!$C$13) ^'MFSP Baseline'!U11</f>
        <v>15675426.187689412</v>
      </c>
      <c r="V13" s="24">
        <f>V12 / (1+'Study Parameters'!$C$13) ^'MFSP Baseline'!V11</f>
        <v>14895875.376328232</v>
      </c>
      <c r="W13" s="24">
        <f>W12 / (1+'Study Parameters'!$C$13) ^'MFSP Baseline'!W11</f>
        <v>14155092.216973297</v>
      </c>
      <c r="X13" s="24">
        <f>X12 / (1+'Study Parameters'!$C$13) ^'MFSP Baseline'!X11</f>
        <v>13451148.764941365</v>
      </c>
      <c r="Y13" s="24">
        <f>Y12 / (1+'Study Parameters'!$C$13) ^'MFSP Baseline'!Y11</f>
        <v>12782212.953697847</v>
      </c>
      <c r="Z13" s="24">
        <f>Z12 / (1+'Study Parameters'!$C$13) ^'MFSP Baseline'!Z11</f>
        <v>12146543.826763866</v>
      </c>
      <c r="AA13" s="24">
        <f>AA12 / (1+'Study Parameters'!$C$13) ^'MFSP Baseline'!AA11</f>
        <v>11542487.006744253</v>
      </c>
    </row>
    <row r="14" spans="1:27">
      <c r="A14" t="s">
        <v>121</v>
      </c>
      <c r="B14">
        <v>0</v>
      </c>
      <c r="C14">
        <f>'Study Parameters'!$C$20</f>
        <v>31354838.709677417</v>
      </c>
      <c r="D14">
        <f>'Study Parameters'!$C$20</f>
        <v>31354838.709677417</v>
      </c>
      <c r="E14">
        <f>'Study Parameters'!$C$20</f>
        <v>31354838.709677417</v>
      </c>
      <c r="F14">
        <f>'Study Parameters'!$C$20</f>
        <v>31354838.709677417</v>
      </c>
      <c r="G14">
        <f>'Study Parameters'!$C$20</f>
        <v>31354838.709677417</v>
      </c>
      <c r="H14">
        <f>'Study Parameters'!$C$20</f>
        <v>31354838.709677417</v>
      </c>
      <c r="I14">
        <f>'Study Parameters'!$C$20</f>
        <v>31354838.709677417</v>
      </c>
      <c r="J14">
        <f>'Study Parameters'!$C$20</f>
        <v>31354838.709677417</v>
      </c>
      <c r="K14">
        <f>'Study Parameters'!$C$20</f>
        <v>31354838.709677417</v>
      </c>
      <c r="L14">
        <f>'Study Parameters'!$C$20</f>
        <v>31354838.709677417</v>
      </c>
      <c r="M14">
        <f>'Study Parameters'!$C$20</f>
        <v>31354838.709677417</v>
      </c>
      <c r="N14">
        <f>'Study Parameters'!$C$20</f>
        <v>31354838.709677417</v>
      </c>
      <c r="O14">
        <f>'Study Parameters'!$C$20</f>
        <v>31354838.709677417</v>
      </c>
      <c r="P14">
        <f>'Study Parameters'!$C$20</f>
        <v>31354838.709677417</v>
      </c>
      <c r="Q14">
        <f>'Study Parameters'!$C$20</f>
        <v>31354838.709677417</v>
      </c>
      <c r="R14">
        <f>'Study Parameters'!$C$20</f>
        <v>31354838.709677417</v>
      </c>
      <c r="S14">
        <f>'Study Parameters'!$C$20</f>
        <v>31354838.709677417</v>
      </c>
      <c r="T14">
        <f>'Study Parameters'!$C$20</f>
        <v>31354838.709677417</v>
      </c>
      <c r="U14">
        <f>'Study Parameters'!$C$20</f>
        <v>31354838.709677417</v>
      </c>
      <c r="V14">
        <f>'Study Parameters'!$C$20</f>
        <v>31354838.709677417</v>
      </c>
      <c r="W14">
        <f>'Study Parameters'!$C$20</f>
        <v>31354838.709677417</v>
      </c>
      <c r="X14">
        <f>'Study Parameters'!$C$20</f>
        <v>31354838.709677417</v>
      </c>
      <c r="Y14">
        <f>'Study Parameters'!$C$20</f>
        <v>31354838.709677417</v>
      </c>
      <c r="Z14">
        <f>'Study Parameters'!$C$20</f>
        <v>31354838.709677417</v>
      </c>
      <c r="AA14">
        <f>'Study Parameters'!$C$20</f>
        <v>31354838.709677417</v>
      </c>
    </row>
    <row r="15" spans="1:27">
      <c r="A15" t="s">
        <v>122</v>
      </c>
      <c r="B15">
        <f>B14 / (1+'Study Parameters'!$C$12) ^ 'MFSP Baseline'!B11</f>
        <v>0</v>
      </c>
      <c r="C15">
        <f>C14 / (1+'Study Parameters'!$C$13) ^ 'MFSP Baseline'!C11</f>
        <v>29795538.843532547</v>
      </c>
      <c r="D15">
        <f>D14 / (1+'Study Parameters'!$C$13) ^ 'MFSP Baseline'!D11</f>
        <v>28313784.140195638</v>
      </c>
      <c r="E15">
        <f>E14 / (1+'Study Parameters'!$C$13) ^ 'MFSP Baseline'!E11</f>
        <v>26905718.220014863</v>
      </c>
      <c r="F15">
        <f>F14 / (1+'Study Parameters'!$C$13) ^ 'MFSP Baseline'!F11</f>
        <v>25567676.48401792</v>
      </c>
      <c r="G15">
        <f>G14 / (1+'Study Parameters'!$C$13) ^ 'MFSP Baseline'!G11</f>
        <v>24296176.576513704</v>
      </c>
      <c r="H15">
        <f>H14 / (1+'Study Parameters'!$C$13) ^ 'MFSP Baseline'!H11</f>
        <v>23087909.321995918</v>
      </c>
      <c r="I15">
        <f>I14 / (1+'Study Parameters'!$C$13) ^ 'MFSP Baseline'!I11</f>
        <v>21939730.112761404</v>
      </c>
      <c r="J15">
        <f>J14 / (1+'Study Parameters'!$C$13) ^ 'MFSP Baseline'!J11</f>
        <v>20848650.724828698</v>
      </c>
      <c r="K15">
        <f>K14 / (1+'Study Parameters'!$C$13) ^ 'MFSP Baseline'!K11</f>
        <v>19811831.540857174</v>
      </c>
      <c r="L15">
        <f>L14 / (1+'Study Parameters'!$C$13) ^ 'MFSP Baseline'!L11</f>
        <v>18826574.159826264</v>
      </c>
      <c r="M15">
        <f>M14 / (1+'Study Parameters'!$C$13) ^ 'MFSP Baseline'!M11</f>
        <v>17890314.374240987</v>
      </c>
      <c r="N15">
        <f>N14 / (1+'Study Parameters'!$C$13) ^ 'MFSP Baseline'!N11</f>
        <v>17000615.4965863</v>
      </c>
      <c r="O15">
        <f>O14 / (1+'Study Parameters'!$C$13) ^ 'MFSP Baseline'!O11</f>
        <v>16155162.017661991</v>
      </c>
      <c r="P15">
        <f>P14 / (1+'Study Parameters'!$C$13) ^ 'MFSP Baseline'!P11</f>
        <v>15351753.580293307</v>
      </c>
      <c r="Q15">
        <f>Q14 / (1+'Study Parameters'!$C$13) ^ 'MFSP Baseline'!Q11</f>
        <v>14588299.252733583</v>
      </c>
      <c r="R15">
        <f>R14 / (1+'Study Parameters'!$C$13) ^ 'MFSP Baseline'!R11</f>
        <v>13862812.086854843</v>
      </c>
      <c r="S15">
        <f>S14 / (1+'Study Parameters'!$C$13) ^ 'MFSP Baseline'!S11</f>
        <v>13173403.946963741</v>
      </c>
      <c r="T15">
        <f>T14 / (1+'Study Parameters'!$C$13) ^ 'MFSP Baseline'!T11</f>
        <v>12518280.595784359</v>
      </c>
      <c r="U15">
        <f>U14 / (1+'Study Parameters'!$C$13) ^ 'MFSP Baseline'!U11</f>
        <v>11895737.02481884</v>
      </c>
      <c r="V15">
        <f>V14 / (1+'Study Parameters'!$C$13) ^ 'MFSP Baseline'!V11</f>
        <v>11304153.016932694</v>
      </c>
      <c r="W15">
        <f>W14 / (1+'Study Parameters'!$C$13) ^ 'MFSP Baseline'!W11</f>
        <v>10741988.929616118</v>
      </c>
      <c r="X15">
        <f>X14 / (1+'Study Parameters'!$C$13) ^ 'MFSP Baseline'!X11</f>
        <v>10207781.687946895</v>
      </c>
      <c r="Y15">
        <f>Y14 / (1+'Study Parameters'!$C$13) ^ 'MFSP Baseline'!Y11</f>
        <v>9700140.9768263195</v>
      </c>
      <c r="Z15">
        <f>Z14 / (1+'Study Parameters'!$C$13) ^ 'MFSP Baseline'!Z11</f>
        <v>9217745.6225780658</v>
      </c>
      <c r="AA15">
        <f>AA14 / (1+'Study Parameters'!$C$13) ^ 'MFSP Baseline'!AA11</f>
        <v>8759340.154492937</v>
      </c>
    </row>
    <row r="17" spans="1:27">
      <c r="A17" t="s">
        <v>123</v>
      </c>
      <c r="B17" s="8">
        <f>SUM(B13:AA13) / SUM(B15:AA15)</f>
        <v>2.0712069609128942</v>
      </c>
    </row>
    <row r="20" spans="1:27">
      <c r="A20" t="s">
        <v>125</v>
      </c>
    </row>
    <row r="21" spans="1:27">
      <c r="A21" t="s">
        <v>1</v>
      </c>
      <c r="B21">
        <v>0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  <c r="M21">
        <v>11</v>
      </c>
      <c r="N21">
        <v>12</v>
      </c>
      <c r="O21">
        <v>13</v>
      </c>
      <c r="P21">
        <v>14</v>
      </c>
      <c r="Q21">
        <v>15</v>
      </c>
      <c r="R21">
        <v>16</v>
      </c>
      <c r="S21">
        <v>17</v>
      </c>
      <c r="T21">
        <v>18</v>
      </c>
      <c r="U21">
        <v>19</v>
      </c>
      <c r="V21">
        <v>20</v>
      </c>
      <c r="W21">
        <v>21</v>
      </c>
      <c r="X21">
        <v>22</v>
      </c>
      <c r="Y21">
        <v>23</v>
      </c>
      <c r="Z21">
        <v>24</v>
      </c>
      <c r="AA21">
        <v>25</v>
      </c>
    </row>
    <row r="22" spans="1:27">
      <c r="A22" t="s">
        <v>119</v>
      </c>
      <c r="B22" s="23">
        <f>'Cost Components'!N14 * 10^6</f>
        <v>258320000</v>
      </c>
      <c r="C22" s="23">
        <f>'Cost Components'!$N$30 * 10^6</f>
        <v>39176710.899539575</v>
      </c>
      <c r="D22" s="23">
        <f>'Cost Components'!$N$30 * 10^6</f>
        <v>39176710.899539575</v>
      </c>
      <c r="E22" s="23">
        <f>'Cost Components'!$N$30 * 10^6</f>
        <v>39176710.899539575</v>
      </c>
      <c r="F22" s="23">
        <f>'Cost Components'!$N$30 * 10^6</f>
        <v>39176710.899539575</v>
      </c>
      <c r="G22" s="23">
        <f>'Cost Components'!$N$30 * 10^6</f>
        <v>39176710.899539575</v>
      </c>
      <c r="H22" s="23">
        <f>'Cost Components'!$N$30 * 10^6</f>
        <v>39176710.899539575</v>
      </c>
      <c r="I22" s="23">
        <f>'Cost Components'!$N$30 * 10^6</f>
        <v>39176710.899539575</v>
      </c>
      <c r="J22" s="23">
        <f>'Cost Components'!$N$30 * 10^6</f>
        <v>39176710.899539575</v>
      </c>
      <c r="K22" s="23">
        <f>'Cost Components'!$N$30 * 10^6</f>
        <v>39176710.899539575</v>
      </c>
      <c r="L22" s="23">
        <f>'Cost Components'!$N$30 * 10^6</f>
        <v>39176710.899539575</v>
      </c>
      <c r="M22" s="23">
        <f>'Cost Components'!$N$30 * 10^6</f>
        <v>39176710.899539575</v>
      </c>
      <c r="N22" s="23">
        <f>'Cost Components'!$N$30 * 10^6</f>
        <v>39176710.899539575</v>
      </c>
      <c r="O22" s="23">
        <f>'Cost Components'!$N$30 * 10^6</f>
        <v>39176710.899539575</v>
      </c>
      <c r="P22" s="23">
        <f>'Cost Components'!$N$30 * 10^6</f>
        <v>39176710.899539575</v>
      </c>
      <c r="Q22" s="23">
        <f>'Cost Components'!$N$30 * 10^6</f>
        <v>39176710.899539575</v>
      </c>
      <c r="R22" s="23">
        <f>'Cost Components'!$N$30 * 10^6</f>
        <v>39176710.899539575</v>
      </c>
      <c r="S22" s="23">
        <f>'Cost Components'!$N$30 * 10^6</f>
        <v>39176710.899539575</v>
      </c>
      <c r="T22" s="23">
        <f>'Cost Components'!$N$30 * 10^6</f>
        <v>39176710.899539575</v>
      </c>
      <c r="U22" s="23">
        <f>'Cost Components'!$N$30 * 10^6</f>
        <v>39176710.899539575</v>
      </c>
      <c r="V22" s="23">
        <f>'Cost Components'!$N$30 * 10^6</f>
        <v>39176710.899539575</v>
      </c>
      <c r="W22" s="23">
        <f>'Cost Components'!$N$30 * 10^6</f>
        <v>39176710.899539575</v>
      </c>
      <c r="X22" s="23">
        <f>'Cost Components'!$N$30 * 10^6</f>
        <v>39176710.899539575</v>
      </c>
      <c r="Y22" s="23">
        <f>'Cost Components'!$N$30 * 10^6</f>
        <v>39176710.899539575</v>
      </c>
      <c r="Z22" s="23">
        <f>'Cost Components'!$N$30 * 10^6</f>
        <v>39176710.899539575</v>
      </c>
      <c r="AA22" s="23">
        <f>'Cost Components'!$N$30 * 10^6</f>
        <v>39176710.899539575</v>
      </c>
    </row>
    <row r="23" spans="1:27">
      <c r="A23" t="s">
        <v>120</v>
      </c>
      <c r="B23" s="24">
        <f>B22 / (1+'Study Parameters'!$C$14) ^'MFSP Baseline'!B21</f>
        <v>258320000</v>
      </c>
      <c r="C23" s="24">
        <f>C22 / (1+'Study Parameters'!$C$14) ^'MFSP Baseline'!C21</f>
        <v>37183666.381491624</v>
      </c>
      <c r="D23" s="24">
        <f>D22 / (1+'Study Parameters'!$C$14) ^'MFSP Baseline'!D21</f>
        <v>35292014.409160614</v>
      </c>
      <c r="E23" s="24">
        <f>E22 / (1+'Study Parameters'!$C$14) ^'MFSP Baseline'!E21</f>
        <v>33496596.819628518</v>
      </c>
      <c r="F23" s="24">
        <f>F22 / (1+'Study Parameters'!$C$14) ^'MFSP Baseline'!F21</f>
        <v>31792517.862213854</v>
      </c>
      <c r="G23" s="24">
        <f>G22 / (1+'Study Parameters'!$C$14) ^'MFSP Baseline'!G21</f>
        <v>30175130.848722335</v>
      </c>
      <c r="H23" s="24">
        <f>H22 / (1+'Study Parameters'!$C$14) ^'MFSP Baseline'!H21</f>
        <v>28640025.482842002</v>
      </c>
      <c r="I23" s="24">
        <f>I22 / (1+'Study Parameters'!$C$14) ^'MFSP Baseline'!I21</f>
        <v>27183015.834132496</v>
      </c>
      <c r="J23" s="24">
        <f>J22 / (1+'Study Parameters'!$C$14) ^'MFSP Baseline'!J21</f>
        <v>25800128.923815958</v>
      </c>
      <c r="K23" s="24">
        <f>K22 / (1+'Study Parameters'!$C$14) ^'MFSP Baseline'!K21</f>
        <v>24487593.891245216</v>
      </c>
      <c r="L23" s="24">
        <f>L22 / (1+'Study Parameters'!$C$14) ^'MFSP Baseline'!L21</f>
        <v>23241831.711508363</v>
      </c>
      <c r="M23" s="24">
        <f>M22 / (1+'Study Parameters'!$C$14) ^'MFSP Baseline'!M21</f>
        <v>22059445.436131705</v>
      </c>
      <c r="N23" s="24">
        <f>N22 / (1+'Study Parameters'!$C$14) ^'MFSP Baseline'!N21</f>
        <v>20937210.930269271</v>
      </c>
      <c r="O23" s="24">
        <f>O22 / (1+'Study Parameters'!$C$14) ^'MFSP Baseline'!O21</f>
        <v>19872068.081121173</v>
      </c>
      <c r="P23" s="24">
        <f>P22 / (1+'Study Parameters'!$C$14) ^'MFSP Baseline'!P21</f>
        <v>18861112.453607794</v>
      </c>
      <c r="Q23" s="24">
        <f>Q22 / (1+'Study Parameters'!$C$14) ^'MFSP Baseline'!Q21</f>
        <v>17901587.370546501</v>
      </c>
      <c r="R23" s="24">
        <f>R22 / (1+'Study Parameters'!$C$14) ^'MFSP Baseline'!R21</f>
        <v>16990876.395735096</v>
      </c>
      <c r="S23" s="24">
        <f>S22 / (1+'Study Parameters'!$C$14) ^'MFSP Baseline'!S21</f>
        <v>16126496.199444851</v>
      </c>
      <c r="T23" s="24">
        <f>T22 / (1+'Study Parameters'!$C$14) ^'MFSP Baseline'!T21</f>
        <v>15306089.78686869</v>
      </c>
      <c r="U23" s="24">
        <f>U22 / (1+'Study Parameters'!$C$14) ^'MFSP Baseline'!U21</f>
        <v>14527420.071059879</v>
      </c>
      <c r="V23" s="24">
        <f>V22 / (1+'Study Parameters'!$C$14) ^'MFSP Baseline'!V21</f>
        <v>13788363.772835875</v>
      </c>
      <c r="W23" s="24">
        <f>W22 / (1+'Study Parameters'!$C$14) ^'MFSP Baseline'!W21</f>
        <v>13086905.631013546</v>
      </c>
      <c r="X23" s="24">
        <f>X22 / (1+'Study Parameters'!$C$14) ^'MFSP Baseline'!X21</f>
        <v>12421132.907188255</v>
      </c>
      <c r="Y23" s="24">
        <f>Y22 / (1+'Study Parameters'!$C$14) ^'MFSP Baseline'!Y21</f>
        <v>11789230.170072375</v>
      </c>
      <c r="Z23" s="24">
        <f>Z22 / (1+'Study Parameters'!$C$14) ^'MFSP Baseline'!Z21</f>
        <v>11189474.345171198</v>
      </c>
      <c r="AA23" s="24">
        <f>AA22 / (1+'Study Parameters'!$C$14) ^'MFSP Baseline'!AA21</f>
        <v>10620230.016297644</v>
      </c>
    </row>
    <row r="24" spans="1:27">
      <c r="A24" t="s">
        <v>121</v>
      </c>
      <c r="B24">
        <v>0</v>
      </c>
      <c r="C24">
        <f>'Study Parameters'!$C$20</f>
        <v>31354838.709677417</v>
      </c>
      <c r="D24">
        <f>'Study Parameters'!$C$20</f>
        <v>31354838.709677417</v>
      </c>
      <c r="E24">
        <f>'Study Parameters'!$C$20</f>
        <v>31354838.709677417</v>
      </c>
      <c r="F24">
        <f>'Study Parameters'!$C$20</f>
        <v>31354838.709677417</v>
      </c>
      <c r="G24">
        <f>'Study Parameters'!$C$20</f>
        <v>31354838.709677417</v>
      </c>
      <c r="H24">
        <f>'Study Parameters'!$C$20</f>
        <v>31354838.709677417</v>
      </c>
      <c r="I24">
        <f>'Study Parameters'!$C$20</f>
        <v>31354838.709677417</v>
      </c>
      <c r="J24">
        <f>'Study Parameters'!$C$20</f>
        <v>31354838.709677417</v>
      </c>
      <c r="K24">
        <f>'Study Parameters'!$C$20</f>
        <v>31354838.709677417</v>
      </c>
      <c r="L24">
        <f>'Study Parameters'!$C$20</f>
        <v>31354838.709677417</v>
      </c>
      <c r="M24">
        <f>'Study Parameters'!$C$20</f>
        <v>31354838.709677417</v>
      </c>
      <c r="N24">
        <f>'Study Parameters'!$C$20</f>
        <v>31354838.709677417</v>
      </c>
      <c r="O24">
        <f>'Study Parameters'!$C$20</f>
        <v>31354838.709677417</v>
      </c>
      <c r="P24">
        <f>'Study Parameters'!$C$20</f>
        <v>31354838.709677417</v>
      </c>
      <c r="Q24">
        <f>'Study Parameters'!$C$20</f>
        <v>31354838.709677417</v>
      </c>
      <c r="R24">
        <f>'Study Parameters'!$C$20</f>
        <v>31354838.709677417</v>
      </c>
      <c r="S24">
        <f>'Study Parameters'!$C$20</f>
        <v>31354838.709677417</v>
      </c>
      <c r="T24">
        <f>'Study Parameters'!$C$20</f>
        <v>31354838.709677417</v>
      </c>
      <c r="U24">
        <f>'Study Parameters'!$C$20</f>
        <v>31354838.709677417</v>
      </c>
      <c r="V24">
        <f>'Study Parameters'!$C$20</f>
        <v>31354838.709677417</v>
      </c>
      <c r="W24">
        <f>'Study Parameters'!$C$20</f>
        <v>31354838.709677417</v>
      </c>
      <c r="X24">
        <f>'Study Parameters'!$C$20</f>
        <v>31354838.709677417</v>
      </c>
      <c r="Y24">
        <f>'Study Parameters'!$C$20</f>
        <v>31354838.709677417</v>
      </c>
      <c r="Z24">
        <f>'Study Parameters'!$C$20</f>
        <v>31354838.709677417</v>
      </c>
      <c r="AA24">
        <f>'Study Parameters'!$C$20</f>
        <v>31354838.709677417</v>
      </c>
    </row>
    <row r="25" spans="1:27">
      <c r="A25" t="s">
        <v>122</v>
      </c>
      <c r="B25">
        <v>0</v>
      </c>
      <c r="C25">
        <f>C24 / (1+'Study Parameters'!$C$14) ^ 'MFSP Baseline'!C21</f>
        <v>29759717.833786462</v>
      </c>
      <c r="D25">
        <f>D24 / (1+'Study Parameters'!$C$14) ^ 'MFSP Baseline'!D21</f>
        <v>28245745.855909701</v>
      </c>
      <c r="E25">
        <f>E24 / (1+'Study Parameters'!$C$14) ^ 'MFSP Baseline'!E21</f>
        <v>26808794.472199786</v>
      </c>
      <c r="F25">
        <f>F24 / (1+'Study Parameters'!$C$14) ^ 'MFSP Baseline'!F21</f>
        <v>25444945.398822881</v>
      </c>
      <c r="G25">
        <f>G24 / (1+'Study Parameters'!$C$14) ^ 'MFSP Baseline'!G21</f>
        <v>24150479.687569167</v>
      </c>
      <c r="H25">
        <f>H24 / (1+'Study Parameters'!$C$14) ^ 'MFSP Baseline'!H21</f>
        <v>22921867.585012499</v>
      </c>
      <c r="I25">
        <f>I24 / (1+'Study Parameters'!$C$14) ^ 'MFSP Baseline'!I21</f>
        <v>21755758.907566909</v>
      </c>
      <c r="J25">
        <f>J24 / (1+'Study Parameters'!$C$14) ^ 'MFSP Baseline'!J21</f>
        <v>20648973.906194866</v>
      </c>
      <c r="K25">
        <f>K24 / (1+'Study Parameters'!$C$14) ^ 'MFSP Baseline'!K21</f>
        <v>19598494.595856931</v>
      </c>
      <c r="L25">
        <f>L24 / (1+'Study Parameters'!$C$14) ^ 'MFSP Baseline'!L21</f>
        <v>18601456.526060108</v>
      </c>
      <c r="M25">
        <f>M24 / (1+'Study Parameters'!$C$14) ^ 'MFSP Baseline'!M21</f>
        <v>17655140.970064644</v>
      </c>
      <c r="N25">
        <f>N24 / (1+'Study Parameters'!$C$14) ^ 'MFSP Baseline'!N21</f>
        <v>16756967.511450874</v>
      </c>
      <c r="O25">
        <f>O24 / (1+'Study Parameters'!$C$14) ^ 'MFSP Baseline'!O21</f>
        <v>15904487.007831123</v>
      </c>
      <c r="P25">
        <f>P24 / (1+'Study Parameters'!$C$14) ^ 'MFSP Baseline'!P21</f>
        <v>15095374.912520049</v>
      </c>
      <c r="Q25">
        <f>Q24 / (1+'Study Parameters'!$C$14) ^ 'MFSP Baseline'!Q21</f>
        <v>14327424.935952969</v>
      </c>
      <c r="R25">
        <f>R24 / (1+'Study Parameters'!$C$14) ^ 'MFSP Baseline'!R21</f>
        <v>13598543.029568117</v>
      </c>
      <c r="S25">
        <f>S24 / (1+'Study Parameters'!$C$14) ^ 'MFSP Baseline'!S21</f>
        <v>12906741.67574802</v>
      </c>
      <c r="T25">
        <f>T24 / (1+'Study Parameters'!$C$14) ^ 'MFSP Baseline'!T21</f>
        <v>12250134.468249829</v>
      </c>
      <c r="U25">
        <f>U24 / (1+'Study Parameters'!$C$14) ^ 'MFSP Baseline'!U21</f>
        <v>11626930.96834646</v>
      </c>
      <c r="V25">
        <f>V24 / (1+'Study Parameters'!$C$14) ^ 'MFSP Baseline'!V21</f>
        <v>11035431.822652295</v>
      </c>
      <c r="W25">
        <f>W24 / (1+'Study Parameters'!$C$14) ^ 'MFSP Baseline'!W21</f>
        <v>10474024.129320703</v>
      </c>
      <c r="X25">
        <f>X24 / (1+'Study Parameters'!$C$14) ^ 'MFSP Baseline'!X21</f>
        <v>9941177.0399778876</v>
      </c>
      <c r="Y25">
        <f>Y24 / (1+'Study Parameters'!$C$14) ^ 'MFSP Baseline'!Y21</f>
        <v>9435437.5854004249</v>
      </c>
      <c r="Z25">
        <f>Z24 / (1+'Study Parameters'!$C$14) ^ 'MFSP Baseline'!Z21</f>
        <v>8955426.7135539334</v>
      </c>
      <c r="AA25">
        <f>AA24 / (1+'Study Parameters'!$C$14) ^ 'MFSP Baseline'!AA21</f>
        <v>8499835.5291893817</v>
      </c>
    </row>
    <row r="27" spans="1:27">
      <c r="A27" t="s">
        <v>123</v>
      </c>
      <c r="B27" s="8">
        <f>SUM(B23:AA23) / SUM(B25:AA25)</f>
        <v>1.8552801129969703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A26"/>
  <sheetViews>
    <sheetView workbookViewId="0">
      <selection activeCell="B7" sqref="B7"/>
    </sheetView>
  </sheetViews>
  <sheetFormatPr defaultColWidth="11" defaultRowHeight="15.75"/>
  <cols>
    <col min="1" max="1" width="26.875" bestFit="1" customWidth="1"/>
    <col min="2" max="27" width="15.5" bestFit="1" customWidth="1"/>
  </cols>
  <sheetData>
    <row r="1" spans="1:27">
      <c r="A1" t="s">
        <v>118</v>
      </c>
    </row>
    <row r="2" spans="1:27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>
      <c r="A3" t="s">
        <v>119</v>
      </c>
      <c r="B3" s="11">
        <f>'Cost Components'!B14 * 10^6</f>
        <v>362670000</v>
      </c>
      <c r="C3" s="11">
        <f>'Cost Components'!$B$35*10^6</f>
        <v>54620925.937270001</v>
      </c>
      <c r="D3" s="11">
        <f>'Cost Components'!$B$35*10^6</f>
        <v>54620925.937270001</v>
      </c>
      <c r="E3" s="11">
        <f>'Cost Components'!$B$35*10^6</f>
        <v>54620925.937270001</v>
      </c>
      <c r="F3" s="11">
        <f>'Cost Components'!$B$35*10^6</f>
        <v>54620925.937270001</v>
      </c>
      <c r="G3" s="11">
        <f>'Cost Components'!$B$35*10^6</f>
        <v>54620925.937270001</v>
      </c>
      <c r="H3" s="11">
        <f>'Cost Components'!$B$35*10^6</f>
        <v>54620925.937270001</v>
      </c>
      <c r="I3" s="11">
        <f>'Cost Components'!$B$35*10^6</f>
        <v>54620925.937270001</v>
      </c>
      <c r="J3" s="11">
        <f>'Cost Components'!$B$35*10^6</f>
        <v>54620925.937270001</v>
      </c>
      <c r="K3" s="11">
        <f>'Cost Components'!$B$35*10^6</f>
        <v>54620925.937270001</v>
      </c>
      <c r="L3" s="11">
        <f>'Cost Components'!$B$35*10^6</f>
        <v>54620925.937270001</v>
      </c>
      <c r="M3" s="11">
        <f>'Cost Components'!$B$35*10^6</f>
        <v>54620925.937270001</v>
      </c>
      <c r="N3" s="11">
        <f>'Cost Components'!$B$35*10^6</f>
        <v>54620925.937270001</v>
      </c>
      <c r="O3" s="11">
        <f>'Cost Components'!$B$35*10^6</f>
        <v>54620925.937270001</v>
      </c>
      <c r="P3" s="11">
        <f>'Cost Components'!$B$35*10^6</f>
        <v>54620925.937270001</v>
      </c>
      <c r="Q3" s="11">
        <f>'Cost Components'!$B$35*10^6</f>
        <v>54620925.937270001</v>
      </c>
      <c r="R3" s="11">
        <f>'Cost Components'!$B$35*10^6</f>
        <v>54620925.937270001</v>
      </c>
      <c r="S3" s="11">
        <f>'Cost Components'!$B$35*10^6</f>
        <v>54620925.937270001</v>
      </c>
      <c r="T3" s="11">
        <f>'Cost Components'!$B$35*10^6</f>
        <v>54620925.937270001</v>
      </c>
      <c r="U3" s="11">
        <f>'Cost Components'!$B$35*10^6</f>
        <v>54620925.937270001</v>
      </c>
      <c r="V3" s="11">
        <f>'Cost Components'!$B$35*10^6</f>
        <v>54620925.937270001</v>
      </c>
      <c r="W3" s="11">
        <f>'Cost Components'!$B$35*10^6</f>
        <v>54620925.937270001</v>
      </c>
      <c r="X3" s="11">
        <f>'Cost Components'!$B$35*10^6</f>
        <v>54620925.937270001</v>
      </c>
      <c r="Y3" s="11">
        <f>'Cost Components'!$B$35*10^6</f>
        <v>54620925.937270001</v>
      </c>
      <c r="Z3" s="11">
        <f>'Cost Components'!$B$35*10^6</f>
        <v>54620925.937270001</v>
      </c>
      <c r="AA3" s="11">
        <f>'Cost Components'!$B$35*10^6</f>
        <v>54620925.937270001</v>
      </c>
    </row>
    <row r="4" spans="1:27">
      <c r="A4" t="s">
        <v>120</v>
      </c>
      <c r="B4" s="8">
        <f>B3 / (1+'Study Parameters'!$C$12) ^'MFSP Baseline'!B2</f>
        <v>362670000</v>
      </c>
      <c r="C4" s="8">
        <f>C3 / (1+'Study Parameters'!$C$12) ^'MFSP Baseline'!C2</f>
        <v>51904585.939756095</v>
      </c>
      <c r="D4" s="8">
        <f>D3 / (1+'Study Parameters'!$C$12) ^'MFSP Baseline'!D2</f>
        <v>49323331.586717859</v>
      </c>
      <c r="E4" s="8">
        <f>E3 / (1+'Study Parameters'!$C$12) ^'MFSP Baseline'!E2</f>
        <v>46870444.966789223</v>
      </c>
      <c r="F4" s="8">
        <f>F3 / (1+'Study Parameters'!$C$12) ^'MFSP Baseline'!F2</f>
        <v>44539542.25542213</v>
      </c>
      <c r="G4" s="8">
        <f>G3 / (1+'Study Parameters'!$C$12) ^'MFSP Baseline'!G2</f>
        <v>42324557.100496165</v>
      </c>
      <c r="H4" s="8">
        <f>H3 / (1+'Study Parameters'!$C$12) ^'MFSP Baseline'!H2</f>
        <v>40219724.834174365</v>
      </c>
      <c r="I4" s="8">
        <f>I3 / (1+'Study Parameters'!$C$12) ^'MFSP Baseline'!I2</f>
        <v>38219567.469915465</v>
      </c>
      <c r="J4" s="8">
        <f>J3 / (1+'Study Parameters'!$C$12) ^'MFSP Baseline'!J2</f>
        <v>36318879.445595935</v>
      </c>
      <c r="K4" s="8">
        <f>K3 / (1+'Study Parameters'!$C$12) ^'MFSP Baseline'!K2</f>
        <v>34512714.075637572</v>
      </c>
      <c r="L4" s="8">
        <f>L3 / (1+'Study Parameters'!$C$12) ^'MFSP Baseline'!L2</f>
        <v>32796370.676880803</v>
      </c>
      <c r="M4" s="8">
        <f>M3 / (1+'Study Parameters'!$C$12) ^'MFSP Baseline'!M2</f>
        <v>31165382.334698264</v>
      </c>
      <c r="N4" s="8">
        <f>N3 / (1+'Study Parameters'!$C$12) ^'MFSP Baseline'!N2</f>
        <v>29615504.277508639</v>
      </c>
      <c r="O4" s="8">
        <f>O3 / (1+'Study Parameters'!$C$12) ^'MFSP Baseline'!O2</f>
        <v>28142702.829434883</v>
      </c>
      <c r="P4" s="8">
        <f>P3 / (1+'Study Parameters'!$C$12) ^'MFSP Baseline'!P2</f>
        <v>26743144.912354968</v>
      </c>
      <c r="Q4" s="8">
        <f>Q3 / (1+'Study Parameters'!$C$12) ^'MFSP Baseline'!Q2</f>
        <v>25413188.070023727</v>
      </c>
      <c r="R4" s="8">
        <f>R3 / (1+'Study Parameters'!$C$12) ^'MFSP Baseline'!R2</f>
        <v>24149370.988302559</v>
      </c>
      <c r="S4" s="8">
        <f>S3 / (1+'Study Parameters'!$C$12) ^'MFSP Baseline'!S2</f>
        <v>22948404.486825362</v>
      </c>
      <c r="T4" s="8">
        <f>T3 / (1+'Study Parameters'!$C$12) ^'MFSP Baseline'!T2</f>
        <v>21807162.958655711</v>
      </c>
      <c r="U4" s="8">
        <f>U3 / (1+'Study Parameters'!$C$12) ^'MFSP Baseline'!U2</f>
        <v>20722676.235656366</v>
      </c>
      <c r="V4" s="8">
        <f>V3 / (1+'Study Parameters'!$C$12) ^'MFSP Baseline'!V2</f>
        <v>19692121.858400088</v>
      </c>
      <c r="W4" s="8">
        <f>W3 / (1+'Study Parameters'!$C$12) ^'MFSP Baseline'!W2</f>
        <v>18712817.730503727</v>
      </c>
      <c r="X4" s="8">
        <f>X3 / (1+'Study Parameters'!$C$12) ^'MFSP Baseline'!X2</f>
        <v>17782215.138267715</v>
      </c>
      <c r="Y4" s="8">
        <f>Y3 / (1+'Study Parameters'!$C$12) ^'MFSP Baseline'!Y2</f>
        <v>16897892.117454279</v>
      </c>
      <c r="Z4" s="8">
        <f>Z3 / (1+'Study Parameters'!$C$12) ^'MFSP Baseline'!Z2</f>
        <v>16057547.149940711</v>
      </c>
      <c r="AA4" s="8">
        <f>AA3 / (1+'Study Parameters'!$C$12) ^'MFSP Baseline'!AA2</f>
        <v>15258993.173842931</v>
      </c>
    </row>
    <row r="5" spans="1:27">
      <c r="A5" t="s">
        <v>121</v>
      </c>
      <c r="B5">
        <v>0</v>
      </c>
      <c r="C5">
        <f>'Study Parameters'!$C$20</f>
        <v>31354838.709677417</v>
      </c>
      <c r="D5">
        <f>'Study Parameters'!$C$20</f>
        <v>31354838.709677417</v>
      </c>
      <c r="E5">
        <f>'Study Parameters'!$C$20</f>
        <v>31354838.709677417</v>
      </c>
      <c r="F5">
        <f>'Study Parameters'!$C$20</f>
        <v>31354838.709677417</v>
      </c>
      <c r="G5">
        <f>'Study Parameters'!$C$20</f>
        <v>31354838.709677417</v>
      </c>
      <c r="H5">
        <f>'Study Parameters'!$C$20</f>
        <v>31354838.709677417</v>
      </c>
      <c r="I5">
        <f>'Study Parameters'!$C$20</f>
        <v>31354838.709677417</v>
      </c>
      <c r="J5">
        <f>'Study Parameters'!$C$20</f>
        <v>31354838.709677417</v>
      </c>
      <c r="K5">
        <f>'Study Parameters'!$C$20</f>
        <v>31354838.709677417</v>
      </c>
      <c r="L5">
        <f>'Study Parameters'!$C$20</f>
        <v>31354838.709677417</v>
      </c>
      <c r="M5">
        <f>'Study Parameters'!$C$20</f>
        <v>31354838.709677417</v>
      </c>
      <c r="N5">
        <f>'Study Parameters'!$C$20</f>
        <v>31354838.709677417</v>
      </c>
      <c r="O5">
        <f>'Study Parameters'!$C$20</f>
        <v>31354838.709677417</v>
      </c>
      <c r="P5">
        <f>'Study Parameters'!$C$20</f>
        <v>31354838.709677417</v>
      </c>
      <c r="Q5">
        <f>'Study Parameters'!$C$20</f>
        <v>31354838.709677417</v>
      </c>
      <c r="R5">
        <f>'Study Parameters'!$C$20</f>
        <v>31354838.709677417</v>
      </c>
      <c r="S5">
        <f>'Study Parameters'!$C$20</f>
        <v>31354838.709677417</v>
      </c>
      <c r="T5">
        <f>'Study Parameters'!$C$20</f>
        <v>31354838.709677417</v>
      </c>
      <c r="U5">
        <f>'Study Parameters'!$C$20</f>
        <v>31354838.709677417</v>
      </c>
      <c r="V5">
        <f>'Study Parameters'!$C$20</f>
        <v>31354838.709677417</v>
      </c>
      <c r="W5">
        <f>'Study Parameters'!$C$20</f>
        <v>31354838.709677417</v>
      </c>
      <c r="X5">
        <f>'Study Parameters'!$C$20</f>
        <v>31354838.709677417</v>
      </c>
      <c r="Y5">
        <f>'Study Parameters'!$C$20</f>
        <v>31354838.709677417</v>
      </c>
      <c r="Z5">
        <f>'Study Parameters'!$C$20</f>
        <v>31354838.709677417</v>
      </c>
      <c r="AA5">
        <f>'Study Parameters'!$C$20</f>
        <v>31354838.709677417</v>
      </c>
    </row>
    <row r="6" spans="1:27">
      <c r="A6" t="s">
        <v>122</v>
      </c>
      <c r="B6">
        <f>B5 / (1+'Study Parameters'!$C$12) ^ 'MFSP Baseline'!B2</f>
        <v>0</v>
      </c>
      <c r="C6">
        <f>C5 / (1+'Study Parameters'!$C$12) ^ 'MFSP Baseline'!C2</f>
        <v>29795538.843532547</v>
      </c>
      <c r="D6">
        <f>D5 / (1+'Study Parameters'!$C$12) ^ 'MFSP Baseline'!D2</f>
        <v>28313784.140195638</v>
      </c>
      <c r="E6">
        <f>E5 / (1+'Study Parameters'!$C$12) ^ 'MFSP Baseline'!E2</f>
        <v>26905718.220014863</v>
      </c>
      <c r="F6">
        <f>F5 / (1+'Study Parameters'!$C$12) ^ 'MFSP Baseline'!F2</f>
        <v>25567676.48401792</v>
      </c>
      <c r="G6">
        <f>G5 / (1+'Study Parameters'!$C$12) ^ 'MFSP Baseline'!G2</f>
        <v>24296176.576513704</v>
      </c>
      <c r="H6">
        <f>H5 / (1+'Study Parameters'!$C$12) ^ 'MFSP Baseline'!H2</f>
        <v>23087909.321995918</v>
      </c>
      <c r="I6">
        <f>I5 / (1+'Study Parameters'!$C$12) ^ 'MFSP Baseline'!I2</f>
        <v>21939730.112761404</v>
      </c>
      <c r="J6">
        <f>J5 / (1+'Study Parameters'!$C$12) ^ 'MFSP Baseline'!J2</f>
        <v>20848650.724828698</v>
      </c>
      <c r="K6">
        <f>K5 / (1+'Study Parameters'!$C$12) ^ 'MFSP Baseline'!K2</f>
        <v>19811831.540857174</v>
      </c>
      <c r="L6">
        <f>L5 / (1+'Study Parameters'!$C$12) ^ 'MFSP Baseline'!L2</f>
        <v>18826574.159826264</v>
      </c>
      <c r="M6">
        <f>M5 / (1+'Study Parameters'!$C$12) ^ 'MFSP Baseline'!M2</f>
        <v>17890314.374240987</v>
      </c>
      <c r="N6">
        <f>N5 / (1+'Study Parameters'!$C$12) ^ 'MFSP Baseline'!N2</f>
        <v>17000615.4965863</v>
      </c>
      <c r="O6">
        <f>O5 / (1+'Study Parameters'!$C$12) ^ 'MFSP Baseline'!O2</f>
        <v>16155162.017661991</v>
      </c>
      <c r="P6">
        <f>P5 / (1+'Study Parameters'!$C$12) ^ 'MFSP Baseline'!P2</f>
        <v>15351753.580293307</v>
      </c>
      <c r="Q6">
        <f>Q5 / (1+'Study Parameters'!$C$12) ^ 'MFSP Baseline'!Q2</f>
        <v>14588299.252733583</v>
      </c>
      <c r="R6">
        <f>R5 / (1+'Study Parameters'!$C$12) ^ 'MFSP Baseline'!R2</f>
        <v>13862812.086854843</v>
      </c>
      <c r="S6">
        <f>S5 / (1+'Study Parameters'!$C$12) ^ 'MFSP Baseline'!S2</f>
        <v>13173403.946963741</v>
      </c>
      <c r="T6">
        <f>T5 / (1+'Study Parameters'!$C$12) ^ 'MFSP Baseline'!T2</f>
        <v>12518280.595784359</v>
      </c>
      <c r="U6">
        <f>U5 / (1+'Study Parameters'!$C$12) ^ 'MFSP Baseline'!U2</f>
        <v>11895737.02481884</v>
      </c>
      <c r="V6">
        <f>V5 / (1+'Study Parameters'!$C$12) ^ 'MFSP Baseline'!V2</f>
        <v>11304153.016932694</v>
      </c>
      <c r="W6">
        <f>W5 / (1+'Study Parameters'!$C$12) ^ 'MFSP Baseline'!W2</f>
        <v>10741988.929616118</v>
      </c>
      <c r="X6">
        <f>X5 / (1+'Study Parameters'!$C$12) ^ 'MFSP Baseline'!X2</f>
        <v>10207781.687946895</v>
      </c>
      <c r="Y6">
        <f>Y5 / (1+'Study Parameters'!$C$12) ^ 'MFSP Baseline'!Y2</f>
        <v>9700140.9768263195</v>
      </c>
      <c r="Z6">
        <f>Z5 / (1+'Study Parameters'!$C$12) ^ 'MFSP Baseline'!Z2</f>
        <v>9217745.6225780658</v>
      </c>
      <c r="AA6">
        <f>AA5 / (1+'Study Parameters'!$C$12) ^ 'MFSP Baseline'!AA2</f>
        <v>8759340.154492937</v>
      </c>
    </row>
    <row r="8" spans="1:27">
      <c r="A8" t="s">
        <v>123</v>
      </c>
      <c r="B8" s="8">
        <f>SUM(B4:AA4) / SUM(B6:AA6)</f>
        <v>2.5820037836713614</v>
      </c>
    </row>
    <row r="10" spans="1:27">
      <c r="A10" t="s">
        <v>124</v>
      </c>
    </row>
    <row r="11" spans="1:27">
      <c r="A11" t="s">
        <v>1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</row>
    <row r="12" spans="1:27">
      <c r="A12" t="s">
        <v>119</v>
      </c>
      <c r="B12" s="11">
        <f>'Cost Components'!H14 * 10 ^ 6</f>
        <v>325320000</v>
      </c>
      <c r="C12" s="11">
        <f>'Cost Components'!$H$35 * 10 ^ 6</f>
        <v>41319291.399539568</v>
      </c>
      <c r="D12" s="11">
        <f>'Cost Components'!$H$35 * 10 ^ 6</f>
        <v>41319291.399539568</v>
      </c>
      <c r="E12" s="11">
        <f>'Cost Components'!$H$35 * 10 ^ 6</f>
        <v>41319291.399539568</v>
      </c>
      <c r="F12" s="11">
        <f>'Cost Components'!$H$35 * 10 ^ 6</f>
        <v>41319291.399539568</v>
      </c>
      <c r="G12" s="11">
        <f>'Cost Components'!$H$35 * 10 ^ 6</f>
        <v>41319291.399539568</v>
      </c>
      <c r="H12" s="11">
        <f>'Cost Components'!$H$35 * 10 ^ 6</f>
        <v>41319291.399539568</v>
      </c>
      <c r="I12" s="11">
        <f>'Cost Components'!$H$35 * 10 ^ 6</f>
        <v>41319291.399539568</v>
      </c>
      <c r="J12" s="11">
        <f>'Cost Components'!$H$35 * 10 ^ 6</f>
        <v>41319291.399539568</v>
      </c>
      <c r="K12" s="11">
        <f>'Cost Components'!$H$35 * 10 ^ 6</f>
        <v>41319291.399539568</v>
      </c>
      <c r="L12" s="11">
        <f>'Cost Components'!$H$35 * 10 ^ 6</f>
        <v>41319291.399539568</v>
      </c>
      <c r="M12" s="11">
        <f>'Cost Components'!$H$35 * 10 ^ 6</f>
        <v>41319291.399539568</v>
      </c>
      <c r="N12" s="11">
        <f>'Cost Components'!$H$35 * 10 ^ 6</f>
        <v>41319291.399539568</v>
      </c>
      <c r="O12" s="11">
        <f>'Cost Components'!$H$35 * 10 ^ 6</f>
        <v>41319291.399539568</v>
      </c>
      <c r="P12" s="11">
        <f>'Cost Components'!$H$35 * 10 ^ 6</f>
        <v>41319291.399539568</v>
      </c>
      <c r="Q12" s="11">
        <f>'Cost Components'!$H$35 * 10 ^ 6</f>
        <v>41319291.399539568</v>
      </c>
      <c r="R12" s="11">
        <f>'Cost Components'!$H$35 * 10 ^ 6</f>
        <v>41319291.399539568</v>
      </c>
      <c r="S12" s="11">
        <f>'Cost Components'!$H$35 * 10 ^ 6</f>
        <v>41319291.399539568</v>
      </c>
      <c r="T12" s="11">
        <f>'Cost Components'!$H$35 * 10 ^ 6</f>
        <v>41319291.399539568</v>
      </c>
      <c r="U12" s="11">
        <f>'Cost Components'!$H$35 * 10 ^ 6</f>
        <v>41319291.399539568</v>
      </c>
      <c r="V12" s="11">
        <f>'Cost Components'!$H$35 * 10 ^ 6</f>
        <v>41319291.399539568</v>
      </c>
      <c r="W12" s="11">
        <f>'Cost Components'!$H$35 * 10 ^ 6</f>
        <v>41319291.399539568</v>
      </c>
      <c r="X12" s="11">
        <f>'Cost Components'!$H$35 * 10 ^ 6</f>
        <v>41319291.399539568</v>
      </c>
      <c r="Y12" s="11">
        <f>'Cost Components'!$H$35 * 10 ^ 6</f>
        <v>41319291.399539568</v>
      </c>
      <c r="Z12" s="11">
        <f>'Cost Components'!$H$35 * 10 ^ 6</f>
        <v>41319291.399539568</v>
      </c>
      <c r="AA12" s="11">
        <f>'Cost Components'!$H$35 * 10 ^ 6</f>
        <v>41319291.399539568</v>
      </c>
    </row>
    <row r="13" spans="1:27">
      <c r="A13" t="s">
        <v>120</v>
      </c>
      <c r="B13" s="8">
        <f>B12 / (1+'Study Parameters'!$C$12) ^'MFSP Baseline'!B11</f>
        <v>325320000</v>
      </c>
      <c r="C13" s="8">
        <f>C12 / (1+'Study Parameters'!$C$12) ^'MFSP Baseline'!C11</f>
        <v>39264451.757560566</v>
      </c>
      <c r="D13" s="8">
        <f>D12 / (1+'Study Parameters'!$C$12) ^'MFSP Baseline'!D11</f>
        <v>37311800.846589066</v>
      </c>
      <c r="E13" s="8">
        <f>E12 / (1+'Study Parameters'!$C$12) ^'MFSP Baseline'!E11</f>
        <v>35456256.743670322</v>
      </c>
      <c r="F13" s="8">
        <f>F12 / (1+'Study Parameters'!$C$12) ^'MFSP Baseline'!F11</f>
        <v>33692990.253725357</v>
      </c>
      <c r="G13" s="8">
        <f>G12 / (1+'Study Parameters'!$C$12) ^'MFSP Baseline'!G11</f>
        <v>32017412.34120243</v>
      </c>
      <c r="H13" s="8">
        <f>H12 / (1+'Study Parameters'!$C$12) ^'MFSP Baseline'!H11</f>
        <v>30425162.18676189</v>
      </c>
      <c r="I13" s="8">
        <f>I12 / (1+'Study Parameters'!$C$12) ^'MFSP Baseline'!I11</f>
        <v>28912095.837911204</v>
      </c>
      <c r="J13" s="8">
        <f>J12 / (1+'Study Parameters'!$C$12) ^'MFSP Baseline'!J11</f>
        <v>27474275.424052455</v>
      </c>
      <c r="K13" s="8">
        <f>K12 / (1+'Study Parameters'!$C$12) ^'MFSP Baseline'!K11</f>
        <v>26107958.907873731</v>
      </c>
      <c r="L13" s="8">
        <f>L12 / (1+'Study Parameters'!$C$12) ^'MFSP Baseline'!L11</f>
        <v>24809590.346411526</v>
      </c>
      <c r="M13" s="8">
        <f>M12 / (1+'Study Parameters'!$C$12) ^'MFSP Baseline'!M11</f>
        <v>23575790.636437941</v>
      </c>
      <c r="N13" s="8">
        <f>N12 / (1+'Study Parameters'!$C$12) ^'MFSP Baseline'!N11</f>
        <v>22403348.720086731</v>
      </c>
      <c r="O13" s="8">
        <f>O12 / (1+'Study Parameters'!$C$12) ^'MFSP Baseline'!O11</f>
        <v>21289213.22783028</v>
      </c>
      <c r="P13" s="8">
        <f>P12 / (1+'Study Parameters'!$C$12) ^'MFSP Baseline'!P11</f>
        <v>20230484.537057597</v>
      </c>
      <c r="Q13" s="8">
        <f>Q12 / (1+'Study Parameters'!$C$12) ^'MFSP Baseline'!Q11</f>
        <v>19224407.2255853</v>
      </c>
      <c r="R13" s="8">
        <f>R12 / (1+'Study Parameters'!$C$12) ^'MFSP Baseline'!R11</f>
        <v>18268362.900461163</v>
      </c>
      <c r="S13" s="8">
        <f>S12 / (1+'Study Parameters'!$C$12) ^'MFSP Baseline'!S11</f>
        <v>17359863.383396734</v>
      </c>
      <c r="T13" s="8">
        <f>T12 / (1+'Study Parameters'!$C$12) ^'MFSP Baseline'!T11</f>
        <v>16496544.235093506</v>
      </c>
      <c r="U13" s="8">
        <f>U12 / (1+'Study Parameters'!$C$12) ^'MFSP Baseline'!U11</f>
        <v>15676158.601609288</v>
      </c>
      <c r="V13" s="8">
        <f>V12 / (1+'Study Parameters'!$C$12) ^'MFSP Baseline'!V11</f>
        <v>14896571.3667494</v>
      </c>
      <c r="W13" s="8">
        <f>W12 / (1+'Study Parameters'!$C$12) ^'MFSP Baseline'!W11</f>
        <v>14155753.595263921</v>
      </c>
      <c r="X13" s="8">
        <f>X12 / (1+'Study Parameters'!$C$12) ^'MFSP Baseline'!X11</f>
        <v>13451777.252388902</v>
      </c>
      <c r="Y13" s="8">
        <f>Y12 / (1+'Study Parameters'!$C$12) ^'MFSP Baseline'!Y11</f>
        <v>12782810.185988823</v>
      </c>
      <c r="Z13" s="8">
        <f>Z12 / (1+'Study Parameters'!$C$12) ^'MFSP Baseline'!Z11</f>
        <v>12147111.35824088</v>
      </c>
      <c r="AA13" s="8">
        <f>AA12 / (1+'Study Parameters'!$C$12) ^'MFSP Baseline'!AA11</f>
        <v>11543026.314451264</v>
      </c>
    </row>
    <row r="14" spans="1:27">
      <c r="A14" t="s">
        <v>121</v>
      </c>
      <c r="B14">
        <v>0</v>
      </c>
      <c r="C14">
        <f>'Study Parameters'!$C$20</f>
        <v>31354838.709677417</v>
      </c>
      <c r="D14">
        <f>'Study Parameters'!$C$20</f>
        <v>31354838.709677417</v>
      </c>
      <c r="E14">
        <f>'Study Parameters'!$C$20</f>
        <v>31354838.709677417</v>
      </c>
      <c r="F14">
        <f>'Study Parameters'!$C$20</f>
        <v>31354838.709677417</v>
      </c>
      <c r="G14">
        <f>'Study Parameters'!$C$20</f>
        <v>31354838.709677417</v>
      </c>
      <c r="H14">
        <f>'Study Parameters'!$C$20</f>
        <v>31354838.709677417</v>
      </c>
      <c r="I14">
        <f>'Study Parameters'!$C$20</f>
        <v>31354838.709677417</v>
      </c>
      <c r="J14">
        <f>'Study Parameters'!$C$20</f>
        <v>31354838.709677417</v>
      </c>
      <c r="K14">
        <f>'Study Parameters'!$C$20</f>
        <v>31354838.709677417</v>
      </c>
      <c r="L14">
        <f>'Study Parameters'!$C$20</f>
        <v>31354838.709677417</v>
      </c>
      <c r="M14">
        <f>'Study Parameters'!$C$20</f>
        <v>31354838.709677417</v>
      </c>
      <c r="N14">
        <f>'Study Parameters'!$C$20</f>
        <v>31354838.709677417</v>
      </c>
      <c r="O14">
        <f>'Study Parameters'!$C$20</f>
        <v>31354838.709677417</v>
      </c>
      <c r="P14">
        <f>'Study Parameters'!$C$20</f>
        <v>31354838.709677417</v>
      </c>
      <c r="Q14">
        <f>'Study Parameters'!$C$20</f>
        <v>31354838.709677417</v>
      </c>
      <c r="R14">
        <f>'Study Parameters'!$C$20</f>
        <v>31354838.709677417</v>
      </c>
      <c r="S14">
        <f>'Study Parameters'!$C$20</f>
        <v>31354838.709677417</v>
      </c>
      <c r="T14">
        <f>'Study Parameters'!$C$20</f>
        <v>31354838.709677417</v>
      </c>
      <c r="U14">
        <f>'Study Parameters'!$C$20</f>
        <v>31354838.709677417</v>
      </c>
      <c r="V14">
        <f>'Study Parameters'!$C$20</f>
        <v>31354838.709677417</v>
      </c>
      <c r="W14">
        <f>'Study Parameters'!$C$20</f>
        <v>31354838.709677417</v>
      </c>
      <c r="X14">
        <f>'Study Parameters'!$C$20</f>
        <v>31354838.709677417</v>
      </c>
      <c r="Y14">
        <f>'Study Parameters'!$C$20</f>
        <v>31354838.709677417</v>
      </c>
      <c r="Z14">
        <f>'Study Parameters'!$C$20</f>
        <v>31354838.709677417</v>
      </c>
      <c r="AA14">
        <f>'Study Parameters'!$C$20</f>
        <v>31354838.709677417</v>
      </c>
    </row>
    <row r="15" spans="1:27">
      <c r="A15" t="s">
        <v>122</v>
      </c>
      <c r="B15">
        <f>B14 / (1+'Study Parameters'!$C$12) ^ 'MFSP Baseline'!B11</f>
        <v>0</v>
      </c>
      <c r="C15">
        <f>C14 / ((1+'Study Parameters'!$C$12) ^ 'MFSP Baseline'!C11)</f>
        <v>29795538.843532547</v>
      </c>
      <c r="D15">
        <f>D14 / ((1+'Study Parameters'!$C$12) ^ 'MFSP Baseline'!D11)</f>
        <v>28313784.140195638</v>
      </c>
      <c r="E15">
        <f>E14 / ((1+'Study Parameters'!$C$12) ^ 'MFSP Baseline'!E11)</f>
        <v>26905718.220014863</v>
      </c>
      <c r="F15">
        <f>F14 / ((1+'Study Parameters'!$C$12) ^ 'MFSP Baseline'!F11)</f>
        <v>25567676.48401792</v>
      </c>
      <c r="G15">
        <f>G14 / ((1+'Study Parameters'!$C$12) ^ 'MFSP Baseline'!G11)</f>
        <v>24296176.576513704</v>
      </c>
      <c r="H15">
        <f>H14 / ((1+'Study Parameters'!$C$12) ^ 'MFSP Baseline'!H11)</f>
        <v>23087909.321995918</v>
      </c>
      <c r="I15">
        <f>I14 / ((1+'Study Parameters'!$C$12) ^ 'MFSP Baseline'!I11)</f>
        <v>21939730.112761404</v>
      </c>
      <c r="J15">
        <f>J14 / ((1+'Study Parameters'!$C$12) ^ 'MFSP Baseline'!J11)</f>
        <v>20848650.724828698</v>
      </c>
      <c r="K15">
        <f>K14 / ((1+'Study Parameters'!$C$12) ^ 'MFSP Baseline'!K11)</f>
        <v>19811831.540857174</v>
      </c>
      <c r="L15">
        <f>L14 / ((1+'Study Parameters'!$C$12) ^ 'MFSP Baseline'!L11)</f>
        <v>18826574.159826264</v>
      </c>
      <c r="M15">
        <f>M14 / ((1+'Study Parameters'!$C$12) ^ 'MFSP Baseline'!M11)</f>
        <v>17890314.374240987</v>
      </c>
      <c r="N15">
        <f>N14 / ((1+'Study Parameters'!$C$12) ^ 'MFSP Baseline'!N11)</f>
        <v>17000615.4965863</v>
      </c>
      <c r="O15">
        <f>O14 / ((1+'Study Parameters'!$C$12) ^ 'MFSP Baseline'!O11)</f>
        <v>16155162.017661991</v>
      </c>
      <c r="P15">
        <f>P14 / ((1+'Study Parameters'!$C$12) ^ 'MFSP Baseline'!P11)</f>
        <v>15351753.580293307</v>
      </c>
      <c r="Q15">
        <f>Q14 / ((1+'Study Parameters'!$C$12) ^ 'MFSP Baseline'!Q11)</f>
        <v>14588299.252733583</v>
      </c>
      <c r="R15">
        <f>R14 / ((1+'Study Parameters'!$C$12) ^ 'MFSP Baseline'!R11)</f>
        <v>13862812.086854843</v>
      </c>
      <c r="S15">
        <f>S14 / ((1+'Study Parameters'!$C$12) ^ 'MFSP Baseline'!S11)</f>
        <v>13173403.946963741</v>
      </c>
      <c r="T15">
        <f>T14 / ((1+'Study Parameters'!$C$12) ^ 'MFSP Baseline'!T11)</f>
        <v>12518280.595784359</v>
      </c>
      <c r="U15">
        <f>U14 / ((1+'Study Parameters'!$C$12) ^ 'MFSP Baseline'!U11)</f>
        <v>11895737.02481884</v>
      </c>
      <c r="V15">
        <f>V14 / ((1+'Study Parameters'!$C$12) ^ 'MFSP Baseline'!V11)</f>
        <v>11304153.016932694</v>
      </c>
      <c r="W15">
        <f>W14 / ((1+'Study Parameters'!$C$12) ^ 'MFSP Baseline'!W11)</f>
        <v>10741988.929616118</v>
      </c>
      <c r="X15">
        <f>X14 / ((1+'Study Parameters'!$C$12) ^ 'MFSP Baseline'!X11)</f>
        <v>10207781.687946895</v>
      </c>
      <c r="Y15">
        <f>Y14 / ((1+'Study Parameters'!$C$12) ^ 'MFSP Baseline'!Y11)</f>
        <v>9700140.9768263195</v>
      </c>
      <c r="Z15">
        <f>Z14 / ((1+'Study Parameters'!$C$12) ^ 'MFSP Baseline'!Z11)</f>
        <v>9217745.6225780658</v>
      </c>
      <c r="AA15">
        <f>AA14 / ((1+'Study Parameters'!$C$12) ^ 'MFSP Baseline'!AA11)</f>
        <v>8759340.154492937</v>
      </c>
    </row>
    <row r="17" spans="1:27">
      <c r="A17" t="s">
        <v>123</v>
      </c>
      <c r="B17" s="8">
        <f>SUM(B13:AA13) / SUM(B15:AA15)</f>
        <v>2.0712685303573388</v>
      </c>
    </row>
    <row r="19" spans="1:27">
      <c r="A19" t="s">
        <v>125</v>
      </c>
    </row>
    <row r="20" spans="1:27">
      <c r="A20" t="s">
        <v>1</v>
      </c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  <c r="M20">
        <v>11</v>
      </c>
      <c r="N20">
        <v>12</v>
      </c>
      <c r="O20">
        <v>13</v>
      </c>
      <c r="P20">
        <v>14</v>
      </c>
      <c r="Q20">
        <v>15</v>
      </c>
      <c r="R20">
        <v>16</v>
      </c>
      <c r="S20">
        <v>17</v>
      </c>
      <c r="T20">
        <v>18</v>
      </c>
      <c r="U20">
        <v>19</v>
      </c>
      <c r="V20">
        <v>20</v>
      </c>
      <c r="W20">
        <v>21</v>
      </c>
      <c r="X20">
        <v>22</v>
      </c>
      <c r="Y20">
        <v>23</v>
      </c>
      <c r="Z20">
        <v>24</v>
      </c>
      <c r="AA20">
        <v>25</v>
      </c>
    </row>
    <row r="21" spans="1:27">
      <c r="A21" t="s">
        <v>119</v>
      </c>
      <c r="B21" s="23">
        <f>'Cost Components'!N14 * 10^6</f>
        <v>258320000</v>
      </c>
      <c r="C21" s="23">
        <f>'Cost Components'!$N$35*10^6</f>
        <v>39178641.399539575</v>
      </c>
      <c r="D21" s="23">
        <f>'Cost Components'!$N$35*10^6</f>
        <v>39178641.399539575</v>
      </c>
      <c r="E21" s="23">
        <f>'Cost Components'!$N$35*10^6</f>
        <v>39178641.399539575</v>
      </c>
      <c r="F21" s="23">
        <f>'Cost Components'!$N$35*10^6</f>
        <v>39178641.399539575</v>
      </c>
      <c r="G21" s="23">
        <f>'Cost Components'!$N$35*10^6</f>
        <v>39178641.399539575</v>
      </c>
      <c r="H21" s="23">
        <f>'Cost Components'!$N$35*10^6</f>
        <v>39178641.399539575</v>
      </c>
      <c r="I21" s="23">
        <f>'Cost Components'!$N$35*10^6</f>
        <v>39178641.399539575</v>
      </c>
      <c r="J21" s="23">
        <f>'Cost Components'!$N$35*10^6</f>
        <v>39178641.399539575</v>
      </c>
      <c r="K21" s="23">
        <f>'Cost Components'!$N$35*10^6</f>
        <v>39178641.399539575</v>
      </c>
      <c r="L21" s="23">
        <f>'Cost Components'!$N$35*10^6</f>
        <v>39178641.399539575</v>
      </c>
      <c r="M21" s="23">
        <f>'Cost Components'!$N$35*10^6</f>
        <v>39178641.399539575</v>
      </c>
      <c r="N21" s="23">
        <f>'Cost Components'!$N$35*10^6</f>
        <v>39178641.399539575</v>
      </c>
      <c r="O21" s="23">
        <f>'Cost Components'!$N$35*10^6</f>
        <v>39178641.399539575</v>
      </c>
      <c r="P21" s="23">
        <f>'Cost Components'!$N$35*10^6</f>
        <v>39178641.399539575</v>
      </c>
      <c r="Q21" s="23">
        <f>'Cost Components'!$N$35*10^6</f>
        <v>39178641.399539575</v>
      </c>
      <c r="R21" s="23">
        <f>'Cost Components'!$N$35*10^6</f>
        <v>39178641.399539575</v>
      </c>
      <c r="S21" s="23">
        <f>'Cost Components'!$N$35*10^6</f>
        <v>39178641.399539575</v>
      </c>
      <c r="T21" s="23">
        <f>'Cost Components'!$N$35*10^6</f>
        <v>39178641.399539575</v>
      </c>
      <c r="U21" s="23">
        <f>'Cost Components'!$N$35*10^6</f>
        <v>39178641.399539575</v>
      </c>
      <c r="V21" s="23">
        <f>'Cost Components'!$N$35*10^6</f>
        <v>39178641.399539575</v>
      </c>
      <c r="W21" s="23">
        <f>'Cost Components'!$N$35*10^6</f>
        <v>39178641.399539575</v>
      </c>
      <c r="X21" s="23">
        <f>'Cost Components'!$N$35*10^6</f>
        <v>39178641.399539575</v>
      </c>
      <c r="Y21" s="23">
        <f>'Cost Components'!$N$35*10^6</f>
        <v>39178641.399539575</v>
      </c>
      <c r="Z21" s="23">
        <f>'Cost Components'!$N$35*10^6</f>
        <v>39178641.399539575</v>
      </c>
      <c r="AA21" s="23">
        <f>'Cost Components'!$N$35*10^6</f>
        <v>39178641.399539575</v>
      </c>
    </row>
    <row r="22" spans="1:27">
      <c r="A22" t="s">
        <v>120</v>
      </c>
      <c r="B22" s="24">
        <f>B21 / (1+'Study Parameters'!$C$14) ^'MFSP Baseline'!B20</f>
        <v>258320000</v>
      </c>
      <c r="C22" s="24">
        <f>C21/((1+'Study Parameters'!$C$14) ^'MFSP LCOE Corrected'!C20)</f>
        <v>37185498.670785472</v>
      </c>
      <c r="D22" s="24">
        <f>D21/((1+'Study Parameters'!$C$14) ^'MFSP LCOE Corrected'!D20)</f>
        <v>35293753.484040879</v>
      </c>
      <c r="E22" s="24">
        <f>E21/((1+'Study Parameters'!$C$14) ^'MFSP LCOE Corrected'!E20)</f>
        <v>33498247.422210399</v>
      </c>
      <c r="F22" s="24">
        <f>F21/((1+'Study Parameters'!$C$14) ^'MFSP LCOE Corrected'!F20)</f>
        <v>31794084.493365981</v>
      </c>
      <c r="G22" s="24">
        <f>G21/((1+'Study Parameters'!$C$14) ^'MFSP LCOE Corrected'!G20)</f>
        <v>30176617.780339763</v>
      </c>
      <c r="H22" s="24">
        <f>H21/((1+'Study Parameters'!$C$14) ^'MFSP LCOE Corrected'!H20)</f>
        <v>28641436.769494839</v>
      </c>
      <c r="I22" s="24">
        <f>I21/((1+'Study Parameters'!$C$14) ^'MFSP LCOE Corrected'!I20)</f>
        <v>27184355.324121904</v>
      </c>
      <c r="J22" s="24">
        <f>J21/((1+'Study Parameters'!$C$14) ^'MFSP LCOE Corrected'!J20)</f>
        <v>25801400.269667711</v>
      </c>
      <c r="K22" s="24">
        <f>K21/((1+'Study Parameters'!$C$14) ^'MFSP LCOE Corrected'!K20)</f>
        <v>24488800.559669431</v>
      </c>
      <c r="L22" s="24">
        <f>L21/((1+'Study Parameters'!$C$14) ^'MFSP LCOE Corrected'!L20)</f>
        <v>23242976.992852531</v>
      </c>
      <c r="M22" s="24">
        <f>M21/((1+'Study Parameters'!$C$14) ^'MFSP LCOE Corrected'!M20)</f>
        <v>22060532.45335282</v>
      </c>
      <c r="N22" s="24">
        <f>N21/((1+'Study Parameters'!$C$14) ^'MFSP LCOE Corrected'!N20)</f>
        <v>20938242.647449523</v>
      </c>
      <c r="O22" s="24">
        <f>O21/((1+'Study Parameters'!$C$14) ^'MFSP LCOE Corrected'!O20)</f>
        <v>19873047.311550416</v>
      </c>
      <c r="P22" s="24">
        <f>P21/((1+'Study Parameters'!$C$14) ^'MFSP LCOE Corrected'!P20)</f>
        <v>18862041.867454838</v>
      </c>
      <c r="Q22" s="24">
        <f>Q21/((1+'Study Parameters'!$C$14) ^'MFSP LCOE Corrected'!Q20)</f>
        <v>17902469.502140127</v>
      </c>
      <c r="R22" s="24">
        <f>R21/((1+'Study Parameters'!$C$14) ^'MFSP LCOE Corrected'!R20)</f>
        <v>16991713.650474682</v>
      </c>
      <c r="S22" s="24">
        <f>S21/((1+'Study Parameters'!$C$14) ^'MFSP LCOE Corrected'!S20)</f>
        <v>16127290.860359415</v>
      </c>
      <c r="T22" s="24">
        <f>T21/((1+'Study Parameters'!$C$14) ^'MFSP LCOE Corrected'!T20)</f>
        <v>15306844.020842269</v>
      </c>
      <c r="U22" s="24">
        <f>U21/((1+'Study Parameters'!$C$14) ^'MFSP LCOE Corrected'!U20)</f>
        <v>14528135.934740195</v>
      </c>
      <c r="V22" s="24">
        <f>V21/((1+'Study Parameters'!$C$14) ^'MFSP LCOE Corrected'!V20)</f>
        <v>13789043.218242401</v>
      </c>
      <c r="W22" s="24">
        <f>W21/((1+'Study Parameters'!$C$14) ^'MFSP LCOE Corrected'!W20)</f>
        <v>13087550.510860287</v>
      </c>
      <c r="X22" s="24">
        <f>X21/((1+'Study Parameters'!$C$14) ^'MFSP LCOE Corrected'!X20)</f>
        <v>12421744.97993573</v>
      </c>
      <c r="Y22" s="24">
        <f>Y21/((1+'Study Parameters'!$C$14) ^'MFSP LCOE Corrected'!Y20)</f>
        <v>11789811.104722599</v>
      </c>
      <c r="Z22" s="24">
        <f>Z21/((1+'Study Parameters'!$C$14) ^'MFSP LCOE Corrected'!Z20)</f>
        <v>11190025.725818714</v>
      </c>
      <c r="AA22" s="24">
        <f>AA21/((1+'Study Parameters'!$C$14) ^'MFSP LCOE Corrected'!AA20)</f>
        <v>10620753.346449045</v>
      </c>
    </row>
    <row r="23" spans="1:27">
      <c r="A23" t="s">
        <v>121</v>
      </c>
      <c r="B23">
        <v>0</v>
      </c>
      <c r="C23">
        <f>'Study Parameters'!$C$20</f>
        <v>31354838.709677417</v>
      </c>
      <c r="D23">
        <f>'Study Parameters'!$C$20</f>
        <v>31354838.709677417</v>
      </c>
      <c r="E23">
        <f>'Study Parameters'!$C$20</f>
        <v>31354838.709677417</v>
      </c>
      <c r="F23">
        <f>'Study Parameters'!$C$20</f>
        <v>31354838.709677417</v>
      </c>
      <c r="G23">
        <f>'Study Parameters'!$C$20</f>
        <v>31354838.709677417</v>
      </c>
      <c r="H23">
        <f>'Study Parameters'!$C$20</f>
        <v>31354838.709677417</v>
      </c>
      <c r="I23">
        <f>'Study Parameters'!$C$20</f>
        <v>31354838.709677417</v>
      </c>
      <c r="J23">
        <f>'Study Parameters'!$C$20</f>
        <v>31354838.709677417</v>
      </c>
      <c r="K23">
        <f>'Study Parameters'!$C$20</f>
        <v>31354838.709677417</v>
      </c>
      <c r="L23">
        <f>'Study Parameters'!$C$20</f>
        <v>31354838.709677417</v>
      </c>
      <c r="M23">
        <f>'Study Parameters'!$C$20</f>
        <v>31354838.709677417</v>
      </c>
      <c r="N23">
        <f>'Study Parameters'!$C$20</f>
        <v>31354838.709677417</v>
      </c>
      <c r="O23">
        <f>'Study Parameters'!$C$20</f>
        <v>31354838.709677417</v>
      </c>
      <c r="P23">
        <f>'Study Parameters'!$C$20</f>
        <v>31354838.709677417</v>
      </c>
      <c r="Q23">
        <f>'Study Parameters'!$C$20</f>
        <v>31354838.709677417</v>
      </c>
      <c r="R23">
        <f>'Study Parameters'!$C$20</f>
        <v>31354838.709677417</v>
      </c>
      <c r="S23">
        <f>'Study Parameters'!$C$20</f>
        <v>31354838.709677417</v>
      </c>
      <c r="T23">
        <f>'Study Parameters'!$C$20</f>
        <v>31354838.709677417</v>
      </c>
      <c r="U23">
        <f>'Study Parameters'!$C$20</f>
        <v>31354838.709677417</v>
      </c>
      <c r="V23">
        <f>'Study Parameters'!$C$20</f>
        <v>31354838.709677417</v>
      </c>
      <c r="W23">
        <f>'Study Parameters'!$C$20</f>
        <v>31354838.709677417</v>
      </c>
      <c r="X23">
        <f>'Study Parameters'!$C$20</f>
        <v>31354838.709677417</v>
      </c>
      <c r="Y23">
        <f>'Study Parameters'!$C$20</f>
        <v>31354838.709677417</v>
      </c>
      <c r="Z23">
        <f>'Study Parameters'!$C$20</f>
        <v>31354838.709677417</v>
      </c>
      <c r="AA23">
        <f>'Study Parameters'!$C$20</f>
        <v>31354838.709677417</v>
      </c>
    </row>
    <row r="24" spans="1:27">
      <c r="A24" t="s">
        <v>122</v>
      </c>
      <c r="B24">
        <f>B23 / (1+'Study Parameters'!$C$12) ^ 'MFSP Baseline'!B20</f>
        <v>0</v>
      </c>
      <c r="C24">
        <f>C23/((1+'Study Parameters'!$C$14) ^ ('MFSP LCOE Corrected'!C20))</f>
        <v>29759717.833786462</v>
      </c>
      <c r="D24">
        <f>D23/((1+'Study Parameters'!$C$14) ^ ('MFSP LCOE Corrected'!D20))</f>
        <v>28245745.855909701</v>
      </c>
      <c r="E24">
        <f>E23/((1+'Study Parameters'!$C$14) ^ ('MFSP LCOE Corrected'!E20))</f>
        <v>26808794.472199786</v>
      </c>
      <c r="F24">
        <f>F23/((1+'Study Parameters'!$C$14) ^ ('MFSP LCOE Corrected'!F20))</f>
        <v>25444945.398822881</v>
      </c>
      <c r="G24">
        <f>G23/((1+'Study Parameters'!$C$14) ^ ('MFSP LCOE Corrected'!G20))</f>
        <v>24150479.687569167</v>
      </c>
      <c r="H24">
        <f>H23/((1+'Study Parameters'!$C$14) ^ ('MFSP LCOE Corrected'!H20))</f>
        <v>22921867.585012499</v>
      </c>
      <c r="I24">
        <f>I23/((1+'Study Parameters'!$C$14) ^ ('MFSP LCOE Corrected'!I20))</f>
        <v>21755758.907566909</v>
      </c>
      <c r="J24">
        <f>J23/((1+'Study Parameters'!$C$14) ^ ('MFSP LCOE Corrected'!J20))</f>
        <v>20648973.906194866</v>
      </c>
      <c r="K24">
        <f>K23/((1+'Study Parameters'!$C$14) ^ ('MFSP LCOE Corrected'!K20))</f>
        <v>19598494.595856931</v>
      </c>
      <c r="L24">
        <f>L23/((1+'Study Parameters'!$C$14) ^ ('MFSP LCOE Corrected'!L20))</f>
        <v>18601456.526060108</v>
      </c>
      <c r="M24">
        <f>M23/((1+'Study Parameters'!$C$14) ^ ('MFSP LCOE Corrected'!M20))</f>
        <v>17655140.970064644</v>
      </c>
      <c r="N24">
        <f>N23/((1+'Study Parameters'!$C$14) ^ ('MFSP LCOE Corrected'!N20))</f>
        <v>16756967.511450874</v>
      </c>
      <c r="O24">
        <f>O23/((1+'Study Parameters'!$C$14) ^ ('MFSP LCOE Corrected'!O20))</f>
        <v>15904487.007831123</v>
      </c>
      <c r="P24">
        <f>P23/((1+'Study Parameters'!$C$14) ^ ('MFSP LCOE Corrected'!P20))</f>
        <v>15095374.912520049</v>
      </c>
      <c r="Q24">
        <f>Q23/((1+'Study Parameters'!$C$14) ^ ('MFSP LCOE Corrected'!Q20))</f>
        <v>14327424.935952969</v>
      </c>
      <c r="R24">
        <f>R23/((1+'Study Parameters'!$C$14) ^ ('MFSP LCOE Corrected'!R20))</f>
        <v>13598543.029568117</v>
      </c>
      <c r="S24">
        <f>S23/((1+'Study Parameters'!$C$14) ^ ('MFSP LCOE Corrected'!S20))</f>
        <v>12906741.67574802</v>
      </c>
      <c r="T24">
        <f>T23/((1+'Study Parameters'!$C$14) ^ ('MFSP LCOE Corrected'!T20))</f>
        <v>12250134.468249829</v>
      </c>
      <c r="U24">
        <f>U23/((1+'Study Parameters'!$C$14) ^ ('MFSP LCOE Corrected'!U20))</f>
        <v>11626930.96834646</v>
      </c>
      <c r="V24">
        <f>V23/((1+'Study Parameters'!$C$14) ^ ('MFSP LCOE Corrected'!V20))</f>
        <v>11035431.822652295</v>
      </c>
      <c r="W24">
        <f>W23/((1+'Study Parameters'!$C$14) ^ ('MFSP LCOE Corrected'!W20))</f>
        <v>10474024.129320703</v>
      </c>
      <c r="X24">
        <f>X23/((1+'Study Parameters'!$C$14) ^ ('MFSP LCOE Corrected'!X20))</f>
        <v>9941177.0399778876</v>
      </c>
      <c r="Y24">
        <f>Y23/((1+'Study Parameters'!$C$14) ^ ('MFSP LCOE Corrected'!Y20))</f>
        <v>9435437.5854004249</v>
      </c>
      <c r="Z24">
        <f>Z23/((1+'Study Parameters'!$C$14) ^ ('MFSP LCOE Corrected'!Z20))</f>
        <v>8955426.7135539334</v>
      </c>
      <c r="AA24">
        <f>AA23/((1+'Study Parameters'!$C$14) ^ ('MFSP LCOE Corrected'!AA20))</f>
        <v>8499835.5291893817</v>
      </c>
    </row>
    <row r="26" spans="1:27">
      <c r="A26" t="s">
        <v>123</v>
      </c>
      <c r="B26" s="8">
        <f>SUM(B22:AA22) / SUM(B24:AA24)</f>
        <v>1.8553416824414148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A26"/>
  <sheetViews>
    <sheetView workbookViewId="0">
      <selection activeCell="D17" sqref="D17"/>
    </sheetView>
  </sheetViews>
  <sheetFormatPr defaultColWidth="11" defaultRowHeight="15.75"/>
  <cols>
    <col min="1" max="1" width="26.875" bestFit="1" customWidth="1"/>
    <col min="2" max="27" width="15.5" bestFit="1" customWidth="1"/>
  </cols>
  <sheetData>
    <row r="1" spans="1:27">
      <c r="A1" t="s">
        <v>118</v>
      </c>
    </row>
    <row r="2" spans="1:27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>
      <c r="A3" t="s">
        <v>119</v>
      </c>
      <c r="B3" s="11">
        <f>'Cost Components'!B14 * 10^6</f>
        <v>362670000</v>
      </c>
      <c r="C3" s="11">
        <f>'Cost Components'!$B$37*10^6</f>
        <v>88789725.937270001</v>
      </c>
      <c r="D3" s="11">
        <f>'Cost Components'!$B$37*10^6</f>
        <v>88789725.937270001</v>
      </c>
      <c r="E3" s="11">
        <f>'Cost Components'!$B$37*10^6</f>
        <v>88789725.937270001</v>
      </c>
      <c r="F3" s="11">
        <f>'Cost Components'!$B$37*10^6</f>
        <v>88789725.937270001</v>
      </c>
      <c r="G3" s="11">
        <f>'Cost Components'!$B$37*10^6</f>
        <v>88789725.937270001</v>
      </c>
      <c r="H3" s="11">
        <f>'Cost Components'!$B$37*10^6</f>
        <v>88789725.937270001</v>
      </c>
      <c r="I3" s="11">
        <f>'Cost Components'!$B$37*10^6</f>
        <v>88789725.937270001</v>
      </c>
      <c r="J3" s="11">
        <f>'Cost Components'!$B$37*10^6</f>
        <v>88789725.937270001</v>
      </c>
      <c r="K3" s="11">
        <f>'Cost Components'!$B$37*10^6</f>
        <v>88789725.937270001</v>
      </c>
      <c r="L3" s="11">
        <f>'Cost Components'!$B$37*10^6</f>
        <v>88789725.937270001</v>
      </c>
      <c r="M3" s="11">
        <f>'Cost Components'!$B$37*10^6</f>
        <v>88789725.937270001</v>
      </c>
      <c r="N3" s="11">
        <f>'Cost Components'!$B$37*10^6</f>
        <v>88789725.937270001</v>
      </c>
      <c r="O3" s="11">
        <f>'Cost Components'!$B$37*10^6</f>
        <v>88789725.937270001</v>
      </c>
      <c r="P3" s="11">
        <f>'Cost Components'!$B$37*10^6</f>
        <v>88789725.937270001</v>
      </c>
      <c r="Q3" s="11">
        <f>'Cost Components'!$B$37*10^6</f>
        <v>88789725.937270001</v>
      </c>
      <c r="R3" s="11">
        <f>'Cost Components'!$B$37*10^6</f>
        <v>88789725.937270001</v>
      </c>
      <c r="S3" s="11">
        <f>'Cost Components'!$B$37*10^6</f>
        <v>88789725.937270001</v>
      </c>
      <c r="T3" s="11">
        <f>'Cost Components'!$B$37*10^6</f>
        <v>88789725.937270001</v>
      </c>
      <c r="U3" s="11">
        <f>'Cost Components'!$B$37*10^6</f>
        <v>88789725.937270001</v>
      </c>
      <c r="V3" s="11">
        <f>'Cost Components'!$B$37*10^6</f>
        <v>88789725.937270001</v>
      </c>
      <c r="W3" s="11">
        <f>'Cost Components'!$B$37*10^6</f>
        <v>88789725.937270001</v>
      </c>
      <c r="X3" s="11">
        <f>'Cost Components'!$B$37*10^6</f>
        <v>88789725.937270001</v>
      </c>
      <c r="Y3" s="11">
        <f>'Cost Components'!$B$37*10^6</f>
        <v>88789725.937270001</v>
      </c>
      <c r="Z3" s="11">
        <f>'Cost Components'!$B$37*10^6</f>
        <v>88789725.937270001</v>
      </c>
      <c r="AA3" s="11">
        <f>'Cost Components'!$B$37*10^6</f>
        <v>88789725.937270001</v>
      </c>
    </row>
    <row r="4" spans="1:27">
      <c r="A4" t="s">
        <v>120</v>
      </c>
      <c r="B4" s="8">
        <f>B3 / (1+'Study Parameters'!$C$12) ^'MFSP Baseline'!B2</f>
        <v>362670000</v>
      </c>
      <c r="C4" s="8">
        <f>C3 / (1+'Study Parameters'!$C$12) ^'MFSP Baseline'!C2</f>
        <v>84374145.648340195</v>
      </c>
      <c r="D4" s="8">
        <f>D3 / (1+'Study Parameters'!$C$12) ^'MFSP Baseline'!D2</f>
        <v>80178155.509984344</v>
      </c>
      <c r="E4" s="8">
        <f>E3 / (1+'Study Parameters'!$C$12) ^'MFSP Baseline'!E2</f>
        <v>76190835.137774169</v>
      </c>
      <c r="F4" s="8">
        <f>F3 / (1+'Study Parameters'!$C$12) ^'MFSP Baseline'!F2</f>
        <v>72401807.22626622</v>
      </c>
      <c r="G4" s="8">
        <f>G3 / (1+'Study Parameters'!$C$12) ^'MFSP Baseline'!G2</f>
        <v>68801210.541272938</v>
      </c>
      <c r="H4" s="8">
        <f>H3 / (1+'Study Parameters'!$C$12) ^'MFSP Baseline'!H2</f>
        <v>65379674.255248271</v>
      </c>
      <c r="I4" s="8">
        <f>I3 / (1+'Study Parameters'!$C$12) ^'MFSP Baseline'!I2</f>
        <v>62128293.558994249</v>
      </c>
      <c r="J4" s="8">
        <f>J3 / (1+'Study Parameters'!$C$12) ^'MFSP Baseline'!J2</f>
        <v>59038606.486215621</v>
      </c>
      <c r="K4" s="8">
        <f>K3 / (1+'Study Parameters'!$C$12) ^'MFSP Baseline'!K2</f>
        <v>56102571.890607178</v>
      </c>
      <c r="L4" s="8">
        <f>L3 / (1+'Study Parameters'!$C$12) ^'MFSP Baseline'!L2</f>
        <v>53312548.518156961</v>
      </c>
      <c r="M4" s="8">
        <f>M3 / (1+'Study Parameters'!$C$12) ^'MFSP Baseline'!M2</f>
        <v>50661275.120199837</v>
      </c>
      <c r="N4" s="8">
        <f>N3 / (1+'Study Parameters'!$C$12) ^'MFSP Baseline'!N2</f>
        <v>48141851.55546388</v>
      </c>
      <c r="O4" s="8">
        <f>O3 / (1+'Study Parameters'!$C$12) ^'MFSP Baseline'!O2</f>
        <v>45747720.831926405</v>
      </c>
      <c r="P4" s="8">
        <f>P3 / (1+'Study Parameters'!$C$12) ^'MFSP Baseline'!P2</f>
        <v>43472652.041741908</v>
      </c>
      <c r="Q4" s="8">
        <f>Q3 / (1+'Study Parameters'!$C$12) ^'MFSP Baseline'!Q2</f>
        <v>41310724.144829184</v>
      </c>
      <c r="R4" s="8">
        <f>R3 / (1+'Study Parameters'!$C$12) ^'MFSP Baseline'!R2</f>
        <v>39256310.558912747</v>
      </c>
      <c r="S4" s="8">
        <f>S3 / (1+'Study Parameters'!$C$12) ^'MFSP Baseline'!S2</f>
        <v>37304064.515913278</v>
      </c>
      <c r="T4" s="8">
        <f>T3 / (1+'Study Parameters'!$C$12) ^'MFSP Baseline'!T2</f>
        <v>35448905.146575809</v>
      </c>
      <c r="U4" s="8">
        <f>U3 / (1+'Study Parameters'!$C$12) ^'MFSP Baseline'!U2</f>
        <v>33686004.257119872</v>
      </c>
      <c r="V4" s="8">
        <f>V3 / (1+'Study Parameters'!$C$12) ^'MFSP Baseline'!V2</f>
        <v>32010773.763496865</v>
      </c>
      <c r="W4" s="8">
        <f>W3 / (1+'Study Parameters'!$C$12) ^'MFSP Baseline'!W2</f>
        <v>30418853.750551343</v>
      </c>
      <c r="X4" s="8">
        <f>X3 / (1+'Study Parameters'!$C$12) ^'MFSP Baseline'!X2</f>
        <v>28906101.125009194</v>
      </c>
      <c r="Y4" s="8">
        <f>Y3 / (1+'Study Parameters'!$C$12) ^'MFSP Baseline'!Y2</f>
        <v>27468578.832761355</v>
      </c>
      <c r="Z4" s="8">
        <f>Z3 / (1+'Study Parameters'!$C$12) ^'MFSP Baseline'!Z2</f>
        <v>26102545.612380121</v>
      </c>
      <c r="AA4" s="8">
        <f>AA3 / (1+'Study Parameters'!$C$12) ^'MFSP Baseline'!AA2</f>
        <v>24804446.258200943</v>
      </c>
    </row>
    <row r="5" spans="1:27">
      <c r="A5" t="s">
        <v>121</v>
      </c>
      <c r="B5">
        <v>0</v>
      </c>
      <c r="C5">
        <f>'Study Parameters'!$C$20</f>
        <v>31354838.709677417</v>
      </c>
      <c r="D5">
        <f>'Study Parameters'!$C$20</f>
        <v>31354838.709677417</v>
      </c>
      <c r="E5">
        <f>'Study Parameters'!$C$20</f>
        <v>31354838.709677417</v>
      </c>
      <c r="F5">
        <f>'Study Parameters'!$C$20</f>
        <v>31354838.709677417</v>
      </c>
      <c r="G5">
        <f>'Study Parameters'!$C$20</f>
        <v>31354838.709677417</v>
      </c>
      <c r="H5">
        <f>'Study Parameters'!$C$20</f>
        <v>31354838.709677417</v>
      </c>
      <c r="I5">
        <f>'Study Parameters'!$C$20</f>
        <v>31354838.709677417</v>
      </c>
      <c r="J5">
        <f>'Study Parameters'!$C$20</f>
        <v>31354838.709677417</v>
      </c>
      <c r="K5">
        <f>'Study Parameters'!$C$20</f>
        <v>31354838.709677417</v>
      </c>
      <c r="L5">
        <f>'Study Parameters'!$C$20</f>
        <v>31354838.709677417</v>
      </c>
      <c r="M5">
        <f>'Study Parameters'!$C$20</f>
        <v>31354838.709677417</v>
      </c>
      <c r="N5">
        <f>'Study Parameters'!$C$20</f>
        <v>31354838.709677417</v>
      </c>
      <c r="O5">
        <f>'Study Parameters'!$C$20</f>
        <v>31354838.709677417</v>
      </c>
      <c r="P5">
        <f>'Study Parameters'!$C$20</f>
        <v>31354838.709677417</v>
      </c>
      <c r="Q5">
        <f>'Study Parameters'!$C$20</f>
        <v>31354838.709677417</v>
      </c>
      <c r="R5">
        <f>'Study Parameters'!$C$20</f>
        <v>31354838.709677417</v>
      </c>
      <c r="S5">
        <f>'Study Parameters'!$C$20</f>
        <v>31354838.709677417</v>
      </c>
      <c r="T5">
        <f>'Study Parameters'!$C$20</f>
        <v>31354838.709677417</v>
      </c>
      <c r="U5">
        <f>'Study Parameters'!$C$20</f>
        <v>31354838.709677417</v>
      </c>
      <c r="V5">
        <f>'Study Parameters'!$C$20</f>
        <v>31354838.709677417</v>
      </c>
      <c r="W5">
        <f>'Study Parameters'!$C$20</f>
        <v>31354838.709677417</v>
      </c>
      <c r="X5">
        <f>'Study Parameters'!$C$20</f>
        <v>31354838.709677417</v>
      </c>
      <c r="Y5">
        <f>'Study Parameters'!$C$20</f>
        <v>31354838.709677417</v>
      </c>
      <c r="Z5">
        <f>'Study Parameters'!$C$20</f>
        <v>31354838.709677417</v>
      </c>
      <c r="AA5">
        <f>'Study Parameters'!$C$20</f>
        <v>31354838.709677417</v>
      </c>
    </row>
    <row r="6" spans="1:27">
      <c r="A6" t="s">
        <v>122</v>
      </c>
      <c r="B6">
        <f>B5 / (1+'Study Parameters'!$C$12) ^ 'MFSP Baseline'!B2</f>
        <v>0</v>
      </c>
      <c r="C6">
        <f>C5 / (1+'Study Parameters'!$C$12) ^ 'MFSP Baseline'!C2</f>
        <v>29795538.843532547</v>
      </c>
      <c r="D6">
        <f>D5 / (1+'Study Parameters'!$C$12) ^ 'MFSP Baseline'!D2</f>
        <v>28313784.140195638</v>
      </c>
      <c r="E6">
        <f>E5 / (1+'Study Parameters'!$C$12) ^ 'MFSP Baseline'!E2</f>
        <v>26905718.220014863</v>
      </c>
      <c r="F6">
        <f>F5 / (1+'Study Parameters'!$C$12) ^ 'MFSP Baseline'!F2</f>
        <v>25567676.48401792</v>
      </c>
      <c r="G6">
        <f>G5 / (1+'Study Parameters'!$C$12) ^ 'MFSP Baseline'!G2</f>
        <v>24296176.576513704</v>
      </c>
      <c r="H6">
        <f>H5 / (1+'Study Parameters'!$C$12) ^ 'MFSP Baseline'!H2</f>
        <v>23087909.321995918</v>
      </c>
      <c r="I6">
        <f>I5 / (1+'Study Parameters'!$C$12) ^ 'MFSP Baseline'!I2</f>
        <v>21939730.112761404</v>
      </c>
      <c r="J6">
        <f>J5 / (1+'Study Parameters'!$C$12) ^ 'MFSP Baseline'!J2</f>
        <v>20848650.724828698</v>
      </c>
      <c r="K6">
        <f>K5 / (1+'Study Parameters'!$C$12) ^ 'MFSP Baseline'!K2</f>
        <v>19811831.540857174</v>
      </c>
      <c r="L6">
        <f>L5 / (1+'Study Parameters'!$C$12) ^ 'MFSP Baseline'!L2</f>
        <v>18826574.159826264</v>
      </c>
      <c r="M6">
        <f>M5 / (1+'Study Parameters'!$C$12) ^ 'MFSP Baseline'!M2</f>
        <v>17890314.374240987</v>
      </c>
      <c r="N6">
        <f>N5 / (1+'Study Parameters'!$C$12) ^ 'MFSP Baseline'!N2</f>
        <v>17000615.4965863</v>
      </c>
      <c r="O6">
        <f>O5 / (1+'Study Parameters'!$C$12) ^ 'MFSP Baseline'!O2</f>
        <v>16155162.017661991</v>
      </c>
      <c r="P6">
        <f>P5 / (1+'Study Parameters'!$C$12) ^ 'MFSP Baseline'!P2</f>
        <v>15351753.580293307</v>
      </c>
      <c r="Q6">
        <f>Q5 / (1+'Study Parameters'!$C$12) ^ 'MFSP Baseline'!Q2</f>
        <v>14588299.252733583</v>
      </c>
      <c r="R6">
        <f>R5 / (1+'Study Parameters'!$C$12) ^ 'MFSP Baseline'!R2</f>
        <v>13862812.086854843</v>
      </c>
      <c r="S6">
        <f>S5 / (1+'Study Parameters'!$C$12) ^ 'MFSP Baseline'!S2</f>
        <v>13173403.946963741</v>
      </c>
      <c r="T6">
        <f>T5 / (1+'Study Parameters'!$C$12) ^ 'MFSP Baseline'!T2</f>
        <v>12518280.595784359</v>
      </c>
      <c r="U6">
        <f>U5 / (1+'Study Parameters'!$C$12) ^ 'MFSP Baseline'!U2</f>
        <v>11895737.02481884</v>
      </c>
      <c r="V6">
        <f>V5 / (1+'Study Parameters'!$C$12) ^ 'MFSP Baseline'!V2</f>
        <v>11304153.016932694</v>
      </c>
      <c r="W6">
        <f>W5 / (1+'Study Parameters'!$C$12) ^ 'MFSP Baseline'!W2</f>
        <v>10741988.929616118</v>
      </c>
      <c r="X6">
        <f>X5 / (1+'Study Parameters'!$C$12) ^ 'MFSP Baseline'!X2</f>
        <v>10207781.687946895</v>
      </c>
      <c r="Y6">
        <f>Y5 / (1+'Study Parameters'!$C$12) ^ 'MFSP Baseline'!Y2</f>
        <v>9700140.9768263195</v>
      </c>
      <c r="Z6">
        <f>Z5 / (1+'Study Parameters'!$C$12) ^ 'MFSP Baseline'!Z2</f>
        <v>9217745.6225780658</v>
      </c>
      <c r="AA6">
        <f>AA5 / (1+'Study Parameters'!$C$12) ^ 'MFSP Baseline'!AA2</f>
        <v>8759340.154492937</v>
      </c>
    </row>
    <row r="8" spans="1:27">
      <c r="A8" t="s">
        <v>123</v>
      </c>
      <c r="B8" s="8">
        <f>SUM(B4:AA4) / SUM(B6:AA6)</f>
        <v>3.6717494626837071</v>
      </c>
    </row>
    <row r="10" spans="1:27">
      <c r="A10" t="s">
        <v>124</v>
      </c>
    </row>
    <row r="11" spans="1:27">
      <c r="A11" t="s">
        <v>1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</row>
    <row r="12" spans="1:27">
      <c r="A12" t="s">
        <v>119</v>
      </c>
      <c r="B12" s="11">
        <f>'Cost Components'!H14 * 10 ^ 6</f>
        <v>325320000</v>
      </c>
      <c r="C12" s="11">
        <f>'Cost Components'!$H$37 * 10 ^ 6</f>
        <v>69725991.39953956</v>
      </c>
      <c r="D12" s="11">
        <f>'Cost Components'!$H$37 * 10 ^ 6</f>
        <v>69725991.39953956</v>
      </c>
      <c r="E12" s="11">
        <f>'Cost Components'!$H$37 * 10 ^ 6</f>
        <v>69725991.39953956</v>
      </c>
      <c r="F12" s="11">
        <f>'Cost Components'!$H$37 * 10 ^ 6</f>
        <v>69725991.39953956</v>
      </c>
      <c r="G12" s="11">
        <f>'Cost Components'!$H$37 * 10 ^ 6</f>
        <v>69725991.39953956</v>
      </c>
      <c r="H12" s="11">
        <f>'Cost Components'!$H$37 * 10 ^ 6</f>
        <v>69725991.39953956</v>
      </c>
      <c r="I12" s="11">
        <f>'Cost Components'!$H$37 * 10 ^ 6</f>
        <v>69725991.39953956</v>
      </c>
      <c r="J12" s="11">
        <f>'Cost Components'!$H$37 * 10 ^ 6</f>
        <v>69725991.39953956</v>
      </c>
      <c r="K12" s="11">
        <f>'Cost Components'!$H$37 * 10 ^ 6</f>
        <v>69725991.39953956</v>
      </c>
      <c r="L12" s="11">
        <f>'Cost Components'!$H$37 * 10 ^ 6</f>
        <v>69725991.39953956</v>
      </c>
      <c r="M12" s="11">
        <f>'Cost Components'!$H$37 * 10 ^ 6</f>
        <v>69725991.39953956</v>
      </c>
      <c r="N12" s="11">
        <f>'Cost Components'!$H$37 * 10 ^ 6</f>
        <v>69725991.39953956</v>
      </c>
      <c r="O12" s="11">
        <f>'Cost Components'!$H$37 * 10 ^ 6</f>
        <v>69725991.39953956</v>
      </c>
      <c r="P12" s="11">
        <f>'Cost Components'!$H$37 * 10 ^ 6</f>
        <v>69725991.39953956</v>
      </c>
      <c r="Q12" s="11">
        <f>'Cost Components'!$H$37 * 10 ^ 6</f>
        <v>69725991.39953956</v>
      </c>
      <c r="R12" s="11">
        <f>'Cost Components'!$H$37 * 10 ^ 6</f>
        <v>69725991.39953956</v>
      </c>
      <c r="S12" s="11">
        <f>'Cost Components'!$H$37 * 10 ^ 6</f>
        <v>69725991.39953956</v>
      </c>
      <c r="T12" s="11">
        <f>'Cost Components'!$H$37 * 10 ^ 6</f>
        <v>69725991.39953956</v>
      </c>
      <c r="U12" s="11">
        <f>'Cost Components'!$H$37 * 10 ^ 6</f>
        <v>69725991.39953956</v>
      </c>
      <c r="V12" s="11">
        <f>'Cost Components'!$H$37 * 10 ^ 6</f>
        <v>69725991.39953956</v>
      </c>
      <c r="W12" s="11">
        <f>'Cost Components'!$H$37 * 10 ^ 6</f>
        <v>69725991.39953956</v>
      </c>
      <c r="X12" s="11">
        <f>'Cost Components'!$H$37 * 10 ^ 6</f>
        <v>69725991.39953956</v>
      </c>
      <c r="Y12" s="11">
        <f>'Cost Components'!$H$37 * 10 ^ 6</f>
        <v>69725991.39953956</v>
      </c>
      <c r="Z12" s="11">
        <f>'Cost Components'!$H$37 * 10 ^ 6</f>
        <v>69725991.39953956</v>
      </c>
      <c r="AA12" s="11">
        <f>'Cost Components'!$H$37 * 10 ^ 6</f>
        <v>69725991.39953956</v>
      </c>
    </row>
    <row r="13" spans="1:27">
      <c r="A13" t="s">
        <v>120</v>
      </c>
      <c r="B13" s="8">
        <f>B12 / (1+'Study Parameters'!$C$12) ^'MFSP Baseline'!B11</f>
        <v>325320000</v>
      </c>
      <c r="C13" s="8">
        <f>C12 / (1+'Study Parameters'!$C$12) ^'MFSP Baseline'!C11</f>
        <v>66258465.061329961</v>
      </c>
      <c r="D13" s="8">
        <f>D12 / (1+'Study Parameters'!$C$12) ^'MFSP Baseline'!D11</f>
        <v>62963381.433002807</v>
      </c>
      <c r="E13" s="8">
        <f>E12 / (1+'Study Parameters'!$C$12) ^'MFSP Baseline'!E11</f>
        <v>59832164.808048286</v>
      </c>
      <c r="F13" s="8">
        <f>F12 / (1+'Study Parameters'!$C$12) ^'MFSP Baseline'!F11</f>
        <v>56856665.956333488</v>
      </c>
      <c r="G13" s="8">
        <f>G12 / (1+'Study Parameters'!$C$12) ^'MFSP Baseline'!G11</f>
        <v>54029140.915109426</v>
      </c>
      <c r="H13" s="8">
        <f>H12 / (1+'Study Parameters'!$C$12) ^'MFSP Baseline'!H11</f>
        <v>51342230.834757134</v>
      </c>
      <c r="I13" s="8">
        <f>I12 / (1+'Study Parameters'!$C$12) ^'MFSP Baseline'!I11</f>
        <v>48788942.826820217</v>
      </c>
      <c r="J13" s="8">
        <f>J12 / (1+'Study Parameters'!$C$12) ^'MFSP Baseline'!J11</f>
        <v>46362631.764479131</v>
      </c>
      <c r="K13" s="8">
        <f>K12 / (1+'Study Parameters'!$C$12) ^'MFSP Baseline'!K11</f>
        <v>44056982.988101803</v>
      </c>
      <c r="L13" s="8">
        <f>L12 / (1+'Study Parameters'!$C$12) ^'MFSP Baseline'!L11</f>
        <v>41865995.870860122</v>
      </c>
      <c r="M13" s="8">
        <f>M12 / (1+'Study Parameters'!$C$12) ^'MFSP Baseline'!M11</f>
        <v>39783968.201640911</v>
      </c>
      <c r="N13" s="8">
        <f>N12 / (1+'Study Parameters'!$C$12) ^'MFSP Baseline'!N11</f>
        <v>37805481.344606504</v>
      </c>
      <c r="O13" s="8">
        <f>O12 / (1+'Study Parameters'!$C$12) ^'MFSP Baseline'!O11</f>
        <v>35925386.136781596</v>
      </c>
      <c r="P13" s="8">
        <f>P12 / (1+'Study Parameters'!$C$12) ^'MFSP Baseline'!P11</f>
        <v>34138789.486963823</v>
      </c>
      <c r="Q13" s="8">
        <f>Q12 / (1+'Study Parameters'!$C$12) ^'MFSP Baseline'!Q11</f>
        <v>32441041.641080607</v>
      </c>
      <c r="R13" s="8">
        <f>R12 / (1+'Study Parameters'!$C$12) ^'MFSP Baseline'!R11</f>
        <v>30827724.08084948</v>
      </c>
      <c r="S13" s="8">
        <f>S12 / (1+'Study Parameters'!$C$12) ^'MFSP Baseline'!S11</f>
        <v>29294638.024247207</v>
      </c>
      <c r="T13" s="8">
        <f>T12 / (1+'Study Parameters'!$C$12) ^'MFSP Baseline'!T11</f>
        <v>27837793.49785924</v>
      </c>
      <c r="U13" s="8">
        <f>U12 / (1+'Study Parameters'!$C$12) ^'MFSP Baseline'!U11</f>
        <v>26453398.952669535</v>
      </c>
      <c r="V13" s="8">
        <f>V12 / (1+'Study Parameters'!$C$12) ^'MFSP Baseline'!V11</f>
        <v>25137851.396264996</v>
      </c>
      <c r="W13" s="8">
        <f>W12 / (1+'Study Parameters'!$C$12) ^'MFSP Baseline'!W11</f>
        <v>23887727.015772883</v>
      </c>
      <c r="X13" s="8">
        <f>X12 / (1+'Study Parameters'!$C$12) ^'MFSP Baseline'!X11</f>
        <v>22699772.26712659</v>
      </c>
      <c r="Y13" s="8">
        <f>Y12 / (1+'Study Parameters'!$C$12) ^'MFSP Baseline'!Y11</f>
        <v>21570895.407469045</v>
      </c>
      <c r="Z13" s="8">
        <f>Z12 / (1+'Study Parameters'!$C$12) ^'MFSP Baseline'!Z11</f>
        <v>20498158.448656041</v>
      </c>
      <c r="AA13" s="8">
        <f>AA12 / (1+'Study Parameters'!$C$12) ^'MFSP Baseline'!AA11</f>
        <v>19478769.510918003</v>
      </c>
    </row>
    <row r="14" spans="1:27">
      <c r="A14" t="s">
        <v>121</v>
      </c>
      <c r="B14">
        <v>0</v>
      </c>
      <c r="C14">
        <f>'Study Parameters'!$C$20</f>
        <v>31354838.709677417</v>
      </c>
      <c r="D14">
        <f>'Study Parameters'!$C$20</f>
        <v>31354838.709677417</v>
      </c>
      <c r="E14">
        <f>'Study Parameters'!$C$20</f>
        <v>31354838.709677417</v>
      </c>
      <c r="F14">
        <f>'Study Parameters'!$C$20</f>
        <v>31354838.709677417</v>
      </c>
      <c r="G14">
        <f>'Study Parameters'!$C$20</f>
        <v>31354838.709677417</v>
      </c>
      <c r="H14">
        <f>'Study Parameters'!$C$20</f>
        <v>31354838.709677417</v>
      </c>
      <c r="I14">
        <f>'Study Parameters'!$C$20</f>
        <v>31354838.709677417</v>
      </c>
      <c r="J14">
        <f>'Study Parameters'!$C$20</f>
        <v>31354838.709677417</v>
      </c>
      <c r="K14">
        <f>'Study Parameters'!$C$20</f>
        <v>31354838.709677417</v>
      </c>
      <c r="L14">
        <f>'Study Parameters'!$C$20</f>
        <v>31354838.709677417</v>
      </c>
      <c r="M14">
        <f>'Study Parameters'!$C$20</f>
        <v>31354838.709677417</v>
      </c>
      <c r="N14">
        <f>'Study Parameters'!$C$20</f>
        <v>31354838.709677417</v>
      </c>
      <c r="O14">
        <f>'Study Parameters'!$C$20</f>
        <v>31354838.709677417</v>
      </c>
      <c r="P14">
        <f>'Study Parameters'!$C$20</f>
        <v>31354838.709677417</v>
      </c>
      <c r="Q14">
        <f>'Study Parameters'!$C$20</f>
        <v>31354838.709677417</v>
      </c>
      <c r="R14">
        <f>'Study Parameters'!$C$20</f>
        <v>31354838.709677417</v>
      </c>
      <c r="S14">
        <f>'Study Parameters'!$C$20</f>
        <v>31354838.709677417</v>
      </c>
      <c r="T14">
        <f>'Study Parameters'!$C$20</f>
        <v>31354838.709677417</v>
      </c>
      <c r="U14">
        <f>'Study Parameters'!$C$20</f>
        <v>31354838.709677417</v>
      </c>
      <c r="V14">
        <f>'Study Parameters'!$C$20</f>
        <v>31354838.709677417</v>
      </c>
      <c r="W14">
        <f>'Study Parameters'!$C$20</f>
        <v>31354838.709677417</v>
      </c>
      <c r="X14">
        <f>'Study Parameters'!$C$20</f>
        <v>31354838.709677417</v>
      </c>
      <c r="Y14">
        <f>'Study Parameters'!$C$20</f>
        <v>31354838.709677417</v>
      </c>
      <c r="Z14">
        <f>'Study Parameters'!$C$20</f>
        <v>31354838.709677417</v>
      </c>
      <c r="AA14">
        <f>'Study Parameters'!$C$20</f>
        <v>31354838.709677417</v>
      </c>
    </row>
    <row r="15" spans="1:27">
      <c r="A15" t="s">
        <v>122</v>
      </c>
      <c r="B15">
        <f>B14 / (1+'Study Parameters'!$C$12) ^ 'MFSP Baseline'!B11</f>
        <v>0</v>
      </c>
      <c r="C15">
        <f>C14 / (1+'Study Parameters'!$C$12) ^ 'MFSP Baseline'!C11</f>
        <v>29795538.843532547</v>
      </c>
      <c r="D15">
        <f>D14 / (1+'Study Parameters'!$C$12) ^ 'MFSP Baseline'!D11</f>
        <v>28313784.140195638</v>
      </c>
      <c r="E15">
        <f>E14 / (1+'Study Parameters'!$C$12) ^ 'MFSP Baseline'!E11</f>
        <v>26905718.220014863</v>
      </c>
      <c r="F15">
        <f>F14 / (1+'Study Parameters'!$C$12) ^ 'MFSP Baseline'!F11</f>
        <v>25567676.48401792</v>
      </c>
      <c r="G15">
        <f>G14 / (1+'Study Parameters'!$C$12) ^ 'MFSP Baseline'!G11</f>
        <v>24296176.576513704</v>
      </c>
      <c r="H15">
        <f>H14 / (1+'Study Parameters'!$C$12) ^ 'MFSP Baseline'!H11</f>
        <v>23087909.321995918</v>
      </c>
      <c r="I15">
        <f>I14 / (1+'Study Parameters'!$C$12) ^ 'MFSP Baseline'!I11</f>
        <v>21939730.112761404</v>
      </c>
      <c r="J15">
        <f>J14 / (1+'Study Parameters'!$C$12) ^ 'MFSP Baseline'!J11</f>
        <v>20848650.724828698</v>
      </c>
      <c r="K15">
        <f>K14 / (1+'Study Parameters'!$C$12) ^ 'MFSP Baseline'!K11</f>
        <v>19811831.540857174</v>
      </c>
      <c r="L15">
        <f>L14 / (1+'Study Parameters'!$C$12) ^ 'MFSP Baseline'!L11</f>
        <v>18826574.159826264</v>
      </c>
      <c r="M15">
        <f>M14 / (1+'Study Parameters'!$C$12) ^ 'MFSP Baseline'!M11</f>
        <v>17890314.374240987</v>
      </c>
      <c r="N15">
        <f>N14 / (1+'Study Parameters'!$C$12) ^ 'MFSP Baseline'!N11</f>
        <v>17000615.4965863</v>
      </c>
      <c r="O15">
        <f>O14 / (1+'Study Parameters'!$C$12) ^ 'MFSP Baseline'!O11</f>
        <v>16155162.017661991</v>
      </c>
      <c r="P15">
        <f>P14 / (1+'Study Parameters'!$C$12) ^ 'MFSP Baseline'!P11</f>
        <v>15351753.580293307</v>
      </c>
      <c r="Q15">
        <f>Q14 / (1+'Study Parameters'!$C$12) ^ 'MFSP Baseline'!Q11</f>
        <v>14588299.252733583</v>
      </c>
      <c r="R15">
        <f>R14 / (1+'Study Parameters'!$C$12) ^ 'MFSP Baseline'!R11</f>
        <v>13862812.086854843</v>
      </c>
      <c r="S15">
        <f>S14 / (1+'Study Parameters'!$C$12) ^ 'MFSP Baseline'!S11</f>
        <v>13173403.946963741</v>
      </c>
      <c r="T15">
        <f>T14 / (1+'Study Parameters'!$C$12) ^ 'MFSP Baseline'!T11</f>
        <v>12518280.595784359</v>
      </c>
      <c r="U15">
        <f>U14 / (1+'Study Parameters'!$C$12) ^ 'MFSP Baseline'!U11</f>
        <v>11895737.02481884</v>
      </c>
      <c r="V15">
        <f>V14 / (1+'Study Parameters'!$C$12) ^ 'MFSP Baseline'!V11</f>
        <v>11304153.016932694</v>
      </c>
      <c r="W15">
        <f>W14 / (1+'Study Parameters'!$C$12) ^ 'MFSP Baseline'!W11</f>
        <v>10741988.929616118</v>
      </c>
      <c r="X15">
        <f>X14 / (1+'Study Parameters'!$C$12) ^ 'MFSP Baseline'!X11</f>
        <v>10207781.687946895</v>
      </c>
      <c r="Y15">
        <f>Y14 / (1+'Study Parameters'!$C$12) ^ 'MFSP Baseline'!Y11</f>
        <v>9700140.9768263195</v>
      </c>
      <c r="Z15">
        <f>Z14 / (1+'Study Parameters'!$C$12) ^ 'MFSP Baseline'!Z11</f>
        <v>9217745.6225780658</v>
      </c>
      <c r="AA15">
        <f>AA14 / (1+'Study Parameters'!$C$12) ^ 'MFSP Baseline'!AA11</f>
        <v>8759340.154492937</v>
      </c>
    </row>
    <row r="17" spans="1:27">
      <c r="A17" t="s">
        <v>123</v>
      </c>
      <c r="B17" s="8">
        <f>SUM(B13:AA13) / SUM(B15:AA15)</f>
        <v>2.977243530357339</v>
      </c>
    </row>
    <row r="19" spans="1:27">
      <c r="A19" t="s">
        <v>125</v>
      </c>
    </row>
    <row r="20" spans="1:27">
      <c r="A20" t="s">
        <v>1</v>
      </c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  <c r="M20">
        <v>11</v>
      </c>
      <c r="N20">
        <v>12</v>
      </c>
      <c r="O20">
        <v>13</v>
      </c>
      <c r="P20">
        <v>14</v>
      </c>
      <c r="Q20">
        <v>15</v>
      </c>
      <c r="R20">
        <v>16</v>
      </c>
      <c r="S20">
        <v>17</v>
      </c>
      <c r="T20">
        <v>18</v>
      </c>
      <c r="U20">
        <v>19</v>
      </c>
      <c r="V20">
        <v>20</v>
      </c>
      <c r="W20">
        <v>21</v>
      </c>
      <c r="X20">
        <v>22</v>
      </c>
      <c r="Y20">
        <v>23</v>
      </c>
      <c r="Z20">
        <v>24</v>
      </c>
      <c r="AA20">
        <v>25</v>
      </c>
    </row>
    <row r="21" spans="1:27">
      <c r="A21" t="s">
        <v>119</v>
      </c>
      <c r="B21" s="23">
        <f>'Cost Components'!N14*10^6</f>
        <v>258320000</v>
      </c>
      <c r="C21" s="24">
        <f>'Cost Components'!$N$37 * 10^6</f>
        <v>67585341.399539575</v>
      </c>
      <c r="D21" s="24">
        <f>'Cost Components'!$N$37 * 10^6</f>
        <v>67585341.399539575</v>
      </c>
      <c r="E21" s="24">
        <f>'Cost Components'!$N$37 * 10^6</f>
        <v>67585341.399539575</v>
      </c>
      <c r="F21" s="24">
        <f>'Cost Components'!$N$37 * 10^6</f>
        <v>67585341.399539575</v>
      </c>
      <c r="G21" s="24">
        <f>'Cost Components'!$N$37 * 10^6</f>
        <v>67585341.399539575</v>
      </c>
      <c r="H21" s="24">
        <f>'Cost Components'!$N$37 * 10^6</f>
        <v>67585341.399539575</v>
      </c>
      <c r="I21" s="24">
        <f>'Cost Components'!$N$37 * 10^6</f>
        <v>67585341.399539575</v>
      </c>
      <c r="J21" s="24">
        <f>'Cost Components'!$N$37 * 10^6</f>
        <v>67585341.399539575</v>
      </c>
      <c r="K21" s="24">
        <f>'Cost Components'!$N$37 * 10^6</f>
        <v>67585341.399539575</v>
      </c>
      <c r="L21" s="24">
        <f>'Cost Components'!$N$37 * 10^6</f>
        <v>67585341.399539575</v>
      </c>
      <c r="M21" s="24">
        <f>'Cost Components'!$N$37 * 10^6</f>
        <v>67585341.399539575</v>
      </c>
      <c r="N21" s="24">
        <f>'Cost Components'!$N$37 * 10^6</f>
        <v>67585341.399539575</v>
      </c>
      <c r="O21" s="24">
        <f>'Cost Components'!$N$37 * 10^6</f>
        <v>67585341.399539575</v>
      </c>
      <c r="P21" s="24">
        <f>'Cost Components'!$N$37 * 10^6</f>
        <v>67585341.399539575</v>
      </c>
      <c r="Q21" s="24">
        <f>'Cost Components'!$N$37 * 10^6</f>
        <v>67585341.399539575</v>
      </c>
      <c r="R21" s="24">
        <f>'Cost Components'!$N$37 * 10^6</f>
        <v>67585341.399539575</v>
      </c>
      <c r="S21" s="24">
        <f>'Cost Components'!$N$37 * 10^6</f>
        <v>67585341.399539575</v>
      </c>
      <c r="T21" s="24">
        <f>'Cost Components'!$N$37 * 10^6</f>
        <v>67585341.399539575</v>
      </c>
      <c r="U21" s="24">
        <f>'Cost Components'!$N$37 * 10^6</f>
        <v>67585341.399539575</v>
      </c>
      <c r="V21" s="24">
        <f>'Cost Components'!$N$37 * 10^6</f>
        <v>67585341.399539575</v>
      </c>
      <c r="W21" s="24">
        <f>'Cost Components'!$N$37 * 10^6</f>
        <v>67585341.399539575</v>
      </c>
      <c r="X21" s="24">
        <f>'Cost Components'!$N$37 * 10^6</f>
        <v>67585341.399539575</v>
      </c>
      <c r="Y21" s="24">
        <f>'Cost Components'!$N$37 * 10^6</f>
        <v>67585341.399539575</v>
      </c>
      <c r="Z21" s="24">
        <f>'Cost Components'!$N$37 * 10^6</f>
        <v>67585341.399539575</v>
      </c>
      <c r="AA21" s="24">
        <f>'Cost Components'!$N$37 * 10^6</f>
        <v>67585341.399539575</v>
      </c>
    </row>
    <row r="22" spans="1:27">
      <c r="A22" t="s">
        <v>120</v>
      </c>
      <c r="B22" s="24">
        <f>B21/((1+'Study Parameters'!$C$14) ^'MFSP CO2 Price Corrected'!B20)</f>
        <v>258320000</v>
      </c>
      <c r="C22" s="24">
        <f>C21/((1+'Study Parameters'!$C$14) ^'MFSP CO2 Price Corrected'!C20)</f>
        <v>64147059.035250157</v>
      </c>
      <c r="D22" s="24">
        <f>D21/((1+'Study Parameters'!$C$14) ^'MFSP CO2 Price Corrected'!D20)</f>
        <v>60883693.085848674</v>
      </c>
      <c r="E22" s="24">
        <f>E21/((1+'Study Parameters'!$C$14) ^'MFSP CO2 Price Corrected'!E20)</f>
        <v>57786344.994161606</v>
      </c>
      <c r="F22" s="24">
        <f>F21/((1+'Study Parameters'!$C$14) ^'MFSP CO2 Price Corrected'!F20)</f>
        <v>54846568.901064537</v>
      </c>
      <c r="G22" s="24">
        <f>G21/((1+'Study Parameters'!$C$14) ^'MFSP CO2 Price Corrected'!G20)</f>
        <v>52056348.61528524</v>
      </c>
      <c r="H22" s="24">
        <f>H21/((1+'Study Parameters'!$C$14) ^'MFSP CO2 Price Corrected'!H20)</f>
        <v>49408075.754826538</v>
      </c>
      <c r="I22" s="24">
        <f>I21/((1+'Study Parameters'!$C$14) ^'MFSP CO2 Price Corrected'!I20)</f>
        <v>46894529.000404835</v>
      </c>
      <c r="J22" s="24">
        <f>J21/((1+'Study Parameters'!$C$14) ^'MFSP CO2 Price Corrected'!J20)</f>
        <v>44508854.404332608</v>
      </c>
      <c r="K22" s="24">
        <f>K21/((1+'Study Parameters'!$C$14) ^'MFSP CO2 Price Corrected'!K20)</f>
        <v>42244546.701150917</v>
      </c>
      <c r="L22" s="24">
        <f>L21/((1+'Study Parameters'!$C$14) ^'MFSP CO2 Price Corrected'!L20)</f>
        <v>40095431.569049843</v>
      </c>
      <c r="M22" s="24">
        <f>M21/((1+'Study Parameters'!$C$14) ^'MFSP CO2 Price Corrected'!M20)</f>
        <v>38055648.793707132</v>
      </c>
      <c r="N22" s="24">
        <f>N21/((1+'Study Parameters'!$C$14) ^'MFSP CO2 Price Corrected'!N20)</f>
        <v>36119636.28863623</v>
      </c>
      <c r="O22" s="24">
        <f>O21/((1+'Study Parameters'!$C$14) ^'MFSP CO2 Price Corrected'!O20)</f>
        <v>34282114.928470224</v>
      </c>
      <c r="P22" s="24">
        <f>P21/((1+'Study Parameters'!$C$14) ^'MFSP CO2 Price Corrected'!P20)</f>
        <v>32538074.15382519</v>
      </c>
      <c r="Q22" s="24">
        <f>Q21/((1+'Study Parameters'!$C$14) ^'MFSP CO2 Price Corrected'!Q20)</f>
        <v>30882758.308490116</v>
      </c>
      <c r="R22" s="24">
        <f>R21/((1+'Study Parameters'!$C$14) ^'MFSP CO2 Price Corrected'!R20)</f>
        <v>29311653.671687659</v>
      </c>
      <c r="S22" s="24">
        <f>S21/((1+'Study Parameters'!$C$14) ^'MFSP CO2 Price Corrected'!S20)</f>
        <v>27820476.150045227</v>
      </c>
      <c r="T22" s="24">
        <f>T21/((1+'Study Parameters'!$C$14) ^'MFSP CO2 Price Corrected'!T20)</f>
        <v>26405159.595714912</v>
      </c>
      <c r="U22" s="24">
        <f>U21/((1+'Study Parameters'!$C$14) ^'MFSP CO2 Price Corrected'!U20)</f>
        <v>25061844.718787879</v>
      </c>
      <c r="V22" s="24">
        <f>V21/((1+'Study Parameters'!$C$14) ^'MFSP CO2 Price Corrected'!V20)</f>
        <v>23786868.563769814</v>
      </c>
      <c r="W22" s="24">
        <f>W21/((1+'Study Parameters'!$C$14) ^'MFSP CO2 Price Corrected'!W20)</f>
        <v>22576754.521421611</v>
      </c>
      <c r="X22" s="24">
        <f>X21/((1+'Study Parameters'!$C$14) ^'MFSP CO2 Price Corrected'!X20)</f>
        <v>21428202.8487297</v>
      </c>
      <c r="Y22" s="24">
        <f>Y21/((1+'Study Parameters'!$C$14) ^'MFSP CO2 Price Corrected'!Y20)</f>
        <v>20338081.671155751</v>
      </c>
      <c r="Z22" s="24">
        <f>Z21/((1+'Study Parameters'!$C$14) ^'MFSP CO2 Price Corrected'!Z20)</f>
        <v>19303418.442630742</v>
      </c>
      <c r="AA22" s="24">
        <f>AA21/((1+'Study Parameters'!$C$14) ^'MFSP CO2 Price Corrected'!AA20)</f>
        <v>18321391.840006396</v>
      </c>
    </row>
    <row r="23" spans="1:27">
      <c r="A23" t="s">
        <v>121</v>
      </c>
      <c r="B23">
        <v>0</v>
      </c>
      <c r="C23">
        <f>'Study Parameters'!$C$20</f>
        <v>31354838.709677417</v>
      </c>
      <c r="D23">
        <f>'Study Parameters'!$C$20</f>
        <v>31354838.709677417</v>
      </c>
      <c r="E23">
        <f>'Study Parameters'!$C$20</f>
        <v>31354838.709677417</v>
      </c>
      <c r="F23">
        <f>'Study Parameters'!$C$20</f>
        <v>31354838.709677417</v>
      </c>
      <c r="G23">
        <f>'Study Parameters'!$C$20</f>
        <v>31354838.709677417</v>
      </c>
      <c r="H23">
        <f>'Study Parameters'!$C$20</f>
        <v>31354838.709677417</v>
      </c>
      <c r="I23">
        <f>'Study Parameters'!$C$20</f>
        <v>31354838.709677417</v>
      </c>
      <c r="J23">
        <f>'Study Parameters'!$C$20</f>
        <v>31354838.709677417</v>
      </c>
      <c r="K23">
        <f>'Study Parameters'!$C$20</f>
        <v>31354838.709677417</v>
      </c>
      <c r="L23">
        <f>'Study Parameters'!$C$20</f>
        <v>31354838.709677417</v>
      </c>
      <c r="M23">
        <f>'Study Parameters'!$C$20</f>
        <v>31354838.709677417</v>
      </c>
      <c r="N23">
        <f>'Study Parameters'!$C$20</f>
        <v>31354838.709677417</v>
      </c>
      <c r="O23">
        <f>'Study Parameters'!$C$20</f>
        <v>31354838.709677417</v>
      </c>
      <c r="P23">
        <f>'Study Parameters'!$C$20</f>
        <v>31354838.709677417</v>
      </c>
      <c r="Q23">
        <f>'Study Parameters'!$C$20</f>
        <v>31354838.709677417</v>
      </c>
      <c r="R23">
        <f>'Study Parameters'!$C$20</f>
        <v>31354838.709677417</v>
      </c>
      <c r="S23">
        <f>'Study Parameters'!$C$20</f>
        <v>31354838.709677417</v>
      </c>
      <c r="T23">
        <f>'Study Parameters'!$C$20</f>
        <v>31354838.709677417</v>
      </c>
      <c r="U23">
        <f>'Study Parameters'!$C$20</f>
        <v>31354838.709677417</v>
      </c>
      <c r="V23">
        <f>'Study Parameters'!$C$20</f>
        <v>31354838.709677417</v>
      </c>
      <c r="W23">
        <f>'Study Parameters'!$C$20</f>
        <v>31354838.709677417</v>
      </c>
      <c r="X23">
        <f>'Study Parameters'!$C$20</f>
        <v>31354838.709677417</v>
      </c>
      <c r="Y23">
        <f>'Study Parameters'!$C$20</f>
        <v>31354838.709677417</v>
      </c>
      <c r="Z23">
        <f>'Study Parameters'!$C$20</f>
        <v>31354838.709677417</v>
      </c>
      <c r="AA23">
        <f>'Study Parameters'!$C$20</f>
        <v>31354838.709677417</v>
      </c>
    </row>
    <row r="24" spans="1:27">
      <c r="A24" t="s">
        <v>122</v>
      </c>
      <c r="B24">
        <f>B23 / (1+'Study Parameters'!$C$12) ^ 'MFSP Baseline'!B20</f>
        <v>0</v>
      </c>
      <c r="C24" s="25">
        <f>C23/((1+'Study Parameters'!$C$14) ^'MFSP CO2 Price Corrected'!C20)</f>
        <v>29759717.833786462</v>
      </c>
      <c r="D24" s="25">
        <f>D23/((1+'Study Parameters'!$C$14) ^'MFSP CO2 Price Corrected'!D20)</f>
        <v>28245745.855909701</v>
      </c>
      <c r="E24" s="25">
        <f>E23/((1+'Study Parameters'!$C$14) ^'MFSP CO2 Price Corrected'!E20)</f>
        <v>26808794.472199786</v>
      </c>
      <c r="F24" s="25">
        <f>F23/((1+'Study Parameters'!$C$14) ^'MFSP CO2 Price Corrected'!F20)</f>
        <v>25444945.398822881</v>
      </c>
      <c r="G24" s="25">
        <f>G23/((1+'Study Parameters'!$C$14) ^'MFSP CO2 Price Corrected'!G20)</f>
        <v>24150479.687569167</v>
      </c>
      <c r="H24" s="25">
        <f>H23/((1+'Study Parameters'!$C$14) ^'MFSP CO2 Price Corrected'!H20)</f>
        <v>22921867.585012499</v>
      </c>
      <c r="I24" s="25">
        <f>I23/((1+'Study Parameters'!$C$14) ^'MFSP CO2 Price Corrected'!I20)</f>
        <v>21755758.907566909</v>
      </c>
      <c r="J24" s="25">
        <f>J23/((1+'Study Parameters'!$C$14) ^'MFSP CO2 Price Corrected'!J20)</f>
        <v>20648973.906194866</v>
      </c>
      <c r="K24" s="25">
        <f>K23/((1+'Study Parameters'!$C$14) ^'MFSP CO2 Price Corrected'!K20)</f>
        <v>19598494.595856931</v>
      </c>
      <c r="L24" s="25">
        <f>L23/((1+'Study Parameters'!$C$14) ^'MFSP CO2 Price Corrected'!L20)</f>
        <v>18601456.526060108</v>
      </c>
      <c r="M24" s="25">
        <f>M23/((1+'Study Parameters'!$C$14) ^'MFSP CO2 Price Corrected'!M20)</f>
        <v>17655140.970064644</v>
      </c>
      <c r="N24" s="25">
        <f>N23/((1+'Study Parameters'!$C$14) ^'MFSP CO2 Price Corrected'!N20)</f>
        <v>16756967.511450874</v>
      </c>
      <c r="O24" s="25">
        <f>O23/((1+'Study Parameters'!$C$14) ^'MFSP CO2 Price Corrected'!O20)</f>
        <v>15904487.007831123</v>
      </c>
      <c r="P24" s="25">
        <f>P23/((1+'Study Parameters'!$C$14) ^'MFSP CO2 Price Corrected'!P20)</f>
        <v>15095374.912520049</v>
      </c>
      <c r="Q24" s="25">
        <f>Q23/((1+'Study Parameters'!$C$14) ^'MFSP CO2 Price Corrected'!Q20)</f>
        <v>14327424.935952969</v>
      </c>
      <c r="R24" s="25">
        <f>R23/((1+'Study Parameters'!$C$14) ^'MFSP CO2 Price Corrected'!R20)</f>
        <v>13598543.029568117</v>
      </c>
      <c r="S24" s="25">
        <f>S23/((1+'Study Parameters'!$C$14) ^'MFSP CO2 Price Corrected'!S20)</f>
        <v>12906741.67574802</v>
      </c>
      <c r="T24" s="25">
        <f>T23/((1+'Study Parameters'!$C$14) ^'MFSP CO2 Price Corrected'!T20)</f>
        <v>12250134.468249829</v>
      </c>
      <c r="U24" s="25">
        <f>U23/((1+'Study Parameters'!$C$14) ^'MFSP CO2 Price Corrected'!U20)</f>
        <v>11626930.96834646</v>
      </c>
      <c r="V24" s="25">
        <f>V23/((1+'Study Parameters'!$C$14) ^'MFSP CO2 Price Corrected'!V20)</f>
        <v>11035431.822652295</v>
      </c>
      <c r="W24" s="25">
        <f>W23/((1+'Study Parameters'!$C$14) ^'MFSP CO2 Price Corrected'!W20)</f>
        <v>10474024.129320703</v>
      </c>
      <c r="X24" s="25">
        <f>X23/((1+'Study Parameters'!$C$14) ^'MFSP CO2 Price Corrected'!X20)</f>
        <v>9941177.0399778876</v>
      </c>
      <c r="Y24" s="25">
        <f>Y23/((1+'Study Parameters'!$C$14) ^'MFSP CO2 Price Corrected'!Y20)</f>
        <v>9435437.5854004249</v>
      </c>
      <c r="Z24" s="25">
        <f>Z23/((1+'Study Parameters'!$C$14) ^'MFSP CO2 Price Corrected'!Z20)</f>
        <v>8955426.7135539334</v>
      </c>
      <c r="AA24" s="25">
        <f>AA23/((1+'Study Parameters'!$C$14) ^'MFSP CO2 Price Corrected'!AA20)</f>
        <v>8499835.5291893817</v>
      </c>
    </row>
    <row r="26" spans="1:27">
      <c r="A26" t="s">
        <v>123</v>
      </c>
      <c r="B26" s="8">
        <f>SUM(B22:AA22) / SUM(B24:AA24)</f>
        <v>2.7613166824414148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55"/>
  <sheetViews>
    <sheetView workbookViewId="0">
      <selection activeCell="B40" sqref="B40"/>
    </sheetView>
  </sheetViews>
  <sheetFormatPr defaultColWidth="11" defaultRowHeight="15.75"/>
  <cols>
    <col min="1" max="1" width="26.875" bestFit="1" customWidth="1"/>
    <col min="2" max="27" width="15.5" bestFit="1" customWidth="1"/>
  </cols>
  <sheetData>
    <row r="1" spans="1:27">
      <c r="A1" t="s">
        <v>118</v>
      </c>
    </row>
    <row r="2" spans="1:27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>
      <c r="A3" t="s">
        <v>119</v>
      </c>
      <c r="B3" s="11">
        <f>'Cost Components'!B14 * 10^6</f>
        <v>362670000</v>
      </c>
      <c r="C3" s="11">
        <f>'Cost Components'!$B$37*10^6</f>
        <v>88789725.937270001</v>
      </c>
      <c r="D3" s="11">
        <f>'Cost Components'!$B$37*10^6</f>
        <v>88789725.937270001</v>
      </c>
      <c r="E3" s="11">
        <f>'Cost Components'!$B$37*10^6</f>
        <v>88789725.937270001</v>
      </c>
      <c r="F3" s="11">
        <f>'Cost Components'!$B$37*10^6</f>
        <v>88789725.937270001</v>
      </c>
      <c r="G3" s="11">
        <f>'Cost Components'!$B$37*10^6</f>
        <v>88789725.937270001</v>
      </c>
      <c r="H3" s="11">
        <f>'Cost Components'!$B$37*10^6</f>
        <v>88789725.937270001</v>
      </c>
      <c r="I3" s="11">
        <f>'Cost Components'!$B$37*10^6</f>
        <v>88789725.937270001</v>
      </c>
      <c r="J3" s="11">
        <f>'Cost Components'!$B$37*10^6</f>
        <v>88789725.937270001</v>
      </c>
      <c r="K3" s="11">
        <f>'Cost Components'!$B$37*10^6</f>
        <v>88789725.937270001</v>
      </c>
      <c r="L3" s="11">
        <f>'Cost Components'!$B$37*10^6</f>
        <v>88789725.937270001</v>
      </c>
      <c r="M3" s="11">
        <f>'Cost Components'!$B$37*10^6</f>
        <v>88789725.937270001</v>
      </c>
      <c r="N3" s="11">
        <f>'Cost Components'!$B$37*10^6</f>
        <v>88789725.937270001</v>
      </c>
      <c r="O3" s="11">
        <f>'Cost Components'!$B$37*10^6</f>
        <v>88789725.937270001</v>
      </c>
      <c r="P3" s="11">
        <f>'Cost Components'!$B$37*10^6</f>
        <v>88789725.937270001</v>
      </c>
      <c r="Q3" s="11">
        <f>'Cost Components'!$B$37*10^6</f>
        <v>88789725.937270001</v>
      </c>
      <c r="R3" s="11">
        <f>'Cost Components'!$B$37*10^6</f>
        <v>88789725.937270001</v>
      </c>
      <c r="S3" s="11">
        <f>'Cost Components'!$B$37*10^6</f>
        <v>88789725.937270001</v>
      </c>
      <c r="T3" s="11">
        <f>'Cost Components'!$B$37*10^6</f>
        <v>88789725.937270001</v>
      </c>
      <c r="U3" s="11">
        <f>'Cost Components'!$B$37*10^6</f>
        <v>88789725.937270001</v>
      </c>
      <c r="V3" s="11">
        <f>'Cost Components'!$B$37*10^6</f>
        <v>88789725.937270001</v>
      </c>
      <c r="W3" s="11">
        <f>'Cost Components'!$B$37*10^6</f>
        <v>88789725.937270001</v>
      </c>
      <c r="X3" s="11">
        <f>'Cost Components'!$B$37*10^6</f>
        <v>88789725.937270001</v>
      </c>
      <c r="Y3" s="11">
        <f>'Cost Components'!$B$37*10^6</f>
        <v>88789725.937270001</v>
      </c>
      <c r="Z3" s="11">
        <f>'Cost Components'!$B$37*10^6</f>
        <v>88789725.937270001</v>
      </c>
      <c r="AA3" s="11">
        <f>'Cost Components'!$B$37*10^6</f>
        <v>88789725.937270001</v>
      </c>
    </row>
    <row r="4" spans="1:27">
      <c r="A4" t="s">
        <v>120</v>
      </c>
      <c r="B4" s="8">
        <f>B3 / (1+'Study Parameters'!$C$12) ^'MFSP Baseline'!B2</f>
        <v>362670000</v>
      </c>
      <c r="C4" s="8">
        <f>C3 / (1+'Cost Components'!$B$38) ^'MFSP Baseline'!C2</f>
        <v>82981052.27782242</v>
      </c>
      <c r="D4" s="8">
        <f>D3 / (1+'Cost Components'!$B$38) ^'MFSP Baseline'!D2</f>
        <v>77552385.3063761</v>
      </c>
      <c r="E4" s="8">
        <f>E3 / (1+'Cost Components'!$B$38) ^'MFSP Baseline'!E2</f>
        <v>72478864.772314116</v>
      </c>
      <c r="F4" s="8">
        <f>F3 / (1+'Cost Components'!$B$38) ^'MFSP Baseline'!F2</f>
        <v>67737256.796555251</v>
      </c>
      <c r="G4" s="8">
        <f>G3 / (1+'Cost Components'!$B$38) ^'MFSP Baseline'!G2</f>
        <v>63305847.473416112</v>
      </c>
      <c r="H4" s="8">
        <f>H3 / (1+'Cost Components'!$B$38) ^'MFSP Baseline'!H2</f>
        <v>59164343.433099173</v>
      </c>
      <c r="I4" s="8">
        <f>I3 / (1+'Cost Components'!$B$38) ^'MFSP Baseline'!I2</f>
        <v>55293778.909438476</v>
      </c>
      <c r="J4" s="8">
        <f>J3 / (1+'Cost Components'!$B$38) ^'MFSP Baseline'!J2</f>
        <v>51676428.887325682</v>
      </c>
      <c r="K4" s="8">
        <f>K3 / (1+'Cost Components'!$B$38) ^'MFSP Baseline'!K2</f>
        <v>48295727.932080068</v>
      </c>
      <c r="L4" s="8">
        <f>L3 / (1+'Cost Components'!$B$38) ^'MFSP Baseline'!L2</f>
        <v>45136194.329046801</v>
      </c>
      <c r="M4" s="8">
        <f>M3 / (1+'Cost Components'!$B$38) ^'MFSP Baseline'!M2</f>
        <v>42183359.186025038</v>
      </c>
      <c r="N4" s="8">
        <f>N3 / (1+'Cost Components'!$B$38) ^'MFSP Baseline'!N2</f>
        <v>39423700.173855186</v>
      </c>
      <c r="O4" s="8">
        <f>O3 / (1+'Cost Components'!$B$38) ^'MFSP Baseline'!O2</f>
        <v>36844579.601733811</v>
      </c>
      <c r="P4" s="8">
        <f>P3 / (1+'Cost Components'!$B$38) ^'MFSP Baseline'!P2</f>
        <v>34434186.543676466</v>
      </c>
      <c r="Q4" s="8">
        <f>Q3 / (1+'Cost Components'!$B$38) ^'MFSP Baseline'!Q2</f>
        <v>32181482.751099493</v>
      </c>
      <c r="R4" s="8">
        <f>R3 / (1+'Cost Components'!$B$38) ^'MFSP Baseline'!R2</f>
        <v>30076152.103831306</v>
      </c>
      <c r="S4" s="8">
        <f>S3 / (1+'Cost Components'!$B$38) ^'MFSP Baseline'!S2</f>
        <v>28108553.368066642</v>
      </c>
      <c r="T4" s="8">
        <f>T3 / (1+'Cost Components'!$B$38) ^'MFSP Baseline'!T2</f>
        <v>26269676.044922095</v>
      </c>
      <c r="U4" s="8">
        <f>U3 / (1+'Cost Components'!$B$38) ^'MFSP Baseline'!U2</f>
        <v>24551099.107403826</v>
      </c>
      <c r="V4" s="8">
        <f>V3 / (1+'Cost Components'!$B$38) ^'MFSP Baseline'!V2</f>
        <v>22944952.436826006</v>
      </c>
      <c r="W4" s="8">
        <f>W3 / (1+'Cost Components'!$B$38) ^'MFSP Baseline'!W2</f>
        <v>21443880.782080378</v>
      </c>
      <c r="X4" s="8">
        <f>X3 / (1+'Cost Components'!$B$38) ^'MFSP Baseline'!X2</f>
        <v>20041010.076710634</v>
      </c>
      <c r="Y4" s="8">
        <f>Y3 / (1+'Cost Components'!$B$38) ^'MFSP Baseline'!Y2</f>
        <v>18729915.959542651</v>
      </c>
      <c r="Z4" s="8">
        <f>Z3 / (1+'Cost Components'!$B$38) ^'MFSP Baseline'!Z2</f>
        <v>17504594.354712754</v>
      </c>
      <c r="AA4" s="8">
        <f>AA3 / (1+'Cost Components'!$B$38) ^'MFSP Baseline'!AA2</f>
        <v>16359433.97636706</v>
      </c>
    </row>
    <row r="5" spans="1:27">
      <c r="A5" t="s">
        <v>121</v>
      </c>
      <c r="B5">
        <v>0</v>
      </c>
      <c r="C5">
        <f>'Study Parameters'!$C$20</f>
        <v>31354838.709677417</v>
      </c>
      <c r="D5">
        <f>'Study Parameters'!$C$20</f>
        <v>31354838.709677417</v>
      </c>
      <c r="E5">
        <f>'Study Parameters'!$C$20</f>
        <v>31354838.709677417</v>
      </c>
      <c r="F5">
        <f>'Study Parameters'!$C$20</f>
        <v>31354838.709677417</v>
      </c>
      <c r="G5">
        <f>'Study Parameters'!$C$20</f>
        <v>31354838.709677417</v>
      </c>
      <c r="H5">
        <f>'Study Parameters'!$C$20</f>
        <v>31354838.709677417</v>
      </c>
      <c r="I5">
        <f>'Study Parameters'!$C$20</f>
        <v>31354838.709677417</v>
      </c>
      <c r="J5">
        <f>'Study Parameters'!$C$20</f>
        <v>31354838.709677417</v>
      </c>
      <c r="K5">
        <f>'Study Parameters'!$C$20</f>
        <v>31354838.709677417</v>
      </c>
      <c r="L5">
        <f>'Study Parameters'!$C$20</f>
        <v>31354838.709677417</v>
      </c>
      <c r="M5">
        <f>'Study Parameters'!$C$20</f>
        <v>31354838.709677417</v>
      </c>
      <c r="N5">
        <f>'Study Parameters'!$C$20</f>
        <v>31354838.709677417</v>
      </c>
      <c r="O5">
        <f>'Study Parameters'!$C$20</f>
        <v>31354838.709677417</v>
      </c>
      <c r="P5">
        <f>'Study Parameters'!$C$20</f>
        <v>31354838.709677417</v>
      </c>
      <c r="Q5">
        <f>'Study Parameters'!$C$20</f>
        <v>31354838.709677417</v>
      </c>
      <c r="R5">
        <f>'Study Parameters'!$C$20</f>
        <v>31354838.709677417</v>
      </c>
      <c r="S5">
        <f>'Study Parameters'!$C$20</f>
        <v>31354838.709677417</v>
      </c>
      <c r="T5">
        <f>'Study Parameters'!$C$20</f>
        <v>31354838.709677417</v>
      </c>
      <c r="U5">
        <f>'Study Parameters'!$C$20</f>
        <v>31354838.709677417</v>
      </c>
      <c r="V5">
        <f>'Study Parameters'!$C$20</f>
        <v>31354838.709677417</v>
      </c>
      <c r="W5">
        <f>'Study Parameters'!$C$20</f>
        <v>31354838.709677417</v>
      </c>
      <c r="X5">
        <f>'Study Parameters'!$C$20</f>
        <v>31354838.709677417</v>
      </c>
      <c r="Y5">
        <f>'Study Parameters'!$C$20</f>
        <v>31354838.709677417</v>
      </c>
      <c r="Z5">
        <f>'Study Parameters'!$C$20</f>
        <v>31354838.709677417</v>
      </c>
      <c r="AA5">
        <f>'Study Parameters'!$C$20</f>
        <v>31354838.709677417</v>
      </c>
    </row>
    <row r="6" spans="1:27">
      <c r="A6" t="s">
        <v>122</v>
      </c>
      <c r="B6">
        <f>B5 / (1+'Study Parameters'!$C$12) ^ 'MFSP Baseline'!B2</f>
        <v>0</v>
      </c>
      <c r="C6">
        <f>C5 / (1+'Cost Components'!$B$38) ^ 'MFSP Baseline'!C2</f>
        <v>29303587.579137772</v>
      </c>
      <c r="D6">
        <f>D5 / (1+'Cost Components'!$B$38) ^ 'MFSP Baseline'!D2</f>
        <v>27386530.44779231</v>
      </c>
      <c r="E6">
        <f>E5 / (1+'Cost Components'!$B$38) ^ 'MFSP Baseline'!E2</f>
        <v>25594888.268964775</v>
      </c>
      <c r="F6">
        <f>F5 / (1+'Cost Components'!$B$38) ^ 'MFSP Baseline'!F2</f>
        <v>23920456.326135304</v>
      </c>
      <c r="G6">
        <f>G5 / (1+'Cost Components'!$B$38) ^ 'MFSP Baseline'!G2</f>
        <v>22355566.659939535</v>
      </c>
      <c r="H6">
        <f>H5 / (1+'Cost Components'!$B$38) ^ 'MFSP Baseline'!H2</f>
        <v>20893052.953214519</v>
      </c>
      <c r="I6">
        <f>I5 / (1+'Cost Components'!$B$38) ^ 'MFSP Baseline'!I2</f>
        <v>19526217.713284597</v>
      </c>
      <c r="J6">
        <f>J5 / (1+'Cost Components'!$B$38) ^ 'MFSP Baseline'!J2</f>
        <v>18248801.601200558</v>
      </c>
      <c r="K6">
        <f>K5 / (1+'Cost Components'!$B$38) ^ 'MFSP Baseline'!K2</f>
        <v>17054954.767477155</v>
      </c>
      <c r="L6">
        <f>L5 / (1+'Cost Components'!$B$38) ^ 'MFSP Baseline'!L2</f>
        <v>15939210.063062763</v>
      </c>
      <c r="M6">
        <f>M5 / (1+'Cost Components'!$B$38) ^ 'MFSP Baseline'!M2</f>
        <v>14896458.002862394</v>
      </c>
      <c r="N6">
        <f>N5 / (1+'Cost Components'!$B$38) ^ 'MFSP Baseline'!N2</f>
        <v>13921923.367161117</v>
      </c>
      <c r="O6">
        <f>O5 / (1+'Cost Components'!$B$38) ^ 'MFSP Baseline'!O2</f>
        <v>13011143.333795436</v>
      </c>
      <c r="P6">
        <f>P5 / (1+'Cost Components'!$B$38) ^ 'MFSP Baseline'!P2</f>
        <v>12159947.040930316</v>
      </c>
      <c r="Q6">
        <f>Q5 / (1+'Cost Components'!$B$38) ^ 'MFSP Baseline'!Q2</f>
        <v>11364436.486850761</v>
      </c>
      <c r="R6">
        <f>R5 / (1+'Cost Components'!$B$38) ^ 'MFSP Baseline'!R2</f>
        <v>10620968.679299777</v>
      </c>
      <c r="S6">
        <f>S5 / (1+'Cost Components'!$B$38) ^ 'MFSP Baseline'!S2</f>
        <v>9926138.9526166152</v>
      </c>
      <c r="T6">
        <f>T5 / (1+'Cost Components'!$B$38) ^ 'MFSP Baseline'!T2</f>
        <v>9276765.3762772102</v>
      </c>
      <c r="U6">
        <f>U5 / (1+'Cost Components'!$B$38) ^ 'MFSP Baseline'!U2</f>
        <v>8669874.1834366433</v>
      </c>
      <c r="V6">
        <f>V5 / (1+'Cost Components'!$B$38) ^ 'MFSP Baseline'!V2</f>
        <v>8102686.1527445279</v>
      </c>
      <c r="W6">
        <f>W5 / (1+'Cost Components'!$B$38) ^ 'MFSP Baseline'!W2</f>
        <v>7572603.8810696518</v>
      </c>
      <c r="X6">
        <f>X5 / (1+'Cost Components'!$B$38) ^ 'MFSP Baseline'!X2</f>
        <v>7077199.8888501413</v>
      </c>
      <c r="Y6">
        <f>Y5 / (1+'Cost Components'!$B$38) ^ 'MFSP Baseline'!Y2</f>
        <v>6614205.5035982635</v>
      </c>
      <c r="Z6">
        <f>Z5 / (1+'Cost Components'!$B$38) ^ 'MFSP Baseline'!Z2</f>
        <v>6181500.4706525821</v>
      </c>
      <c r="AA6">
        <f>AA5 / (1+'Cost Components'!$B$38) ^ 'MFSP Baseline'!AA2</f>
        <v>5777103.2436005436</v>
      </c>
    </row>
    <row r="8" spans="1:27">
      <c r="A8" t="s">
        <v>123</v>
      </c>
      <c r="B8" s="8">
        <f>SUM(B4:AA4) / SUM(B6:AA6)</f>
        <v>3.8243100954201164</v>
      </c>
    </row>
    <row r="10" spans="1:27">
      <c r="A10" t="s">
        <v>124</v>
      </c>
    </row>
    <row r="11" spans="1:27">
      <c r="A11" t="s">
        <v>1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</row>
    <row r="12" spans="1:27">
      <c r="A12" t="s">
        <v>119</v>
      </c>
      <c r="B12" s="11">
        <f>'Cost Components'!H14 * 10 ^ 6</f>
        <v>325320000</v>
      </c>
      <c r="C12" s="11">
        <f>'Cost Components'!$H$37 * 10 ^ 6</f>
        <v>69725991.39953956</v>
      </c>
      <c r="D12" s="11">
        <f>'Cost Components'!$H$37 * 10 ^ 6</f>
        <v>69725991.39953956</v>
      </c>
      <c r="E12" s="11">
        <f>'Cost Components'!$H$37 * 10 ^ 6</f>
        <v>69725991.39953956</v>
      </c>
      <c r="F12" s="11">
        <f>'Cost Components'!$H$37 * 10 ^ 6</f>
        <v>69725991.39953956</v>
      </c>
      <c r="G12" s="11">
        <f>'Cost Components'!$H$37 * 10 ^ 6</f>
        <v>69725991.39953956</v>
      </c>
      <c r="H12" s="11">
        <f>'Cost Components'!$H$37 * 10 ^ 6</f>
        <v>69725991.39953956</v>
      </c>
      <c r="I12" s="11">
        <f>'Cost Components'!$H$37 * 10 ^ 6</f>
        <v>69725991.39953956</v>
      </c>
      <c r="J12" s="11">
        <f>'Cost Components'!$H$37 * 10 ^ 6</f>
        <v>69725991.39953956</v>
      </c>
      <c r="K12" s="11">
        <f>'Cost Components'!$H$37 * 10 ^ 6</f>
        <v>69725991.39953956</v>
      </c>
      <c r="L12" s="11">
        <f>'Cost Components'!$H$37 * 10 ^ 6</f>
        <v>69725991.39953956</v>
      </c>
      <c r="M12" s="11">
        <f>'Cost Components'!$H$37 * 10 ^ 6</f>
        <v>69725991.39953956</v>
      </c>
      <c r="N12" s="11">
        <f>'Cost Components'!$H$37 * 10 ^ 6</f>
        <v>69725991.39953956</v>
      </c>
      <c r="O12" s="11">
        <f>'Cost Components'!$H$37 * 10 ^ 6</f>
        <v>69725991.39953956</v>
      </c>
      <c r="P12" s="11">
        <f>'Cost Components'!$H$37 * 10 ^ 6</f>
        <v>69725991.39953956</v>
      </c>
      <c r="Q12" s="11">
        <f>'Cost Components'!$H$37 * 10 ^ 6</f>
        <v>69725991.39953956</v>
      </c>
      <c r="R12" s="11">
        <f>'Cost Components'!$H$37 * 10 ^ 6</f>
        <v>69725991.39953956</v>
      </c>
      <c r="S12" s="11">
        <f>'Cost Components'!$H$37 * 10 ^ 6</f>
        <v>69725991.39953956</v>
      </c>
      <c r="T12" s="11">
        <f>'Cost Components'!$H$37 * 10 ^ 6</f>
        <v>69725991.39953956</v>
      </c>
      <c r="U12" s="11">
        <f>'Cost Components'!$H$37 * 10 ^ 6</f>
        <v>69725991.39953956</v>
      </c>
      <c r="V12" s="11">
        <f>'Cost Components'!$H$37 * 10 ^ 6</f>
        <v>69725991.39953956</v>
      </c>
      <c r="W12" s="11">
        <f>'Cost Components'!$H$37 * 10 ^ 6</f>
        <v>69725991.39953956</v>
      </c>
      <c r="X12" s="11">
        <f>'Cost Components'!$H$37 * 10 ^ 6</f>
        <v>69725991.39953956</v>
      </c>
      <c r="Y12" s="11">
        <f>'Cost Components'!$H$37 * 10 ^ 6</f>
        <v>69725991.39953956</v>
      </c>
      <c r="Z12" s="11">
        <f>'Cost Components'!$H$37 * 10 ^ 6</f>
        <v>69725991.39953956</v>
      </c>
      <c r="AA12" s="11">
        <f>'Cost Components'!$H$37 * 10 ^ 6</f>
        <v>69725991.39953956</v>
      </c>
    </row>
    <row r="13" spans="1:27">
      <c r="A13" t="s">
        <v>120</v>
      </c>
      <c r="B13" s="8">
        <f>B12 / (1+'Study Parameters'!$C$12) ^'MFSP Baseline'!B11</f>
        <v>325320000</v>
      </c>
      <c r="C13" s="8">
        <f>C12 / (1+'Cost Components'!$B$38) ^'MFSP Baseline'!C11</f>
        <v>65164477.943494909</v>
      </c>
      <c r="D13" s="8">
        <f>D12 / (1+'Cost Components'!$B$38) ^'MFSP Baseline'!D11</f>
        <v>60901381.255602725</v>
      </c>
      <c r="E13" s="8">
        <f>E12 / (1+'Cost Components'!$B$38) ^'MFSP Baseline'!E11</f>
        <v>56917178.743553944</v>
      </c>
      <c r="F13" s="8">
        <f>F12 / (1+'Cost Components'!$B$38) ^'MFSP Baseline'!F11</f>
        <v>53193624.993975654</v>
      </c>
      <c r="G13" s="8">
        <f>G12 / (1+'Cost Components'!$B$38) ^'MFSP Baseline'!G11</f>
        <v>49713668.218668826</v>
      </c>
      <c r="H13" s="8">
        <f>H12 / (1+'Cost Components'!$B$38) ^'MFSP Baseline'!H11</f>
        <v>46461372.166980214</v>
      </c>
      <c r="I13" s="8">
        <f>I12 / (1+'Cost Components'!$B$38) ^'MFSP Baseline'!I11</f>
        <v>43421843.146710478</v>
      </c>
      <c r="J13" s="8">
        <f>J12 / (1+'Cost Components'!$B$38) ^'MFSP Baseline'!J11</f>
        <v>40581161.819355592</v>
      </c>
      <c r="K13" s="8">
        <f>K12 / (1+'Cost Components'!$B$38) ^'MFSP Baseline'!K11</f>
        <v>37926319.457341671</v>
      </c>
      <c r="L13" s="8">
        <f>L12 / (1+'Cost Components'!$B$38) ^'MFSP Baseline'!L11</f>
        <v>35445158.371347353</v>
      </c>
      <c r="M13" s="8">
        <f>M12 / (1+'Cost Components'!$B$38) ^'MFSP Baseline'!M11</f>
        <v>33126316.234904066</v>
      </c>
      <c r="N13" s="8">
        <f>N12 / (1+'Cost Components'!$B$38) ^'MFSP Baseline'!N11</f>
        <v>30959174.051312219</v>
      </c>
      <c r="O13" s="8">
        <f>O12 / (1+'Cost Components'!$B$38) ^'MFSP Baseline'!O11</f>
        <v>28933807.524590857</v>
      </c>
      <c r="P13" s="8">
        <f>P12 / (1+'Cost Components'!$B$38) ^'MFSP Baseline'!P11</f>
        <v>27040941.611767158</v>
      </c>
      <c r="Q13" s="8">
        <f>Q12 / (1+'Cost Components'!$B$38) ^'MFSP Baseline'!Q11</f>
        <v>25271908.048380516</v>
      </c>
      <c r="R13" s="8">
        <f>R12 / (1+'Cost Components'!$B$38) ^'MFSP Baseline'!R11</f>
        <v>23618605.652692076</v>
      </c>
      <c r="S13" s="8">
        <f>S12 / (1+'Cost Components'!$B$38) ^'MFSP Baseline'!S11</f>
        <v>22073463.226815023</v>
      </c>
      <c r="T13" s="8">
        <f>T12 / (1+'Cost Components'!$B$38) ^'MFSP Baseline'!T11</f>
        <v>20629404.884873852</v>
      </c>
      <c r="U13" s="8">
        <f>U12 / (1+'Cost Components'!$B$38) ^'MFSP Baseline'!U11</f>
        <v>19279817.649414815</v>
      </c>
      <c r="V13" s="8">
        <f>V12 / (1+'Cost Components'!$B$38) ^'MFSP Baseline'!V11</f>
        <v>18018521.167677399</v>
      </c>
      <c r="W13" s="8">
        <f>W12 / (1+'Cost Components'!$B$38) ^'MFSP Baseline'!W11</f>
        <v>16839739.409044296</v>
      </c>
      <c r="X13" s="8">
        <f>X12 / (1+'Cost Components'!$B$38) ^'MFSP Baseline'!X11</f>
        <v>15738074.21406009</v>
      </c>
      <c r="Y13" s="8">
        <f>Y12 / (1+'Cost Components'!$B$38) ^'MFSP Baseline'!Y11</f>
        <v>14708480.573887935</v>
      </c>
      <c r="Z13" s="8">
        <f>Z12 / (1+'Cost Components'!$B$38) ^'MFSP Baseline'!Z11</f>
        <v>13746243.526998069</v>
      </c>
      <c r="AA13" s="8">
        <f>AA12 / (1+'Cost Components'!$B$38) ^'MFSP Baseline'!AA11</f>
        <v>12846956.567287914</v>
      </c>
    </row>
    <row r="14" spans="1:27">
      <c r="A14" t="s">
        <v>121</v>
      </c>
      <c r="B14">
        <v>0</v>
      </c>
      <c r="C14">
        <f>'Study Parameters'!$C$20</f>
        <v>31354838.709677417</v>
      </c>
      <c r="D14">
        <f>'Study Parameters'!$C$20</f>
        <v>31354838.709677417</v>
      </c>
      <c r="E14">
        <f>'Study Parameters'!$C$20</f>
        <v>31354838.709677417</v>
      </c>
      <c r="F14">
        <f>'Study Parameters'!$C$20</f>
        <v>31354838.709677417</v>
      </c>
      <c r="G14">
        <f>'Study Parameters'!$C$20</f>
        <v>31354838.709677417</v>
      </c>
      <c r="H14">
        <f>'Study Parameters'!$C$20</f>
        <v>31354838.709677417</v>
      </c>
      <c r="I14">
        <f>'Study Parameters'!$C$20</f>
        <v>31354838.709677417</v>
      </c>
      <c r="J14">
        <f>'Study Parameters'!$C$20</f>
        <v>31354838.709677417</v>
      </c>
      <c r="K14">
        <f>'Study Parameters'!$C$20</f>
        <v>31354838.709677417</v>
      </c>
      <c r="L14">
        <f>'Study Parameters'!$C$20</f>
        <v>31354838.709677417</v>
      </c>
      <c r="M14">
        <f>'Study Parameters'!$C$20</f>
        <v>31354838.709677417</v>
      </c>
      <c r="N14">
        <f>'Study Parameters'!$C$20</f>
        <v>31354838.709677417</v>
      </c>
      <c r="O14">
        <f>'Study Parameters'!$C$20</f>
        <v>31354838.709677417</v>
      </c>
      <c r="P14">
        <f>'Study Parameters'!$C$20</f>
        <v>31354838.709677417</v>
      </c>
      <c r="Q14">
        <f>'Study Parameters'!$C$20</f>
        <v>31354838.709677417</v>
      </c>
      <c r="R14">
        <f>'Study Parameters'!$C$20</f>
        <v>31354838.709677417</v>
      </c>
      <c r="S14">
        <f>'Study Parameters'!$C$20</f>
        <v>31354838.709677417</v>
      </c>
      <c r="T14">
        <f>'Study Parameters'!$C$20</f>
        <v>31354838.709677417</v>
      </c>
      <c r="U14">
        <f>'Study Parameters'!$C$20</f>
        <v>31354838.709677417</v>
      </c>
      <c r="V14">
        <f>'Study Parameters'!$C$20</f>
        <v>31354838.709677417</v>
      </c>
      <c r="W14">
        <f>'Study Parameters'!$C$20</f>
        <v>31354838.709677417</v>
      </c>
      <c r="X14">
        <f>'Study Parameters'!$C$20</f>
        <v>31354838.709677417</v>
      </c>
      <c r="Y14">
        <f>'Study Parameters'!$C$20</f>
        <v>31354838.709677417</v>
      </c>
      <c r="Z14">
        <f>'Study Parameters'!$C$20</f>
        <v>31354838.709677417</v>
      </c>
      <c r="AA14">
        <f>'Study Parameters'!$C$20</f>
        <v>31354838.709677417</v>
      </c>
    </row>
    <row r="15" spans="1:27">
      <c r="A15" t="s">
        <v>122</v>
      </c>
      <c r="B15">
        <f>B14 / (1+'Study Parameters'!$C$12) ^ 'MFSP Baseline'!B11</f>
        <v>0</v>
      </c>
      <c r="C15">
        <f>C14 / (1+'Cost Components'!$B$38) ^ 'MFSP Baseline'!C11</f>
        <v>29303587.579137772</v>
      </c>
      <c r="D15">
        <f>D14 / (1+'Cost Components'!$B$38) ^ 'MFSP Baseline'!D11</f>
        <v>27386530.44779231</v>
      </c>
      <c r="E15">
        <f>E14 / (1+'Cost Components'!$B$38) ^ 'MFSP Baseline'!E11</f>
        <v>25594888.268964775</v>
      </c>
      <c r="F15">
        <f>F14 / (1+'Cost Components'!$B$38) ^ 'MFSP Baseline'!F11</f>
        <v>23920456.326135304</v>
      </c>
      <c r="G15">
        <f>G14 / (1+'Cost Components'!$B$38) ^ 'MFSP Baseline'!G11</f>
        <v>22355566.659939535</v>
      </c>
      <c r="H15">
        <f>H14 / (1+'Cost Components'!$B$38) ^ 'MFSP Baseline'!H11</f>
        <v>20893052.953214519</v>
      </c>
      <c r="I15">
        <f>I14 / (1+'Cost Components'!$B$38) ^ 'MFSP Baseline'!I11</f>
        <v>19526217.713284597</v>
      </c>
      <c r="J15">
        <f>J14 / (1+'Cost Components'!$B$38) ^ 'MFSP Baseline'!J11</f>
        <v>18248801.601200558</v>
      </c>
      <c r="K15">
        <f>K14 / (1+'Cost Components'!$B$38) ^ 'MFSP Baseline'!K11</f>
        <v>17054954.767477155</v>
      </c>
      <c r="L15">
        <f>L14 / (1+'Cost Components'!$B$38) ^ 'MFSP Baseline'!L11</f>
        <v>15939210.063062763</v>
      </c>
      <c r="M15">
        <f>M14 / (1+'Cost Components'!$B$38) ^ 'MFSP Baseline'!M11</f>
        <v>14896458.002862394</v>
      </c>
      <c r="N15">
        <f>N14 / (1+'Cost Components'!$B$38) ^ 'MFSP Baseline'!N11</f>
        <v>13921923.367161117</v>
      </c>
      <c r="O15">
        <f>O14 / (1+'Cost Components'!$B$38) ^ 'MFSP Baseline'!O11</f>
        <v>13011143.333795436</v>
      </c>
      <c r="P15">
        <f>P14 / (1+'Cost Components'!$B$38) ^ 'MFSP Baseline'!P11</f>
        <v>12159947.040930316</v>
      </c>
      <c r="Q15">
        <f>Q14 / (1+'Cost Components'!$B$38) ^ 'MFSP Baseline'!Q11</f>
        <v>11364436.486850761</v>
      </c>
      <c r="R15">
        <f>R14 / (1+'Cost Components'!$B$38) ^ 'MFSP Baseline'!R11</f>
        <v>10620968.679299777</v>
      </c>
      <c r="S15">
        <f>S14 / (1+'Cost Components'!$B$38) ^ 'MFSP Baseline'!S11</f>
        <v>9926138.9526166152</v>
      </c>
      <c r="T15">
        <f>T14 / (1+'Cost Components'!$B$38) ^ 'MFSP Baseline'!T11</f>
        <v>9276765.3762772102</v>
      </c>
      <c r="U15">
        <f>U14 / (1+'Cost Components'!$B$38) ^ 'MFSP Baseline'!U11</f>
        <v>8669874.1834366433</v>
      </c>
      <c r="V15">
        <f>V14 / (1+'Cost Components'!$B$38) ^ 'MFSP Baseline'!V11</f>
        <v>8102686.1527445279</v>
      </c>
      <c r="W15">
        <f>W14 / (1+'Cost Components'!$B$38) ^ 'MFSP Baseline'!W11</f>
        <v>7572603.8810696518</v>
      </c>
      <c r="X15">
        <f>X14 / (1+'Cost Components'!$B$38) ^ 'MFSP Baseline'!X11</f>
        <v>7077199.8888501413</v>
      </c>
      <c r="Y15">
        <f>Y14 / (1+'Cost Components'!$B$38) ^ 'MFSP Baseline'!Y11</f>
        <v>6614205.5035982635</v>
      </c>
      <c r="Z15">
        <f>Z14 / (1+'Cost Components'!$B$38) ^ 'MFSP Baseline'!Z11</f>
        <v>6181500.4706525821</v>
      </c>
      <c r="AA15">
        <f>AA14 / (1+'Cost Components'!$B$38) ^ 'MFSP Baseline'!AA11</f>
        <v>5777103.2436005436</v>
      </c>
    </row>
    <row r="17" spans="1:30">
      <c r="A17" t="s">
        <v>123</v>
      </c>
      <c r="B17" s="8">
        <f>SUM(B13:AA13) / SUM(B15:AA15)</f>
        <v>3.1140925254267096</v>
      </c>
    </row>
    <row r="19" spans="1:30">
      <c r="A19" t="s">
        <v>125</v>
      </c>
    </row>
    <row r="20" spans="1:30">
      <c r="A20" t="s">
        <v>1</v>
      </c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  <c r="M20">
        <v>11</v>
      </c>
      <c r="N20">
        <v>12</v>
      </c>
      <c r="O20">
        <v>13</v>
      </c>
      <c r="P20">
        <v>14</v>
      </c>
      <c r="Q20">
        <v>15</v>
      </c>
      <c r="R20">
        <v>16</v>
      </c>
      <c r="S20">
        <v>17</v>
      </c>
      <c r="T20">
        <v>18</v>
      </c>
      <c r="U20">
        <v>19</v>
      </c>
      <c r="V20">
        <v>20</v>
      </c>
      <c r="W20">
        <v>21</v>
      </c>
      <c r="X20">
        <v>22</v>
      </c>
      <c r="Y20">
        <v>23</v>
      </c>
      <c r="Z20">
        <v>24</v>
      </c>
      <c r="AA20">
        <v>25</v>
      </c>
    </row>
    <row r="21" spans="1:30">
      <c r="A21" t="s">
        <v>119</v>
      </c>
      <c r="B21" s="23">
        <f>'Cost Components'!N14 * 10^6</f>
        <v>258320000</v>
      </c>
      <c r="C21" s="24">
        <f>'Cost Components'!$N$37 * 10^6</f>
        <v>67585341.399539575</v>
      </c>
      <c r="D21" s="24">
        <f>'Cost Components'!$N$37 * 10^6</f>
        <v>67585341.399539575</v>
      </c>
      <c r="E21" s="24">
        <f>'Cost Components'!$N$37 * 10^6</f>
        <v>67585341.399539575</v>
      </c>
      <c r="F21" s="24">
        <f>'Cost Components'!$N$37 * 10^6</f>
        <v>67585341.399539575</v>
      </c>
      <c r="G21" s="24">
        <f>'Cost Components'!$N$37 * 10^6</f>
        <v>67585341.399539575</v>
      </c>
      <c r="H21" s="24">
        <f>'Cost Components'!$N$37 * 10^6</f>
        <v>67585341.399539575</v>
      </c>
      <c r="I21" s="24">
        <f>'Cost Components'!$N$37 * 10^6</f>
        <v>67585341.399539575</v>
      </c>
      <c r="J21" s="24">
        <f>'Cost Components'!$N$37 * 10^6</f>
        <v>67585341.399539575</v>
      </c>
      <c r="K21" s="24">
        <f>'Cost Components'!$N$37 * 10^6</f>
        <v>67585341.399539575</v>
      </c>
      <c r="L21" s="24">
        <f>'Cost Components'!$N$37 * 10^6</f>
        <v>67585341.399539575</v>
      </c>
      <c r="M21" s="24">
        <f>'Cost Components'!$N$37 * 10^6</f>
        <v>67585341.399539575</v>
      </c>
      <c r="N21" s="24">
        <f>'Cost Components'!$N$37 * 10^6</f>
        <v>67585341.399539575</v>
      </c>
      <c r="O21" s="24">
        <f>'Cost Components'!$N$37 * 10^6</f>
        <v>67585341.399539575</v>
      </c>
      <c r="P21" s="24">
        <f>'Cost Components'!$N$37 * 10^6</f>
        <v>67585341.399539575</v>
      </c>
      <c r="Q21" s="24">
        <f>'Cost Components'!$N$37 * 10^6</f>
        <v>67585341.399539575</v>
      </c>
      <c r="R21" s="24">
        <f>'Cost Components'!$N$37 * 10^6</f>
        <v>67585341.399539575</v>
      </c>
      <c r="S21" s="24">
        <f>'Cost Components'!$N$37 * 10^6</f>
        <v>67585341.399539575</v>
      </c>
      <c r="T21" s="24">
        <f>'Cost Components'!$N$37 * 10^6</f>
        <v>67585341.399539575</v>
      </c>
      <c r="U21" s="24">
        <f>'Cost Components'!$N$37 * 10^6</f>
        <v>67585341.399539575</v>
      </c>
      <c r="V21" s="24">
        <f>'Cost Components'!$N$37 * 10^6</f>
        <v>67585341.399539575</v>
      </c>
      <c r="W21" s="24">
        <f>'Cost Components'!$N$37 * 10^6</f>
        <v>67585341.399539575</v>
      </c>
      <c r="X21" s="24">
        <f>'Cost Components'!$N$37 * 10^6</f>
        <v>67585341.399539575</v>
      </c>
      <c r="Y21" s="24">
        <f>'Cost Components'!$N$37 * 10^6</f>
        <v>67585341.399539575</v>
      </c>
      <c r="Z21" s="24">
        <f>'Cost Components'!$N$37 * 10^6</f>
        <v>67585341.399539575</v>
      </c>
      <c r="AA21" s="24">
        <f>'Cost Components'!$N$37 * 10^6</f>
        <v>67585341.399539575</v>
      </c>
    </row>
    <row r="22" spans="1:30">
      <c r="A22" t="s">
        <v>120</v>
      </c>
      <c r="B22" s="24">
        <f>B21/((1+'Study Parameters'!$C$14) ^ 'MFSP WACC Corrected'!B20)</f>
        <v>258320000</v>
      </c>
      <c r="C22" s="24">
        <f>C21/((1+Inputs!$C$5) ^ 'MFSP WACC Corrected'!C20)</f>
        <v>63163870.466859415</v>
      </c>
      <c r="D22" s="24">
        <f>D21/((1+Inputs!$C$5) ^ 'MFSP WACC Corrected'!D20)</f>
        <v>59031654.641924687</v>
      </c>
      <c r="E22" s="24">
        <f>E21/((1+Inputs!$C$5) ^ 'MFSP WACC Corrected'!E20)</f>
        <v>55169770.693387553</v>
      </c>
      <c r="F22" s="24">
        <f>F21/((1+Inputs!$C$5) ^ 'MFSP WACC Corrected'!F20)</f>
        <v>51560533.358306132</v>
      </c>
      <c r="G22" s="24">
        <f>G21/((1+Inputs!$C$5) ^ 'MFSP WACC Corrected'!G20)</f>
        <v>48187414.353557125</v>
      </c>
      <c r="H22" s="24">
        <f>H21/((1+Inputs!$C$5) ^ 'MFSP WACC Corrected'!H20)</f>
        <v>45034966.685567409</v>
      </c>
      <c r="I22" s="24">
        <f>I21/((1+Inputs!$C$5) ^ 'MFSP WACC Corrected'!I20)</f>
        <v>42088753.911745243</v>
      </c>
      <c r="J22" s="24">
        <f>J21/((1+Inputs!$C$5) ^ 'MFSP WACC Corrected'!J20)</f>
        <v>39335284.02966845</v>
      </c>
      <c r="K22" s="24">
        <f>K21/((1+Inputs!$C$5) ^ 'MFSP WACC Corrected'!K20)</f>
        <v>36761947.69127892</v>
      </c>
      <c r="L22" s="24">
        <f>L21/((1+Inputs!$C$5) ^ 'MFSP WACC Corrected'!L20)</f>
        <v>34356960.459139183</v>
      </c>
      <c r="M22" s="24">
        <f>M21/((1+Inputs!$C$5) ^ 'MFSP WACC Corrected'!M20)</f>
        <v>32109308.840316985</v>
      </c>
      <c r="N22" s="24">
        <f>N21/((1+Inputs!$C$5) ^ 'MFSP WACC Corrected'!N20)</f>
        <v>30008699.850763544</v>
      </c>
      <c r="O22" s="24">
        <f>O21/((1+Inputs!$C$5) ^ 'MFSP WACC Corrected'!O20)</f>
        <v>28045513.879218265</v>
      </c>
      <c r="P22" s="24">
        <f>P21/((1+Inputs!$C$5) ^ 'MFSP WACC Corrected'!P20)</f>
        <v>26210760.634783424</v>
      </c>
      <c r="Q22" s="24">
        <f>Q21/((1+Inputs!$C$5) ^ 'MFSP WACC Corrected'!Q20)</f>
        <v>24496037.976433106</v>
      </c>
      <c r="R22" s="24">
        <f>R21/((1+Inputs!$C$5) ^ 'MFSP WACC Corrected'!R20)</f>
        <v>22893493.435918793</v>
      </c>
      <c r="S22" s="24">
        <f>S21/((1+Inputs!$C$5) ^ 'MFSP WACC Corrected'!S20)</f>
        <v>21395788.257868029</v>
      </c>
      <c r="T22" s="24">
        <f>T21/((1+Inputs!$C$5) ^ 'MFSP WACC Corrected'!T20)</f>
        <v>19996063.792400029</v>
      </c>
      <c r="U22" s="24">
        <f>U21/((1+Inputs!$C$5) ^ 'MFSP WACC Corrected'!U20)</f>
        <v>18687910.086355165</v>
      </c>
      <c r="V22" s="24">
        <f>V21/((1+Inputs!$C$5) ^ 'MFSP WACC Corrected'!V20)</f>
        <v>17465336.529303893</v>
      </c>
      <c r="W22" s="24">
        <f>W21/((1+Inputs!$C$5) ^ 'MFSP WACC Corrected'!W20)</f>
        <v>16322744.419910181</v>
      </c>
      <c r="X22" s="24">
        <f>X21/((1+Inputs!$C$5) ^ 'MFSP WACC Corrected'!X20)</f>
        <v>15254901.327018861</v>
      </c>
      <c r="Y22" s="24">
        <f>Y21/((1+Inputs!$C$5) ^ 'MFSP WACC Corrected'!Y20)</f>
        <v>14256917.12805501</v>
      </c>
      <c r="Z22" s="24">
        <f>Z21/((1+Inputs!$C$5) ^ 'MFSP WACC Corrected'!Z20)</f>
        <v>13324221.615004681</v>
      </c>
      <c r="AA22" s="24">
        <f>AA21/((1+Inputs!$C$5) ^ 'MFSP WACC Corrected'!AA20)</f>
        <v>12452543.565424934</v>
      </c>
    </row>
    <row r="23" spans="1:30">
      <c r="A23" t="s">
        <v>121</v>
      </c>
      <c r="B23">
        <v>0</v>
      </c>
      <c r="C23">
        <f>'Study Parameters'!$C$20</f>
        <v>31354838.709677417</v>
      </c>
      <c r="D23">
        <f>'Study Parameters'!$C$20</f>
        <v>31354838.709677417</v>
      </c>
      <c r="E23">
        <f>'Study Parameters'!$C$20</f>
        <v>31354838.709677417</v>
      </c>
      <c r="F23">
        <f>'Study Parameters'!$C$20</f>
        <v>31354838.709677417</v>
      </c>
      <c r="G23">
        <f>'Study Parameters'!$C$20</f>
        <v>31354838.709677417</v>
      </c>
      <c r="H23">
        <f>'Study Parameters'!$C$20</f>
        <v>31354838.709677417</v>
      </c>
      <c r="I23">
        <f>'Study Parameters'!$C$20</f>
        <v>31354838.709677417</v>
      </c>
      <c r="J23">
        <f>'Study Parameters'!$C$20</f>
        <v>31354838.709677417</v>
      </c>
      <c r="K23">
        <f>'Study Parameters'!$C$20</f>
        <v>31354838.709677417</v>
      </c>
      <c r="L23">
        <f>'Study Parameters'!$C$20</f>
        <v>31354838.709677417</v>
      </c>
      <c r="M23">
        <f>'Study Parameters'!$C$20</f>
        <v>31354838.709677417</v>
      </c>
      <c r="N23">
        <f>'Study Parameters'!$C$20</f>
        <v>31354838.709677417</v>
      </c>
      <c r="O23">
        <f>'Study Parameters'!$C$20</f>
        <v>31354838.709677417</v>
      </c>
      <c r="P23">
        <f>'Study Parameters'!$C$20</f>
        <v>31354838.709677417</v>
      </c>
      <c r="Q23">
        <f>'Study Parameters'!$C$20</f>
        <v>31354838.709677417</v>
      </c>
      <c r="R23">
        <f>'Study Parameters'!$C$20</f>
        <v>31354838.709677417</v>
      </c>
      <c r="S23">
        <f>'Study Parameters'!$C$20</f>
        <v>31354838.709677417</v>
      </c>
      <c r="T23">
        <f>'Study Parameters'!$C$20</f>
        <v>31354838.709677417</v>
      </c>
      <c r="U23">
        <f>'Study Parameters'!$C$20</f>
        <v>31354838.709677417</v>
      </c>
      <c r="V23">
        <f>'Study Parameters'!$C$20</f>
        <v>31354838.709677417</v>
      </c>
      <c r="W23">
        <f>'Study Parameters'!$C$20</f>
        <v>31354838.709677417</v>
      </c>
      <c r="X23">
        <f>'Study Parameters'!$C$20</f>
        <v>31354838.709677417</v>
      </c>
      <c r="Y23">
        <f>'Study Parameters'!$C$20</f>
        <v>31354838.709677417</v>
      </c>
      <c r="Z23">
        <f>'Study Parameters'!$C$20</f>
        <v>31354838.709677417</v>
      </c>
      <c r="AA23">
        <f>'Study Parameters'!$C$20</f>
        <v>31354838.709677417</v>
      </c>
    </row>
    <row r="24" spans="1:30">
      <c r="A24" s="25" t="s">
        <v>122</v>
      </c>
      <c r="B24" s="25">
        <f>B23 / (1+'Study Parameters'!$C$12) ^ 'MFSP Baseline'!B20</f>
        <v>0</v>
      </c>
      <c r="C24" s="25">
        <f>C23/((1+Inputs!$C$5) ^ 'MFSP WACC Corrected'!C20)</f>
        <v>29303587.579137772</v>
      </c>
      <c r="D24" s="25">
        <f>D23/((1+Inputs!$C$5) ^ 'MFSP WACC Corrected'!D20)</f>
        <v>27386530.44779231</v>
      </c>
      <c r="E24" s="25">
        <f>E23/((1+Inputs!$C$5) ^ 'MFSP WACC Corrected'!E20)</f>
        <v>25594888.268964775</v>
      </c>
      <c r="F24" s="25">
        <f>F23/((1+Inputs!$C$5) ^ 'MFSP WACC Corrected'!F20)</f>
        <v>23920456.326135304</v>
      </c>
      <c r="G24" s="25">
        <f>G23/((1+Inputs!$C$5) ^ 'MFSP WACC Corrected'!G20)</f>
        <v>22355566.659939535</v>
      </c>
      <c r="H24" s="25">
        <f>H23/((1+Inputs!$C$5) ^ 'MFSP WACC Corrected'!H20)</f>
        <v>20893052.953214519</v>
      </c>
      <c r="I24" s="25">
        <f>I23/((1+Inputs!$C$5) ^ 'MFSP WACC Corrected'!I20)</f>
        <v>19526217.713284597</v>
      </c>
      <c r="J24" s="25">
        <f>J23/((1+Inputs!$C$5) ^ 'MFSP WACC Corrected'!J20)</f>
        <v>18248801.601200558</v>
      </c>
      <c r="K24" s="25">
        <f>K23/((1+Inputs!$C$5) ^ 'MFSP WACC Corrected'!K20)</f>
        <v>17054954.767477155</v>
      </c>
      <c r="L24" s="25">
        <f>L23/((1+Inputs!$C$5) ^ 'MFSP WACC Corrected'!L20)</f>
        <v>15939210.063062763</v>
      </c>
      <c r="M24" s="25">
        <f>M23/((1+Inputs!$C$5) ^ 'MFSP WACC Corrected'!M20)</f>
        <v>14896458.002862394</v>
      </c>
      <c r="N24" s="25">
        <f>N23/((1+Inputs!$C$5) ^ 'MFSP WACC Corrected'!N20)</f>
        <v>13921923.367161117</v>
      </c>
      <c r="O24" s="25">
        <f>O23/((1+Inputs!$C$5) ^ 'MFSP WACC Corrected'!O20)</f>
        <v>13011143.333795436</v>
      </c>
      <c r="P24" s="25">
        <f>P23/((1+Inputs!$C$5) ^ 'MFSP WACC Corrected'!P20)</f>
        <v>12159947.040930316</v>
      </c>
      <c r="Q24" s="25">
        <f>Q23/((1+Inputs!$C$5) ^ 'MFSP WACC Corrected'!Q20)</f>
        <v>11364436.486850761</v>
      </c>
      <c r="R24" s="25">
        <f>R23/((1+Inputs!$C$5) ^ 'MFSP WACC Corrected'!R20)</f>
        <v>10620968.679299777</v>
      </c>
      <c r="S24" s="25">
        <f>S23/((1+Inputs!$C$5) ^ 'MFSP WACC Corrected'!S20)</f>
        <v>9926138.9526166152</v>
      </c>
      <c r="T24" s="25">
        <f>T23/((1+Inputs!$C$5) ^ 'MFSP WACC Corrected'!T20)</f>
        <v>9276765.3762772102</v>
      </c>
      <c r="U24" s="25">
        <f>U23/((1+Inputs!$C$5) ^ 'MFSP WACC Corrected'!U20)</f>
        <v>8669874.1834366433</v>
      </c>
      <c r="V24" s="25">
        <f>V23/((1+Inputs!$C$5) ^ 'MFSP WACC Corrected'!V20)</f>
        <v>8102686.1527445279</v>
      </c>
      <c r="W24" s="25">
        <f>W23/((1+Inputs!$C$5) ^ 'MFSP WACC Corrected'!W20)</f>
        <v>7572603.8810696518</v>
      </c>
      <c r="X24" s="25">
        <f>X23/((1+Inputs!$C$5) ^ 'MFSP WACC Corrected'!X20)</f>
        <v>7077199.8888501413</v>
      </c>
      <c r="Y24" s="25">
        <f>Y23/((1+Inputs!$C$5) ^ 'MFSP WACC Corrected'!Y20)</f>
        <v>6614205.5035982635</v>
      </c>
      <c r="Z24" s="25">
        <f>Z23/((1+Inputs!$C$5) ^ 'MFSP WACC Corrected'!Z20)</f>
        <v>6181500.4706525821</v>
      </c>
      <c r="AA24" s="25">
        <f>AA23/((1+Inputs!$C$5) ^ 'MFSP WACC Corrected'!AA20)</f>
        <v>5777103.2436005436</v>
      </c>
      <c r="AB24" s="24"/>
      <c r="AC24" s="24"/>
      <c r="AD24" s="24"/>
    </row>
    <row r="26" spans="1:30">
      <c r="A26" t="s">
        <v>123</v>
      </c>
      <c r="B26" s="8">
        <f>SUM(B22:AA22) / SUM(B24:AA24)</f>
        <v>2.8624581691846087</v>
      </c>
    </row>
    <row r="29" spans="1:30">
      <c r="A29" t="s">
        <v>126</v>
      </c>
    </row>
    <row r="30" spans="1:30">
      <c r="A30" t="s">
        <v>1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  <c r="I30">
        <v>7</v>
      </c>
      <c r="J30">
        <v>8</v>
      </c>
      <c r="K30">
        <v>9</v>
      </c>
      <c r="L30">
        <v>10</v>
      </c>
      <c r="M30">
        <v>11</v>
      </c>
      <c r="N30">
        <v>12</v>
      </c>
      <c r="O30">
        <v>13</v>
      </c>
      <c r="P30">
        <v>14</v>
      </c>
      <c r="Q30">
        <v>15</v>
      </c>
      <c r="R30">
        <v>16</v>
      </c>
      <c r="S30">
        <v>17</v>
      </c>
      <c r="T30">
        <v>18</v>
      </c>
      <c r="U30">
        <v>19</v>
      </c>
      <c r="V30">
        <v>20</v>
      </c>
      <c r="W30">
        <v>21</v>
      </c>
      <c r="X30">
        <v>22</v>
      </c>
      <c r="Y30">
        <v>23</v>
      </c>
      <c r="Z30">
        <v>24</v>
      </c>
      <c r="AA30">
        <v>25</v>
      </c>
    </row>
    <row r="31" spans="1:30">
      <c r="A31" t="s">
        <v>80</v>
      </c>
      <c r="B31">
        <f>'Cost Components'!B14 * 10^6</f>
        <v>362670000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30">
      <c r="A32" t="s">
        <v>127</v>
      </c>
      <c r="B32">
        <v>0</v>
      </c>
      <c r="C32">
        <f>(-'Cost Components'!$B$29 * 10^6) / (1+'Cost Components'!$B$38)^'MFSP WACC Corrected'!C30</f>
        <v>-7430425.2336448589</v>
      </c>
      <c r="D32">
        <f>(-'Cost Components'!$B$29 * 10^6) / (1+'Cost Components'!$B$38)^'MFSP WACC Corrected'!D30</f>
        <v>-6944322.6482662242</v>
      </c>
      <c r="E32">
        <f>(-'Cost Components'!$B$29 * 10^6) / (1+'Cost Components'!$B$38)^'MFSP WACC Corrected'!E30</f>
        <v>-6490021.1666039471</v>
      </c>
      <c r="F32">
        <f>(-'Cost Components'!$B$29 * 10^6) / (1+'Cost Components'!$B$38)^'MFSP WACC Corrected'!F30</f>
        <v>-6065440.3426205115</v>
      </c>
      <c r="G32">
        <f>(-'Cost Components'!$B$29 * 10^6) / (1+'Cost Components'!$B$38)^'MFSP WACC Corrected'!G30</f>
        <v>-5668635.8342247773</v>
      </c>
      <c r="H32">
        <f>(-'Cost Components'!$B$29 * 10^6) / (1+'Cost Components'!$B$38)^'MFSP WACC Corrected'!H30</f>
        <v>-5297790.4992754925</v>
      </c>
      <c r="I32">
        <f>(-'Cost Components'!$B$29 * 10^6) / (1+'Cost Components'!$B$38)^'MFSP WACC Corrected'!I30</f>
        <v>-4951206.0740892449</v>
      </c>
      <c r="J32">
        <f>(-'Cost Components'!$B$29 * 10^6) / (1+'Cost Components'!$B$38)^'MFSP WACC Corrected'!J30</f>
        <v>-4627295.3963450892</v>
      </c>
      <c r="K32">
        <f>(-'Cost Components'!$B$29 * 10^6) / (1+'Cost Components'!$B$38)^'MFSP WACC Corrected'!K30</f>
        <v>-4324575.1367711108</v>
      </c>
      <c r="L32">
        <f>(-'Cost Components'!$B$29 * 10^6) / (1+'Cost Components'!$B$38)^'MFSP WACC Corrected'!L30</f>
        <v>-4041659.0063281413</v>
      </c>
      <c r="M32">
        <f>(-'Cost Components'!$B$29 * 10^6) / (1+'Cost Components'!$B$38)^'MFSP WACC Corrected'!M30</f>
        <v>-3777251.407783309</v>
      </c>
      <c r="N32">
        <f>(-'Cost Components'!$B$29 * 10^6) / (1+'Cost Components'!$B$38)^'MFSP WACC Corrected'!N30</f>
        <v>-3530141.502601224</v>
      </c>
      <c r="O32">
        <f>(-'Cost Components'!$B$29 * 10^6) / (1+'Cost Components'!$B$38)^'MFSP WACC Corrected'!O30</f>
        <v>-3299197.6659824522</v>
      </c>
      <c r="P32">
        <f>(-'Cost Components'!$B$29 * 10^6) / (1+'Cost Components'!$B$38)^'MFSP WACC Corrected'!P30</f>
        <v>-3083362.3046564977</v>
      </c>
      <c r="Q32">
        <f>(-'Cost Components'!$B$29 * 10^6) / (1+'Cost Components'!$B$38)^'MFSP WACC Corrected'!Q30</f>
        <v>-2881647.013697661</v>
      </c>
      <c r="R32">
        <f>(-'Cost Components'!$B$29 * 10^6) / (1+'Cost Components'!$B$38)^'MFSP WACC Corrected'!R30</f>
        <v>-2693128.05018473</v>
      </c>
      <c r="S32">
        <f>(-'Cost Components'!$B$29 * 10^6) / (1+'Cost Components'!$B$38)^'MFSP WACC Corrected'!S30</f>
        <v>-2516942.1029763832</v>
      </c>
      <c r="T32">
        <f>(-'Cost Components'!$B$29 * 10^6) / (1+'Cost Components'!$B$38)^'MFSP WACC Corrected'!T30</f>
        <v>-2352282.3392302645</v>
      </c>
      <c r="U32">
        <f>(-'Cost Components'!$B$29 * 10^6) / (1+'Cost Components'!$B$38)^'MFSP WACC Corrected'!U30</f>
        <v>-2198394.709560995</v>
      </c>
      <c r="V32">
        <f>(-'Cost Components'!$B$29 * 10^6) / (1+'Cost Components'!$B$38)^'MFSP WACC Corrected'!V30</f>
        <v>-2054574.4949168179</v>
      </c>
      <c r="W32">
        <f>(-'Cost Components'!$B$29 * 10^6) / (1+'Cost Components'!$B$38)^'MFSP WACC Corrected'!W30</f>
        <v>-1920163.0793615119</v>
      </c>
      <c r="X32">
        <f>(-'Cost Components'!$B$29 * 10^6) / (1+'Cost Components'!$B$38)^'MFSP WACC Corrected'!X30</f>
        <v>-1794544.9339827215</v>
      </c>
      <c r="Y32">
        <f>(-'Cost Components'!$B$29 * 10^6) / (1+'Cost Components'!$B$38)^'MFSP WACC Corrected'!Y30</f>
        <v>-1677144.7981146928</v>
      </c>
      <c r="Z32">
        <f>(-'Cost Components'!$B$29 * 10^6) / (1+'Cost Components'!$B$38)^'MFSP WACC Corrected'!Z30</f>
        <v>-1567425.0449670027</v>
      </c>
      <c r="AA32">
        <f>(-'Cost Components'!$B$29 * 10^6) / (1+'Cost Components'!$B$38)^'MFSP WACC Corrected'!AA30</f>
        <v>-1464883.2195953294</v>
      </c>
    </row>
    <row r="33" spans="1:27">
      <c r="A33" t="s">
        <v>109</v>
      </c>
      <c r="B33">
        <v>0</v>
      </c>
      <c r="C33">
        <f>('Cost Components'!$B$36 * 10^6) / (1+'Cost Components'!$B$38) ^'MFSP WACC Corrected'!C30</f>
        <v>74164299.065420553</v>
      </c>
      <c r="D33">
        <f>('Cost Components'!$B$36 * 10^6) / (1+'Cost Components'!$B$38) ^'MFSP WACC Corrected'!D30</f>
        <v>69312429.033103332</v>
      </c>
      <c r="E33">
        <f>('Cost Components'!$B$36 * 10^6) / (1+'Cost Components'!$B$38) ^'MFSP WACC Corrected'!E30</f>
        <v>64777971.058975071</v>
      </c>
      <c r="F33">
        <f>('Cost Components'!$B$36 * 10^6) / (1+'Cost Components'!$B$38) ^'MFSP WACC Corrected'!F30</f>
        <v>60540159.868201002</v>
      </c>
      <c r="G33">
        <f>('Cost Components'!$B$36 * 10^6) / (1+'Cost Components'!$B$38) ^'MFSP WACC Corrected'!G30</f>
        <v>56579588.661870092</v>
      </c>
      <c r="H33">
        <f>('Cost Components'!$B$36 * 10^6) / (1+'Cost Components'!$B$38) ^'MFSP WACC Corrected'!H30</f>
        <v>52878120.244738407</v>
      </c>
      <c r="I33">
        <f>('Cost Components'!$B$36 * 10^6) / (1+'Cost Components'!$B$38) ^'MFSP WACC Corrected'!I30</f>
        <v>49418803.967045233</v>
      </c>
      <c r="J33">
        <f>('Cost Components'!$B$36 * 10^6) / (1+'Cost Components'!$B$38) ^'MFSP WACC Corrected'!J30</f>
        <v>46185798.100042276</v>
      </c>
      <c r="K33">
        <f>('Cost Components'!$B$36 * 10^6) / (1+'Cost Components'!$B$38) ^'MFSP WACC Corrected'!K30</f>
        <v>43164297.289759129</v>
      </c>
      <c r="L33">
        <f>('Cost Components'!$B$36 * 10^6) / (1+'Cost Components'!$B$38) ^'MFSP WACC Corrected'!L30</f>
        <v>40340464.756784238</v>
      </c>
      <c r="M33">
        <f>('Cost Components'!$B$36 * 10^6) / (1+'Cost Components'!$B$38) ^'MFSP WACC Corrected'!M30</f>
        <v>37701368.931574047</v>
      </c>
      <c r="N33">
        <f>('Cost Components'!$B$36 * 10^6) / (1+'Cost Components'!$B$38) ^'MFSP WACC Corrected'!N30</f>
        <v>35234924.235115938</v>
      </c>
      <c r="O33">
        <f>('Cost Components'!$B$36 * 10^6) / (1+'Cost Components'!$B$38) ^'MFSP WACC Corrected'!O30</f>
        <v>32929835.733753212</v>
      </c>
      <c r="P33">
        <f>('Cost Components'!$B$36 * 10^6) / (1+'Cost Components'!$B$38) ^'MFSP WACC Corrected'!P30</f>
        <v>30775547.414722633</v>
      </c>
      <c r="Q33">
        <f>('Cost Components'!$B$36 * 10^6) / (1+'Cost Components'!$B$38) ^'MFSP WACC Corrected'!Q30</f>
        <v>28762193.845535167</v>
      </c>
      <c r="R33">
        <f>('Cost Components'!$B$36 * 10^6) / (1+'Cost Components'!$B$38) ^'MFSP WACC Corrected'!R30</f>
        <v>26880554.995827261</v>
      </c>
      <c r="S33">
        <f>('Cost Components'!$B$36 * 10^6) / (1+'Cost Components'!$B$38) ^'MFSP WACC Corrected'!S30</f>
        <v>25122014.014791831</v>
      </c>
      <c r="T33">
        <f>('Cost Components'!$B$36 * 10^6) / (1+'Cost Components'!$B$38) ^'MFSP WACC Corrected'!T30</f>
        <v>23478517.770833489</v>
      </c>
      <c r="U33">
        <f>('Cost Components'!$B$36 * 10^6) / (1+'Cost Components'!$B$38) ^'MFSP WACC Corrected'!U30</f>
        <v>21942539.972741578</v>
      </c>
      <c r="V33">
        <f>('Cost Components'!$B$36 * 10^6) / (1+'Cost Components'!$B$38) ^'MFSP WACC Corrected'!V30</f>
        <v>20507046.703496803</v>
      </c>
      <c r="W33">
        <f>('Cost Components'!$B$36 * 10^6) / (1+'Cost Components'!$B$38) ^'MFSP WACC Corrected'!W30</f>
        <v>19165464.208875515</v>
      </c>
      <c r="X33">
        <f>('Cost Components'!$B$36 * 10^6) / (1+'Cost Components'!$B$38) ^'MFSP WACC Corrected'!X30</f>
        <v>17911648.793341603</v>
      </c>
      <c r="Y33">
        <f>('Cost Components'!$B$36 * 10^6) / (1+'Cost Components'!$B$38) ^'MFSP WACC Corrected'!Y30</f>
        <v>16739858.685365984</v>
      </c>
      <c r="Z33">
        <f>('Cost Components'!$B$36 * 10^6) / (1+'Cost Components'!$B$38) ^'MFSP WACC Corrected'!Z30</f>
        <v>15644727.743332693</v>
      </c>
      <c r="AA33">
        <f>('Cost Components'!$B$36 * 10^6) / (1+'Cost Components'!$B$38) ^'MFSP WACC Corrected'!AA30</f>
        <v>14621240.88161934</v>
      </c>
    </row>
    <row r="34" spans="1:27">
      <c r="A34" t="s">
        <v>99</v>
      </c>
      <c r="B34">
        <v>0</v>
      </c>
      <c r="C34">
        <f>((SUM('Cost Components'!$B$20:$B$26)*10^6)/(1+'Cost Components'!$B$38)^'MFSP WACC Corrected'!C30)</f>
        <v>17639454.961682245</v>
      </c>
      <c r="D34">
        <f>((SUM('Cost Components'!$B$20:$B$26)*10^6)/(1+'Cost Components'!$B$38)^'MFSP WACC Corrected'!D30)</f>
        <v>16485471.926805837</v>
      </c>
      <c r="E34">
        <f>((SUM('Cost Components'!$B$20:$B$26)*10^6)/(1+'Cost Components'!$B$38)^'MFSP WACC Corrected'!E30)</f>
        <v>15406983.109164333</v>
      </c>
      <c r="F34">
        <f>((SUM('Cost Components'!$B$20:$B$26)*10^6)/(1+'Cost Components'!$B$38)^'MFSP WACC Corrected'!F30)</f>
        <v>14399049.634733023</v>
      </c>
      <c r="G34">
        <f>((SUM('Cost Components'!$B$20:$B$26)*10^6)/(1+'Cost Components'!$B$38)^'MFSP WACC Corrected'!G30)</f>
        <v>13457055.733395347</v>
      </c>
      <c r="H34">
        <f>((SUM('Cost Components'!$B$20:$B$26)*10^6)/(1+'Cost Components'!$B$38)^'MFSP WACC Corrected'!H30)</f>
        <v>12576687.601304064</v>
      </c>
      <c r="I34">
        <f>((SUM('Cost Components'!$B$20:$B$26)*10^6)/(1+'Cost Components'!$B$38)^'MFSP WACC Corrected'!I30)</f>
        <v>11753913.646078564</v>
      </c>
      <c r="J34">
        <f>((SUM('Cost Components'!$B$20:$B$26)*10^6)/(1+'Cost Components'!$B$38)^'MFSP WACC Corrected'!J30)</f>
        <v>10984966.02437249</v>
      </c>
      <c r="K34">
        <f>((SUM('Cost Components'!$B$20:$B$26)*10^6)/(1+'Cost Components'!$B$38)^'MFSP WACC Corrected'!K30)</f>
        <v>10266323.387264008</v>
      </c>
      <c r="L34">
        <f>((SUM('Cost Components'!$B$20:$B$26)*10^6)/(1+'Cost Components'!$B$38)^'MFSP WACC Corrected'!L30)</f>
        <v>9594694.754452344</v>
      </c>
      <c r="M34">
        <f>((SUM('Cost Components'!$B$20:$B$26)*10^6)/(1+'Cost Components'!$B$38)^'MFSP WACC Corrected'!M30)</f>
        <v>8967004.4434134047</v>
      </c>
      <c r="N34">
        <f>((SUM('Cost Components'!$B$20:$B$26)*10^6)/(1+'Cost Components'!$B$38)^'MFSP WACC Corrected'!N30)</f>
        <v>8380377.9844985111</v>
      </c>
      <c r="O34">
        <f>((SUM('Cost Components'!$B$20:$B$26)*10^6)/(1+'Cost Components'!$B$38)^'MFSP WACC Corrected'!O30)</f>
        <v>7832128.9574752431</v>
      </c>
      <c r="P34">
        <f>((SUM('Cost Components'!$B$20:$B$26)*10^6)/(1+'Cost Components'!$B$38)^'MFSP WACC Corrected'!P30)</f>
        <v>7319746.6892291997</v>
      </c>
      <c r="Q34">
        <f>((SUM('Cost Components'!$B$20:$B$26)*10^6)/(1+'Cost Components'!$B$38)^'MFSP WACC Corrected'!Q30)</f>
        <v>6840884.7562889708</v>
      </c>
      <c r="R34">
        <f>((SUM('Cost Components'!$B$20:$B$26)*10^6)/(1+'Cost Components'!$B$38)^'MFSP WACC Corrected'!R30)</f>
        <v>6393350.2395224031</v>
      </c>
      <c r="S34">
        <f>((SUM('Cost Components'!$B$20:$B$26)*10^6)/(1+'Cost Components'!$B$38)^'MFSP WACC Corrected'!S30)</f>
        <v>5975093.6817966383</v>
      </c>
      <c r="T34">
        <f>((SUM('Cost Components'!$B$20:$B$26)*10^6)/(1+'Cost Components'!$B$38)^'MFSP WACC Corrected'!T30)</f>
        <v>5584199.7026136806</v>
      </c>
      <c r="U34">
        <f>((SUM('Cost Components'!$B$20:$B$26)*10^6)/(1+'Cost Components'!$B$38)^'MFSP WACC Corrected'!U30)</f>
        <v>5218878.2267417572</v>
      </c>
      <c r="V34">
        <f>((SUM('Cost Components'!$B$20:$B$26)*10^6)/(1+'Cost Components'!$B$38)^'MFSP WACC Corrected'!V30)</f>
        <v>4877456.2866745396</v>
      </c>
      <c r="W34">
        <f>((SUM('Cost Components'!$B$20:$B$26)*10^6)/(1+'Cost Components'!$B$38)^'MFSP WACC Corrected'!W30)</f>
        <v>4558370.3613780746</v>
      </c>
      <c r="X34">
        <f>((SUM('Cost Components'!$B$20:$B$26)*10^6)/(1+'Cost Components'!$B$38)^'MFSP WACC Corrected'!X30)</f>
        <v>4260159.2162411911</v>
      </c>
      <c r="Y34">
        <f>((SUM('Cost Components'!$B$20:$B$26)*10^6)/(1+'Cost Components'!$B$38)^'MFSP WACC Corrected'!Y30)</f>
        <v>3981457.2114403653</v>
      </c>
      <c r="Z34">
        <f>((SUM('Cost Components'!$B$20:$B$26)*10^6)/(1+'Cost Components'!$B$38)^'MFSP WACC Corrected'!Z30)</f>
        <v>3720988.0480751079</v>
      </c>
      <c r="AA34">
        <f>((SUM('Cost Components'!$B$20:$B$26)*10^6)/(1+'Cost Components'!$B$38)^'MFSP WACC Corrected'!AA30)</f>
        <v>3477558.9234346799</v>
      </c>
    </row>
    <row r="35" spans="1:27">
      <c r="A35" t="s">
        <v>128</v>
      </c>
      <c r="B35">
        <f t="shared" ref="B35:AA35" si="0">SUM(B31:B34)</f>
        <v>362670000</v>
      </c>
      <c r="C35">
        <f t="shared" si="0"/>
        <v>84373328.79345794</v>
      </c>
      <c r="D35">
        <f t="shared" si="0"/>
        <v>78853578.311642945</v>
      </c>
      <c r="E35">
        <f t="shared" si="0"/>
        <v>73694933.00153546</v>
      </c>
      <c r="F35">
        <f t="shared" si="0"/>
        <v>68873769.160313517</v>
      </c>
      <c r="G35">
        <f t="shared" si="0"/>
        <v>64368008.561040662</v>
      </c>
      <c r="H35">
        <f t="shared" si="0"/>
        <v>60157017.346766979</v>
      </c>
      <c r="I35">
        <f t="shared" si="0"/>
        <v>56221511.539034553</v>
      </c>
      <c r="J35">
        <f t="shared" si="0"/>
        <v>52543468.728069678</v>
      </c>
      <c r="K35">
        <f t="shared" si="0"/>
        <v>49106045.540252022</v>
      </c>
      <c r="L35">
        <f t="shared" si="0"/>
        <v>45893500.504908442</v>
      </c>
      <c r="M35">
        <f t="shared" si="0"/>
        <v>42891121.967204146</v>
      </c>
      <c r="N35">
        <f t="shared" si="0"/>
        <v>40085160.717013225</v>
      </c>
      <c r="O35">
        <f t="shared" si="0"/>
        <v>37462767.025246002</v>
      </c>
      <c r="P35">
        <f t="shared" si="0"/>
        <v>35011931.799295336</v>
      </c>
      <c r="Q35">
        <f t="shared" si="0"/>
        <v>32721431.588126477</v>
      </c>
      <c r="R35">
        <f t="shared" si="0"/>
        <v>30580777.185164936</v>
      </c>
      <c r="S35">
        <f t="shared" si="0"/>
        <v>28580165.59361209</v>
      </c>
      <c r="T35">
        <f t="shared" si="0"/>
        <v>26710435.134216905</v>
      </c>
      <c r="U35">
        <f t="shared" si="0"/>
        <v>24963023.489922341</v>
      </c>
      <c r="V35">
        <f t="shared" si="0"/>
        <v>23329928.495254524</v>
      </c>
      <c r="W35">
        <f t="shared" si="0"/>
        <v>21803671.490892075</v>
      </c>
      <c r="X35">
        <f t="shared" si="0"/>
        <v>20377263.075600073</v>
      </c>
      <c r="Y35">
        <f t="shared" si="0"/>
        <v>19044171.098691657</v>
      </c>
      <c r="Z35">
        <f t="shared" si="0"/>
        <v>17798290.746440798</v>
      </c>
      <c r="AA35">
        <f t="shared" si="0"/>
        <v>16633916.58545869</v>
      </c>
    </row>
    <row r="37" spans="1:27">
      <c r="A37" t="s">
        <v>81</v>
      </c>
    </row>
    <row r="38" spans="1:27">
      <c r="A38" t="s">
        <v>80</v>
      </c>
      <c r="B38" s="26">
        <f>SUM(B31:AA31) /SUM($B$35:$AA$35)</f>
        <v>0.25634932009095945</v>
      </c>
      <c r="C38" s="26"/>
    </row>
    <row r="39" spans="1:27">
      <c r="A39" t="s">
        <v>9</v>
      </c>
      <c r="B39" s="26">
        <f>SUM(B32:AA32) /SUM($B$35:$AA$35)</f>
        <v>-6.5490373036481767E-2</v>
      </c>
      <c r="C39" s="26"/>
    </row>
    <row r="40" spans="1:27">
      <c r="A40" t="s">
        <v>129</v>
      </c>
      <c r="B40" s="26">
        <f>SUM(B33:AA33) /SUM($B$35:$AA$35)</f>
        <v>0.65367020850851831</v>
      </c>
      <c r="C40" s="26"/>
    </row>
    <row r="41" spans="1:27">
      <c r="A41" t="s">
        <v>130</v>
      </c>
      <c r="B41" s="26">
        <f>SUM(B34:AA34) /SUM($B$35:$AA$35)</f>
        <v>0.1554708444370041</v>
      </c>
      <c r="C41" s="26"/>
    </row>
    <row r="43" spans="1:27">
      <c r="A43" t="s">
        <v>131</v>
      </c>
    </row>
    <row r="44" spans="1:27">
      <c r="A44" t="s">
        <v>1</v>
      </c>
      <c r="B44">
        <v>0</v>
      </c>
      <c r="C44">
        <v>1</v>
      </c>
      <c r="D44">
        <v>2</v>
      </c>
      <c r="E44">
        <v>3</v>
      </c>
      <c r="F44">
        <v>4</v>
      </c>
      <c r="G44">
        <v>5</v>
      </c>
      <c r="H44">
        <v>6</v>
      </c>
      <c r="I44">
        <v>7</v>
      </c>
      <c r="J44">
        <v>8</v>
      </c>
      <c r="K44">
        <v>9</v>
      </c>
      <c r="L44">
        <v>10</v>
      </c>
      <c r="M44">
        <v>11</v>
      </c>
      <c r="N44">
        <v>12</v>
      </c>
      <c r="O44">
        <v>13</v>
      </c>
      <c r="P44">
        <v>14</v>
      </c>
      <c r="Q44">
        <v>15</v>
      </c>
      <c r="R44">
        <v>16</v>
      </c>
      <c r="S44">
        <v>17</v>
      </c>
      <c r="T44">
        <v>18</v>
      </c>
      <c r="U44">
        <v>19</v>
      </c>
      <c r="V44">
        <v>20</v>
      </c>
      <c r="W44">
        <v>21</v>
      </c>
      <c r="X44">
        <v>22</v>
      </c>
      <c r="Y44">
        <v>23</v>
      </c>
      <c r="Z44">
        <v>24</v>
      </c>
      <c r="AA44">
        <v>25</v>
      </c>
    </row>
    <row r="45" spans="1:27">
      <c r="A45" t="s">
        <v>80</v>
      </c>
      <c r="B45">
        <f>'Cost Components'!H14 * 10^6</f>
        <v>325320000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127</v>
      </c>
      <c r="B46">
        <v>0</v>
      </c>
      <c r="C46">
        <f>(-'Cost Components'!$H$29 * 10^6) / (1+'Cost Components'!$B$38)^'MFSP WACC Corrected'!C44</f>
        <v>-2313.0841121495328</v>
      </c>
      <c r="D46">
        <f>(-'Cost Components'!$H$29 * 10^6) / (1+'Cost Components'!$B$38)^'MFSP WACC Corrected'!D44</f>
        <v>-2161.7608524761986</v>
      </c>
      <c r="E46">
        <f>(-'Cost Components'!$H$29 * 10^6) / (1+'Cost Components'!$B$38)^'MFSP WACC Corrected'!E44</f>
        <v>-2020.3372453048585</v>
      </c>
      <c r="F46">
        <f>(-'Cost Components'!$H$29 * 10^6) / (1+'Cost Components'!$B$38)^'MFSP WACC Corrected'!F44</f>
        <v>-1888.1656498176249</v>
      </c>
      <c r="G46">
        <f>(-'Cost Components'!$H$29 * 10^6) / (1+'Cost Components'!$B$38)^'MFSP WACC Corrected'!G44</f>
        <v>-1764.6407942220792</v>
      </c>
      <c r="H46">
        <f>(-'Cost Components'!$H$29 * 10^6) / (1+'Cost Components'!$B$38)^'MFSP WACC Corrected'!H44</f>
        <v>-1649.1970039458686</v>
      </c>
      <c r="I46">
        <f>(-'Cost Components'!$H$29 * 10^6) / (1+'Cost Components'!$B$38)^'MFSP WACC Corrected'!I44</f>
        <v>-1541.305611164363</v>
      </c>
      <c r="J46">
        <f>(-'Cost Components'!$H$29 * 10^6) / (1+'Cost Components'!$B$38)^'MFSP WACC Corrected'!J44</f>
        <v>-1440.4725337984701</v>
      </c>
      <c r="K46">
        <f>(-'Cost Components'!$H$29 * 10^6) / (1+'Cost Components'!$B$38)^'MFSP WACC Corrected'!K44</f>
        <v>-1346.2360128957664</v>
      </c>
      <c r="L46">
        <f>(-'Cost Components'!$H$29 * 10^6) / (1+'Cost Components'!$B$38)^'MFSP WACC Corrected'!L44</f>
        <v>-1258.1644980334265</v>
      </c>
      <c r="M46">
        <f>(-'Cost Components'!$H$29 * 10^6) / (1+'Cost Components'!$B$38)^'MFSP WACC Corrected'!M44</f>
        <v>-1175.8546710592771</v>
      </c>
      <c r="N46">
        <f>(-'Cost Components'!$H$29 * 10^6) / (1+'Cost Components'!$B$38)^'MFSP WACC Corrected'!N44</f>
        <v>-1098.9295991208198</v>
      </c>
      <c r="O46">
        <f>(-'Cost Components'!$H$29 * 10^6) / (1+'Cost Components'!$B$38)^'MFSP WACC Corrected'!O44</f>
        <v>-1027.0370085241307</v>
      </c>
      <c r="P46">
        <f>(-'Cost Components'!$H$29 * 10^6) / (1+'Cost Components'!$B$38)^'MFSP WACC Corrected'!P44</f>
        <v>-959.84767151787912</v>
      </c>
      <c r="Q46">
        <f>(-'Cost Components'!$H$29 * 10^6) / (1+'Cost Components'!$B$38)^'MFSP WACC Corrected'!Q44</f>
        <v>-897.05389861484014</v>
      </c>
      <c r="R46">
        <f>(-'Cost Components'!$H$29 * 10^6) / (1+'Cost Components'!$B$38)^'MFSP WACC Corrected'!R44</f>
        <v>-838.36812954657978</v>
      </c>
      <c r="S46">
        <f>(-'Cost Components'!$H$29 * 10^6) / (1+'Cost Components'!$B$38)^'MFSP WACC Corrected'!S44</f>
        <v>-783.52161639867268</v>
      </c>
      <c r="T46">
        <f>(-'Cost Components'!$H$29 * 10^6) / (1+'Cost Components'!$B$38)^'MFSP WACC Corrected'!T44</f>
        <v>-732.26319289595574</v>
      </c>
      <c r="U46">
        <f>(-'Cost Components'!$H$29 * 10^6) / (1+'Cost Components'!$B$38)^'MFSP WACC Corrected'!U44</f>
        <v>-684.35812420182776</v>
      </c>
      <c r="V46">
        <f>(-'Cost Components'!$H$29 * 10^6) / (1+'Cost Components'!$B$38)^'MFSP WACC Corrected'!V44</f>
        <v>-639.58703196432498</v>
      </c>
      <c r="W46">
        <f>(-'Cost Components'!$H$29 * 10^6) / (1+'Cost Components'!$B$38)^'MFSP WACC Corrected'!W44</f>
        <v>-597.74488968628509</v>
      </c>
      <c r="X46">
        <f>(-'Cost Components'!$H$29 * 10^6) / (1+'Cost Components'!$B$38)^'MFSP WACC Corrected'!X44</f>
        <v>-558.64008381895803</v>
      </c>
      <c r="Y46">
        <f>(-'Cost Components'!$H$29 * 10^6) / (1+'Cost Components'!$B$38)^'MFSP WACC Corrected'!Y44</f>
        <v>-522.09353627939993</v>
      </c>
      <c r="Z46">
        <f>(-'Cost Components'!$H$29 * 10^6) / (1+'Cost Components'!$B$38)^'MFSP WACC Corrected'!Z44</f>
        <v>-487.937884373271</v>
      </c>
      <c r="AA46">
        <f>(-'Cost Components'!$H$29 * 10^6) / (1+'Cost Components'!$B$38)^'MFSP WACC Corrected'!AA44</f>
        <v>-456.01671436754293</v>
      </c>
    </row>
    <row r="47" spans="1:27">
      <c r="A47" t="s">
        <v>109</v>
      </c>
      <c r="B47">
        <v>0</v>
      </c>
      <c r="C47">
        <f>('Cost Components'!$H$36 * 10^6) / (1+'Cost Components'!$B$38) ^'MFSP WACC Corrected'!C44</f>
        <v>52441121.4953271</v>
      </c>
      <c r="D47">
        <f>('Cost Components'!$H$36 * 10^6) / (1+'Cost Components'!$B$38) ^'MFSP WACC Corrected'!D44</f>
        <v>49010393.920866452</v>
      </c>
      <c r="E47">
        <f>('Cost Components'!$H$36 * 10^6) / (1+'Cost Components'!$B$38) ^'MFSP WACC Corrected'!E44</f>
        <v>45804106.468099482</v>
      </c>
      <c r="F47">
        <f>('Cost Components'!$H$36 * 10^6) / (1+'Cost Components'!$B$38) ^'MFSP WACC Corrected'!F44</f>
        <v>42807576.138410732</v>
      </c>
      <c r="G47">
        <f>('Cost Components'!$H$36 * 10^6) / (1+'Cost Components'!$B$38) ^'MFSP WACC Corrected'!G44</f>
        <v>40007080.503187597</v>
      </c>
      <c r="H47">
        <f>('Cost Components'!$H$36 * 10^6) / (1+'Cost Components'!$B$38) ^'MFSP WACC Corrected'!H44</f>
        <v>37389794.862792149</v>
      </c>
      <c r="I47">
        <f>('Cost Components'!$H$36 * 10^6) / (1+'Cost Components'!$B$38) ^'MFSP WACC Corrected'!I44</f>
        <v>34943733.516628176</v>
      </c>
      <c r="J47">
        <f>('Cost Components'!$H$36 * 10^6) / (1+'Cost Components'!$B$38) ^'MFSP WACC Corrected'!J44</f>
        <v>32657694.875353437</v>
      </c>
      <c r="K47">
        <f>('Cost Components'!$H$36 * 10^6) / (1+'Cost Components'!$B$38) ^'MFSP WACC Corrected'!K44</f>
        <v>30521210.163881712</v>
      </c>
      <c r="L47">
        <f>('Cost Components'!$H$36 * 10^6) / (1+'Cost Components'!$B$38) ^'MFSP WACC Corrected'!L44</f>
        <v>28524495.480263285</v>
      </c>
      <c r="M47">
        <f>('Cost Components'!$H$36 * 10^6) / (1+'Cost Components'!$B$38) ^'MFSP WACC Corrected'!M44</f>
        <v>26658406.990900263</v>
      </c>
      <c r="N47">
        <f>('Cost Components'!$H$36 * 10^6) / (1+'Cost Components'!$B$38) ^'MFSP WACC Corrected'!N44</f>
        <v>24914399.05691614</v>
      </c>
      <c r="O47">
        <f>('Cost Components'!$H$36 * 10^6) / (1+'Cost Components'!$B$38) ^'MFSP WACC Corrected'!O44</f>
        <v>23284485.099921621</v>
      </c>
      <c r="P47">
        <f>('Cost Components'!$H$36 * 10^6) / (1+'Cost Components'!$B$38) ^'MFSP WACC Corrected'!P44</f>
        <v>21761201.027964134</v>
      </c>
      <c r="Q47">
        <f>('Cost Components'!$H$36 * 10^6) / (1+'Cost Components'!$B$38) ^'MFSP WACC Corrected'!Q44</f>
        <v>20337571.054172087</v>
      </c>
      <c r="R47">
        <f>('Cost Components'!$H$36 * 10^6) / (1+'Cost Components'!$B$38) ^'MFSP WACC Corrected'!R44</f>
        <v>19007075.7515627</v>
      </c>
      <c r="S47">
        <f>('Cost Components'!$H$36 * 10^6) / (1+'Cost Components'!$B$38) ^'MFSP WACC Corrected'!S44</f>
        <v>17763622.197722148</v>
      </c>
      <c r="T47">
        <f>('Cost Components'!$H$36 * 10^6) / (1+'Cost Components'!$B$38) ^'MFSP WACC Corrected'!T44</f>
        <v>16601516.072637523</v>
      </c>
      <c r="U47">
        <f>('Cost Components'!$H$36 * 10^6) / (1+'Cost Components'!$B$38) ^'MFSP WACC Corrected'!U44</f>
        <v>15515435.581904225</v>
      </c>
      <c r="V47">
        <f>('Cost Components'!$H$36 * 10^6) / (1+'Cost Components'!$B$38) ^'MFSP WACC Corrected'!V44</f>
        <v>14500407.0858918</v>
      </c>
      <c r="W47">
        <f>('Cost Components'!$H$36 * 10^6) / (1+'Cost Components'!$B$38) ^'MFSP WACC Corrected'!W44</f>
        <v>13551782.323263364</v>
      </c>
      <c r="X47">
        <f>('Cost Components'!$H$36 * 10^6) / (1+'Cost Components'!$B$38) ^'MFSP WACC Corrected'!X44</f>
        <v>12665217.1245452</v>
      </c>
      <c r="Y47">
        <f>('Cost Components'!$H$36 * 10^6) / (1+'Cost Components'!$B$38) ^'MFSP WACC Corrected'!Y44</f>
        <v>11836651.518266542</v>
      </c>
      <c r="Z47">
        <f>('Cost Components'!$H$36 * 10^6) / (1+'Cost Components'!$B$38) ^'MFSP WACC Corrected'!Z44</f>
        <v>11062291.138566861</v>
      </c>
      <c r="AA47">
        <f>('Cost Components'!$H$36 * 10^6) / (1+'Cost Components'!$B$38) ^'MFSP WACC Corrected'!AA44</f>
        <v>10338589.849127907</v>
      </c>
    </row>
    <row r="48" spans="1:27">
      <c r="A48" t="s">
        <v>99</v>
      </c>
      <c r="B48">
        <v>0</v>
      </c>
      <c r="C48">
        <f>((SUM('Cost Components'!$H$20:$H$26)*10^6)/(1+'Cost Components'!$B$38)^'MFSP WACC Corrected'!C44)</f>
        <v>11023222.814174889</v>
      </c>
      <c r="D48">
        <f>((SUM('Cost Components'!$H$20:$H$26)*10^6)/(1+'Cost Components'!$B$38)^'MFSP WACC Corrected'!D44)</f>
        <v>10302077.39642513</v>
      </c>
      <c r="E48">
        <f>((SUM('Cost Components'!$H$20:$H$26)*10^6)/(1+'Cost Components'!$B$38)^'MFSP WACC Corrected'!E44)</f>
        <v>9628109.7162851673</v>
      </c>
      <c r="F48">
        <f>((SUM('Cost Components'!$H$20:$H$26)*10^6)/(1+'Cost Components'!$B$38)^'MFSP WACC Corrected'!F44)</f>
        <v>8998233.3797057644</v>
      </c>
      <c r="G48">
        <f>((SUM('Cost Components'!$H$20:$H$26)*10^6)/(1+'Cost Components'!$B$38)^'MFSP WACC Corrected'!G44)</f>
        <v>8409563.9062670693</v>
      </c>
      <c r="H48">
        <f>((SUM('Cost Components'!$H$20:$H$26)*10^6)/(1+'Cost Components'!$B$38)^'MFSP WACC Corrected'!H44)</f>
        <v>7859405.5198757658</v>
      </c>
      <c r="I48">
        <f>((SUM('Cost Components'!$H$20:$H$26)*10^6)/(1+'Cost Components'!$B$38)^'MFSP WACC Corrected'!I44)</f>
        <v>7345238.8036222104</v>
      </c>
      <c r="J48">
        <f>((SUM('Cost Components'!$H$20:$H$26)*10^6)/(1+'Cost Components'!$B$38)^'MFSP WACC Corrected'!J44)</f>
        <v>6864709.1622637482</v>
      </c>
      <c r="K48">
        <f>((SUM('Cost Components'!$H$20:$H$26)*10^6)/(1+'Cost Components'!$B$38)^'MFSP WACC Corrected'!K44)</f>
        <v>6415616.0394988302</v>
      </c>
      <c r="L48">
        <f>((SUM('Cost Components'!$H$20:$H$26)*10^6)/(1+'Cost Components'!$B$38)^'MFSP WACC Corrected'!L44)</f>
        <v>5995902.8406531122</v>
      </c>
      <c r="M48">
        <f>((SUM('Cost Components'!$H$20:$H$26)*10^6)/(1+'Cost Components'!$B$38)^'MFSP WACC Corrected'!M44)</f>
        <v>5603647.5146290762</v>
      </c>
      <c r="N48">
        <f>((SUM('Cost Components'!$H$20:$H$26)*10^6)/(1+'Cost Components'!$B$38)^'MFSP WACC Corrected'!N44)</f>
        <v>5237053.7519897921</v>
      </c>
      <c r="O48">
        <f>((SUM('Cost Components'!$H$20:$H$26)*10^6)/(1+'Cost Components'!$B$38)^'MFSP WACC Corrected'!O44)</f>
        <v>4894442.7588689644</v>
      </c>
      <c r="P48">
        <f>((SUM('Cost Components'!$H$20:$H$26)*10^6)/(1+'Cost Components'!$B$38)^'MFSP WACC Corrected'!P44)</f>
        <v>4574245.5690364148</v>
      </c>
      <c r="Q48">
        <f>((SUM('Cost Components'!$H$20:$H$26)*10^6)/(1+'Cost Components'!$B$38)^'MFSP WACC Corrected'!Q44)</f>
        <v>4274995.8589125369</v>
      </c>
      <c r="R48">
        <f>((SUM('Cost Components'!$H$20:$H$26)*10^6)/(1+'Cost Components'!$B$38)^'MFSP WACC Corrected'!R44)</f>
        <v>3995323.2326285397</v>
      </c>
      <c r="S48">
        <f>((SUM('Cost Components'!$H$20:$H$26)*10^6)/(1+'Cost Components'!$B$38)^'MFSP WACC Corrected'!S44)</f>
        <v>3733946.9463818129</v>
      </c>
      <c r="T48">
        <f>((SUM('Cost Components'!$H$20:$H$26)*10^6)/(1+'Cost Components'!$B$38)^'MFSP WACC Corrected'!T44)</f>
        <v>3489670.0433474886</v>
      </c>
      <c r="U48">
        <f>((SUM('Cost Components'!$H$20:$H$26)*10^6)/(1+'Cost Components'!$B$38)^'MFSP WACC Corrected'!U44)</f>
        <v>3261373.8722873721</v>
      </c>
      <c r="V48">
        <f>((SUM('Cost Components'!$H$20:$H$26)*10^6)/(1+'Cost Components'!$B$38)^'MFSP WACC Corrected'!V44)</f>
        <v>3048012.964754554</v>
      </c>
      <c r="W48">
        <f>((SUM('Cost Components'!$H$20:$H$26)*10^6)/(1+'Cost Components'!$B$38)^'MFSP WACC Corrected'!W44)</f>
        <v>2848610.2474341621</v>
      </c>
      <c r="X48">
        <f>((SUM('Cost Components'!$H$20:$H$26)*10^6)/(1+'Cost Components'!$B$38)^'MFSP WACC Corrected'!X44)</f>
        <v>2662252.5676954789</v>
      </c>
      <c r="Y48">
        <f>((SUM('Cost Components'!$H$20:$H$26)*10^6)/(1+'Cost Components'!$B$38)^'MFSP WACC Corrected'!Y44)</f>
        <v>2488086.5118649332</v>
      </c>
      <c r="Z48">
        <f>((SUM('Cost Components'!$H$20:$H$26)*10^6)/(1+'Cost Components'!$B$38)^'MFSP WACC Corrected'!Z44)</f>
        <v>2325314.4970700312</v>
      </c>
      <c r="AA48">
        <f>((SUM('Cost Components'!$H$20:$H$26)*10^6)/(1+'Cost Components'!$B$38)^'MFSP WACC Corrected'!AA44)</f>
        <v>2173191.1187570384</v>
      </c>
    </row>
    <row r="49" spans="1:27">
      <c r="A49" t="s">
        <v>128</v>
      </c>
      <c r="B49">
        <f t="shared" ref="B49:AA49" si="1">SUM(B45:B48)</f>
        <v>325320000</v>
      </c>
      <c r="C49">
        <f t="shared" si="1"/>
        <v>63462031.225389838</v>
      </c>
      <c r="D49">
        <f t="shared" si="1"/>
        <v>59310309.556439102</v>
      </c>
      <c r="E49">
        <f t="shared" si="1"/>
        <v>55430195.847139344</v>
      </c>
      <c r="F49">
        <f t="shared" si="1"/>
        <v>51803921.35246668</v>
      </c>
      <c r="G49">
        <f t="shared" si="1"/>
        <v>48414879.768660441</v>
      </c>
      <c r="H49">
        <f t="shared" si="1"/>
        <v>45247551.185663968</v>
      </c>
      <c r="I49">
        <f t="shared" si="1"/>
        <v>42287431.014639221</v>
      </c>
      <c r="J49">
        <f t="shared" si="1"/>
        <v>39520963.565083385</v>
      </c>
      <c r="K49">
        <f t="shared" si="1"/>
        <v>36935479.967367649</v>
      </c>
      <c r="L49">
        <f t="shared" si="1"/>
        <v>34519140.156418361</v>
      </c>
      <c r="M49">
        <f t="shared" si="1"/>
        <v>32260878.650858279</v>
      </c>
      <c r="N49">
        <f t="shared" si="1"/>
        <v>30150353.879306812</v>
      </c>
      <c r="O49">
        <f t="shared" si="1"/>
        <v>28177900.82178206</v>
      </c>
      <c r="P49">
        <f t="shared" si="1"/>
        <v>26334486.749329031</v>
      </c>
      <c r="Q49">
        <f t="shared" si="1"/>
        <v>24611669.859186009</v>
      </c>
      <c r="R49">
        <f t="shared" si="1"/>
        <v>23001560.616061691</v>
      </c>
      <c r="S49">
        <f t="shared" si="1"/>
        <v>21496785.62248756</v>
      </c>
      <c r="T49">
        <f t="shared" si="1"/>
        <v>20090453.852792114</v>
      </c>
      <c r="U49">
        <f t="shared" si="1"/>
        <v>18776125.096067395</v>
      </c>
      <c r="V49">
        <f t="shared" si="1"/>
        <v>17547780.463614389</v>
      </c>
      <c r="W49">
        <f t="shared" si="1"/>
        <v>16399794.82580784</v>
      </c>
      <c r="X49">
        <f t="shared" si="1"/>
        <v>15326911.052156858</v>
      </c>
      <c r="Y49">
        <f t="shared" si="1"/>
        <v>14324215.936595194</v>
      </c>
      <c r="Z49">
        <f t="shared" si="1"/>
        <v>13387117.697752519</v>
      </c>
      <c r="AA49">
        <f t="shared" si="1"/>
        <v>12511324.951170579</v>
      </c>
    </row>
    <row r="51" spans="1:27">
      <c r="A51" t="s">
        <v>81</v>
      </c>
    </row>
    <row r="52" spans="1:27">
      <c r="A52" t="s">
        <v>80</v>
      </c>
      <c r="B52" s="26">
        <f>SUM(B45:AA45) /SUM($B$49:$AA$49)</f>
        <v>0.29133588367569391</v>
      </c>
      <c r="C52" s="26"/>
    </row>
    <row r="53" spans="1:27">
      <c r="A53" t="s">
        <v>9</v>
      </c>
      <c r="B53" s="26">
        <f>SUM(B46:AA46) /SUM($B$49:$AA$49)</f>
        <v>-2.5829613024810198E-5</v>
      </c>
      <c r="C53" s="26"/>
    </row>
    <row r="54" spans="1:27">
      <c r="A54" t="s">
        <v>129</v>
      </c>
      <c r="B54" s="26">
        <f>SUM(B47:AA47) /SUM($B$49:$AA$49)</f>
        <v>0.58559646304975765</v>
      </c>
      <c r="C54" s="26"/>
    </row>
    <row r="55" spans="1:27">
      <c r="A55" t="s">
        <v>130</v>
      </c>
      <c r="B55" s="26">
        <f>SUM(B48:AA48) /SUM($B$49:$AA$49)</f>
        <v>0.12309348288757352</v>
      </c>
      <c r="C55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T17"/>
  <sheetViews>
    <sheetView workbookViewId="0">
      <selection activeCell="C5" sqref="C5"/>
    </sheetView>
  </sheetViews>
  <sheetFormatPr defaultColWidth="11" defaultRowHeight="15.75"/>
  <cols>
    <col min="1" max="1" width="17" bestFit="1" customWidth="1"/>
    <col min="2" max="3" width="9.5" bestFit="1" customWidth="1"/>
    <col min="4" max="4" width="15.875" bestFit="1" customWidth="1"/>
    <col min="5" max="5" width="12.125" bestFit="1" customWidth="1"/>
    <col min="6" max="6" width="13.625" bestFit="1" customWidth="1"/>
    <col min="8" max="8" width="17" bestFit="1" customWidth="1"/>
    <col min="9" max="9" width="9.5" bestFit="1" customWidth="1"/>
    <col min="10" max="10" width="9.125" bestFit="1" customWidth="1"/>
    <col min="11" max="11" width="15.875" bestFit="1" customWidth="1"/>
    <col min="12" max="12" width="12.125" bestFit="1" customWidth="1"/>
    <col min="13" max="13" width="13.625" bestFit="1" customWidth="1"/>
    <col min="20" max="20" width="13.625" bestFit="1" customWidth="1"/>
  </cols>
  <sheetData>
    <row r="1" spans="1:20">
      <c r="A1" s="39">
        <v>2024</v>
      </c>
      <c r="B1" s="36"/>
      <c r="C1" s="36"/>
      <c r="D1" s="36"/>
      <c r="E1" s="36"/>
      <c r="F1" s="36"/>
      <c r="H1" s="39" t="s">
        <v>132</v>
      </c>
      <c r="I1" s="36"/>
      <c r="J1" s="36"/>
      <c r="K1" s="36"/>
      <c r="L1" s="36"/>
      <c r="M1" s="36"/>
      <c r="O1" s="39" t="s">
        <v>133</v>
      </c>
      <c r="P1" s="36"/>
      <c r="Q1" s="36"/>
      <c r="R1" s="36"/>
      <c r="S1" s="36"/>
      <c r="T1" s="36"/>
    </row>
    <row r="2" spans="1:20">
      <c r="A2" s="19" t="s">
        <v>0</v>
      </c>
      <c r="B2" s="19" t="s">
        <v>3</v>
      </c>
      <c r="C2" s="19" t="s">
        <v>134</v>
      </c>
      <c r="D2" s="19" t="s">
        <v>135</v>
      </c>
      <c r="E2" s="19" t="s">
        <v>136</v>
      </c>
      <c r="F2" s="19" t="s">
        <v>137</v>
      </c>
      <c r="H2" s="19" t="s">
        <v>0</v>
      </c>
      <c r="I2" s="19" t="s">
        <v>3</v>
      </c>
      <c r="J2" s="19" t="s">
        <v>134</v>
      </c>
      <c r="K2" s="19" t="s">
        <v>135</v>
      </c>
      <c r="L2" s="19" t="s">
        <v>136</v>
      </c>
      <c r="M2" s="19" t="s">
        <v>137</v>
      </c>
      <c r="O2" s="19" t="s">
        <v>0</v>
      </c>
      <c r="P2" s="19" t="s">
        <v>3</v>
      </c>
      <c r="Q2" s="19" t="s">
        <v>134</v>
      </c>
      <c r="R2" s="19" t="s">
        <v>135</v>
      </c>
      <c r="S2" s="19" t="s">
        <v>136</v>
      </c>
      <c r="T2" s="19" t="s">
        <v>137</v>
      </c>
    </row>
    <row r="3" spans="1:20">
      <c r="A3" s="20" t="s">
        <v>138</v>
      </c>
      <c r="B3" s="20" t="s">
        <v>139</v>
      </c>
      <c r="C3" s="21">
        <f>'MFSP Baseline'!B8</f>
        <v>2.6890654410787684</v>
      </c>
      <c r="D3" s="21">
        <f>'MFSP LCOE Corrected'!B8</f>
        <v>2.5820037836713614</v>
      </c>
      <c r="E3" s="21">
        <f>'MFSP CO2 Price Corrected'!B8</f>
        <v>3.6717494626837071</v>
      </c>
      <c r="F3" s="21">
        <f>'MFSP WACC Corrected'!B8</f>
        <v>3.8243100954201164</v>
      </c>
      <c r="H3" s="20" t="s">
        <v>138</v>
      </c>
      <c r="I3" s="20" t="s">
        <v>139</v>
      </c>
      <c r="J3" s="21">
        <f>'MFSP Baseline'!B17</f>
        <v>2.0712069609128942</v>
      </c>
      <c r="K3" s="21">
        <f>'MFSP LCOE Corrected'!B17</f>
        <v>2.0712685303573388</v>
      </c>
      <c r="L3" s="21">
        <f>'MFSP CO2 Price Corrected'!B17</f>
        <v>2.977243530357339</v>
      </c>
      <c r="M3" s="21">
        <f>'MFSP WACC Corrected'!B17</f>
        <v>3.1140925254267096</v>
      </c>
      <c r="O3" s="20" t="s">
        <v>138</v>
      </c>
      <c r="P3" s="20" t="s">
        <v>139</v>
      </c>
      <c r="Q3" s="21">
        <f>'MFSP Baseline'!B27</f>
        <v>1.8552801129969703</v>
      </c>
      <c r="R3" s="21">
        <f>'MFSP LCOE Corrected'!B26</f>
        <v>1.8553416824414148</v>
      </c>
      <c r="S3" s="21">
        <f>'MFSP CO2 Price Corrected'!B26</f>
        <v>2.7613166824414148</v>
      </c>
      <c r="T3" s="21">
        <f>'MFSP WACC Corrected'!B26</f>
        <v>2.8624581691846087</v>
      </c>
    </row>
    <row r="4" spans="1:20">
      <c r="A4" s="20" t="s">
        <v>138</v>
      </c>
      <c r="B4" s="20" t="s">
        <v>21</v>
      </c>
      <c r="C4" s="21">
        <f>C3/Inputs!$C$6</f>
        <v>2.9878504900875202</v>
      </c>
      <c r="D4" s="21">
        <f>D3/Inputs!$C$6</f>
        <v>2.8688930929681793</v>
      </c>
      <c r="E4" s="21">
        <f>E3/Inputs!$C$6</f>
        <v>4.0797216252041189</v>
      </c>
      <c r="F4" s="21">
        <f>F3/Inputs!$C$6</f>
        <v>4.2492334393556845</v>
      </c>
      <c r="H4" s="20" t="s">
        <v>138</v>
      </c>
      <c r="I4" s="20" t="s">
        <v>21</v>
      </c>
      <c r="J4" s="21">
        <f>J3/Inputs!$C$6</f>
        <v>2.3013410676809936</v>
      </c>
      <c r="K4" s="21">
        <f>K3/Inputs!$C$6</f>
        <v>2.3014094781748207</v>
      </c>
      <c r="L4" s="21">
        <f>L3/Inputs!$C$6</f>
        <v>3.30804836706371</v>
      </c>
      <c r="M4" s="21">
        <f>M3/Inputs!$C$6</f>
        <v>3.4601028060296772</v>
      </c>
      <c r="O4" s="20" t="s">
        <v>138</v>
      </c>
      <c r="P4" s="20" t="s">
        <v>21</v>
      </c>
      <c r="Q4" s="21">
        <f>Q3/Inputs!$C$6</f>
        <v>2.0614223477744114</v>
      </c>
      <c r="R4" s="21">
        <f>R3/Inputs!$C$6</f>
        <v>2.0614907582682385</v>
      </c>
      <c r="S4" s="21">
        <f>S3/Inputs!$C$6</f>
        <v>3.0681296471571273</v>
      </c>
      <c r="T4" s="21">
        <f>T3/Inputs!$C$6</f>
        <v>3.1805090768717874</v>
      </c>
    </row>
    <row r="5" spans="1:20">
      <c r="A5" s="20" t="s">
        <v>140</v>
      </c>
      <c r="B5" s="20" t="s">
        <v>21</v>
      </c>
      <c r="C5" s="22">
        <f>Inputs!$C$16</f>
        <v>0.8</v>
      </c>
      <c r="D5" s="22">
        <f>Inputs!$C$16</f>
        <v>0.8</v>
      </c>
      <c r="E5" s="22">
        <f>Inputs!$C$16</f>
        <v>0.8</v>
      </c>
      <c r="F5" s="22">
        <f>Inputs!$C$16</f>
        <v>0.8</v>
      </c>
      <c r="H5" s="20" t="s">
        <v>140</v>
      </c>
      <c r="I5" s="20" t="s">
        <v>21</v>
      </c>
      <c r="J5" s="22">
        <f>Inputs!$C$18</f>
        <v>0.8</v>
      </c>
      <c r="K5" s="22">
        <f>Inputs!$C$18</f>
        <v>0.8</v>
      </c>
      <c r="L5" s="22">
        <f>Inputs!$C$18</f>
        <v>0.8</v>
      </c>
      <c r="M5" s="22">
        <f>Inputs!$C$18</f>
        <v>0.8</v>
      </c>
      <c r="O5" s="20" t="s">
        <v>140</v>
      </c>
      <c r="P5" s="20" t="s">
        <v>21</v>
      </c>
      <c r="Q5" s="22">
        <f>Inputs!$C$18</f>
        <v>0.8</v>
      </c>
      <c r="R5" s="22">
        <f>Inputs!$C$18</f>
        <v>0.8</v>
      </c>
      <c r="S5" s="22">
        <f>Inputs!$C$18</f>
        <v>0.8</v>
      </c>
      <c r="T5" s="22">
        <f>Inputs!$C$18</f>
        <v>0.8</v>
      </c>
    </row>
    <row r="6" spans="1:20">
      <c r="A6" s="20" t="s">
        <v>141</v>
      </c>
      <c r="B6" s="20" t="s">
        <v>142</v>
      </c>
      <c r="C6" s="19">
        <f>'Study Parameters'!$C$29</f>
        <v>13.5</v>
      </c>
      <c r="D6" s="19">
        <f>'Study Parameters'!$C$29</f>
        <v>13.5</v>
      </c>
      <c r="E6" s="19">
        <f>'Study Parameters'!$C$29</f>
        <v>13.5</v>
      </c>
      <c r="F6" s="19">
        <f>'Study Parameters'!$C$29</f>
        <v>13.5</v>
      </c>
      <c r="H6" s="20" t="s">
        <v>141</v>
      </c>
      <c r="I6" s="20" t="s">
        <v>142</v>
      </c>
      <c r="J6" s="19">
        <f>'Study Parameters'!$C$29</f>
        <v>13.5</v>
      </c>
      <c r="K6" s="19">
        <f>'Study Parameters'!$C$29</f>
        <v>13.5</v>
      </c>
      <c r="L6" s="19">
        <f>'Study Parameters'!$C$29</f>
        <v>13.5</v>
      </c>
      <c r="M6" s="19">
        <f>'Study Parameters'!$C$29</f>
        <v>13.5</v>
      </c>
      <c r="O6" s="20" t="s">
        <v>141</v>
      </c>
      <c r="P6" s="20" t="s">
        <v>142</v>
      </c>
      <c r="Q6" s="19">
        <f>'Study Parameters'!$C$29</f>
        <v>13.5</v>
      </c>
      <c r="R6" s="19">
        <f>'Study Parameters'!$C$29</f>
        <v>13.5</v>
      </c>
      <c r="S6" s="19">
        <f>'Study Parameters'!$C$29</f>
        <v>13.5</v>
      </c>
      <c r="T6" s="19">
        <f>'Study Parameters'!$C$29</f>
        <v>13.5</v>
      </c>
    </row>
    <row r="7" spans="1:20">
      <c r="A7" s="20" t="s">
        <v>143</v>
      </c>
      <c r="B7" s="20" t="s">
        <v>142</v>
      </c>
      <c r="C7" s="19">
        <f>Inputs!$C$11</f>
        <v>88.7</v>
      </c>
      <c r="D7" s="19">
        <f>Inputs!$C$11</f>
        <v>88.7</v>
      </c>
      <c r="E7" s="19">
        <f>Inputs!$C$11</f>
        <v>88.7</v>
      </c>
      <c r="F7" s="19">
        <f>Inputs!$C$11</f>
        <v>88.7</v>
      </c>
      <c r="H7" s="20" t="s">
        <v>143</v>
      </c>
      <c r="I7" s="20" t="s">
        <v>142</v>
      </c>
      <c r="J7" s="19">
        <f>Inputs!$C$11</f>
        <v>88.7</v>
      </c>
      <c r="K7" s="19">
        <f>Inputs!$C$11</f>
        <v>88.7</v>
      </c>
      <c r="L7" s="19">
        <f>Inputs!$C$11</f>
        <v>88.7</v>
      </c>
      <c r="M7" s="19">
        <f>Inputs!$C$11</f>
        <v>88.7</v>
      </c>
      <c r="O7" s="20" t="s">
        <v>143</v>
      </c>
      <c r="P7" s="20" t="s">
        <v>142</v>
      </c>
      <c r="Q7" s="19">
        <f>Inputs!$C$11</f>
        <v>88.7</v>
      </c>
      <c r="R7" s="19">
        <f>Inputs!$C$11</f>
        <v>88.7</v>
      </c>
      <c r="S7" s="19">
        <f>Inputs!$C$11</f>
        <v>88.7</v>
      </c>
      <c r="T7" s="19">
        <f>Inputs!$C$11</f>
        <v>88.7</v>
      </c>
    </row>
    <row r="8" spans="1:20">
      <c r="A8" s="20" t="s">
        <v>144</v>
      </c>
      <c r="B8" s="20" t="s">
        <v>142</v>
      </c>
      <c r="C8" s="19">
        <f>C7-C6</f>
        <v>75.2</v>
      </c>
      <c r="D8" s="19">
        <f>D7-D6</f>
        <v>75.2</v>
      </c>
      <c r="E8" s="19">
        <f>E7-E6</f>
        <v>75.2</v>
      </c>
      <c r="F8" s="19">
        <f>F7-F6</f>
        <v>75.2</v>
      </c>
      <c r="H8" s="20" t="s">
        <v>144</v>
      </c>
      <c r="I8" s="20" t="s">
        <v>142</v>
      </c>
      <c r="J8" s="19">
        <f>J7-J6</f>
        <v>75.2</v>
      </c>
      <c r="K8" s="19">
        <f>K7-K6</f>
        <v>75.2</v>
      </c>
      <c r="L8" s="19">
        <f>L7-L6</f>
        <v>75.2</v>
      </c>
      <c r="M8" s="19">
        <f>M7-M6</f>
        <v>75.2</v>
      </c>
      <c r="O8" s="20" t="s">
        <v>144</v>
      </c>
      <c r="P8" s="20" t="s">
        <v>142</v>
      </c>
      <c r="Q8" s="19">
        <f>Q7-Q6</f>
        <v>75.2</v>
      </c>
      <c r="R8" s="19">
        <f>R7-R6</f>
        <v>75.2</v>
      </c>
      <c r="S8" s="19">
        <f>S7-S6</f>
        <v>75.2</v>
      </c>
      <c r="T8" s="19">
        <f>T7-T6</f>
        <v>75.2</v>
      </c>
    </row>
    <row r="9" spans="1:20">
      <c r="A9" s="20" t="s">
        <v>144</v>
      </c>
      <c r="B9" s="20" t="s">
        <v>145</v>
      </c>
      <c r="C9" s="19">
        <f>C8*Inputs!$C$14</f>
        <v>2608.6579200000006</v>
      </c>
      <c r="D9" s="19">
        <f>D8*Inputs!$C$14</f>
        <v>2608.6579200000006</v>
      </c>
      <c r="E9" s="19">
        <f>E8*Inputs!$C$14</f>
        <v>2608.6579200000006</v>
      </c>
      <c r="F9" s="19">
        <f>F8*Inputs!$C$14</f>
        <v>2608.6579200000006</v>
      </c>
      <c r="H9" s="20" t="s">
        <v>144</v>
      </c>
      <c r="I9" s="20" t="s">
        <v>145</v>
      </c>
      <c r="J9" s="19">
        <f>J8*Inputs!$C$14</f>
        <v>2608.6579200000006</v>
      </c>
      <c r="K9" s="19">
        <f>K8*Inputs!$C$14</f>
        <v>2608.6579200000006</v>
      </c>
      <c r="L9" s="19">
        <f>L8*Inputs!$C$14</f>
        <v>2608.6579200000006</v>
      </c>
      <c r="M9" s="19">
        <f>M8*Inputs!$C$14</f>
        <v>2608.6579200000006</v>
      </c>
      <c r="O9" s="20" t="s">
        <v>144</v>
      </c>
      <c r="P9" s="20" t="s">
        <v>145</v>
      </c>
      <c r="Q9" s="19">
        <f>Q8*Inputs!$C$14</f>
        <v>2608.6579200000006</v>
      </c>
      <c r="R9" s="19">
        <f>R8*Inputs!$C$14</f>
        <v>2608.6579200000006</v>
      </c>
      <c r="S9" s="19">
        <f>S8*Inputs!$C$14</f>
        <v>2608.6579200000006</v>
      </c>
      <c r="T9" s="19">
        <f>T8*Inputs!$C$14</f>
        <v>2608.6579200000006</v>
      </c>
    </row>
    <row r="10" spans="1:20">
      <c r="A10" s="20" t="s">
        <v>146</v>
      </c>
      <c r="B10" s="20" t="s">
        <v>29</v>
      </c>
      <c r="C10" s="21">
        <f>((C4-C5) /C9) * 10 ^ 6</f>
        <v>838.68815198564619</v>
      </c>
      <c r="D10" s="21">
        <f>((D4-D5) /D9) * 10 ^ 6</f>
        <v>793.08715685043853</v>
      </c>
      <c r="E10" s="21">
        <f>((E4-E5) /E9) * 10 ^ 6</f>
        <v>1257.2448077838119</v>
      </c>
      <c r="F10" s="21">
        <f>((F4-F5) /F9) * 10 ^ 6</f>
        <v>1322.2252764194104</v>
      </c>
      <c r="H10" s="20" t="s">
        <v>146</v>
      </c>
      <c r="I10" s="20" t="s">
        <v>29</v>
      </c>
      <c r="J10" s="21">
        <f>((J4-J5) /J9) * 10 ^ 6</f>
        <v>575.52240030037865</v>
      </c>
      <c r="K10" s="21">
        <f>((K4-K5) /K9) * 10 ^ 6</f>
        <v>575.54862470232217</v>
      </c>
      <c r="L10" s="21">
        <f>((L4-L5) /L9) * 10 ^ 6</f>
        <v>961.43244686666662</v>
      </c>
      <c r="M10" s="21">
        <f>((M4-M5) /M9) * 10 ^ 6</f>
        <v>1019.7208248867204</v>
      </c>
      <c r="O10" s="20" t="s">
        <v>146</v>
      </c>
      <c r="P10" s="20" t="s">
        <v>29</v>
      </c>
      <c r="Q10" s="21">
        <f>((Q4-Q5) /Q9) * 10 ^ 6</f>
        <v>483.55222741294153</v>
      </c>
      <c r="R10" s="21">
        <f>((R4-R5) /R9) * 10 ^ 6</f>
        <v>483.578451814885</v>
      </c>
      <c r="S10" s="21">
        <f>((S4-S5) /S9) * 10 ^ 6</f>
        <v>869.46227397922939</v>
      </c>
      <c r="T10" s="21">
        <f>((T4-T5) /T9) * 10 ^ 6</f>
        <v>912.54167847035569</v>
      </c>
    </row>
    <row r="12" spans="1:20">
      <c r="A12" s="40" t="s">
        <v>147</v>
      </c>
      <c r="B12" s="40"/>
      <c r="C12" s="40"/>
      <c r="H12" s="40" t="s">
        <v>147</v>
      </c>
      <c r="I12" s="40"/>
      <c r="J12" s="40"/>
      <c r="O12" s="40" t="s">
        <v>147</v>
      </c>
      <c r="P12" s="40"/>
      <c r="Q12" s="40"/>
    </row>
    <row r="13" spans="1:20">
      <c r="A13" s="29" t="s">
        <v>0</v>
      </c>
      <c r="B13" s="29" t="s">
        <v>3</v>
      </c>
      <c r="C13" t="s">
        <v>2</v>
      </c>
      <c r="H13" s="29" t="s">
        <v>0</v>
      </c>
      <c r="I13" s="29" t="s">
        <v>3</v>
      </c>
      <c r="J13" t="s">
        <v>2</v>
      </c>
      <c r="O13" s="29" t="s">
        <v>0</v>
      </c>
      <c r="P13" s="29" t="s">
        <v>3</v>
      </c>
      <c r="Q13" t="s">
        <v>2</v>
      </c>
    </row>
    <row r="14" spans="1:20">
      <c r="A14" s="29" t="s">
        <v>148</v>
      </c>
      <c r="B14" s="29" t="s">
        <v>145</v>
      </c>
      <c r="C14">
        <f>C6*Inputs!$C$14</f>
        <v>468.3096000000001</v>
      </c>
      <c r="H14" s="29" t="s">
        <v>148</v>
      </c>
      <c r="I14" s="29" t="s">
        <v>145</v>
      </c>
      <c r="J14">
        <f>J6*Inputs!$C$14</f>
        <v>468.3096000000001</v>
      </c>
      <c r="O14" s="29" t="s">
        <v>148</v>
      </c>
      <c r="P14" s="29" t="s">
        <v>145</v>
      </c>
      <c r="Q14">
        <f>Q6*Inputs!$C$14</f>
        <v>468.3096000000001</v>
      </c>
    </row>
    <row r="15" spans="1:20">
      <c r="A15" s="29" t="s">
        <v>149</v>
      </c>
      <c r="B15" s="29" t="s">
        <v>21</v>
      </c>
      <c r="C15">
        <f>C14*10^-6*Inputs!$C$32</f>
        <v>0.60037290720000014</v>
      </c>
      <c r="H15" s="29" t="s">
        <v>149</v>
      </c>
      <c r="I15" s="29" t="s">
        <v>21</v>
      </c>
      <c r="J15">
        <f>J14*10^-6*Inputs!$C$33</f>
        <v>0.22478860800000003</v>
      </c>
      <c r="O15" s="29" t="s">
        <v>149</v>
      </c>
      <c r="P15" s="29" t="s">
        <v>21</v>
      </c>
      <c r="Q15">
        <f>Q14*10^-6*Inputs!$C$33</f>
        <v>0.22478860800000003</v>
      </c>
    </row>
    <row r="16" spans="1:20">
      <c r="A16" s="29" t="s">
        <v>150</v>
      </c>
      <c r="B16" s="29" t="s">
        <v>21</v>
      </c>
      <c r="C16" s="8">
        <f>C15+F4</f>
        <v>4.8496063465556851</v>
      </c>
      <c r="H16" s="29" t="s">
        <v>150</v>
      </c>
      <c r="I16" s="29" t="s">
        <v>21</v>
      </c>
      <c r="J16" s="8">
        <f>J15+M4</f>
        <v>3.6848914140296771</v>
      </c>
      <c r="O16" s="29" t="s">
        <v>150</v>
      </c>
      <c r="P16" s="29" t="s">
        <v>21</v>
      </c>
      <c r="Q16" s="8">
        <f>Q15+T4</f>
        <v>3.4052976848717873</v>
      </c>
    </row>
    <row r="17" spans="1:17">
      <c r="A17" s="29" t="s">
        <v>151</v>
      </c>
      <c r="B17" s="29" t="s">
        <v>29</v>
      </c>
      <c r="C17" s="8">
        <f>(C16-F5)/F9*10^6</f>
        <v>1552.3715530151553</v>
      </c>
      <c r="H17" s="29" t="s">
        <v>151</v>
      </c>
      <c r="I17" s="29" t="s">
        <v>29</v>
      </c>
      <c r="J17" s="8">
        <f>(J16-M5)/M9*10^6</f>
        <v>1105.8910376526778</v>
      </c>
      <c r="O17" s="29" t="s">
        <v>151</v>
      </c>
      <c r="P17" s="29" t="s">
        <v>29</v>
      </c>
      <c r="Q17" s="8">
        <f>(Q16-T5)/T9*10^6</f>
        <v>998.71189123631302</v>
      </c>
    </row>
  </sheetData>
  <mergeCells count="6">
    <mergeCell ref="O1:T1"/>
    <mergeCell ref="A1:F1"/>
    <mergeCell ref="H1:M1"/>
    <mergeCell ref="A12:C12"/>
    <mergeCell ref="H12:J12"/>
    <mergeCell ref="O12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Inputs</vt:lpstr>
      <vt:lpstr>Study Parameters</vt:lpstr>
      <vt:lpstr>Cost Components</vt:lpstr>
      <vt:lpstr>MFSP Baseline</vt:lpstr>
      <vt:lpstr>MFSP LCOE Corrected</vt:lpstr>
      <vt:lpstr>MFSP CO2 Price Corrected</vt:lpstr>
      <vt:lpstr>MFSP WACC Corrected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2024-06-16T11:13:56Z</dcterms:created>
  <dcterms:modified xsi:type="dcterms:W3CDTF">2025-04-15T12:29:35Z</dcterms:modified>
  <cp:category/>
  <cp:contentStatus/>
</cp:coreProperties>
</file>
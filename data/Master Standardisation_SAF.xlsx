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ethz-my.sharepoint.com/personal/ksievert_ethz_ch/Documents/SAF/_DACCS vs Synfuels/Meta Analysis_SAF/Harmonization_SAF/Harmonization Sheets/"/>
    </mc:Choice>
  </mc:AlternateContent>
  <xr:revisionPtr revIDLastSave="1093" documentId="13_ncr:1_{163BC89A-D6A2-0946-8BDF-FCD88C056711}" xr6:coauthVersionLast="47" xr6:coauthVersionMax="47" xr10:uidLastSave="{0D3DEEED-E65A-4805-9B0B-965A6F581210}"/>
  <bookViews>
    <workbookView xWindow="-108" yWindow="-108" windowWidth="23256" windowHeight="12456" tabRatio="996" firstSheet="9" activeTab="2" xr2:uid="{FC0504A6-912F-4B1B-B557-65BC8E554F24}"/>
  </bookViews>
  <sheets>
    <sheet name="Intro" sheetId="1" r:id="rId1"/>
    <sheet name="Steps" sheetId="2" r:id="rId2"/>
    <sheet name="Inputs" sheetId="4" r:id="rId3"/>
    <sheet name="Electricity" sheetId="21" r:id="rId4"/>
    <sheet name="Standard Input Calculations" sheetId="9" r:id="rId5"/>
    <sheet name="Sensitivities" sheetId="16" r:id="rId6"/>
    <sheet name="Notes for Study Parameters" sheetId="10" r:id="rId7"/>
    <sheet name="Studies current &amp; future cost" sheetId="27" r:id="rId8"/>
    <sheet name="Study Parameters" sheetId="3" r:id="rId9"/>
    <sheet name="Study Parameters 2050" sheetId="30" r:id="rId10"/>
    <sheet name="Standardization Results" sheetId="5" r:id="rId11"/>
    <sheet name="CO2 Effect" sheetId="22" r:id="rId12"/>
    <sheet name="Median CO2" sheetId="31" r:id="rId13"/>
    <sheet name="Low CO2" sheetId="28" r:id="rId14"/>
    <sheet name="High CO2" sheetId="29" r:id="rId15"/>
    <sheet name="Reference" sheetId="19" r:id="rId16"/>
    <sheet name="High Elec High CO2" sheetId="18" r:id="rId17"/>
    <sheet name="Low Elec Low CO2" sheetId="17" r:id="rId18"/>
    <sheet name="Results Reference" sheetId="13" r:id="rId19"/>
    <sheet name="Results Low Fossil Price" sheetId="14" r:id="rId20"/>
    <sheet name="Results High Fossil Price" sheetId="15" r:id="rId21"/>
    <sheet name="Full Abatement" sheetId="23" r:id="rId22"/>
    <sheet name="Descriptive Stats" sheetId="11" r:id="rId23"/>
    <sheet name="Per Passenger Cost Calculation" sheetId="12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xlnm._FilterDatabase" localSheetId="11" hidden="1">'CO2 Effect'!$A$1:$W$50</definedName>
    <definedName name="_xlnm._FilterDatabase" localSheetId="21" hidden="1">'Full Abatement'!$A$1:$T$47</definedName>
    <definedName name="_xlnm._FilterDatabase" localSheetId="16" hidden="1">'High Elec High CO2'!$A$1:$S$50</definedName>
    <definedName name="_xlnm._FilterDatabase" localSheetId="12" hidden="1">'Median CO2'!$A$1:$T$19</definedName>
    <definedName name="_xlnm._FilterDatabase" localSheetId="18" hidden="1">'Results Reference'!$F$1:$F$48</definedName>
    <definedName name="_xlnm._FilterDatabase" localSheetId="10" hidden="1">'Standardization Results'!$A$1:$T$51</definedName>
    <definedName name="_xlnm._FilterDatabase" localSheetId="7" hidden="1">'Studies current &amp; future cost'!$A$1:$T$47</definedName>
    <definedName name="_xlnm._FilterDatabase" localSheetId="8" hidden="1">'Study Parameters'!$A$1:$A$23</definedName>
    <definedName name="_xlnm._FilterDatabase" localSheetId="14" hidden="1">'High CO2'!$A$1:$T$53</definedName>
    <definedName name="_xlnm._FilterDatabase" localSheetId="13" hidden="1">'Low CO2'!$A$1:$T$53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4" l="1"/>
  <c r="C33" i="4"/>
  <c r="K55" i="28"/>
  <c r="K56" i="29"/>
  <c r="Y2" i="30"/>
  <c r="X2" i="30"/>
  <c r="S2" i="30" l="1"/>
  <c r="K23" i="31" l="1"/>
  <c r="K22" i="31"/>
  <c r="K21" i="31"/>
  <c r="I19" i="5"/>
  <c r="J20" i="5"/>
  <c r="I18" i="5"/>
  <c r="J21" i="5"/>
  <c r="J18" i="5"/>
  <c r="J19" i="5"/>
  <c r="J17" i="5"/>
  <c r="I17" i="5"/>
  <c r="J11" i="5"/>
  <c r="I11" i="5"/>
  <c r="H10" i="5"/>
  <c r="L45" i="5"/>
  <c r="L44" i="5"/>
  <c r="L42" i="5"/>
  <c r="L43" i="5"/>
  <c r="L41" i="5"/>
  <c r="L40" i="5"/>
  <c r="L39" i="5"/>
  <c r="L38" i="5"/>
  <c r="L29" i="5"/>
  <c r="L30" i="5"/>
  <c r="L31" i="5"/>
  <c r="L32" i="5"/>
  <c r="L33" i="5"/>
  <c r="L28" i="5"/>
  <c r="L27" i="5"/>
  <c r="L26" i="5"/>
  <c r="L25" i="5"/>
  <c r="L23" i="5"/>
  <c r="L22" i="5"/>
  <c r="L11" i="5"/>
  <c r="L10" i="5"/>
  <c r="I48" i="5"/>
  <c r="H48" i="5"/>
  <c r="J47" i="27"/>
  <c r="I47" i="27"/>
  <c r="K47" i="5"/>
  <c r="J47" i="5"/>
  <c r="I47" i="5"/>
  <c r="H47" i="5"/>
  <c r="K46" i="5"/>
  <c r="J46" i="5"/>
  <c r="I46" i="5"/>
  <c r="H46" i="5"/>
  <c r="L46" i="27"/>
  <c r="K46" i="27"/>
  <c r="J46" i="27"/>
  <c r="I46" i="27"/>
  <c r="L45" i="27"/>
  <c r="K45" i="27"/>
  <c r="J45" i="27"/>
  <c r="I45" i="27"/>
  <c r="L23" i="23"/>
  <c r="L3" i="23"/>
  <c r="K45" i="5"/>
  <c r="J45" i="5"/>
  <c r="I45" i="5"/>
  <c r="H45" i="5"/>
  <c r="K44" i="5"/>
  <c r="J44" i="5"/>
  <c r="I44" i="5"/>
  <c r="H44" i="5"/>
  <c r="L44" i="27"/>
  <c r="K44" i="27"/>
  <c r="J44" i="27"/>
  <c r="I44" i="27"/>
  <c r="L43" i="27"/>
  <c r="K43" i="27"/>
  <c r="J43" i="27"/>
  <c r="I43" i="27"/>
  <c r="P45" i="5"/>
  <c r="O45" i="5"/>
  <c r="N45" i="5"/>
  <c r="M45" i="5"/>
  <c r="P44" i="5"/>
  <c r="O44" i="5"/>
  <c r="N44" i="5"/>
  <c r="M44" i="5"/>
  <c r="P44" i="27"/>
  <c r="O44" i="27"/>
  <c r="N44" i="27"/>
  <c r="M44" i="27"/>
  <c r="P43" i="27"/>
  <c r="O43" i="27"/>
  <c r="N43" i="27"/>
  <c r="M43" i="27"/>
  <c r="L22" i="23"/>
  <c r="L21" i="23"/>
  <c r="L18" i="23"/>
  <c r="L10" i="23"/>
  <c r="L9" i="23"/>
  <c r="L8" i="23"/>
  <c r="K43" i="5"/>
  <c r="J43" i="5"/>
  <c r="I43" i="5"/>
  <c r="H43" i="5"/>
  <c r="K42" i="5"/>
  <c r="J42" i="5"/>
  <c r="I42" i="5"/>
  <c r="H42" i="5"/>
  <c r="K41" i="5"/>
  <c r="J41" i="5"/>
  <c r="I41" i="5"/>
  <c r="H41" i="5"/>
  <c r="K40" i="5"/>
  <c r="J40" i="5"/>
  <c r="I40" i="5"/>
  <c r="H40" i="5"/>
  <c r="K39" i="5"/>
  <c r="J39" i="5"/>
  <c r="I39" i="5"/>
  <c r="H39" i="5"/>
  <c r="K38" i="5"/>
  <c r="J38" i="5"/>
  <c r="I38" i="5"/>
  <c r="H38" i="5"/>
  <c r="L42" i="27"/>
  <c r="K42" i="27"/>
  <c r="J42" i="27"/>
  <c r="I42" i="27"/>
  <c r="L41" i="27"/>
  <c r="K41" i="27"/>
  <c r="J41" i="27"/>
  <c r="I41" i="27"/>
  <c r="L40" i="27"/>
  <c r="K40" i="27"/>
  <c r="J40" i="27"/>
  <c r="I40" i="27"/>
  <c r="L39" i="27"/>
  <c r="K39" i="27"/>
  <c r="J39" i="27"/>
  <c r="I39" i="27"/>
  <c r="L38" i="27"/>
  <c r="K38" i="27"/>
  <c r="J38" i="27"/>
  <c r="I38" i="27"/>
  <c r="L37" i="27"/>
  <c r="K37" i="27"/>
  <c r="J37" i="27"/>
  <c r="I37" i="27"/>
  <c r="P42" i="5"/>
  <c r="O42" i="5"/>
  <c r="N42" i="5"/>
  <c r="M42" i="5"/>
  <c r="P38" i="5"/>
  <c r="O38" i="5"/>
  <c r="N38" i="5"/>
  <c r="M38" i="5"/>
  <c r="P41" i="27"/>
  <c r="O41" i="27"/>
  <c r="N41" i="27"/>
  <c r="M41" i="27"/>
  <c r="P37" i="27"/>
  <c r="O37" i="27"/>
  <c r="N37" i="27"/>
  <c r="M37" i="27"/>
  <c r="L42" i="23"/>
  <c r="L32" i="23"/>
  <c r="K37" i="5"/>
  <c r="J37" i="5"/>
  <c r="I37" i="5"/>
  <c r="H37" i="5"/>
  <c r="K36" i="5"/>
  <c r="J36" i="5"/>
  <c r="I36" i="5"/>
  <c r="H36" i="5"/>
  <c r="L36" i="27"/>
  <c r="K36" i="27"/>
  <c r="J36" i="27"/>
  <c r="I36" i="27"/>
  <c r="L35" i="27"/>
  <c r="K35" i="27"/>
  <c r="J35" i="27"/>
  <c r="I35" i="27"/>
  <c r="P37" i="5"/>
  <c r="O37" i="5"/>
  <c r="N37" i="5"/>
  <c r="M37" i="5"/>
  <c r="P36" i="5"/>
  <c r="O36" i="5"/>
  <c r="N36" i="5"/>
  <c r="M36" i="5"/>
  <c r="P36" i="27"/>
  <c r="O36" i="27"/>
  <c r="N36" i="27"/>
  <c r="M36" i="27"/>
  <c r="P35" i="27"/>
  <c r="O35" i="27"/>
  <c r="N35" i="27"/>
  <c r="M35" i="27"/>
  <c r="L28" i="23"/>
  <c r="K35" i="5"/>
  <c r="J35" i="5"/>
  <c r="I35" i="5"/>
  <c r="H35" i="5"/>
  <c r="L34" i="27"/>
  <c r="K34" i="27"/>
  <c r="J34" i="27"/>
  <c r="I34" i="27"/>
  <c r="P35" i="5"/>
  <c r="O35" i="5"/>
  <c r="N35" i="5"/>
  <c r="M35" i="5"/>
  <c r="P34" i="27"/>
  <c r="O34" i="27"/>
  <c r="N34" i="27"/>
  <c r="M34" i="27"/>
  <c r="L31" i="23"/>
  <c r="K34" i="5"/>
  <c r="J34" i="5"/>
  <c r="I34" i="5"/>
  <c r="H34" i="5"/>
  <c r="L33" i="27"/>
  <c r="K33" i="27"/>
  <c r="J33" i="27"/>
  <c r="I33" i="27"/>
  <c r="P34" i="5"/>
  <c r="O34" i="5"/>
  <c r="N34" i="5"/>
  <c r="M34" i="5"/>
  <c r="P33" i="27"/>
  <c r="O33" i="27"/>
  <c r="N33" i="27"/>
  <c r="M33" i="27"/>
  <c r="L38" i="23"/>
  <c r="L37" i="23"/>
  <c r="L36" i="23"/>
  <c r="L35" i="23"/>
  <c r="L34" i="23"/>
  <c r="L33" i="23"/>
  <c r="K33" i="5"/>
  <c r="J33" i="5"/>
  <c r="I33" i="5"/>
  <c r="H33" i="5"/>
  <c r="K32" i="5"/>
  <c r="J32" i="5"/>
  <c r="I32" i="5"/>
  <c r="H32" i="5"/>
  <c r="K31" i="5"/>
  <c r="J31" i="5"/>
  <c r="I31" i="5"/>
  <c r="H31" i="5"/>
  <c r="K30" i="5"/>
  <c r="J30" i="5"/>
  <c r="I30" i="5"/>
  <c r="H30" i="5"/>
  <c r="K29" i="5"/>
  <c r="J29" i="5"/>
  <c r="I29" i="5"/>
  <c r="H29" i="5"/>
  <c r="K28" i="5"/>
  <c r="J28" i="5"/>
  <c r="I28" i="5"/>
  <c r="H28" i="5"/>
  <c r="L32" i="27"/>
  <c r="K32" i="27"/>
  <c r="J32" i="27"/>
  <c r="I32" i="27"/>
  <c r="L31" i="27"/>
  <c r="K31" i="27"/>
  <c r="J31" i="27"/>
  <c r="I31" i="27"/>
  <c r="L30" i="27"/>
  <c r="K30" i="27"/>
  <c r="J30" i="27"/>
  <c r="I30" i="27"/>
  <c r="L29" i="27"/>
  <c r="K29" i="27"/>
  <c r="J29" i="27"/>
  <c r="I29" i="27"/>
  <c r="L28" i="27"/>
  <c r="K28" i="27"/>
  <c r="J28" i="27"/>
  <c r="I28" i="27"/>
  <c r="L27" i="27"/>
  <c r="K27" i="27"/>
  <c r="J27" i="27"/>
  <c r="I27" i="27"/>
  <c r="P33" i="5"/>
  <c r="O33" i="5"/>
  <c r="N33" i="5"/>
  <c r="M33" i="5"/>
  <c r="P31" i="5"/>
  <c r="O31" i="5"/>
  <c r="N31" i="5"/>
  <c r="M31" i="5"/>
  <c r="P32" i="27"/>
  <c r="O32" i="27"/>
  <c r="N32" i="27"/>
  <c r="M32" i="27"/>
  <c r="P30" i="27"/>
  <c r="O30" i="27"/>
  <c r="N30" i="27"/>
  <c r="M30" i="27"/>
  <c r="L16" i="23"/>
  <c r="L15" i="23"/>
  <c r="L2" i="23"/>
  <c r="K27" i="5"/>
  <c r="J27" i="5"/>
  <c r="I27" i="5"/>
  <c r="H27" i="5"/>
  <c r="K26" i="5"/>
  <c r="J26" i="5"/>
  <c r="I26" i="5"/>
  <c r="H26" i="5"/>
  <c r="K25" i="5"/>
  <c r="J25" i="5"/>
  <c r="I25" i="5"/>
  <c r="H25" i="5"/>
  <c r="L26" i="27"/>
  <c r="K26" i="27"/>
  <c r="J26" i="27"/>
  <c r="I26" i="27"/>
  <c r="L25" i="27"/>
  <c r="K25" i="27"/>
  <c r="J25" i="27"/>
  <c r="I25" i="27"/>
  <c r="L24" i="27"/>
  <c r="K24" i="27"/>
  <c r="J24" i="27"/>
  <c r="I24" i="27"/>
  <c r="P26" i="5"/>
  <c r="O26" i="5"/>
  <c r="N26" i="5"/>
  <c r="M26" i="5"/>
  <c r="P25" i="5"/>
  <c r="O25" i="5"/>
  <c r="N25" i="5"/>
  <c r="M25" i="5"/>
  <c r="P25" i="27"/>
  <c r="O25" i="27"/>
  <c r="N25" i="27"/>
  <c r="M25" i="27"/>
  <c r="P24" i="27"/>
  <c r="O24" i="27"/>
  <c r="N24" i="27"/>
  <c r="M24" i="27"/>
  <c r="L4" i="23"/>
  <c r="K24" i="5"/>
  <c r="J24" i="5"/>
  <c r="I24" i="5"/>
  <c r="H24" i="5"/>
  <c r="L23" i="27"/>
  <c r="K23" i="27"/>
  <c r="J23" i="27"/>
  <c r="I23" i="27"/>
  <c r="L20" i="23"/>
  <c r="L17" i="23"/>
  <c r="K23" i="5"/>
  <c r="J23" i="5"/>
  <c r="I23" i="5"/>
  <c r="H23" i="5"/>
  <c r="K22" i="5"/>
  <c r="J22" i="5"/>
  <c r="I22" i="5"/>
  <c r="H22" i="5"/>
  <c r="L22" i="27"/>
  <c r="K22" i="27"/>
  <c r="J22" i="27"/>
  <c r="I22" i="27"/>
  <c r="L21" i="27"/>
  <c r="K21" i="27"/>
  <c r="J21" i="27"/>
  <c r="I21" i="27"/>
  <c r="K21" i="5"/>
  <c r="I21" i="5"/>
  <c r="H21" i="5"/>
  <c r="K20" i="5"/>
  <c r="I20" i="5"/>
  <c r="H20" i="5"/>
  <c r="K19" i="5"/>
  <c r="H19" i="5"/>
  <c r="K18" i="5"/>
  <c r="H18" i="5"/>
  <c r="K17" i="5"/>
  <c r="H17" i="5"/>
  <c r="K16" i="5"/>
  <c r="J16" i="5"/>
  <c r="I16" i="5"/>
  <c r="H16" i="5"/>
  <c r="K15" i="5"/>
  <c r="J15" i="5"/>
  <c r="I15" i="5"/>
  <c r="H15" i="5"/>
  <c r="K14" i="5"/>
  <c r="J14" i="5"/>
  <c r="I14" i="5"/>
  <c r="H14" i="5"/>
  <c r="K13" i="5"/>
  <c r="J13" i="5"/>
  <c r="I13" i="5"/>
  <c r="H13" i="5"/>
  <c r="K12" i="5"/>
  <c r="J12" i="5"/>
  <c r="I12" i="5"/>
  <c r="H12" i="5"/>
  <c r="L20" i="27"/>
  <c r="J20" i="27"/>
  <c r="I20" i="27"/>
  <c r="L19" i="27"/>
  <c r="J19" i="27"/>
  <c r="I19" i="27"/>
  <c r="L18" i="27"/>
  <c r="I18" i="27"/>
  <c r="L17" i="27"/>
  <c r="I17" i="27"/>
  <c r="L16" i="27"/>
  <c r="I16" i="27"/>
  <c r="L15" i="27"/>
  <c r="K15" i="27"/>
  <c r="J15" i="27"/>
  <c r="I15" i="27"/>
  <c r="L14" i="27"/>
  <c r="K14" i="27"/>
  <c r="J14" i="27"/>
  <c r="I14" i="27"/>
  <c r="L13" i="27"/>
  <c r="K13" i="27"/>
  <c r="J13" i="27"/>
  <c r="I13" i="27"/>
  <c r="L12" i="27"/>
  <c r="K12" i="27"/>
  <c r="J12" i="27"/>
  <c r="I12" i="27"/>
  <c r="L11" i="27"/>
  <c r="K11" i="27"/>
  <c r="J11" i="27"/>
  <c r="I11" i="27"/>
  <c r="P17" i="5"/>
  <c r="O17" i="5"/>
  <c r="N17" i="5"/>
  <c r="M17" i="5"/>
  <c r="P13" i="5"/>
  <c r="O13" i="5"/>
  <c r="N13" i="5"/>
  <c r="M13" i="5"/>
  <c r="P16" i="27"/>
  <c r="O16" i="27"/>
  <c r="N16" i="27"/>
  <c r="M16" i="27"/>
  <c r="P12" i="27"/>
  <c r="O12" i="27"/>
  <c r="N12" i="27"/>
  <c r="M12" i="27"/>
  <c r="L30" i="23"/>
  <c r="L24" i="23"/>
  <c r="K11" i="5"/>
  <c r="H11" i="5"/>
  <c r="K10" i="5"/>
  <c r="J10" i="5"/>
  <c r="I10" i="5"/>
  <c r="L10" i="27"/>
  <c r="I10" i="27"/>
  <c r="L9" i="27"/>
  <c r="K9" i="27"/>
  <c r="J9" i="27"/>
  <c r="I9" i="27"/>
  <c r="P11" i="5"/>
  <c r="O11" i="5"/>
  <c r="N11" i="5"/>
  <c r="M11" i="5"/>
  <c r="P10" i="5"/>
  <c r="O10" i="5"/>
  <c r="N10" i="5"/>
  <c r="M10" i="5"/>
  <c r="P10" i="27"/>
  <c r="O10" i="27"/>
  <c r="N10" i="27"/>
  <c r="M10" i="27"/>
  <c r="P9" i="27"/>
  <c r="O9" i="27"/>
  <c r="N9" i="27"/>
  <c r="M9" i="27"/>
  <c r="K4" i="5"/>
  <c r="K5" i="5"/>
  <c r="H4" i="5"/>
  <c r="H5" i="5"/>
  <c r="I4" i="5"/>
  <c r="I5" i="5"/>
  <c r="J4" i="5"/>
  <c r="J5" i="5"/>
  <c r="H2" i="5"/>
  <c r="I2" i="5"/>
  <c r="J2" i="5"/>
  <c r="K2" i="5"/>
  <c r="L19" i="23"/>
  <c r="M3" i="5"/>
  <c r="N3" i="5"/>
  <c r="O3" i="5"/>
  <c r="P3" i="5"/>
  <c r="H3" i="5"/>
  <c r="I3" i="5"/>
  <c r="J3" i="5"/>
  <c r="K3" i="5"/>
  <c r="L14" i="23"/>
  <c r="M6" i="5"/>
  <c r="N6" i="5"/>
  <c r="O6" i="5"/>
  <c r="P6" i="5"/>
  <c r="H6" i="5"/>
  <c r="I6" i="5"/>
  <c r="J6" i="5"/>
  <c r="K6" i="5"/>
  <c r="L7" i="23"/>
  <c r="M9" i="5"/>
  <c r="N9" i="5"/>
  <c r="O9" i="5"/>
  <c r="P9" i="5"/>
  <c r="H8" i="5"/>
  <c r="I8" i="5"/>
  <c r="J8" i="5"/>
  <c r="K8" i="5"/>
  <c r="H9" i="5"/>
  <c r="I9" i="5"/>
  <c r="J9" i="5"/>
  <c r="K9" i="5"/>
  <c r="L40" i="23"/>
  <c r="L41" i="23"/>
  <c r="H7" i="5"/>
  <c r="I7" i="5"/>
  <c r="J7" i="5"/>
  <c r="K7" i="5"/>
  <c r="L39" i="23"/>
  <c r="L6" i="27"/>
  <c r="K6" i="27"/>
  <c r="J6" i="27"/>
  <c r="I6" i="27"/>
  <c r="L8" i="27"/>
  <c r="K8" i="27"/>
  <c r="J8" i="27"/>
  <c r="I8" i="27"/>
  <c r="L7" i="27"/>
  <c r="K7" i="27"/>
  <c r="J7" i="27"/>
  <c r="I7" i="27"/>
  <c r="P8" i="27"/>
  <c r="O8" i="27"/>
  <c r="N8" i="27"/>
  <c r="M8" i="27"/>
  <c r="L5" i="27"/>
  <c r="K5" i="27"/>
  <c r="J5" i="27"/>
  <c r="I5" i="27"/>
  <c r="P5" i="27"/>
  <c r="O5" i="27"/>
  <c r="N5" i="27"/>
  <c r="M5" i="27"/>
  <c r="L3" i="27"/>
  <c r="K3" i="27"/>
  <c r="J3" i="27"/>
  <c r="I3" i="27"/>
  <c r="P3" i="27"/>
  <c r="O3" i="27"/>
  <c r="N3" i="27"/>
  <c r="M3" i="27"/>
  <c r="L2" i="27"/>
  <c r="K2" i="27"/>
  <c r="J2" i="27"/>
  <c r="I2" i="27"/>
  <c r="J17" i="27" l="1"/>
  <c r="K17" i="27"/>
  <c r="K19" i="27"/>
  <c r="J16" i="27"/>
  <c r="J18" i="27"/>
  <c r="K16" i="27"/>
  <c r="K18" i="27"/>
  <c r="K20" i="27"/>
  <c r="K10" i="27"/>
  <c r="J10" i="27"/>
  <c r="C9" i="4" a="1"/>
  <c r="C9" i="4" s="1"/>
  <c r="M14" i="12"/>
  <c r="L14" i="12"/>
  <c r="K14" i="12"/>
  <c r="E14" i="12"/>
  <c r="G14" i="12"/>
  <c r="F14" i="12"/>
  <c r="B15" i="12"/>
  <c r="K3" i="12"/>
  <c r="K13" i="12"/>
  <c r="M4" i="12"/>
  <c r="M5" i="12"/>
  <c r="M6" i="12"/>
  <c r="M7" i="12"/>
  <c r="M8" i="12"/>
  <c r="M9" i="12"/>
  <c r="M10" i="12"/>
  <c r="M11" i="12"/>
  <c r="M12" i="12"/>
  <c r="M2" i="12"/>
  <c r="L4" i="12"/>
  <c r="L5" i="12"/>
  <c r="L6" i="12"/>
  <c r="L7" i="12"/>
  <c r="L8" i="12"/>
  <c r="L9" i="12"/>
  <c r="L10" i="12"/>
  <c r="L11" i="12"/>
  <c r="L12" i="12"/>
  <c r="L2" i="12"/>
  <c r="K4" i="12"/>
  <c r="K5" i="12"/>
  <c r="K6" i="12"/>
  <c r="K7" i="12"/>
  <c r="K8" i="12"/>
  <c r="K9" i="12"/>
  <c r="K10" i="12"/>
  <c r="K11" i="12"/>
  <c r="K12" i="12"/>
  <c r="K2" i="12"/>
  <c r="J4" i="12"/>
  <c r="J5" i="12"/>
  <c r="J6" i="12"/>
  <c r="J7" i="12"/>
  <c r="J8" i="12"/>
  <c r="J9" i="12"/>
  <c r="J10" i="12"/>
  <c r="J11" i="12"/>
  <c r="J12" i="12"/>
  <c r="J2" i="12"/>
  <c r="G4" i="12"/>
  <c r="G5" i="12"/>
  <c r="G6" i="12"/>
  <c r="G7" i="12"/>
  <c r="G8" i="12"/>
  <c r="G9" i="12"/>
  <c r="G10" i="12"/>
  <c r="G11" i="12"/>
  <c r="G12" i="12"/>
  <c r="G2" i="12"/>
  <c r="F4" i="12"/>
  <c r="F5" i="12"/>
  <c r="F6" i="12"/>
  <c r="F7" i="12"/>
  <c r="F8" i="12"/>
  <c r="F9" i="12"/>
  <c r="F10" i="12"/>
  <c r="F11" i="12"/>
  <c r="F12" i="12"/>
  <c r="F2" i="12"/>
  <c r="E4" i="12"/>
  <c r="E5" i="12"/>
  <c r="E6" i="12"/>
  <c r="E7" i="12"/>
  <c r="E8" i="12"/>
  <c r="E9" i="12"/>
  <c r="E10" i="12"/>
  <c r="E11" i="12"/>
  <c r="E12" i="12"/>
  <c r="E2" i="12"/>
  <c r="D4" i="12"/>
  <c r="D5" i="12"/>
  <c r="D6" i="12"/>
  <c r="D7" i="12"/>
  <c r="D8" i="12"/>
  <c r="D9" i="12"/>
  <c r="D10" i="12"/>
  <c r="D11" i="12"/>
  <c r="D12" i="12"/>
  <c r="D2" i="12"/>
  <c r="H13" i="12"/>
  <c r="B13" i="12"/>
  <c r="H19" i="12"/>
  <c r="I3" i="12"/>
  <c r="I4" i="12"/>
  <c r="I5" i="12"/>
  <c r="I6" i="12"/>
  <c r="I7" i="12"/>
  <c r="I8" i="12"/>
  <c r="I9" i="12"/>
  <c r="I10" i="12"/>
  <c r="I11" i="12"/>
  <c r="I12" i="12"/>
  <c r="I2" i="12"/>
  <c r="C3" i="12"/>
  <c r="C4" i="12"/>
  <c r="C5" i="12"/>
  <c r="C6" i="12"/>
  <c r="C7" i="12"/>
  <c r="C8" i="12"/>
  <c r="C9" i="12"/>
  <c r="C10" i="12"/>
  <c r="C11" i="12"/>
  <c r="C12" i="12"/>
  <c r="C2" i="12"/>
  <c r="L44" i="23"/>
  <c r="L45" i="23"/>
  <c r="L46" i="23"/>
  <c r="L47" i="23"/>
  <c r="L43" i="23"/>
  <c r="B19" i="12" l="1"/>
  <c r="E3" i="12" s="1"/>
  <c r="E13" i="12" s="1"/>
  <c r="B22" i="12"/>
  <c r="H18" i="12"/>
  <c r="J3" i="12" s="1"/>
  <c r="J13" i="12" s="1"/>
  <c r="H22" i="12"/>
  <c r="B18" i="12"/>
  <c r="D3" i="12" s="1"/>
  <c r="D13" i="12" s="1"/>
  <c r="H21" i="12"/>
  <c r="M3" i="12" s="1"/>
  <c r="M13" i="12" s="1"/>
  <c r="B20" i="12"/>
  <c r="F3" i="12" s="1"/>
  <c r="F13" i="12" s="1"/>
  <c r="H20" i="12"/>
  <c r="L3" i="12" s="1"/>
  <c r="L13" i="12" s="1"/>
  <c r="B21" i="12"/>
  <c r="G3" i="12" s="1"/>
  <c r="G13" i="12" s="1"/>
  <c r="L25" i="23"/>
  <c r="L29" i="23" l="1"/>
  <c r="L27" i="23" l="1"/>
  <c r="L12" i="23" l="1"/>
  <c r="L11" i="23"/>
  <c r="L6" i="23"/>
  <c r="L5" i="23"/>
  <c r="K49" i="22" l="1"/>
  <c r="M45" i="22"/>
  <c r="M44" i="22"/>
  <c r="M43" i="22"/>
  <c r="M42" i="22"/>
  <c r="M41" i="22"/>
  <c r="M40" i="22"/>
  <c r="M39" i="22"/>
  <c r="M38" i="22"/>
  <c r="M37" i="22"/>
  <c r="M35" i="22"/>
  <c r="M33" i="22"/>
  <c r="M32" i="22"/>
  <c r="M31" i="22"/>
  <c r="M29" i="22"/>
  <c r="M26" i="22"/>
  <c r="M25" i="22"/>
  <c r="M21" i="22"/>
  <c r="M20" i="22"/>
  <c r="M19" i="22"/>
  <c r="M18" i="22"/>
  <c r="M17" i="22"/>
  <c r="M16" i="22"/>
  <c r="M13" i="22"/>
  <c r="M11" i="22"/>
  <c r="M9" i="22"/>
  <c r="M8" i="22"/>
  <c r="M5" i="22"/>
  <c r="L10" i="22" l="1"/>
  <c r="L29" i="22"/>
  <c r="L25" i="22"/>
  <c r="L35" i="22"/>
  <c r="L16" i="22"/>
  <c r="L24" i="22"/>
  <c r="L28" i="22"/>
  <c r="L23" i="22"/>
  <c r="L32" i="22"/>
  <c r="L21" i="22"/>
  <c r="L46" i="22"/>
  <c r="L37" i="22"/>
  <c r="L14" i="22"/>
  <c r="L12" i="22"/>
  <c r="L17" i="22"/>
  <c r="L19" i="22"/>
  <c r="L8" i="22"/>
  <c r="L4" i="22"/>
  <c r="L26" i="22"/>
  <c r="L18" i="22"/>
  <c r="L31" i="22"/>
  <c r="L40" i="22"/>
  <c r="L2" i="22"/>
  <c r="L47" i="22"/>
  <c r="L39" i="22"/>
  <c r="L33" i="22"/>
  <c r="L41" i="22"/>
  <c r="L15" i="22"/>
  <c r="L9" i="22"/>
  <c r="L45" i="22"/>
  <c r="L38" i="22"/>
  <c r="L43" i="22"/>
  <c r="L34" i="22"/>
  <c r="L27" i="22"/>
  <c r="L22" i="22"/>
  <c r="L42" i="22"/>
  <c r="L20" i="22"/>
  <c r="L5" i="22"/>
  <c r="L11" i="22"/>
  <c r="L44" i="22"/>
  <c r="L6" i="22"/>
  <c r="L36" i="22"/>
  <c r="L30" i="22"/>
  <c r="L3" i="22"/>
  <c r="L7" i="22"/>
  <c r="L13" i="22"/>
  <c r="AJ40" i="21" l="1"/>
  <c r="AJ39" i="21"/>
  <c r="AJ38" i="21"/>
  <c r="AJ37" i="21"/>
  <c r="AJ36" i="21"/>
  <c r="AJ31" i="21"/>
  <c r="AJ19" i="21"/>
  <c r="AJ14" i="21"/>
  <c r="AJ2" i="21"/>
  <c r="D48" i="9" l="1"/>
  <c r="C48" i="9"/>
  <c r="D47" i="9"/>
  <c r="C47" i="9"/>
  <c r="Z23" i="3" l="1"/>
  <c r="B6" i="16" l="1"/>
  <c r="C46" i="9" l="1"/>
  <c r="C17" i="4"/>
  <c r="D86" i="9"/>
  <c r="C16" i="4"/>
  <c r="C14" i="4"/>
  <c r="C13" i="4"/>
  <c r="C12" i="4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D94" i="9"/>
  <c r="C75" i="9"/>
  <c r="E103" i="9" s="1"/>
  <c r="C22" i="4" s="1"/>
  <c r="D46" i="9"/>
  <c r="C15" i="4" l="1"/>
  <c r="E106" i="9"/>
  <c r="C28" i="4" s="1"/>
  <c r="D105" i="9"/>
  <c r="C30" i="4" s="1"/>
  <c r="D106" i="9"/>
  <c r="C27" i="4" s="1"/>
  <c r="E104" i="9"/>
  <c r="C25" i="4" s="1"/>
  <c r="D103" i="9"/>
  <c r="C21" i="4" s="1"/>
  <c r="E105" i="9"/>
  <c r="C31" i="4" s="1"/>
  <c r="D104" i="9"/>
  <c r="C24" i="4" s="1"/>
  <c r="E2" i="11" l="1"/>
  <c r="B2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tc={BA6E569E-682D-4A74-A49F-374145AF2C19}</author>
    <author>tc={E98B236C-C8D9-4C6D-B7CC-B4516114E365}</author>
    <author>tc={656FDFAB-C802-47F4-AF1E-B5C08267CAA5}</author>
  </authors>
  <commentList>
    <comment ref="A5" authorId="0" shapeId="0" xr:uid="{BA6E569E-682D-4A74-A49F-374145AF2C19}">
      <text>
        <t>[Threaded comment]
Your version of Excel allows you to read this threaded comment; however, any edits to it will get removed if the file is opened in a newer version of Excel. Learn more: https://go.microsoft.com/fwlink/?linkid=870924
Comment:
    @Sievert  Katrin this is the study I selected for my meta-analysis as it was more recent. If we're including a parameters table in our SI, the other one should be excluded from that as is not considered</t>
      </text>
    </comment>
    <comment ref="W5" authorId="1" shapeId="0" xr:uid="{E98B236C-C8D9-4C6D-B7CC-B4516114E36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@Dubey  Yash , how come Martin et al. Once has a CO2 price range of 90-600 and once of 54-268?
Reply:
    @Sievert  Katrin they have two different studies and the inputs to the model vary in both but I will re-check</t>
      </text>
    </comment>
    <comment ref="B12" authorId="2" shapeId="0" xr:uid="{656FDFAB-C802-47F4-AF1E-B5C08267CAA5}">
      <text>
        <t>[Threaded comment]
Your version of Excel allows you to read this threaded comment; however, any edits to it will get removed if the file is opened in a newer version of Excel. Learn more: https://go.microsoft.com/fwlink/?linkid=870924
Comment:
    @Sievert  Katrin updating this to No as this is excluded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tc={6DA66434-0AF5-45E0-B990-1866E70381D8}</author>
  </authors>
  <commentList>
    <comment ref="O2" authorId="0" shapeId="0" xr:uid="{6DA66434-0AF5-45E0-B990-1866E70381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this is for 2020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tc={E3E0422F-E7DA-AE4F-B478-1D87AB030431}</author>
    <author>tc={0CFDD60E-5D40-E14C-AC18-8315137697D8}</author>
  </authors>
  <commentList>
    <comment ref="L25" authorId="0" shapeId="0" xr:uid="{E3E0422F-E7DA-AE4F-B478-1D87AB030431}">
      <text>
        <t>[Threaded comment]
Your version of Excel allows you to read this threaded comment; however, any edits to it will get removed if the file is opened in a newer version of Excel. Learn more: https://go.microsoft.com/fwlink/?linkid=870924
Comment:
    Efficiency improvements</t>
      </text>
    </comment>
    <comment ref="L43" authorId="1" shapeId="0" xr:uid="{0CFDD60E-5D40-E14C-AC18-8315137697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corrected for efficiency improvements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<sst xmlns="http://schemas.openxmlformats.org/spreadsheetml/2006/main" count="5449" uniqueCount="489">
  <si>
    <t>This is a sheet for standardisation of inputs for the Meta Analysis of Abatement Costs from Alternative Fuel Pathways in Commercial Aviation</t>
  </si>
  <si>
    <t>Scenario Selected</t>
  </si>
  <si>
    <t>Reference Oil Price</t>
  </si>
  <si>
    <t>Electricity and CO2 Price</t>
  </si>
  <si>
    <t>Reference</t>
  </si>
  <si>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</si>
  <si>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</si>
  <si>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</si>
  <si>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</si>
  <si>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</si>
  <si>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</si>
  <si>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</si>
  <si>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</si>
  <si>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</si>
  <si>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</si>
  <si>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</si>
  <si>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</si>
  <si>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Vary this for electricity price scenarios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</si>
  <si>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</si>
  <si>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</si>
  <si>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</si>
  <si>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</si>
  <si>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</si>
  <si>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</si>
  <si>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</si>
  <si>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</si>
  <si>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</si>
  <si>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</si>
  <si>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</si>
  <si>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Average fuel price across scenarios</t>
  </si>
  <si>
    <t>IEA 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</si>
  <si>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</si>
  <si>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</si>
  <si>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</si>
  <si>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</si>
  <si>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</si>
  <si>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</si>
  <si>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Modified as needed for Low CO2, median CO2, and high CO2 runs.</t>
  </si>
  <si>
    <t>Technology</t>
  </si>
  <si>
    <t>Scenario</t>
  </si>
  <si>
    <t>Period raw</t>
  </si>
  <si>
    <t>Source</t>
  </si>
  <si>
    <t>Note</t>
  </si>
  <si>
    <t>Link</t>
  </si>
  <si>
    <t>carbon_intensity</t>
  </si>
  <si>
    <t>unit</t>
  </si>
  <si>
    <t>PV tracking with storage</t>
  </si>
  <si>
    <t>LCOE $/MWh (avg)</t>
  </si>
  <si>
    <t>2022 2H</t>
  </si>
  <si>
    <t>BNEF LCOE - All Technologies - Unites States - LCOE Forecast 2022</t>
  </si>
  <si>
    <t xml:space="preserve">To be converted in $/GJ with conversion factor in Universal Inputs "conversion_electricity" OR just </t>
  </si>
  <si>
    <t>https://www.bnef.com/flagships/lcoe</t>
  </si>
  <si>
    <t>[t-CO2,eq GJ-1]</t>
  </si>
  <si>
    <t>Young et al. (2023)</t>
  </si>
  <si>
    <t>CCGT</t>
  </si>
  <si>
    <t>LCOE $/GJ (low)</t>
  </si>
  <si>
    <t>CCGT CCS</t>
  </si>
  <si>
    <t>LCOE $/MWh (low)</t>
  </si>
  <si>
    <t>CCGT Hydrogen</t>
  </si>
  <si>
    <t>Coal</t>
  </si>
  <si>
    <t>Coal CCS</t>
  </si>
  <si>
    <t>OCGT</t>
  </si>
  <si>
    <t>OCGT CCS</t>
  </si>
  <si>
    <t>OCGT Hydrogen</t>
  </si>
  <si>
    <t>PV non-tracking</t>
  </si>
  <si>
    <t>PV non-tracking with storage</t>
  </si>
  <si>
    <t>PV tracking</t>
  </si>
  <si>
    <t>Utility-scale battery (1h)</t>
  </si>
  <si>
    <t>Utility-scale battery (4h)</t>
  </si>
  <si>
    <t>Wind offshore</t>
  </si>
  <si>
    <t>Wind onshore</t>
  </si>
  <si>
    <t>Wind onshore with storage</t>
  </si>
  <si>
    <t>LCOE $/MWh (high)</t>
  </si>
  <si>
    <t>1,148</t>
  </si>
  <si>
    <t>1,059</t>
  </si>
  <si>
    <t>Nuclear</t>
  </si>
  <si>
    <t>Nuclear Energy Agency (NEA) - Projected Costs of Generating Electricity - 2020 Edition (oecd-nea.org)</t>
  </si>
  <si>
    <t>p.59</t>
  </si>
  <si>
    <t>Geothermal</t>
  </si>
  <si>
    <t>Renewable Power Generation Costs in 2021 (irena.org)</t>
  </si>
  <si>
    <t>In line with icelandic LCOE</t>
  </si>
  <si>
    <t>Global weighted average</t>
  </si>
  <si>
    <t>LCOE cost assumption</t>
  </si>
  <si>
    <t>Source:</t>
  </si>
  <si>
    <t>BNEF LCOE Forecast 2022</t>
  </si>
  <si>
    <t>-</t>
  </si>
  <si>
    <t xml:space="preserve"> LCOE ($/MWh) </t>
  </si>
  <si>
    <t xml:space="preserve"> LCOE (€/MWh) </t>
  </si>
  <si>
    <t>Possible sensitivities</t>
  </si>
  <si>
    <t>PV tracking with storage (high) - 12 battery hours - high</t>
  </si>
  <si>
    <t>LCOE ($/MWh)</t>
  </si>
  <si>
    <t>PV tracking with storage (low) - 12 battery hours - high</t>
  </si>
  <si>
    <t>Wind Offshore</t>
  </si>
  <si>
    <t>DAC cost assumption</t>
  </si>
  <si>
    <t>Sievert et. al. (2024)</t>
  </si>
  <si>
    <t>Multi Component learning curves are considered</t>
  </si>
  <si>
    <t>Solid Sorbent</t>
  </si>
  <si>
    <t>Liquid Solvent</t>
  </si>
  <si>
    <t>CaO ambient weathering</t>
  </si>
  <si>
    <t>Start Year</t>
  </si>
  <si>
    <t>End Year</t>
  </si>
  <si>
    <t>Capacity (MtCO2/year)</t>
  </si>
  <si>
    <t>LCOR ($/tCO2)</t>
  </si>
  <si>
    <t>LCOR low ($/tCO2)</t>
  </si>
  <si>
    <t>LCOR high ($/tCO2)</t>
  </si>
  <si>
    <t>Average</t>
  </si>
  <si>
    <t>LCOR DACCS Meta-Analysis</t>
  </si>
  <si>
    <t>Discount rate</t>
  </si>
  <si>
    <t>Average across all studies considered (Multiple sources)</t>
  </si>
  <si>
    <t>Fossil fuel emissions</t>
  </si>
  <si>
    <t>Jet-Fuel A-1</t>
  </si>
  <si>
    <t>Global Average WtW CO2 emissions of Jet-A1 (Jing et. al. 2023)</t>
  </si>
  <si>
    <t>https://www.icao.int/environmental-protection/CORSIA/Pages/SARPs-Annex-16-Volume-IV.aspx</t>
  </si>
  <si>
    <t xml:space="preserve"> </t>
  </si>
  <si>
    <t>Fossil counterpart costs</t>
  </si>
  <si>
    <t>Costs from studies</t>
  </si>
  <si>
    <t>€/l</t>
  </si>
  <si>
    <t>Aviation</t>
  </si>
  <si>
    <t>Martin (2013)</t>
  </si>
  <si>
    <t>Current fossil fuel costs</t>
  </si>
  <si>
    <t>Date Retrieved</t>
  </si>
  <si>
    <t>https://www.iata.org/en/publications/economics/fuel-monitor/</t>
  </si>
  <si>
    <t>Oil Price (Dated Brent)</t>
  </si>
  <si>
    <t>Price Factor (Jet A-1 to Oil)</t>
  </si>
  <si>
    <t>Calculate fossil fuel projections based on IEA oil price projection</t>
  </si>
  <si>
    <t>1. Import oil price development IEA (Net Zero, No new oil)</t>
  </si>
  <si>
    <t>IEA crude oil (2019 USD/barrel)</t>
  </si>
  <si>
    <t>Net Zero by 2050 report, Table 2.1. (Oil cost in NZE scenario)</t>
  </si>
  <si>
    <t>IEA crude oil (2022 USD/barrel)</t>
  </si>
  <si>
    <t>IEA crude oil (2022 USD/l)</t>
  </si>
  <si>
    <t>2. EIA Crude oil price development scenarios</t>
  </si>
  <si>
    <t>https://www.eia.gov/outlooks/aeo/data/browser/#/?id=1-AEO2023&amp;region=0-0&amp;cases=ref2023~highprice~lowprice~highogs~lowogs~highZTC~lowZTC~highmachighZTC~highmaclowZTC&amp;start=2021&amp;end=2050&amp;f=A&amp;sourcekey=0</t>
  </si>
  <si>
    <t>EIA Reference Scenario (2022 USD/barrel)</t>
  </si>
  <si>
    <t>EIA High Oil Price Scenario (2022 USD/barrel)</t>
  </si>
  <si>
    <t>EIA Low Oil Price Scenario (2022 USD/barrel)</t>
  </si>
  <si>
    <t>EIA Reference Scenario (2022 USD/l)</t>
  </si>
  <si>
    <t>EIA High Oil Price Scenario (2022 USD/l)</t>
  </si>
  <si>
    <t>EIA Low Oil Price Scenario (2022 USD/l)</t>
  </si>
  <si>
    <t>3. Assuming "constant price factor", projected jet fuel A-1 costs:</t>
  </si>
  <si>
    <t>IEA NZE (2022 USD/l)</t>
  </si>
  <si>
    <t>EIA Reference (2022 USD/l)</t>
  </si>
  <si>
    <t>EIA High Oil Price (2022 USD/l)</t>
  </si>
  <si>
    <t>EIA Low Oil Price (2022 USD/l)</t>
  </si>
  <si>
    <t>Conversion factors</t>
  </si>
  <si>
    <t>Jet-Fuel A-1 Energy Density</t>
  </si>
  <si>
    <t>https://www.energy.gov/sites/prod/files/2020/09/f78/beto-sust-aviation-fuel-sep-2020.pdf</t>
  </si>
  <si>
    <t>Jet-Fuel Volumetric Density</t>
  </si>
  <si>
    <t>Coupling of CO2 and Electricity</t>
  </si>
  <si>
    <t>CO2 Price</t>
  </si>
  <si>
    <t>Electricity Price</t>
  </si>
  <si>
    <t>Slope</t>
  </si>
  <si>
    <t>$/t per $/kWh</t>
  </si>
  <si>
    <t>Electricity Price Range</t>
  </si>
  <si>
    <t>High</t>
  </si>
  <si>
    <t>Low</t>
  </si>
  <si>
    <t>CO2 Price Range</t>
  </si>
  <si>
    <t>Lower bounds of multi component experience curves</t>
  </si>
  <si>
    <t>Lifetime</t>
  </si>
  <si>
    <t>If lifetime is not explicitly mentioned, lifetime of Fischer-Tropsch unit or heliostat is considered</t>
  </si>
  <si>
    <t>FT reactor/heliostat is a critical component</t>
  </si>
  <si>
    <t>Energy Density of Sustainable Fuel</t>
  </si>
  <si>
    <t>Energy Density is assumed to be 43.2 MJ/kg if not provided</t>
  </si>
  <si>
    <t>Volumetric Density of Sustainable Fuel</t>
  </si>
  <si>
    <t>Considered to be 0.76 kg/l if not mentioned</t>
  </si>
  <si>
    <t>https://www.qcintel.com/biofuels/assessment/sustainable-aviation-fuel-fob-ara-premium-SAFARP.html</t>
  </si>
  <si>
    <t>Electrolyser</t>
  </si>
  <si>
    <t>Efficiency assumed to be 85% for PEM. Energy requirement of 40kWh/kg H2</t>
  </si>
  <si>
    <t>https://www.enapter.com/kb_post/how-much-hydrogen-can-be-produced-by-enapters-electrolyser-and-how-long-does-it-take-to-fill-a-500-l-tank/
https://www.ise.fraunhofer.de/content/dam/ise/de/documents/publications/studies/cost-forecast-for-low-temperature-electrolysis.pdf</t>
  </si>
  <si>
    <t>Synthetic Fuel Emissions</t>
  </si>
  <si>
    <t>If not provided, assumed to be a 70% reduction (minimum under EU Renewable Energy Directive (RED)</t>
  </si>
  <si>
    <t>https://www.ecac-ceac.org/images/activities/environment/ECAC_Guidance_on_SAF_DGs_endorsed_HighRes.pdf</t>
  </si>
  <si>
    <t>Included</t>
  </si>
  <si>
    <t>Year of Assumptions in Study</t>
  </si>
  <si>
    <t>DOI</t>
  </si>
  <si>
    <t>Pathway</t>
  </si>
  <si>
    <t>Pathway Detail</t>
  </si>
  <si>
    <t>Year of Cost</t>
  </si>
  <si>
    <t>Study Scenario</t>
  </si>
  <si>
    <t>Baseline</t>
  </si>
  <si>
    <t>LCOE Harmonized</t>
  </si>
  <si>
    <t>CO2 Cost Harmonized</t>
  </si>
  <si>
    <t>Fully Harmonized</t>
  </si>
  <si>
    <t>Electricity</t>
  </si>
  <si>
    <t>CO2</t>
  </si>
  <si>
    <t>CAPEX</t>
  </si>
  <si>
    <t>Other OPEX</t>
  </si>
  <si>
    <t>Study Type</t>
  </si>
  <si>
    <t>Plant Location</t>
  </si>
  <si>
    <t>Production</t>
  </si>
  <si>
    <t>Albrecht et. al.</t>
  </si>
  <si>
    <t>https://doi.org/10.1016/j.energy.2019.116511</t>
  </si>
  <si>
    <t>e-Fuels</t>
  </si>
  <si>
    <t>Fischer Tropsch</t>
  </si>
  <si>
    <t>Industrial</t>
  </si>
  <si>
    <t>Europe</t>
  </si>
  <si>
    <t>This study has a detailed breakdown but considers a scenario where electricity is an output, leading to lower overall costs.</t>
  </si>
  <si>
    <t>Bachorz et. al</t>
  </si>
  <si>
    <t>https://www.researchsquare.com/article/rs-4241841/v1</t>
  </si>
  <si>
    <t>Methanol</t>
  </si>
  <si>
    <t>Academic</t>
  </si>
  <si>
    <t>Due to a high WACC assumption (~11%, final wacc correction leads to lower cost)</t>
  </si>
  <si>
    <t xml:space="preserve">Brazzola et al. </t>
  </si>
  <si>
    <t>Worldwide</t>
  </si>
  <si>
    <t>Dietrich et. al.</t>
  </si>
  <si>
    <t>https://doi.org/10.1016/j.biombioe.2017.07.006</t>
  </si>
  <si>
    <t>Falter et. al.</t>
  </si>
  <si>
    <t>https://doi.org/10.1039/d0se00179a</t>
  </si>
  <si>
    <t>Solar Fuels</t>
  </si>
  <si>
    <t>MENA</t>
  </si>
  <si>
    <t>Most assumptions based on previous study</t>
  </si>
  <si>
    <t>https://doi.org/10.1021/acs.est.5b03515</t>
  </si>
  <si>
    <t>Initial assumptions are very optimistic (by author's admission), Production is high. Overall process efficiency is 5% according to the author</t>
  </si>
  <si>
    <t>Gray et al.</t>
  </si>
  <si>
    <t>https://doi.org/10.1016/j.rser.2024.114552</t>
  </si>
  <si>
    <t>Reference DAC Deployment</t>
  </si>
  <si>
    <t>y</t>
  </si>
  <si>
    <t>High DAC Deployment</t>
  </si>
  <si>
    <t>This scenario assumes a decline in CO2 cost but not CAPEX</t>
  </si>
  <si>
    <t xml:space="preserve">Marchese et.al. </t>
  </si>
  <si>
    <t>https://doi.org/10.1016/j.jcou.2021.101487</t>
  </si>
  <si>
    <t>C.4</t>
  </si>
  <si>
    <t>C.1</t>
  </si>
  <si>
    <t>C.5</t>
  </si>
  <si>
    <t>C.3</t>
  </si>
  <si>
    <t>C.2</t>
  </si>
  <si>
    <t>Martin et. al.</t>
  </si>
  <si>
    <t>https://www.sciencedirect.com/science/article/pii/S136403212300494X?via%3Dihub</t>
  </si>
  <si>
    <t>Meurer et al.</t>
  </si>
  <si>
    <t>https://doi.org/10.1039/D3SE01156A</t>
  </si>
  <si>
    <t>Moretti et al.</t>
  </si>
  <si>
    <t>https://doi.org/10.1016/j.scitotenv.2023.166005</t>
  </si>
  <si>
    <t>High CO2 cost assumed, hence there is less effect, High Production levels lead to lower costs due to scale and cheaper labour in MENA</t>
  </si>
  <si>
    <t>Optimistic</t>
  </si>
  <si>
    <t>Peacock et. al.</t>
  </si>
  <si>
    <t>SOEC, Nuclear + Renewables</t>
  </si>
  <si>
    <t>United Kingdom</t>
  </si>
  <si>
    <t>PEM, Nuclear</t>
  </si>
  <si>
    <t>Large scale production but high electrolyser costs and multiple replacements considered (missing from most other studies)</t>
  </si>
  <si>
    <t>PEM, Nuclear + Renewables</t>
  </si>
  <si>
    <t>Peters et. al.</t>
  </si>
  <si>
    <t>https://doi.org/10.3390/pr10040699</t>
  </si>
  <si>
    <t>Low intial electricity and CO2 price assumption lead to lower costs</t>
  </si>
  <si>
    <t>Rojas-Michaga et. al.</t>
  </si>
  <si>
    <t>https://www.sciencedirect.com/science/article/pii/S0196890423007732?via%3Dihub#s0005</t>
  </si>
  <si>
    <t>Very detailed study, we should note that this study considers a wide variety of costs that will be practically applicable (e.g. labour, overhead, catalyst, by-product sales etc.)</t>
  </si>
  <si>
    <t>Saad et al.</t>
  </si>
  <si>
    <t>https://doi.org/10.1021/acs.est.4c01578</t>
  </si>
  <si>
    <t>CO2ER</t>
  </si>
  <si>
    <t>LCA accounting methodology means that the emissions abated are low, therefore cost is high</t>
  </si>
  <si>
    <t>CO2HY</t>
  </si>
  <si>
    <t>Schmidt et. al.</t>
  </si>
  <si>
    <t>https://onlinelibrary.wiley.com/doi/full/10.1002/cite.201700129?saml_referrer
https://www.concawe.eu/wp-content/uploads/Rpt_24-4-1.pdf</t>
  </si>
  <si>
    <t>EU-North</t>
  </si>
  <si>
    <t>EU-Central</t>
  </si>
  <si>
    <t>EU-South</t>
  </si>
  <si>
    <t>1st of a kind industrial plant</t>
  </si>
  <si>
    <t>Seymour et al.</t>
  </si>
  <si>
    <t>https://doi.org/10.1039/D3SE00978E</t>
  </si>
  <si>
    <t>United States of America</t>
  </si>
  <si>
    <t>High CO2 cost assumed, hence there is less effect</t>
  </si>
  <si>
    <t>Sherwin</t>
  </si>
  <si>
    <t>https://doi.org/10.1021/acs.est.0c07955</t>
  </si>
  <si>
    <t>Staples et. al.</t>
  </si>
  <si>
    <t>https://doi.org/10.1021/acs.est.0c07674</t>
  </si>
  <si>
    <t>Costs</t>
  </si>
  <si>
    <t>Input Values</t>
  </si>
  <si>
    <t>Included?</t>
  </si>
  <si>
    <t>Timeline</t>
  </si>
  <si>
    <t>Learning Rates</t>
  </si>
  <si>
    <t>Cost Type</t>
  </si>
  <si>
    <t>Cost Range Short Term</t>
  </si>
  <si>
    <t>Cost Range 2050</t>
  </si>
  <si>
    <t>WACC / Discount Rate</t>
  </si>
  <si>
    <t>Electricity Price Range (EUR/MWh)</t>
  </si>
  <si>
    <t>Electricty Price Source</t>
  </si>
  <si>
    <t>Battery Storage</t>
  </si>
  <si>
    <t>H2/H2O Source</t>
  </si>
  <si>
    <t>co-SOEC route?</t>
  </si>
  <si>
    <t>Electrolyser Cost Range (EUR/kW)</t>
  </si>
  <si>
    <t>H2 Price (EUR/kg)</t>
  </si>
  <si>
    <t>H2 Price Source</t>
  </si>
  <si>
    <t>H2 Storage</t>
  </si>
  <si>
    <t>CO2 Price Range ($/tCO2)</t>
  </si>
  <si>
    <t>CO2 Price Source</t>
  </si>
  <si>
    <t>CO2 Storage</t>
  </si>
  <si>
    <t>CO2 consumption (kg/kg fuel)</t>
  </si>
  <si>
    <t>Fuel Emissions Intensity (gCO2/MJ)</t>
  </si>
  <si>
    <t>Fossil Fuel Price (EUR/l)</t>
  </si>
  <si>
    <t>Annual Production</t>
  </si>
  <si>
    <t>Project Lifetime (Years)</t>
  </si>
  <si>
    <t>LCA Methdology</t>
  </si>
  <si>
    <t>Notes</t>
  </si>
  <si>
    <t>Harmonization Status</t>
  </si>
  <si>
    <t>Yes</t>
  </si>
  <si>
    <t>2020-2050</t>
  </si>
  <si>
    <t>Abatement Cost</t>
  </si>
  <si>
    <t>1500-1550</t>
  </si>
  <si>
    <t>450-890</t>
  </si>
  <si>
    <t>EUR/tCO2</t>
  </si>
  <si>
    <t>20-130</t>
  </si>
  <si>
    <t>Eurostat Harmonised Indices of Consumer Prices, HICP</t>
  </si>
  <si>
    <t>PEM, Solid Oxide</t>
  </si>
  <si>
    <t>No</t>
  </si>
  <si>
    <t>358-1084</t>
  </si>
  <si>
    <t>IEA G20 Hydrogen Report: Assumptions , International energy agency technical report, 2019</t>
  </si>
  <si>
    <t>199-730</t>
  </si>
  <si>
    <t>Fasihi et. al. (2019) (https://www.sciencedirect.com/science/article/pii/S0959652619307772?via%3Dihub)</t>
  </si>
  <si>
    <t>litres</t>
  </si>
  <si>
    <t>PSI, R.Sacchi</t>
  </si>
  <si>
    <t>Fully Completed</t>
  </si>
  <si>
    <t>2024-2050</t>
  </si>
  <si>
    <t>Production Cost</t>
  </si>
  <si>
    <t>3.2-6.15</t>
  </si>
  <si>
    <t>1.5-2.75</t>
  </si>
  <si>
    <t>EUR/l</t>
  </si>
  <si>
    <t>50-100</t>
  </si>
  <si>
    <t>No Source, assumed</t>
  </si>
  <si>
    <t>Solid Oxide</t>
  </si>
  <si>
    <t>T. Smolinka , N. Wiebe , P. Sterchele and A. Palzer , Studie IndWEDe: Industrialisierung der Wasserelektrolyse in Deutschland: Chancen und Herausforderungen für nachhaltigen Wasserstoff für Verkehr, Strom und Wärme , NOW GmbH, 2018</t>
  </si>
  <si>
    <t>54-268</t>
  </si>
  <si>
    <t>GWP (24 parameters)</t>
  </si>
  <si>
    <t>Meeting set for 11.07</t>
  </si>
  <si>
    <t>https://doi.org/10.1016/j.rser.2023.113637</t>
  </si>
  <si>
    <t>2023-2050</t>
  </si>
  <si>
    <t>Levelised Cost</t>
  </si>
  <si>
    <t>3.2-4.6</t>
  </si>
  <si>
    <t>1.1-1.4</t>
  </si>
  <si>
    <t>27.5-31</t>
  </si>
  <si>
    <t>Fraunhofer (https://publica.fraunhofer.de/entities/publication/306f4a97-e39e-4570-887d-e4ba8ccd6605/details)</t>
  </si>
  <si>
    <t>PEM</t>
  </si>
  <si>
    <t>330-1100</t>
  </si>
  <si>
    <t>90-600</t>
  </si>
  <si>
    <t>Not available</t>
  </si>
  <si>
    <t>0.28-0.52</t>
  </si>
  <si>
    <t>https://www.concawe.eu/wp-content/uploads/Rpt_24-4-1.pdf</t>
  </si>
  <si>
    <t>2018-2050</t>
  </si>
  <si>
    <t>3.1-4.2</t>
  </si>
  <si>
    <t>1.35-1.84</t>
  </si>
  <si>
    <t>66-100</t>
  </si>
  <si>
    <t>Alkaline, PEM</t>
  </si>
  <si>
    <t>600-1400</t>
  </si>
  <si>
    <t>https://www.osti.gov/biblio/1214980/
https://www.clean-hydrogen.europa.eu/system/files/2014-09/study%2520electrolyser_0-Logos_0_0.pdf</t>
  </si>
  <si>
    <t>Ground Up DAC modelling</t>
  </si>
  <si>
    <t>Climeworks plant, Hinwil, 2017</t>
  </si>
  <si>
    <t>1.28-2.43</t>
  </si>
  <si>
    <t>Assumed</t>
  </si>
  <si>
    <t>Desalination</t>
  </si>
  <si>
    <t>Not Applicable</t>
  </si>
  <si>
    <t xml:space="preserve">Assumed </t>
  </si>
  <si>
    <t>2021-2050</t>
  </si>
  <si>
    <t>2.66-3.11</t>
  </si>
  <si>
    <t>1.82-2.45</t>
  </si>
  <si>
    <t>45-55</t>
  </si>
  <si>
    <t>https://www.eia.gov/outlooks/archive/aeo19/</t>
  </si>
  <si>
    <t>Albrecht 2020 (https://www.sciencedirect.com/science/article/pii/S0016236116312248?via%3Dihub)</t>
  </si>
  <si>
    <t>94-232</t>
  </si>
  <si>
    <t>Keith et al. (2018) https://www.cell.com/joule/fulltext/S2542-4351(18)30225-3?_returnURL=https%3A%2F%2Flinkinghub.elsevier.com%2Fretrieve%2Fpii%2FS2542435118302253%3Fshowall%3Dtrue</t>
  </si>
  <si>
    <t>GWP, excludes material flows</t>
  </si>
  <si>
    <t>Partially Completed, CO2 missing</t>
  </si>
  <si>
    <t>2.5-3.2</t>
  </si>
  <si>
    <t>0.7-1.62</t>
  </si>
  <si>
    <t>Water</t>
  </si>
  <si>
    <t>100-730</t>
  </si>
  <si>
    <t xml:space="preserve">Sinha 2019 https://aiche.onlinelibrary.wiley.com/doi/10.1002/aic.16607
Climeworks, 2017 </t>
  </si>
  <si>
    <t>Well-to-Wake assessment</t>
  </si>
  <si>
    <t>1.72-2.55</t>
  </si>
  <si>
    <t>Comprehensive consideration of all plant components</t>
  </si>
  <si>
    <t>30-90</t>
  </si>
  <si>
    <t>https://www.gov.uk/government/publications/energy-security-bill-factsheets/energy-security-bill-factsheet-network-charging-compensation-scheme-for-energy-intensive-industries</t>
  </si>
  <si>
    <t>Alkaline</t>
  </si>
  <si>
    <t>444-663</t>
  </si>
  <si>
    <t>Holst, Marius, et al. "Cost forecast for low-temperature electrolysis-technology driven bottom-up prognosis for PEM and alkaline water electrolysis systems." Fraunhofer Institute for Solar Energy Systems ISE: Freiburg, Germany (2021).</t>
  </si>
  <si>
    <t>Lifetime not explicitly indicated</t>
  </si>
  <si>
    <t>https://doi.org/10.1016/j.adapen.2023.100156</t>
  </si>
  <si>
    <t>1100-1600</t>
  </si>
  <si>
    <t>220-400</t>
  </si>
  <si>
    <t>Electricity usage only</t>
  </si>
  <si>
    <t>Use existing model with new assumptions</t>
  </si>
  <si>
    <t>0.94-1.85</t>
  </si>
  <si>
    <t>Minimum RED II requirement (70% reduction)</t>
  </si>
  <si>
    <t>ENTSO-E Denmark (Wind, Rambøll, and M. T. Højgaard. "Kriegers Flak Offshore Wind Farm." Conceptual study of Jacket Foundation for Wind Turbines (2009))</t>
  </si>
  <si>
    <t>950-1500</t>
  </si>
  <si>
    <t>https://www.sciencedirect.com/science/article/pii/S0360319917339435#sec4</t>
  </si>
  <si>
    <t>RED II sustainability criteria</t>
  </si>
  <si>
    <t>3.9-4.2</t>
  </si>
  <si>
    <t>1.1-1.38</t>
  </si>
  <si>
    <t>21-39</t>
  </si>
  <si>
    <t>446-1000</t>
  </si>
  <si>
    <t>Well to Tank assessment</t>
  </si>
  <si>
    <t>Pending</t>
  </si>
  <si>
    <t>3-4.95</t>
  </si>
  <si>
    <t>758-920</t>
  </si>
  <si>
    <t>250-870</t>
  </si>
  <si>
    <t>GWP* includes non-CO2 effects</t>
  </si>
  <si>
    <t>Lower estimate of CO2 price is from learning rate of 12% for DAC</t>
  </si>
  <si>
    <t>Awaiting Author Response</t>
  </si>
  <si>
    <t>9.8-12.5</t>
  </si>
  <si>
    <t>250-1200</t>
  </si>
  <si>
    <t>Young et al. (https://chemrxiv.org/engage/chemrxiv/article-details/62c8275b252b2116a8df9365)</t>
  </si>
  <si>
    <t>CO2 cost from Young et. al. (Climeworks, Hinwil)
Annual Production from Sensitivity Analysis</t>
  </si>
  <si>
    <t>Bachorz et al.</t>
  </si>
  <si>
    <t>2.5-15</t>
  </si>
  <si>
    <t>Annual Production derived from FT unit capacity factor</t>
  </si>
  <si>
    <t>Marchese et.al</t>
  </si>
  <si>
    <t>41-210</t>
  </si>
  <si>
    <t>Several sources</t>
  </si>
  <si>
    <t>360-1050</t>
  </si>
  <si>
    <t>Assumed to be net zero using DAC</t>
  </si>
  <si>
    <t>https://doi.org/10.1016/j.ijhydene.2023.09.094</t>
  </si>
  <si>
    <t>34 - 105</t>
  </si>
  <si>
    <t>400-772</t>
  </si>
  <si>
    <t>Ground Up DAC modelling (~200)</t>
  </si>
  <si>
    <t>Well-toWake assessment</t>
  </si>
  <si>
    <t>Included in Meta-analysis?</t>
  </si>
  <si>
    <t>Included in code?</t>
  </si>
  <si>
    <t>Baseline Abatement Cost 2050 ($/ton CO2)</t>
  </si>
  <si>
    <t>CO2 Price Range 2050 ($/tCO2)</t>
  </si>
  <si>
    <t>Learning rate</t>
  </si>
  <si>
    <t>CO2 Price 2020</t>
  </si>
  <si>
    <t>Installed DAC capcaity 2020</t>
  </si>
  <si>
    <t>Installed DAC capcaity 2050</t>
  </si>
  <si>
    <t>b</t>
  </si>
  <si>
    <t>354-1100</t>
  </si>
  <si>
    <t>https://www.sciencedirect.com/science/article/pii/S136403212300494X#sec4</t>
  </si>
  <si>
    <t>30-48</t>
  </si>
  <si>
    <t>140-490</t>
  </si>
  <si>
    <t>Multiple sources</t>
  </si>
  <si>
    <t>483-575</t>
  </si>
  <si>
    <t>Not Applicable, Thermochemical splitting</t>
  </si>
  <si>
    <t>827-1120</t>
  </si>
  <si>
    <t>38-118</t>
  </si>
  <si>
    <t>200 (Ground Up modelling)</t>
  </si>
  <si>
    <t>832-987</t>
  </si>
  <si>
    <t>151 (Ground Up modelling)</t>
  </si>
  <si>
    <t>Residual Emissions (gCO2eq/L fuel)</t>
  </si>
  <si>
    <t>CO2 Effect</t>
  </si>
  <si>
    <t>WACC Effect</t>
  </si>
  <si>
    <t>Cause for CO2 Effect</t>
  </si>
  <si>
    <t>CO2 Consumption: 6kg/kg fuel. Initial assumption is very low (€100/t)</t>
  </si>
  <si>
    <t>CO2 Consumption: 3.1 kg/kg fuel. Initial assumption is low (€115/t)</t>
  </si>
  <si>
    <t>Initial assumption is very low (€70/t)</t>
  </si>
  <si>
    <t xml:space="preserve">CO2 Consumption: 2.5 kg/kg fuel is low and initial assumption is €730/t </t>
  </si>
  <si>
    <t>CO2 Consumption: 3kg/kg fuel. Initial assumption is very low (€70/t)</t>
  </si>
  <si>
    <t>CO2 Consumption: 3.7 kg/kg fuel. Initial assumption is low (€177/t)</t>
  </si>
  <si>
    <t>CO2 consumption: 3.32 kg/kg fuel.</t>
  </si>
  <si>
    <t>Lower CO2 consumption compared to other scenarios in the same study</t>
  </si>
  <si>
    <t>CO2 Consumption: 3.97 kg/kg fuel</t>
  </si>
  <si>
    <t>Initial assumption is €770/t</t>
  </si>
  <si>
    <t>CO2 Consumption: 3.6 kg/kg fuel. Overall production is high (1.7Mt/y)</t>
  </si>
  <si>
    <t>CO2 Consumption: 4 kg/kg fuel</t>
  </si>
  <si>
    <t xml:space="preserve">CO2 consmuption : 5.28kg/kg CO2 </t>
  </si>
  <si>
    <t xml:space="preserve">CO2 Consumption: 3.1 kg/kg fuel. Lowest of all scenarios in Marchese et. al. </t>
  </si>
  <si>
    <t>Study assumption (€1200/t) is very close to standard input supplied</t>
  </si>
  <si>
    <t>CO2 Consumption: 5.08 kg/kg fuel Initial assumption is €700/t.</t>
  </si>
  <si>
    <t>CO2 consumption : 5.62kg/kg fuel</t>
  </si>
  <si>
    <t>Study assumption (€1300/t) is very close to standard input supplied</t>
  </si>
  <si>
    <t>CO2 consumption: 7.7 kg/kg fuel</t>
  </si>
  <si>
    <t>CO2 Consumption: 3.1 kg/kg fuel. Very high production quantity (10Mt/year) means effect is larger</t>
  </si>
  <si>
    <t>Lower CO2 consumed than combusted, very low CO2 consumption</t>
  </si>
  <si>
    <t>Fossil Price Scenario</t>
  </si>
  <si>
    <t>Abatement Cost ($/tCO2)</t>
  </si>
  <si>
    <t>Cost Breakdowns</t>
  </si>
  <si>
    <t>Full Abatement</t>
  </si>
  <si>
    <t>Average Abatement Cost ($/tCO2)</t>
  </si>
  <si>
    <t>CDG-NCE Fossil</t>
  </si>
  <si>
    <t>CDG-NCE 2%</t>
  </si>
  <si>
    <t>CDG-NCE 10%</t>
  </si>
  <si>
    <t>CDG-NCE 35%</t>
  </si>
  <si>
    <t>CDG-NCE 70%</t>
  </si>
  <si>
    <t>CDG-JFK Fossil</t>
  </si>
  <si>
    <t>CDG-JFK 2%</t>
  </si>
  <si>
    <t>CDG-JFK 10%</t>
  </si>
  <si>
    <t>CDG-JFK 35%</t>
  </si>
  <si>
    <t>CDG-JFK 70%</t>
  </si>
  <si>
    <t>Revenue Yield</t>
  </si>
  <si>
    <t xml:space="preserve">Fuel </t>
  </si>
  <si>
    <t>Airport Fee - Aircraft</t>
  </si>
  <si>
    <t>Airport Fee Passengers</t>
  </si>
  <si>
    <t>Route Navigation Fee</t>
  </si>
  <si>
    <t>Terminal Navigation Fee</t>
  </si>
  <si>
    <t>TTAP Solidarity Rate</t>
  </si>
  <si>
    <t>TTAP Civil Aviation Rate</t>
  </si>
  <si>
    <t>TTAP Safety and Security Rate</t>
  </si>
  <si>
    <t xml:space="preserve">TNSA </t>
  </si>
  <si>
    <t>VAT</t>
  </si>
  <si>
    <t>Total</t>
  </si>
  <si>
    <t>Synfuel to Fossil Ratio</t>
  </si>
  <si>
    <t>Synfuel Cost</t>
  </si>
  <si>
    <t>Synfuel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</si>
</sst>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-* #,##0.00\ _€_-;\-* #,##0.00\ _€_-;_-* &quot;-&quot;??\ _€_-;_-@_-"/>
    <numFmt numFmtId="168" formatCode="0.0%"/>
    <numFmt numFmtId="169" formatCode="_-* #,##0.000_-;\-* #,##0.000_-;_-* &quot;-&quot;??_-;_-@_-"/>
    <numFmt numFmtId="170" formatCode="_(* #,##0.000_);_(* \(#,##0.000\);_(* &quot;-&quot;??_);_(@_)"/>
    <numFmt numFmtId="171" formatCode="_(* #,##0.0_);_(* \(#,##0.0\);_(* &quot;-&quot;??_);_(@_)"/>
  </numFmts>
  <fonts count="30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theme="1"/>
      <name val="Aptos Narrow"/>
      <family val="2"/>
    </font>
    <font>
      <b/>
      <sz val="15"/>
      <color rgb="FF44546A"/>
      <name val="Aptos Narrow"/>
      <family val="2"/>
    </font>
    <font>
      <i/>
      <sz val="12"/>
      <color rgb="FF808080"/>
      <name val="Aptos Narrow"/>
      <family val="2"/>
    </font>
    <font>
      <b/>
      <sz val="12"/>
      <color rgb="FF3F3F3F"/>
      <name val="Aptos Narrow"/>
      <family val="2"/>
    </font>
    <font>
      <b/>
      <i/>
      <sz val="12"/>
      <color rgb="FF808080"/>
      <name val="Aptos Narrow"/>
      <family val="2"/>
    </font>
    <font>
      <sz val="12"/>
      <color rgb="FF3F3F76"/>
      <name val="Aptos Narrow"/>
      <family val="2"/>
    </font>
    <font>
      <b/>
      <sz val="12"/>
      <color rgb="FF000000"/>
      <name val="Aptos Narrow"/>
      <family val="2"/>
    </font>
    <font>
      <sz val="12"/>
      <name val="Aptos Narrow"/>
      <family val="2"/>
    </font>
    <font>
      <u/>
      <sz val="12"/>
      <name val="Aptos Narrow"/>
      <family val="2"/>
    </font>
    <font>
      <b/>
      <sz val="11"/>
      <color rgb="FF44546A"/>
      <name val="Aptos Narrow"/>
      <family val="2"/>
    </font>
    <font>
      <u/>
      <sz val="12"/>
      <color theme="10"/>
      <name val="Aptos Narrow"/>
      <family val="2"/>
    </font>
    <font>
      <b/>
      <sz val="12"/>
      <color theme="1"/>
      <name val="Aptos Narrow"/>
      <family val="2"/>
    </font>
    <font>
      <sz val="12"/>
      <color rgb="FF000000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rgb="FF4472C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medium">
        <color rgb="FF8EA9DB"/>
      </bottom>
      <diagonal/>
    </border>
    <border>
      <left style="thin">
        <color rgb="FF3F3F3F"/>
      </left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0" borderId="0"/>
  </cellStyleXfs>
  <cellXfs count="137">
    <xf numFmtId="0" fontId="0" fillId="0" borderId="0" xfId="0"/>
    <xf numFmtId="0" fontId="1" fillId="0" borderId="0" xfId="1"/>
    <xf numFmtId="0" fontId="1" fillId="0" borderId="0" xfId="1" applyAlignment="1"/>
    <xf numFmtId="0" fontId="2" fillId="0" borderId="0" xfId="0" applyFont="1"/>
    <xf numFmtId="168" fontId="0" fillId="0" borderId="0" xfId="3" applyNumberFormat="1" applyFont="1"/>
    <xf numFmtId="0" fontId="3" fillId="0" borderId="0" xfId="0" applyFont="1"/>
    <xf numFmtId="164" fontId="0" fillId="0" borderId="0" xfId="2" applyFont="1"/>
    <xf numFmtId="3" fontId="0" fillId="0" borderId="0" xfId="0" applyNumberFormat="1"/>
    <xf numFmtId="0" fontId="4" fillId="0" borderId="0" xfId="0" applyFont="1"/>
    <xf numFmtId="165" fontId="0" fillId="0" borderId="0" xfId="2" applyNumberFormat="1" applyFont="1"/>
    <xf numFmtId="0" fontId="0" fillId="5" borderId="0" xfId="0" applyFill="1"/>
    <xf numFmtId="0" fontId="0" fillId="0" borderId="0" xfId="0" applyAlignment="1">
      <alignment wrapText="1"/>
    </xf>
    <xf numFmtId="9" fontId="0" fillId="0" borderId="0" xfId="3" applyFont="1"/>
    <xf numFmtId="0" fontId="0" fillId="0" borderId="0" xfId="3" applyNumberFormat="1" applyFont="1"/>
    <xf numFmtId="0" fontId="0" fillId="7" borderId="0" xfId="0" applyFill="1"/>
    <xf numFmtId="10" fontId="0" fillId="0" borderId="0" xfId="0" applyNumberFormat="1"/>
    <xf numFmtId="2" fontId="0" fillId="0" borderId="0" xfId="0" applyNumberFormat="1"/>
    <xf numFmtId="0" fontId="4" fillId="8" borderId="0" xfId="0" applyFont="1" applyFill="1"/>
    <xf numFmtId="0" fontId="0" fillId="8" borderId="0" xfId="0" applyFill="1"/>
    <xf numFmtId="0" fontId="4" fillId="7" borderId="0" xfId="0" applyFont="1" applyFill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3" xfId="0" applyFont="1" applyBorder="1"/>
    <xf numFmtId="0" fontId="9" fillId="0" borderId="0" xfId="0" applyFont="1"/>
    <xf numFmtId="0" fontId="10" fillId="0" borderId="2" xfId="0" applyFont="1" applyBorder="1"/>
    <xf numFmtId="0" fontId="10" fillId="0" borderId="4" xfId="0" applyFont="1" applyBorder="1"/>
    <xf numFmtId="0" fontId="10" fillId="0" borderId="0" xfId="0" applyFont="1"/>
    <xf numFmtId="165" fontId="6" fillId="0" borderId="0" xfId="0" applyNumberFormat="1" applyFont="1"/>
    <xf numFmtId="165" fontId="10" fillId="0" borderId="5" xfId="0" applyNumberFormat="1" applyFont="1" applyBorder="1"/>
    <xf numFmtId="165" fontId="10" fillId="0" borderId="6" xfId="0" applyNumberFormat="1" applyFont="1" applyBorder="1"/>
    <xf numFmtId="165" fontId="10" fillId="0" borderId="0" xfId="0" applyNumberFormat="1" applyFont="1"/>
    <xf numFmtId="165" fontId="9" fillId="0" borderId="0" xfId="0" applyNumberFormat="1" applyFont="1"/>
    <xf numFmtId="165" fontId="11" fillId="0" borderId="7" xfId="0" applyNumberFormat="1" applyFont="1" applyBorder="1"/>
    <xf numFmtId="165" fontId="11" fillId="0" borderId="8" xfId="0" applyNumberFormat="1" applyFont="1" applyBorder="1"/>
    <xf numFmtId="164" fontId="11" fillId="0" borderId="8" xfId="0" applyNumberFormat="1" applyFont="1" applyBorder="1"/>
    <xf numFmtId="165" fontId="11" fillId="0" borderId="0" xfId="0" applyNumberFormat="1" applyFont="1"/>
    <xf numFmtId="164" fontId="11" fillId="0" borderId="0" xfId="0" applyNumberFormat="1" applyFont="1"/>
    <xf numFmtId="166" fontId="11" fillId="0" borderId="0" xfId="0" applyNumberFormat="1" applyFont="1"/>
    <xf numFmtId="0" fontId="6" fillId="4" borderId="0" xfId="0" applyFont="1" applyFill="1"/>
    <xf numFmtId="0" fontId="12" fillId="2" borderId="1" xfId="0" applyFont="1" applyFill="1" applyBorder="1"/>
    <xf numFmtId="0" fontId="12" fillId="2" borderId="10" xfId="0" applyFont="1" applyFill="1" applyBorder="1"/>
    <xf numFmtId="0" fontId="12" fillId="2" borderId="11" xfId="0" applyFont="1" applyFill="1" applyBorder="1"/>
    <xf numFmtId="0" fontId="12" fillId="2" borderId="12" xfId="0" applyFont="1" applyFill="1" applyBorder="1"/>
    <xf numFmtId="1" fontId="10" fillId="0" borderId="0" xfId="0" applyNumberFormat="1" applyFont="1"/>
    <xf numFmtId="1" fontId="6" fillId="0" borderId="0" xfId="0" applyNumberFormat="1" applyFont="1"/>
    <xf numFmtId="0" fontId="13" fillId="0" borderId="0" xfId="0" applyFont="1"/>
    <xf numFmtId="166" fontId="10" fillId="0" borderId="0" xfId="0" applyNumberFormat="1" applyFont="1"/>
    <xf numFmtId="164" fontId="10" fillId="0" borderId="0" xfId="0" applyNumberFormat="1" applyFont="1"/>
    <xf numFmtId="164" fontId="10" fillId="3" borderId="9" xfId="0" applyNumberFormat="1" applyFont="1" applyFill="1" applyBorder="1"/>
    <xf numFmtId="164" fontId="10" fillId="3" borderId="14" xfId="0" applyNumberFormat="1" applyFont="1" applyFill="1" applyBorder="1"/>
    <xf numFmtId="164" fontId="10" fillId="3" borderId="16" xfId="0" applyNumberFormat="1" applyFont="1" applyFill="1" applyBorder="1"/>
    <xf numFmtId="164" fontId="10" fillId="3" borderId="17" xfId="0" applyNumberFormat="1" applyFont="1" applyFill="1" applyBorder="1"/>
    <xf numFmtId="0" fontId="13" fillId="0" borderId="0" xfId="0" applyFont="1" applyAlignment="1">
      <alignment horizontal="right"/>
    </xf>
    <xf numFmtId="164" fontId="13" fillId="0" borderId="0" xfId="0" applyNumberFormat="1" applyFont="1"/>
    <xf numFmtId="10" fontId="12" fillId="2" borderId="1" xfId="0" applyNumberFormat="1" applyFont="1" applyFill="1" applyBorder="1"/>
    <xf numFmtId="0" fontId="14" fillId="0" borderId="0" xfId="0" applyFont="1"/>
    <xf numFmtId="0" fontId="12" fillId="6" borderId="0" xfId="0" applyFont="1" applyFill="1"/>
    <xf numFmtId="0" fontId="7" fillId="7" borderId="0" xfId="0" applyFont="1" applyFill="1"/>
    <xf numFmtId="0" fontId="15" fillId="0" borderId="0" xfId="1" applyFont="1"/>
    <xf numFmtId="0" fontId="6" fillId="0" borderId="0" xfId="0" applyFont="1" applyAlignment="1">
      <alignment vertical="center" textRotation="90" wrapText="1"/>
    </xf>
    <xf numFmtId="0" fontId="16" fillId="0" borderId="13" xfId="0" applyFont="1" applyBorder="1"/>
    <xf numFmtId="2" fontId="12" fillId="2" borderId="11" xfId="0" applyNumberFormat="1" applyFont="1" applyFill="1" applyBorder="1"/>
    <xf numFmtId="0" fontId="17" fillId="0" borderId="0" xfId="1" applyFont="1"/>
    <xf numFmtId="14" fontId="7" fillId="0" borderId="0" xfId="0" applyNumberFormat="1" applyFont="1"/>
    <xf numFmtId="2" fontId="6" fillId="0" borderId="0" xfId="0" applyNumberFormat="1" applyFont="1"/>
    <xf numFmtId="164" fontId="6" fillId="0" borderId="0" xfId="0" applyNumberFormat="1" applyFont="1"/>
    <xf numFmtId="167" fontId="6" fillId="0" borderId="0" xfId="0" applyNumberFormat="1" applyFont="1"/>
    <xf numFmtId="0" fontId="18" fillId="0" borderId="0" xfId="0" applyFont="1"/>
    <xf numFmtId="0" fontId="6" fillId="7" borderId="0" xfId="0" applyFont="1" applyFill="1"/>
    <xf numFmtId="169" fontId="10" fillId="3" borderId="16" xfId="0" applyNumberFormat="1" applyFont="1" applyFill="1" applyBorder="1"/>
    <xf numFmtId="166" fontId="10" fillId="3" borderId="15" xfId="0" applyNumberFormat="1" applyFont="1" applyFill="1" applyBorder="1"/>
    <xf numFmtId="170" fontId="10" fillId="3" borderId="16" xfId="0" applyNumberFormat="1" applyFont="1" applyFill="1" applyBorder="1"/>
    <xf numFmtId="1" fontId="10" fillId="3" borderId="0" xfId="0" applyNumberFormat="1" applyFont="1" applyFill="1"/>
    <xf numFmtId="1" fontId="0" fillId="0" borderId="0" xfId="0" applyNumberFormat="1"/>
    <xf numFmtId="0" fontId="19" fillId="0" borderId="0" xfId="0" applyFont="1"/>
    <xf numFmtId="168" fontId="0" fillId="0" borderId="0" xfId="3" applyNumberFormat="1" applyFont="1" applyFill="1"/>
    <xf numFmtId="0" fontId="0" fillId="0" borderId="0" xfId="3" applyNumberFormat="1" applyFont="1" applyFill="1"/>
    <xf numFmtId="165" fontId="0" fillId="0" borderId="0" xfId="2" applyNumberFormat="1" applyFont="1" applyFill="1"/>
    <xf numFmtId="9" fontId="0" fillId="0" borderId="0" xfId="0" applyNumberFormat="1"/>
    <xf numFmtId="9" fontId="19" fillId="0" borderId="0" xfId="0" applyNumberFormat="1" applyFont="1"/>
    <xf numFmtId="0" fontId="20" fillId="0" borderId="0" xfId="0" applyFont="1"/>
    <xf numFmtId="1" fontId="19" fillId="0" borderId="0" xfId="0" applyNumberFormat="1" applyFont="1"/>
    <xf numFmtId="3" fontId="0" fillId="0" borderId="0" xfId="3" applyNumberFormat="1" applyFont="1"/>
    <xf numFmtId="3" fontId="19" fillId="0" borderId="0" xfId="0" applyNumberFormat="1" applyFont="1"/>
    <xf numFmtId="165" fontId="0" fillId="0" borderId="0" xfId="2" applyNumberFormat="1" applyFont="1" applyBorder="1"/>
    <xf numFmtId="0" fontId="3" fillId="0" borderId="0" xfId="1" applyFont="1"/>
    <xf numFmtId="0" fontId="3" fillId="0" borderId="0" xfId="1" applyFont="1" applyFill="1"/>
    <xf numFmtId="0" fontId="23" fillId="0" borderId="0" xfId="4" applyFont="1"/>
    <xf numFmtId="0" fontId="24" fillId="0" borderId="0" xfId="0" applyFont="1"/>
    <xf numFmtId="0" fontId="24" fillId="9" borderId="0" xfId="0" applyFont="1" applyFill="1"/>
    <xf numFmtId="0" fontId="25" fillId="5" borderId="0" xfId="4" applyFont="1" applyFill="1"/>
    <xf numFmtId="0" fontId="0" fillId="0" borderId="0" xfId="0" quotePrefix="1"/>
    <xf numFmtId="0" fontId="26" fillId="10" borderId="0" xfId="0" applyFont="1" applyFill="1"/>
    <xf numFmtId="0" fontId="1" fillId="0" borderId="0" xfId="1" applyAlignment="1">
      <alignment horizontal="fill"/>
    </xf>
    <xf numFmtId="0" fontId="25" fillId="9" borderId="0" xfId="0" applyFont="1" applyFill="1"/>
    <xf numFmtId="0" fontId="25" fillId="0" borderId="0" xfId="0" applyFont="1"/>
    <xf numFmtId="0" fontId="25" fillId="0" borderId="0" xfId="4" applyFont="1"/>
    <xf numFmtId="0" fontId="0" fillId="9" borderId="0" xfId="0" applyFill="1"/>
    <xf numFmtId="0" fontId="25" fillId="11" borderId="0" xfId="4" applyFont="1" applyFill="1"/>
    <xf numFmtId="0" fontId="0" fillId="5" borderId="0" xfId="0" quotePrefix="1" applyFill="1"/>
    <xf numFmtId="0" fontId="26" fillId="5" borderId="0" xfId="0" applyFont="1" applyFill="1"/>
    <xf numFmtId="0" fontId="1" fillId="5" borderId="0" xfId="1" applyFill="1" applyAlignment="1">
      <alignment horizontal="fill"/>
    </xf>
    <xf numFmtId="0" fontId="25" fillId="5" borderId="0" xfId="0" applyFont="1" applyFill="1"/>
    <xf numFmtId="0" fontId="25" fillId="9" borderId="0" xfId="4" applyFont="1" applyFill="1"/>
    <xf numFmtId="1" fontId="24" fillId="0" borderId="0" xfId="0" applyNumberFormat="1" applyFont="1"/>
    <xf numFmtId="0" fontId="1" fillId="9" borderId="0" xfId="1" applyFill="1"/>
    <xf numFmtId="1" fontId="0" fillId="9" borderId="0" xfId="0" applyNumberFormat="1" applyFill="1"/>
    <xf numFmtId="0" fontId="0" fillId="0" borderId="0" xfId="0" applyAlignment="1">
      <alignment horizontal="fill"/>
    </xf>
    <xf numFmtId="165" fontId="19" fillId="0" borderId="0" xfId="0" applyNumberFormat="1" applyFont="1"/>
    <xf numFmtId="164" fontId="19" fillId="0" borderId="0" xfId="0" applyNumberFormat="1" applyFont="1"/>
    <xf numFmtId="165" fontId="0" fillId="0" borderId="0" xfId="0" applyNumberFormat="1"/>
    <xf numFmtId="171" fontId="0" fillId="0" borderId="0" xfId="2" applyNumberFormat="1" applyFont="1"/>
    <xf numFmtId="0" fontId="27" fillId="0" borderId="0" xfId="0" applyFont="1" applyAlignment="1">
      <alignment vertical="center" wrapText="1"/>
    </xf>
    <xf numFmtId="9" fontId="6" fillId="0" borderId="0" xfId="0" applyNumberFormat="1" applyFont="1"/>
    <xf numFmtId="9" fontId="7" fillId="0" borderId="0" xfId="0" applyNumberFormat="1" applyFont="1" applyAlignment="1">
      <alignment horizontal="left"/>
    </xf>
    <xf numFmtId="9" fontId="6" fillId="0" borderId="0" xfId="0" applyNumberFormat="1" applyFont="1" applyAlignment="1">
      <alignment horizontal="left"/>
    </xf>
    <xf numFmtId="9" fontId="3" fillId="0" borderId="0" xfId="3" applyFont="1"/>
    <xf numFmtId="2" fontId="3" fillId="0" borderId="0" xfId="3" applyNumberFormat="1" applyFont="1"/>
    <xf numFmtId="1" fontId="3" fillId="0" borderId="0" xfId="0" applyNumberFormat="1" applyFont="1"/>
    <xf numFmtId="0" fontId="3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8" fillId="0" borderId="0" xfId="0" applyFont="1"/>
    <xf numFmtId="0" fontId="29" fillId="0" borderId="0" xfId="1" applyFont="1"/>
    <xf numFmtId="168" fontId="28" fillId="0" borderId="0" xfId="3" applyNumberFormat="1" applyFont="1"/>
    <xf numFmtId="0" fontId="28" fillId="0" borderId="0" xfId="3" applyNumberFormat="1" applyFont="1"/>
    <xf numFmtId="0" fontId="28" fillId="0" borderId="0" xfId="1" applyFont="1"/>
    <xf numFmtId="164" fontId="28" fillId="0" borderId="0" xfId="2" applyFont="1"/>
    <xf numFmtId="0" fontId="29" fillId="0" borderId="0" xfId="1" applyFont="1" applyFill="1" applyAlignment="1"/>
    <xf numFmtId="168" fontId="28" fillId="0" borderId="0" xfId="3" applyNumberFormat="1" applyFont="1" applyFill="1"/>
    <xf numFmtId="0" fontId="28" fillId="0" borderId="0" xfId="3" applyNumberFormat="1" applyFont="1" applyFill="1"/>
    <xf numFmtId="0" fontId="29" fillId="0" borderId="0" xfId="1" applyFont="1" applyFill="1"/>
    <xf numFmtId="0" fontId="28" fillId="0" borderId="0" xfId="1" applyFont="1" applyFill="1"/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8" borderId="0" xfId="0" applyFont="1" applyFill="1" applyAlignment="1">
      <alignment horizontal="center"/>
    </xf>
  </cellXfs>
  <cellStyles count="5">
    <cellStyle name="Comma" xfId="2" builtinId="3"/>
    <cellStyle name="Hyperlink" xfId="1" builtinId="8"/>
    <cellStyle name="Normal" xfId="0" builtinId="0"/>
    <cellStyle name="Normal 2" xfId="4" xr:uid="{93C04280-CBA5-B944-83DB-A7AAB169697E}"/>
    <cellStyle name="Per cent" xfId="3" builtinId="5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sheetMetadata" Target="metadata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>
  <Task id="{E39AB922-27FE-439D-96B3-B8B702924038}">
    <Anchor>
      <Comment id="{E98B236C-C8D9-4C6D-B7CC-B4516114E365}"/>
    </Anchor>
    <History>
      <Event time="2025-03-07T13:25:23.66" id="{771473FF-162A-47E2-9C53-161A83F39F34}">
        <Attribution userId="S::ksievert@ethz.ch::bbdc6555-5085-43f3-a455-5b29f50857e1" userName="Sievert  Katrin" userProvider="AD"/>
        <Anchor>
          <Comment id="{E98B236C-C8D9-4C6D-B7CC-B4516114E365}"/>
        </Anchor>
        <Create/>
      </Event>
      <Event time="2025-03-07T13:25:23.66" id="{CCA8F375-DBD9-4247-84A2-83595FDF0FEE}">
        <Attribution userId="S::ksievert@ethz.ch::bbdc6555-5085-43f3-a455-5b29f50857e1" userName="Sievert  Katrin" userProvider="AD"/>
        <Anchor>
          <Comment id="{E98B236C-C8D9-4C6D-B7CC-B4516114E365}"/>
        </Anchor>
        <Assign userId="S::ydubey@ethz.ch::8ec4c660-c9fe-4bb6-9560-48a212ff7621" userName="Dubey  Yash" userProvider="AD"/>
      </Event>
      <Event time="2025-03-07T13:25:23.66" id="{0C7B2BF7-E0E5-4424-9389-E7F92CAF246A}">
        <Attribution userId="S::ksievert@ethz.ch::bbdc6555-5085-43f3-a455-5b29f50857e1" userName="Sievert  Katrin" userProvider="AD"/>
        <Anchor>
          <Comment id="{E98B236C-C8D9-4C6D-B7CC-B4516114E365}"/>
        </Anchor>
        <SetTitle title="@Dubey Yash , how come Martin et al. Once has a CO2 price range of 90-600 and once of 54-268?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Albrecht_2020_Harmonization.xlsx" TargetMode="External"/><Relationship Id="rId1" Type="http://schemas.openxmlformats.org/officeDocument/2006/relationships/externalLinkPath" Target="Albrecht_2020_Harmoniz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Bachorz_2024_Harmonization.xlsx" TargetMode="External"/><Relationship Id="rId1" Type="http://schemas.openxmlformats.org/officeDocument/2006/relationships/externalLinkPath" Target="Bachorz_2024_Harmoniz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Dietrich_2018_Harmonization.xlsx" TargetMode="External"/><Relationship Id="rId1" Type="http://schemas.openxmlformats.org/officeDocument/2006/relationships/externalLinkPath" Target="Dietrich_2018_Harmoniz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Falter_2020_Harmonization.xlsx" TargetMode="External"/><Relationship Id="rId1" Type="http://schemas.openxmlformats.org/officeDocument/2006/relationships/externalLinkPath" Target="Falter_2020_Harmoniz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Falter_2015_Harmonization.xlsx" TargetMode="External"/><Relationship Id="rId1" Type="http://schemas.openxmlformats.org/officeDocument/2006/relationships/externalLinkPath" Target="Falter_2015_Harmoniz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Gray_2024_Harmonization.xlsx" TargetMode="External"/><Relationship Id="rId1" Type="http://schemas.openxmlformats.org/officeDocument/2006/relationships/externalLinkPath" Target="Gray_2024_Harmonizat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rchese_2021_Harmonization.xlsx" TargetMode="External"/><Relationship Id="rId1" Type="http://schemas.openxmlformats.org/officeDocument/2006/relationships/externalLinkPath" Target="Marchese_2021_Harmonizatio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rtin_2023_Harmonization.xlsx" TargetMode="External"/><Relationship Id="rId1" Type="http://schemas.openxmlformats.org/officeDocument/2006/relationships/externalLinkPath" Target="Martin_2023_Harmoniz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eurer_2024_Harmonization.xlsx" TargetMode="External"/><Relationship Id="rId1" Type="http://schemas.openxmlformats.org/officeDocument/2006/relationships/externalLinkPath" Target="Meurer_2024_Harmoniz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oretti_2023_Harmonization.xlsx" TargetMode="External"/><Relationship Id="rId1" Type="http://schemas.openxmlformats.org/officeDocument/2006/relationships/externalLinkPath" Target="Moretti_2023_Harmoniz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Peacock_2024_Harmonization.xlsx" TargetMode="External"/><Relationship Id="rId1" Type="http://schemas.openxmlformats.org/officeDocument/2006/relationships/externalLinkPath" Target="Peacock_2024_Harmoniz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Peters_2022_Harmonization.xlsx" TargetMode="External"/><Relationship Id="rId1" Type="http://schemas.openxmlformats.org/officeDocument/2006/relationships/externalLinkPath" Target="Peters_2022_Harmoniz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Rojas_Michaga_2023_Harmonization.xlsx" TargetMode="External"/><Relationship Id="rId1" Type="http://schemas.openxmlformats.org/officeDocument/2006/relationships/externalLinkPath" Target="Rojas_Michaga_2023_Harmoniz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Saad_2024_Harmonization.xlsx" TargetMode="External"/><Relationship Id="rId1" Type="http://schemas.openxmlformats.org/officeDocument/2006/relationships/externalLinkPath" Target="Saad_2024_Harmoniz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Schmidt_Concawe_2024_Harmonization.xlsx" TargetMode="External"/><Relationship Id="rId1" Type="http://schemas.openxmlformats.org/officeDocument/2006/relationships/externalLinkPath" Target="Schmidt_Concawe_2024_Harmoniz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Seymour_2024_Harmonization.xlsx" TargetMode="External"/><Relationship Id="rId1" Type="http://schemas.openxmlformats.org/officeDocument/2006/relationships/externalLinkPath" Target="Seymour_2024_Harmoniz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Sherwin_2022_Harmonization.xlsx" TargetMode="External"/><Relationship Id="rId1" Type="http://schemas.openxmlformats.org/officeDocument/2006/relationships/externalLinkPath" Target="Sherwin_2022_Harmoniz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Staples_2022_Harmonization.xlsx" TargetMode="External"/><Relationship Id="rId1" Type="http://schemas.openxmlformats.org/officeDocument/2006/relationships/externalLinkPath" Target="Staples_2022_Harmoniz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Brazzola_2024_Harmonization.xlsx" TargetMode="External"/><Relationship Id="rId1" Type="http://schemas.openxmlformats.org/officeDocument/2006/relationships/externalLinkPath" Target="Brazzola_2024_Harmon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L3F6FXZ2RI45BI2LMZZXKLJJHX">
      <xxl21:absoluteUrl r:id="rId2"/>
    </xxl21:alternateUrls>
    <sheetNames>
      <sheetName val="Inputs"/>
      <sheetName val="1_Results"/>
      <sheetName val="2_Results w LCOE"/>
      <sheetName val="3_Results w DAC"/>
      <sheetName val="4_Results w WACC"/>
      <sheetName val="Outputs"/>
    </sheetNames>
    <sheetDataSet>
      <sheetData sheetId="0"/>
      <sheetData sheetId="1"/>
      <sheetData sheetId="2"/>
      <sheetData sheetId="3"/>
      <sheetData sheetId="4"/>
      <sheetData sheetId="5">
        <row r="10">
          <cell r="C10">
            <v>548.19405294181831</v>
          </cell>
          <cell r="D10">
            <v>656.19122737021235</v>
          </cell>
          <cell r="E10">
            <v>2036.9046794313549</v>
          </cell>
          <cell r="F10">
            <v>2105.2089679309715</v>
          </cell>
        </row>
        <row r="17">
          <cell r="C17">
            <v>2368.1669139247742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LOTKXIBFC2HBAZU35WH726CQMV">
      <xxl21:absoluteUrl r:id="rId2"/>
    </xxl21:alternateUrls>
    <sheetNames>
      <sheetName val="Inputs"/>
      <sheetName val="Study Parameters"/>
      <sheetName val="Cost Components"/>
      <sheetName val="LCOF Baseline"/>
      <sheetName val="LCOF LCOE Corrected"/>
      <sheetName val="LCOF CO2 Cost Corrected"/>
      <sheetName val="LCOF WACC Corrected"/>
      <sheetName val="Cost Breakdown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0.37268474532754681</v>
          </cell>
        </row>
        <row r="9">
          <cell r="B9">
            <v>9.1683396556322488E-2</v>
          </cell>
        </row>
        <row r="10">
          <cell r="B10">
            <v>0.51503063280397188</v>
          </cell>
        </row>
        <row r="11">
          <cell r="B11">
            <v>2.0601225312158876E-2</v>
          </cell>
        </row>
      </sheetData>
      <sheetData sheetId="8">
        <row r="10">
          <cell r="C10">
            <v>2404.7474592934755</v>
          </cell>
          <cell r="D10">
            <v>2435.2345642939222</v>
          </cell>
          <cell r="E10">
            <v>1644.4987837272511</v>
          </cell>
          <cell r="F10">
            <v>1623.8464295923113</v>
          </cell>
        </row>
        <row r="17">
          <cell r="C17">
            <v>1675.403572449454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PHKDHZN2IWTZDYWHIUNWS3JDOZ">
      <xxl21:absoluteUrl r:id="rId2"/>
    </xxl21:alternateUrls>
    <sheetNames>
      <sheetName val="Inputs"/>
      <sheetName val="Study Parameters"/>
      <sheetName val="Received Data"/>
      <sheetName val="Outputs"/>
    </sheetNames>
    <sheetDataSet>
      <sheetData sheetId="0"/>
      <sheetData sheetId="1"/>
      <sheetData sheetId="2">
        <row r="8">
          <cell r="N8">
            <v>0.32309926188801724</v>
          </cell>
        </row>
        <row r="9">
          <cell r="N9">
            <v>0.11002478551214247</v>
          </cell>
        </row>
        <row r="10">
          <cell r="N10">
            <v>0.51966602210730239</v>
          </cell>
        </row>
        <row r="11">
          <cell r="N11">
            <v>4.7209930492537917E-2</v>
          </cell>
        </row>
      </sheetData>
      <sheetData sheetId="3">
        <row r="10">
          <cell r="C10">
            <v>1144.7870679308462</v>
          </cell>
          <cell r="D10">
            <v>706.66810530147404</v>
          </cell>
          <cell r="E10">
            <v>2210.7958135961926</v>
          </cell>
          <cell r="F10">
            <v>2210.7958135961926</v>
          </cell>
        </row>
        <row r="17">
          <cell r="C17">
            <v>2681.5316046868224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L46K6HT2WH2BE23ABEJTP6OE7P">
      <xxl21:absoluteUrl r:id="rId2"/>
    </xxl21:alternateUrls>
    <sheetNames>
      <sheetName val="Inputs"/>
      <sheetName val="Study Parameters"/>
      <sheetName val="Cost Components"/>
      <sheetName val="Production Cost Baseline"/>
      <sheetName val="Production Cost LCOE Corrected"/>
      <sheetName val="Production Cost CO2 Corrected"/>
      <sheetName val="Production Cost WACC Corrected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C10">
            <v>1213.0076411973309</v>
          </cell>
          <cell r="D10">
            <v>1247.1353769607138</v>
          </cell>
          <cell r="E10">
            <v>4793.7597130445347</v>
          </cell>
          <cell r="F10">
            <v>4778.1295022809181</v>
          </cell>
        </row>
        <row r="17">
          <cell r="C17">
            <v>5143.507910938145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OJP3VNOM627ZFYTUYU6QJBBXHQ">
      <xxl21:absoluteUrl r:id="rId2"/>
    </xxl21:alternateUrls>
    <sheetNames>
      <sheetName val="Inputs"/>
      <sheetName val="Cost Componenets"/>
      <sheetName val="Production Cost Baseline"/>
      <sheetName val="Production Cost LCOE"/>
      <sheetName val="Production Cost CO2"/>
      <sheetName val="Production Cost WACC"/>
      <sheetName val="Cost Breakdowns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B9">
            <v>0.66723592814540433</v>
          </cell>
        </row>
        <row r="10">
          <cell r="B10">
            <v>5.8359446730100857E-2</v>
          </cell>
        </row>
        <row r="11">
          <cell r="B11">
            <v>0.10459442543324093</v>
          </cell>
        </row>
        <row r="12">
          <cell r="B12">
            <v>0.16981019969125349</v>
          </cell>
        </row>
      </sheetData>
      <sheetData sheetId="7">
        <row r="10">
          <cell r="C10">
            <v>667.86758145112526</v>
          </cell>
          <cell r="D10">
            <v>692.34434138619031</v>
          </cell>
          <cell r="E10">
            <v>4866.8960265240476</v>
          </cell>
          <cell r="F10">
            <v>5216.4444755151117</v>
          </cell>
          <cell r="J10">
            <v>471.65911823016069</v>
          </cell>
          <cell r="K10">
            <v>496.13587816522551</v>
          </cell>
          <cell r="L10">
            <v>4670.6875633030841</v>
          </cell>
          <cell r="M10">
            <v>5006.911801921543</v>
          </cell>
        </row>
        <row r="17">
          <cell r="C17">
            <v>5332.7098693292101</v>
          </cell>
          <cell r="J17">
            <v>5123.1771957356414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NXO2NMVQWMLBFYV46TB5TKUBEH">
      <xxl21:absoluteUrl r:id="rId2"/>
    </xxl21:alternateUrls>
    <sheetNames>
      <sheetName val="Inputs"/>
      <sheetName val="Study Parameters"/>
      <sheetName val="Cost Components"/>
      <sheetName val="Levelised Cost H2"/>
      <sheetName val="LCOF Baseline"/>
      <sheetName val="LCOF LCOE Corrected"/>
      <sheetName val="LCOF DAC Corrected"/>
      <sheetName val="LCOF WACC Corrected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J8">
            <v>0.35987238425128565</v>
          </cell>
          <cell r="M8">
            <v>0.23092290844369628</v>
          </cell>
        </row>
        <row r="9">
          <cell r="J9">
            <v>0.36289802024133966</v>
          </cell>
          <cell r="M9">
            <v>0.43600142701593897</v>
          </cell>
        </row>
        <row r="10">
          <cell r="J10">
            <v>0.18908764946605058</v>
          </cell>
          <cell r="M10">
            <v>0.2271781062444502</v>
          </cell>
        </row>
        <row r="11">
          <cell r="J11">
            <v>8.8141946041324123E-2</v>
          </cell>
          <cell r="M11">
            <v>0.10589755829591445</v>
          </cell>
        </row>
      </sheetData>
      <sheetData sheetId="8">
        <row r="10">
          <cell r="C10">
            <v>1053.0156898248665</v>
          </cell>
          <cell r="D10">
            <v>1131.3935221529064</v>
          </cell>
          <cell r="E10">
            <v>1207.0425785317802</v>
          </cell>
          <cell r="F10">
            <v>1284.9448679060238</v>
          </cell>
          <cell r="J10">
            <v>2727.5773261727436</v>
          </cell>
          <cell r="K10">
            <v>2805.9551585007839</v>
          </cell>
          <cell r="L10">
            <v>1478.0571591512389</v>
          </cell>
          <cell r="M10">
            <v>1555.9594485254829</v>
          </cell>
        </row>
        <row r="14">
          <cell r="C14">
            <v>276.92707680000001</v>
          </cell>
        </row>
        <row r="17">
          <cell r="C17">
            <v>1308.1866261477821</v>
          </cell>
          <cell r="J17">
            <v>1599.4759320419664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PVCPPXCBNF2VEIRNOINQMV7IUT">
      <xxl21:absoluteUrl r:id="rId2"/>
    </xxl21:alternateUrls>
    <sheetNames>
      <sheetName val="Inputs"/>
      <sheetName val="Study Parameters"/>
      <sheetName val="Cost Components"/>
      <sheetName val="Production Cost Baseline"/>
      <sheetName val="LCOE Corrected Production Cost "/>
      <sheetName val="CO2 Corrected Production Cost"/>
      <sheetName val="WACC Corrected Production Cost"/>
      <sheetName val="Cost Breakdown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B9">
            <v>0.17996259668231962</v>
          </cell>
        </row>
        <row r="10">
          <cell r="B10">
            <v>0.27085063082219929</v>
          </cell>
        </row>
        <row r="11">
          <cell r="B11">
            <v>0.30397258614909672</v>
          </cell>
        </row>
        <row r="12">
          <cell r="B12">
            <v>0.24521418634638459</v>
          </cell>
        </row>
        <row r="21">
          <cell r="B21">
            <v>0.15734089850394842</v>
          </cell>
        </row>
        <row r="22">
          <cell r="B22">
            <v>0.28830506115721238</v>
          </cell>
        </row>
        <row r="23">
          <cell r="B23">
            <v>0.15294256759925415</v>
          </cell>
        </row>
        <row r="24">
          <cell r="B24">
            <v>0.40141147273958483</v>
          </cell>
        </row>
      </sheetData>
      <sheetData sheetId="8">
        <row r="10">
          <cell r="C10">
            <v>1783.162601874855</v>
          </cell>
          <cell r="D10">
            <v>1034.3962848945193</v>
          </cell>
          <cell r="E10">
            <v>1090.3893508753401</v>
          </cell>
          <cell r="F10">
            <v>1075.4278042601936</v>
          </cell>
          <cell r="J10">
            <v>2602.4118815844254</v>
          </cell>
          <cell r="K10">
            <v>1289.7645744106555</v>
          </cell>
          <cell r="L10">
            <v>1471.9761422010943</v>
          </cell>
          <cell r="M10">
            <v>1444.9102754575213</v>
          </cell>
          <cell r="Q10">
            <v>2552.3857184816711</v>
          </cell>
          <cell r="R10">
            <v>1700.6250350524163</v>
          </cell>
          <cell r="S10">
            <v>1829.7724906308908</v>
          </cell>
          <cell r="T10">
            <v>1808.6120829740978</v>
          </cell>
          <cell r="X10">
            <v>1374.2347772237194</v>
          </cell>
          <cell r="Y10">
            <v>708.08662184628474</v>
          </cell>
          <cell r="Z10">
            <v>846.21195870588178</v>
          </cell>
          <cell r="AA10">
            <v>832.19049155301093</v>
          </cell>
          <cell r="AE10">
            <v>1630.6989776827202</v>
          </cell>
          <cell r="AF10">
            <v>776.44001919236723</v>
          </cell>
          <cell r="AG10">
            <v>939.83636902227136</v>
          </cell>
          <cell r="AH10">
            <v>923.87865799317103</v>
          </cell>
        </row>
        <row r="21">
          <cell r="C21">
            <v>336.62719611942896</v>
          </cell>
          <cell r="D21">
            <v>167.61702368461189</v>
          </cell>
          <cell r="E21">
            <v>285.96682453384909</v>
          </cell>
          <cell r="F21">
            <v>280.33104014611024</v>
          </cell>
          <cell r="J21">
            <v>1100.8391122119124</v>
          </cell>
          <cell r="K21">
            <v>810.15626960209477</v>
          </cell>
          <cell r="L21">
            <v>1112.9458210406797</v>
          </cell>
          <cell r="M21">
            <v>1102.823520580796</v>
          </cell>
          <cell r="Q21">
            <v>953.2316124214982</v>
          </cell>
          <cell r="R21">
            <v>625.01410138658491</v>
          </cell>
          <cell r="S21">
            <v>845.0551201234756</v>
          </cell>
          <cell r="T21">
            <v>837.38324081564485</v>
          </cell>
          <cell r="X21">
            <v>175.01350105543972</v>
          </cell>
          <cell r="Y21">
            <v>17.886540271467791</v>
          </cell>
          <cell r="Z21">
            <v>180.61527903204461</v>
          </cell>
          <cell r="AA21">
            <v>174.9895661067697</v>
          </cell>
          <cell r="AE21">
            <v>354.04694261941893</v>
          </cell>
          <cell r="AF21">
            <v>152.53357840697652</v>
          </cell>
          <cell r="AG21">
            <v>322.30333845850646</v>
          </cell>
          <cell r="AH21">
            <v>316.46018191808298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OP43KWA5QELBGLM3O56HHZDC4J">
      <xxl21:absoluteUrl r:id="rId2"/>
    </xxl21:alternateUrls>
    <sheetNames>
      <sheetName val="Inputs"/>
      <sheetName val="Base LCOF"/>
      <sheetName val="LCOE Corrected LCOF"/>
      <sheetName val="CO2 Price Corrected LCOF"/>
      <sheetName val="WACC Corrected LCOF"/>
      <sheetName val="Outputs"/>
    </sheetNames>
    <sheetDataSet>
      <sheetData sheetId="0"/>
      <sheetData sheetId="1"/>
      <sheetData sheetId="2"/>
      <sheetData sheetId="3"/>
      <sheetData sheetId="4"/>
      <sheetData sheetId="5">
        <row r="10">
          <cell r="C10">
            <v>1125.8693561226389</v>
          </cell>
          <cell r="D10">
            <v>1115.174737281659</v>
          </cell>
          <cell r="E10">
            <v>1029.032321200563</v>
          </cell>
          <cell r="F10">
            <v>1032.1407922580581</v>
          </cell>
          <cell r="J10">
            <v>205.40678396356506</v>
          </cell>
          <cell r="K10">
            <v>192.86844070462024</v>
          </cell>
          <cell r="L10">
            <v>376.66617159177105</v>
          </cell>
          <cell r="M10">
            <v>378.2204071205187</v>
          </cell>
        </row>
        <row r="14">
          <cell r="C14">
            <v>464.84064000000006</v>
          </cell>
        </row>
        <row r="17">
          <cell r="C17">
            <v>1110.440925060183</v>
          </cell>
          <cell r="J17">
            <v>456.52053992264354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NO7MOTLRD62RFYASV5GTZLOKVA">
      <xxl21:absoluteUrl r:id="rId2"/>
    </xxl21:alternateUrls>
    <sheetNames>
      <sheetName val="Inputs"/>
      <sheetName val="Study Parameters"/>
      <sheetName val="NPC Baseline"/>
      <sheetName val="NPC LCOE"/>
      <sheetName val="NPC CO2"/>
      <sheetName val="TEPET Model Baseline"/>
      <sheetName val="TEPET Model LCOE Corrected"/>
      <sheetName val="TEPET Model CO2 Corrected"/>
      <sheetName val="TEPET Model WACC Corrected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C10">
            <v>1678.5512402252382</v>
          </cell>
          <cell r="D10">
            <v>1330.6141668859134</v>
          </cell>
          <cell r="E10">
            <v>2039.9518032184274</v>
          </cell>
          <cell r="F10">
            <v>2004.6360593119102</v>
          </cell>
        </row>
        <row r="17">
          <cell r="C17">
            <v>1866.3139316047786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IUY4ORDAEPIRE3Q5EMIZEWPGCO">
      <xxl21:absoluteUrl r:id="rId2"/>
    </xxl21:alternateUrls>
    <sheetNames>
      <sheetName val="Readme"/>
      <sheetName val="Inputs"/>
      <sheetName val="Study Parameters"/>
      <sheetName val="Cost Components"/>
      <sheetName val="MFSP Baseline"/>
      <sheetName val="MFSP LCOE Corrected"/>
      <sheetName val="MFSP CO2 Price Corrected"/>
      <sheetName val="MFSP WACC Corrected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8">
          <cell r="B38">
            <v>0.44920103621924701</v>
          </cell>
        </row>
        <row r="39">
          <cell r="B39">
            <v>-0.1147588119989327</v>
          </cell>
        </row>
        <row r="40">
          <cell r="B40">
            <v>0.39312614070375373</v>
          </cell>
        </row>
        <row r="41">
          <cell r="B41">
            <v>0.27243163507593215</v>
          </cell>
        </row>
        <row r="52">
          <cell r="B52">
            <v>0.41554005633091412</v>
          </cell>
        </row>
        <row r="53">
          <cell r="B53">
            <v>-3.6841458442802914E-5</v>
          </cell>
        </row>
        <row r="54">
          <cell r="B54">
            <v>0.40892530327735788</v>
          </cell>
        </row>
        <row r="55">
          <cell r="B55">
            <v>0.1755714818501713</v>
          </cell>
        </row>
      </sheetData>
      <sheetData sheetId="8">
        <row r="10">
          <cell r="C10">
            <v>838.68815198564619</v>
          </cell>
          <cell r="D10">
            <v>793.08715685043853</v>
          </cell>
          <cell r="E10">
            <v>549.23621704848517</v>
          </cell>
          <cell r="F10">
            <v>614.21668568408393</v>
          </cell>
          <cell r="J10">
            <v>575.52240030037865</v>
          </cell>
          <cell r="K10">
            <v>575.52979692656766</v>
          </cell>
          <cell r="L10">
            <v>572.35379839023562</v>
          </cell>
          <cell r="M10">
            <v>630.64217641028927</v>
          </cell>
          <cell r="Q10">
            <v>483.55222741294153</v>
          </cell>
          <cell r="R10">
            <v>483.55962403913065</v>
          </cell>
          <cell r="S10">
            <v>480.3836255027984</v>
          </cell>
          <cell r="T10">
            <v>523.46302999392503</v>
          </cell>
        </row>
        <row r="14">
          <cell r="C14">
            <v>468.3096000000001</v>
          </cell>
        </row>
        <row r="17">
          <cell r="C17">
            <v>693.20604738621159</v>
          </cell>
          <cell r="J17">
            <v>672.82967641028938</v>
          </cell>
          <cell r="Q17">
            <v>565.65052999392492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P2AHMGJ4YVJCZYCIMQMELOKTZ">
      <xxl21:absoluteUrl r:id="rId2"/>
    </xxl21:alternateUrls>
    <sheetNames>
      <sheetName val="Legend"/>
      <sheetName val="Inputs"/>
      <sheetName val="Study Parameters"/>
      <sheetName val="NPV DAC CAPEX"/>
      <sheetName val="Cost Components"/>
      <sheetName val="LCOF Baseline"/>
      <sheetName val="LCOF LCOE Corrected"/>
      <sheetName val="LCOF CO2 Cost Corrected"/>
      <sheetName val="LCOF WACC Corrected "/>
      <sheetName val="Cost Breakdowns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>
            <v>0.39350093841063322</v>
          </cell>
        </row>
        <row r="10">
          <cell r="B10">
            <v>0.36579718129764949</v>
          </cell>
        </row>
        <row r="11">
          <cell r="B11">
            <v>7.9277063511900503E-2</v>
          </cell>
        </row>
        <row r="12">
          <cell r="B12">
            <v>0.16142481677981668</v>
          </cell>
        </row>
        <row r="21">
          <cell r="B21">
            <v>0.31639384055629749</v>
          </cell>
        </row>
        <row r="22">
          <cell r="B22">
            <v>0.40154651277811515</v>
          </cell>
        </row>
        <row r="23">
          <cell r="B23">
            <v>9.22233423318084E-2</v>
          </cell>
        </row>
        <row r="24">
          <cell r="B24">
            <v>0.18983630433377849</v>
          </cell>
        </row>
      </sheetData>
      <sheetData sheetId="10">
        <row r="10">
          <cell r="C10">
            <v>3266.1214388486155</v>
          </cell>
          <cell r="D10">
            <v>2576.9841253415252</v>
          </cell>
          <cell r="E10">
            <v>1969.1597778560372</v>
          </cell>
          <cell r="F10">
            <v>1947.4924520239535</v>
          </cell>
          <cell r="J10">
            <v>2797.4452258049691</v>
          </cell>
          <cell r="K10">
            <v>2548.3624580496798</v>
          </cell>
          <cell r="L10">
            <v>2081.053854295114</v>
          </cell>
          <cell r="M10">
            <v>2059.386528463031</v>
          </cell>
          <cell r="Q10">
            <v>2681.2487830302389</v>
          </cell>
          <cell r="R10">
            <v>2495.6577011733561</v>
          </cell>
          <cell r="S10">
            <v>2013.7954676453287</v>
          </cell>
          <cell r="T10">
            <v>1988.4544055046374</v>
          </cell>
        </row>
        <row r="22">
          <cell r="C22">
            <v>1120.7136225660461</v>
          </cell>
          <cell r="D22">
            <v>983.41615931336651</v>
          </cell>
          <cell r="E22">
            <v>1214.6326684475753</v>
          </cell>
          <cell r="F22">
            <v>1197.759736244996</v>
          </cell>
          <cell r="J22">
            <v>952.97687263463717</v>
          </cell>
          <cell r="K22">
            <v>964.92097557092802</v>
          </cell>
          <cell r="L22">
            <v>1151.5013334145676</v>
          </cell>
          <cell r="M22">
            <v>1134.6284012119879</v>
          </cell>
          <cell r="Q22">
            <v>826.99703717294017</v>
          </cell>
          <cell r="R22">
            <v>837.05864562470811</v>
          </cell>
          <cell r="S22">
            <v>1020.9775457488463</v>
          </cell>
          <cell r="T22">
            <v>1005.0909374848945</v>
          </cell>
        </row>
        <row r="26">
          <cell r="C26">
            <v>215.38772640000005</v>
          </cell>
        </row>
        <row r="29">
          <cell r="C29">
            <v>1980.6107315938461</v>
          </cell>
          <cell r="J29">
            <v>2092.5048080329234</v>
          </cell>
          <cell r="Q29">
            <v>2021.5726850745298</v>
          </cell>
        </row>
        <row r="36">
          <cell r="C36">
            <v>1215.4479082880066</v>
          </cell>
          <cell r="J36">
            <v>1152.3165732549985</v>
          </cell>
          <cell r="Q36">
            <v>1022.7791095279053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I4E6MEIPFYOFG2CVLKOCY2BWEI">
      <xxl21:absoluteUrl r:id="rId2"/>
    </xxl21:alternateUrls>
    <sheetNames>
      <sheetName val="Inputs"/>
      <sheetName val="Study Parameters"/>
      <sheetName val="Cost Components"/>
      <sheetName val="Cost of Manufacturing Models"/>
      <sheetName val="Outputs"/>
    </sheetNames>
    <sheetDataSet>
      <sheetData sheetId="0"/>
      <sheetData sheetId="1"/>
      <sheetData sheetId="2"/>
      <sheetData sheetId="3">
        <row r="9">
          <cell r="F9">
            <v>0.46591806920061163</v>
          </cell>
        </row>
        <row r="10">
          <cell r="F10">
            <v>6.6800203467038397E-2</v>
          </cell>
        </row>
        <row r="11">
          <cell r="F11">
            <v>0.43493529419052063</v>
          </cell>
        </row>
        <row r="12">
          <cell r="F12">
            <v>3.2346433141829486E-2</v>
          </cell>
        </row>
      </sheetData>
      <sheetData sheetId="4">
        <row r="10">
          <cell r="C10">
            <v>642.42374178153898</v>
          </cell>
          <cell r="D10">
            <v>1011.8768751597115</v>
          </cell>
          <cell r="E10">
            <v>3588.7386454776965</v>
          </cell>
          <cell r="F10">
            <v>3626.2481376136388</v>
          </cell>
        </row>
        <row r="17">
          <cell r="C17">
            <v>4259.5338518993522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OVYXQLZ3WWL5EKAGRFHPMVSK7E">
      <xxl21:absoluteUrl r:id="rId2"/>
    </xxl21:alternateUrls>
    <sheetNames>
      <sheetName val="Inputs"/>
      <sheetName val="Study Parameters"/>
      <sheetName val="Cost Components"/>
      <sheetName val="MJSP Baseline"/>
      <sheetName val="MJSP LCOE Corrected"/>
      <sheetName val="MJSP CO2 Corrected"/>
      <sheetName val="MJSP WACC Corrected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>
        <row r="19">
          <cell r="B19">
            <v>0.47089020808174514</v>
          </cell>
        </row>
        <row r="20">
          <cell r="B20">
            <v>0.28620652613279013</v>
          </cell>
        </row>
        <row r="21">
          <cell r="B21">
            <v>2.5500913984063858E-2</v>
          </cell>
        </row>
        <row r="22">
          <cell r="B22">
            <v>0.21740235180140077</v>
          </cell>
        </row>
      </sheetData>
      <sheetData sheetId="7">
        <row r="10">
          <cell r="C10">
            <v>1720.7117568681299</v>
          </cell>
          <cell r="D10">
            <v>1427.7893840431464</v>
          </cell>
          <cell r="E10">
            <v>3092.0351171600601</v>
          </cell>
          <cell r="F10">
            <v>3048.842157831702</v>
          </cell>
        </row>
        <row r="17">
          <cell r="C17">
            <v>3311.8001038255043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KW3HGFJT2CM5EZMM6HIM64ZAJX">
      <xxl21:absoluteUrl r:id="rId2"/>
    </xxl21:alternateUrls>
    <sheetNames>
      <sheetName val="Inputs"/>
      <sheetName val="Study Parameters"/>
      <sheetName val="Received Data CO2ER"/>
      <sheetName val="Received Data CO2HY"/>
      <sheetName val="Production Cost"/>
      <sheetName val="Production Cost LCOE Corrected"/>
      <sheetName val="Production Cost CO2 Corrected"/>
      <sheetName val="Production Cost WACC Corrected"/>
      <sheetName val="Cost Breakdown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B9">
            <v>0.68456138294840485</v>
          </cell>
        </row>
        <row r="10">
          <cell r="B10">
            <v>0.18840661595310274</v>
          </cell>
        </row>
        <row r="11">
          <cell r="B11">
            <v>0.11897366506350344</v>
          </cell>
        </row>
        <row r="12">
          <cell r="B12">
            <v>8.0583360349887213E-3</v>
          </cell>
        </row>
        <row r="21">
          <cell r="B21">
            <v>0.61193522966613301</v>
          </cell>
        </row>
        <row r="22">
          <cell r="B22">
            <v>0.10119430449322714</v>
          </cell>
        </row>
        <row r="23">
          <cell r="B23">
            <v>0.27234050130799337</v>
          </cell>
        </row>
        <row r="24">
          <cell r="B24">
            <v>1.4529964532646183E-2</v>
          </cell>
        </row>
      </sheetData>
      <sheetData sheetId="9">
        <row r="10">
          <cell r="C10">
            <v>6201.6746704843536</v>
          </cell>
          <cell r="D10">
            <v>3818.5620604832807</v>
          </cell>
          <cell r="E10">
            <v>3865.4180894995325</v>
          </cell>
          <cell r="F10">
            <v>3949.4052401580666</v>
          </cell>
          <cell r="J10">
            <v>5186.3474368779916</v>
          </cell>
          <cell r="K10">
            <v>3438.5192545251684</v>
          </cell>
          <cell r="L10">
            <v>5951.2256810399012</v>
          </cell>
          <cell r="M10">
            <v>6013.8337548512636</v>
          </cell>
        </row>
        <row r="17">
          <cell r="C17">
            <v>5596.149380007093</v>
          </cell>
          <cell r="J17">
            <v>7660.5778947002891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KH46NIRF42VVHLASOGEF354VNO">
      <xxl21:absoluteUrl r:id="rId2"/>
    </xxl21:alternateUrls>
    <sheetNames>
      <sheetName val="Inputs"/>
      <sheetName val="Study Parameters"/>
      <sheetName val="Levelised Cost of Removal"/>
      <sheetName val="Cost Components"/>
      <sheetName val="MFSP Baseline"/>
      <sheetName val="MFSP Electricity"/>
      <sheetName val="MFSP CO2 Corrected"/>
      <sheetName val="MFSP WACC Corrected"/>
      <sheetName val="Cost Breakdown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B9">
            <v>0.25998798896918529</v>
          </cell>
        </row>
        <row r="10">
          <cell r="B10">
            <v>0.32479490165050773</v>
          </cell>
        </row>
        <row r="11">
          <cell r="B11">
            <v>0.36706731153971806</v>
          </cell>
        </row>
        <row r="12">
          <cell r="B12">
            <v>4.8149797840587399E-2</v>
          </cell>
        </row>
        <row r="21">
          <cell r="B21">
            <v>0.31792431480918254</v>
          </cell>
        </row>
        <row r="22">
          <cell r="B22">
            <v>0.453157435049302</v>
          </cell>
        </row>
        <row r="23">
          <cell r="B23">
            <v>0.18882300026014279</v>
          </cell>
        </row>
        <row r="24">
          <cell r="B24">
            <v>4.0095249881371829E-2</v>
          </cell>
        </row>
      </sheetData>
      <sheetData sheetId="9">
        <row r="10">
          <cell r="C10">
            <v>1510.502621501556</v>
          </cell>
          <cell r="D10">
            <v>1255.2681500158253</v>
          </cell>
          <cell r="E10">
            <v>1538.7359229331985</v>
          </cell>
          <cell r="F10">
            <v>1412.3571639992358</v>
          </cell>
          <cell r="J10">
            <v>1309.1063656583035</v>
          </cell>
          <cell r="K10">
            <v>1104.4864616319737</v>
          </cell>
          <cell r="L10">
            <v>1387.9542345493473</v>
          </cell>
          <cell r="M10">
            <v>1287.5803356267957</v>
          </cell>
          <cell r="Q10">
            <v>1286.1593005235322</v>
          </cell>
          <cell r="R10">
            <v>1276.9021662236783</v>
          </cell>
          <cell r="S10">
            <v>1560.3699391410519</v>
          </cell>
          <cell r="T10">
            <v>1430.6696871838253</v>
          </cell>
        </row>
        <row r="21">
          <cell r="C21">
            <v>832.71052901141434</v>
          </cell>
          <cell r="D21">
            <v>712.36778311330647</v>
          </cell>
          <cell r="E21">
            <v>795.36024894843092</v>
          </cell>
          <cell r="F21">
            <v>719.69501763796802</v>
          </cell>
          <cell r="J21">
            <v>986.77532731178451</v>
          </cell>
          <cell r="K21">
            <v>717.8212735305425</v>
          </cell>
          <cell r="L21">
            <v>800.81373936566763</v>
          </cell>
          <cell r="M21">
            <v>724.45990584306423</v>
          </cell>
          <cell r="Q21">
            <v>832.16393601308198</v>
          </cell>
          <cell r="R21">
            <v>711.82119011497434</v>
          </cell>
          <cell r="S21">
            <v>794.81365595009834</v>
          </cell>
          <cell r="T21">
            <v>719.33070169579094</v>
          </cell>
        </row>
        <row r="25">
          <cell r="C25">
            <v>204.66864000000004</v>
          </cell>
        </row>
        <row r="28">
          <cell r="C28">
            <v>1443.7098210040667</v>
          </cell>
          <cell r="J28">
            <v>1318.9329926316266</v>
          </cell>
          <cell r="Q28">
            <v>1462.0223441886565</v>
          </cell>
        </row>
        <row r="32">
          <cell r="C32">
            <v>110.7220404859698</v>
          </cell>
          <cell r="J32">
            <v>126.07288739834831</v>
          </cell>
          <cell r="Q32">
            <v>110.66757856129041</v>
          </cell>
        </row>
        <row r="35">
          <cell r="C35">
            <v>728.75385190322493</v>
          </cell>
          <cell r="J35">
            <v>734.77468497169446</v>
          </cell>
          <cell r="Q35">
            <v>728.3850801043161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KHVPCJWPPPF5GJ5IU5JUXCFU3Z">
      <xxl21:absoluteUrl r:id="rId2"/>
    </xxl21:alternateUrls>
    <sheetNames>
      <sheetName val="Inputs"/>
      <sheetName val="Study Parameters"/>
      <sheetName val="Cost Components"/>
      <sheetName val="MFSP Baseline"/>
      <sheetName val="MFSP LCOE Corrected"/>
      <sheetName val="MFSP CO2 Corrected"/>
      <sheetName val="MFSP WACC Corrected"/>
      <sheetName val="FLH Sensitivity Note"/>
      <sheetName val="FLH Sensitivity Parameters"/>
      <sheetName val="Outputs"/>
    </sheetNames>
    <sheetDataSet>
      <sheetData sheetId="0"/>
      <sheetData sheetId="1"/>
      <sheetData sheetId="2"/>
      <sheetData sheetId="3"/>
      <sheetData sheetId="4"/>
      <sheetData sheetId="5"/>
      <sheetData sheetId="6">
        <row r="28">
          <cell r="B28">
            <v>0.42495600268836786</v>
          </cell>
        </row>
        <row r="29">
          <cell r="B29">
            <v>0.26939973959902058</v>
          </cell>
        </row>
        <row r="30">
          <cell r="B30">
            <v>0.20057853811086782</v>
          </cell>
        </row>
        <row r="31">
          <cell r="B31">
            <v>0.10506571960174352</v>
          </cell>
        </row>
        <row r="41">
          <cell r="B41">
            <v>0.50281004346675162</v>
          </cell>
        </row>
        <row r="42">
          <cell r="B42">
            <v>0.27937510269383392</v>
          </cell>
        </row>
        <row r="43">
          <cell r="B43">
            <v>0.14260508139410716</v>
          </cell>
        </row>
        <row r="44">
          <cell r="B44">
            <v>7.520977244530741E-2</v>
          </cell>
        </row>
      </sheetData>
      <sheetData sheetId="7"/>
      <sheetData sheetId="8"/>
      <sheetData sheetId="9">
        <row r="10">
          <cell r="C10">
            <v>1703.2941883028598</v>
          </cell>
          <cell r="D10">
            <v>1744.0992896145076</v>
          </cell>
          <cell r="E10">
            <v>1362.5439705178474</v>
          </cell>
          <cell r="F10">
            <v>1404.6599596191554</v>
          </cell>
          <cell r="K10">
            <v>431.97379407874388</v>
          </cell>
          <cell r="L10">
            <v>535.79427367461756</v>
          </cell>
          <cell r="M10">
            <v>575.03996739342676</v>
          </cell>
          <cell r="N10">
            <v>586.96912276367595</v>
          </cell>
        </row>
        <row r="14">
          <cell r="C14">
            <v>305.14000000000004</v>
          </cell>
        </row>
        <row r="17">
          <cell r="C17">
            <v>1453.0978941700039</v>
          </cell>
          <cell r="K17">
            <v>612.83938326242446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N6XNSIC7NBERHZ57MJD2WFA7MT">
      <xxl21:absoluteUrl r:id="rId2"/>
    </xxl21:alternateUrls>
    <sheetNames>
      <sheetName val="Inputs"/>
      <sheetName val="Standardization"/>
      <sheetName val="Outputs"/>
    </sheetNames>
    <sheetDataSet>
      <sheetData sheetId="0"/>
      <sheetData sheetId="1"/>
      <sheetData sheetId="2">
        <row r="9">
          <cell r="C9">
            <v>1253.5068943464178</v>
          </cell>
          <cell r="D9">
            <v>1492.0451155670173</v>
          </cell>
          <cell r="E9">
            <v>1360.3310180454421</v>
          </cell>
          <cell r="F9">
            <v>1102.3149958534568</v>
          </cell>
          <cell r="J9">
            <v>49.366786946129317</v>
          </cell>
          <cell r="K9">
            <v>234.70444891199065</v>
          </cell>
          <cell r="L9">
            <v>336.06739732556383</v>
          </cell>
          <cell r="M9">
            <v>371.22672042692392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PV6PPTUIX4MVEIZJGHK7Y3767H">
      <xxl21:absoluteUrl r:id="rId2"/>
    </xxl21:alternateUrls>
    <sheetNames>
      <sheetName val="Notes"/>
      <sheetName val="Inputs"/>
      <sheetName val="Calculations"/>
      <sheetName val="Outputs"/>
    </sheetNames>
    <sheetDataSet>
      <sheetData sheetId="0"/>
      <sheetData sheetId="1"/>
      <sheetData sheetId="2"/>
      <sheetData sheetId="3">
        <row r="10">
          <cell r="C10">
            <v>2544.8085055775191</v>
          </cell>
          <cell r="D10">
            <v>1510.2027290244303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LALCW4HAFPQFHJYKTZFUAZFLWQ">
      <xxl21:absoluteUrl r:id="rId2"/>
    </xxl21:alternateUrls>
    <sheetNames>
      <sheetName val="Inputs"/>
      <sheetName val="Received Data Brazzola"/>
      <sheetName val="LCOE Corrected"/>
      <sheetName val="CO2 Cost Corrected"/>
      <sheetName val="WACC Corrected"/>
      <sheetName val="Outputs"/>
    </sheetNames>
    <sheetDataSet>
      <sheetData sheetId="0"/>
      <sheetData sheetId="1">
        <row r="6">
          <cell r="D6">
            <v>432.43603627642972</v>
          </cell>
        </row>
        <row r="32">
          <cell r="D32">
            <v>226.43483728748049</v>
          </cell>
        </row>
      </sheetData>
      <sheetData sheetId="2">
        <row r="6">
          <cell r="C6">
            <v>859.50423300157809</v>
          </cell>
        </row>
        <row r="32">
          <cell r="C32">
            <v>507.5496345628751</v>
          </cell>
        </row>
      </sheetData>
      <sheetData sheetId="3">
        <row r="6">
          <cell r="C6">
            <v>434.69179600079815</v>
          </cell>
        </row>
        <row r="32">
          <cell r="C32">
            <v>256.69176920421268</v>
          </cell>
        </row>
      </sheetData>
      <sheetData sheetId="4"/>
      <sheetData sheetId="5">
        <row r="2">
          <cell r="B2">
            <v>434.69179600079815</v>
          </cell>
        </row>
        <row r="3">
          <cell r="B3">
            <v>256.69176920421268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ubey  Yash" id="{68BE1860-A07B-42A5-A655-5A103ED91381}" userId="ydubey@ethz.ch" providerId="PeoplePicker"/>
  <person displayName="Yash Dubey" id="{F3C65EF1-395F-4041-A724-D4D9CDBC1F23}" userId="4a458c29eee21de5" providerId="Windows Live"/>
  <person displayName="Sievert  Katrin" id="{AAEC9B48-3013-4A6C-8FB5-F2F01EF30694}" userId="ksievert@ethz.ch" providerId="PeoplePicker"/>
  <person displayName="Dubey  Yash" id="{2E134BEA-BC0D-4BFD-8503-14C616777911}" userId="S::ydubey@ethz.ch::8ec4c660-c9fe-4bb6-9560-48a212ff7621" providerId="AD"/>
  <person displayName="Sievert  Katrin" id="{FF7EB3A0-10D3-4049-8A31-36C6E279F1E9}" userId="S::ksievert@ethz.ch::bbdc6555-5085-43f3-a455-5b29f50857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03-07T13:38:06.50" personId="{2E134BEA-BC0D-4BFD-8503-14C616777911}" id="{BA6E569E-682D-4A74-A49F-374145AF2C19}">
    <text>@Sievert  Katrin this is the study I selected for my meta-analysis as it was more recent. If we're including a parameters table in our SI, the other one should be excluded from that as is not considered</text>
    <mentions>
      <mention mentionpersonId="{AAEC9B48-3013-4A6C-8FB5-F2F01EF30694}" mentionId="{F2281655-4498-4AC3-A989-D45553F44EA9}" startIndex="0" length="16"/>
    </mentions>
  </threadedComment>
  <threadedComment ref="W5" dT="2025-03-07T13:25:23.66" personId="{FF7EB3A0-10D3-4049-8A31-36C6E279F1E9}" id="{E98B236C-C8D9-4C6D-B7CC-B4516114E365}">
    <text>@Dubey  Yash , how come Martin et al. Once has a CO2 price range of 90-600 and once of 54-268?</text>
    <mentions>
      <mention mentionpersonId="{68BE1860-A07B-42A5-A655-5A103ED91381}" mentionId="{8051C440-3798-40FE-8962-8DA02145EBA3}" startIndex="0" length="12"/>
    </mentions>
  </threadedComment>
  <threadedComment ref="W5" dT="2025-03-07T13:33:18.71" personId="{2E134BEA-BC0D-4BFD-8503-14C616777911}" id="{5C99822F-D2F9-4570-A84B-E24E935136D7}" parentId="{E98B236C-C8D9-4C6D-B7CC-B4516114E365}">
    <text>@Sievert  Katrin they have two different studies and the inputs to the model vary in both but I will re-check</text>
    <mentions>
      <mention mentionpersonId="{AAEC9B48-3013-4A6C-8FB5-F2F01EF30694}" mentionId="{48EFAA6D-228E-4ACB-B8A9-1092F168E1ED}" startIndex="0" length="16"/>
    </mentions>
  </threadedComment>
  <threadedComment ref="B12" dT="2025-03-07T13:38:29.26" personId="{2E134BEA-BC0D-4BFD-8503-14C616777911}" id="{656FDFAB-C802-47F4-AF1E-B5C08267CAA5}">
    <text>@Sievert  Katrin updating this to No as this is excluded</text>
    <mentions>
      <mention mentionpersonId="{AAEC9B48-3013-4A6C-8FB5-F2F01EF30694}" mentionId="{F9CDBC6B-63C3-4EEF-9F2F-5B5943176FC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" dT="2025-03-08T07:23:59.09" personId="{2E134BEA-BC0D-4BFD-8503-14C616777911}" id="{6DA66434-0AF5-45E0-B990-1866E70381D8}">
    <text>Note: this is for 2020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5" dT="2024-08-24T08:41:29.81" personId="{F3C65EF1-395F-4041-A724-D4D9CDBC1F23}" id="{E3E0422F-E7DA-AE4F-B478-1D87AB030431}">
    <text>Efficiency improvements</text>
  </threadedComment>
  <threadedComment ref="L43" dT="2024-08-24T08:42:58.18" personId="{F3C65EF1-395F-4041-A724-D4D9CDBC1F23}" id="{0CFDD60E-5D40-E14C-AC18-8315137697D8}">
    <text xml:space="preserve">All corrected for efficiency improvements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ecd-nea.org/jcms/pl_51110/projected-costs-of-generating-electricity-2020-edition" TargetMode="External"/><Relationship Id="rId7" Type="http://schemas.openxmlformats.org/officeDocument/2006/relationships/hyperlink" Target="https://www.oecd-nea.org/jcms/pl_51110/projected-costs-of-generating-electricity-2020-edition" TargetMode="External"/><Relationship Id="rId2" Type="http://schemas.openxmlformats.org/officeDocument/2006/relationships/hyperlink" Target="https://www.bnef.com/flagships/lcoe" TargetMode="External"/><Relationship Id="rId1" Type="http://schemas.openxmlformats.org/officeDocument/2006/relationships/hyperlink" Target="https://www.bnef.com/flagships/lcoe" TargetMode="External"/><Relationship Id="rId6" Type="http://schemas.openxmlformats.org/officeDocument/2006/relationships/hyperlink" Target="https://www.bnef.com/flagships/lcoe" TargetMode="External"/><Relationship Id="rId5" Type="http://schemas.openxmlformats.org/officeDocument/2006/relationships/hyperlink" Target="https://www.irena.org/publications/2022/Jul/Renewable-Power-Generation-Costs-in-2021" TargetMode="External"/><Relationship Id="rId4" Type="http://schemas.openxmlformats.org/officeDocument/2006/relationships/hyperlink" Target="https://www.irena.org/publications/2022/Jul/Renewable-Power-Generation-Costs-in-202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cao.int/environmental-protection/CORSIA/Pages/SARPs-Annex-16-Volume-IV.asp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1/acs.est.4c01578" TargetMode="External"/><Relationship Id="rId13" Type="http://schemas.openxmlformats.org/officeDocument/2006/relationships/hyperlink" Target="https://onlinelibrary.wiley.com/doi/full/10.1002/cite.201700129?saml_referrer" TargetMode="External"/><Relationship Id="rId18" Type="http://schemas.openxmlformats.org/officeDocument/2006/relationships/hyperlink" Target="https://doi.org/10.1021/acs.est.4c01578" TargetMode="External"/><Relationship Id="rId3" Type="http://schemas.openxmlformats.org/officeDocument/2006/relationships/hyperlink" Target="https://onlinelibrary.wiley.com/doi/full/10.1002/cite.201700129?saml_referrer" TargetMode="External"/><Relationship Id="rId7" Type="http://schemas.openxmlformats.org/officeDocument/2006/relationships/hyperlink" Target="https://doi.org/10.1021/acs.est.0c07955" TargetMode="External"/><Relationship Id="rId12" Type="http://schemas.openxmlformats.org/officeDocument/2006/relationships/hyperlink" Target="https://onlinelibrary.wiley.com/doi/full/10.1002/cite.201700129?saml_referrer" TargetMode="External"/><Relationship Id="rId17" Type="http://schemas.openxmlformats.org/officeDocument/2006/relationships/hyperlink" Target="https://doi.org/10.1021/acs.est.0c07955" TargetMode="External"/><Relationship Id="rId2" Type="http://schemas.openxmlformats.org/officeDocument/2006/relationships/hyperlink" Target="https://doi.org/10.1039/D3SE01156A" TargetMode="External"/><Relationship Id="rId16" Type="http://schemas.openxmlformats.org/officeDocument/2006/relationships/hyperlink" Target="https://doi.org/10.1016/j.rser.2024.114552" TargetMode="External"/><Relationship Id="rId1" Type="http://schemas.openxmlformats.org/officeDocument/2006/relationships/hyperlink" Target="https://doi.org/10.1039/D3SE00978E" TargetMode="External"/><Relationship Id="rId6" Type="http://schemas.openxmlformats.org/officeDocument/2006/relationships/hyperlink" Target="https://doi.org/10.1016/j.energy.2019.116511" TargetMode="External"/><Relationship Id="rId11" Type="http://schemas.openxmlformats.org/officeDocument/2006/relationships/hyperlink" Target="https://onlinelibrary.wiley.com/doi/full/10.1002/cite.201700129?saml_referrer" TargetMode="External"/><Relationship Id="rId5" Type="http://schemas.openxmlformats.org/officeDocument/2006/relationships/hyperlink" Target="https://www.sciencedirect.com/science/article/pii/S0196890423007732?via%3Dihub" TargetMode="External"/><Relationship Id="rId15" Type="http://schemas.openxmlformats.org/officeDocument/2006/relationships/hyperlink" Target="https://onlinelibrary.wiley.com/doi/full/10.1002/cite.201700129?saml_referrer" TargetMode="External"/><Relationship Id="rId10" Type="http://schemas.openxmlformats.org/officeDocument/2006/relationships/hyperlink" Target="https://doi.org/10.1039/D3SE00978E" TargetMode="External"/><Relationship Id="rId19" Type="http://schemas.openxmlformats.org/officeDocument/2006/relationships/hyperlink" Target="https://doi.org/10.1016/j.biombioe.2017.07.006" TargetMode="External"/><Relationship Id="rId4" Type="http://schemas.openxmlformats.org/officeDocument/2006/relationships/hyperlink" Target="https://doi.org/10.1021/acs.est.0c07674" TargetMode="External"/><Relationship Id="rId9" Type="http://schemas.openxmlformats.org/officeDocument/2006/relationships/hyperlink" Target="https://doi.org/10.1016/j.rser.2024.114552" TargetMode="External"/><Relationship Id="rId14" Type="http://schemas.openxmlformats.org/officeDocument/2006/relationships/hyperlink" Target="https://onlinelibrary.wiley.com/doi/full/10.1002/cite.201700129?saml_referrer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1/acs.est.0c07955" TargetMode="External"/><Relationship Id="rId13" Type="http://schemas.openxmlformats.org/officeDocument/2006/relationships/hyperlink" Target="https://www.sciencedirect.com/science/article/pii/S0959652619307772?via%3Dihub" TargetMode="External"/><Relationship Id="rId18" Type="http://schemas.openxmlformats.org/officeDocument/2006/relationships/hyperlink" Target="https://www.sciencedirect.com/science/article/pii/S0959652619307772?via%3Dihub" TargetMode="External"/><Relationship Id="rId26" Type="http://schemas.microsoft.com/office/2019/04/relationships/documenttask" Target="../documenttasks/documenttask1.xml"/><Relationship Id="rId3" Type="http://schemas.openxmlformats.org/officeDocument/2006/relationships/hyperlink" Target="https://doi.org/10.1016/j.rser.2023.113637" TargetMode="External"/><Relationship Id="rId21" Type="http://schemas.openxmlformats.org/officeDocument/2006/relationships/hyperlink" Target="https://www.sciencedirect.com/science/article/pii/S0959652619307772?via%3Dihub" TargetMode="External"/><Relationship Id="rId7" Type="http://schemas.openxmlformats.org/officeDocument/2006/relationships/hyperlink" Target="https://doi.org/10.1016/j.energy.2019.116511" TargetMode="External"/><Relationship Id="rId12" Type="http://schemas.openxmlformats.org/officeDocument/2006/relationships/hyperlink" Target="https://chemrxiv.org/engage/chemrxiv/article-details/62c8275b252b2116a8df9365" TargetMode="External"/><Relationship Id="rId17" Type="http://schemas.openxmlformats.org/officeDocument/2006/relationships/hyperlink" Target="https://www.sciencedirect.com/science/article/pii/S0959652619307772?via%3Dihub" TargetMode="External"/><Relationship Id="rId25" Type="http://schemas.microsoft.com/office/2017/10/relationships/threadedComment" Target="../threadedComments/threadedComment1.xml"/><Relationship Id="rId2" Type="http://schemas.openxmlformats.org/officeDocument/2006/relationships/hyperlink" Target="https://doi.org/10.1039/D3SE01156A" TargetMode="External"/><Relationship Id="rId16" Type="http://schemas.openxmlformats.org/officeDocument/2006/relationships/hyperlink" Target="https://www.eia.gov/outlooks/archive/aeo19/" TargetMode="External"/><Relationship Id="rId20" Type="http://schemas.openxmlformats.org/officeDocument/2006/relationships/hyperlink" Target="https://doi.org/10.1016/j.ijhydene.2023.09.094" TargetMode="External"/><Relationship Id="rId1" Type="http://schemas.openxmlformats.org/officeDocument/2006/relationships/hyperlink" Target="https://doi.org/10.1039/D3SE00978E" TargetMode="External"/><Relationship Id="rId6" Type="http://schemas.openxmlformats.org/officeDocument/2006/relationships/hyperlink" Target="https://doi.org/10.1016/j.adapen.2023.100156" TargetMode="External"/><Relationship Id="rId11" Type="http://schemas.openxmlformats.org/officeDocument/2006/relationships/hyperlink" Target="https://doi.org/10.1016/j.rser.2024.114552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www.sciencedirect.com/science/article/pii/S0196890423007732?via%3Dihub" TargetMode="External"/><Relationship Id="rId15" Type="http://schemas.openxmlformats.org/officeDocument/2006/relationships/hyperlink" Target="https://www.sciencedirect.com/science/article/pii/S0959652619307772?via%3Dihub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doi.org/10.1021/acs.est.4c01578" TargetMode="External"/><Relationship Id="rId19" Type="http://schemas.openxmlformats.org/officeDocument/2006/relationships/hyperlink" Target="https://www.sciencedirect.com/science/article/pii/S0959652619307772?via%3Dihub" TargetMode="External"/><Relationship Id="rId4" Type="http://schemas.openxmlformats.org/officeDocument/2006/relationships/hyperlink" Target="https://doi.org/10.1021/acs.est.0c07674" TargetMode="External"/><Relationship Id="rId9" Type="http://schemas.openxmlformats.org/officeDocument/2006/relationships/hyperlink" Target="https://doi.org/10.1016/j.biombioe.2017.07.006" TargetMode="External"/><Relationship Id="rId14" Type="http://schemas.openxmlformats.org/officeDocument/2006/relationships/hyperlink" Target="https://www.sciencedirect.com/science/article/pii/S0959652619307772?via%3Dihub" TargetMode="External"/><Relationship Id="rId22" Type="http://schemas.openxmlformats.org/officeDocument/2006/relationships/hyperlink" Target="https://www.sciencedirect.com/science/article/pii/S0959652619307772?via%3Dihub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www.sciencedirect.com/science/article/pii/S136403212300494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ciencedirect.com/science/article/pii/S0959652619307772?via%3Dihub" TargetMode="External"/><Relationship Id="rId1" Type="http://schemas.openxmlformats.org/officeDocument/2006/relationships/hyperlink" Target="https://doi.org/10.1016/j.rser.2024.114552" TargetMode="External"/><Relationship Id="rId6" Type="http://schemas.openxmlformats.org/officeDocument/2006/relationships/hyperlink" Target="https://doi.org/10.1021/acs.est.0c07955" TargetMode="External"/><Relationship Id="rId5" Type="http://schemas.openxmlformats.org/officeDocument/2006/relationships/hyperlink" Target="https://doi.org/10.1039/D3SE00978E" TargetMode="External"/><Relationship Id="rId10" Type="http://schemas.microsoft.com/office/2017/10/relationships/threadedComment" Target="../threadedComments/threadedComment2.xml"/><Relationship Id="rId4" Type="http://schemas.openxmlformats.org/officeDocument/2006/relationships/hyperlink" Target="https://doi.org/10.1016/j.ijhydene.2023.09.094" TargetMode="External"/><Relationship Id="rId9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1/acs.est.4c01578" TargetMode="External"/><Relationship Id="rId13" Type="http://schemas.openxmlformats.org/officeDocument/2006/relationships/hyperlink" Target="https://onlinelibrary.wiley.com/doi/full/10.1002/cite.201700129?saml_referrer" TargetMode="External"/><Relationship Id="rId18" Type="http://schemas.openxmlformats.org/officeDocument/2006/relationships/hyperlink" Target="https://doi.org/10.1021/acs.est.4c01578" TargetMode="External"/><Relationship Id="rId3" Type="http://schemas.openxmlformats.org/officeDocument/2006/relationships/hyperlink" Target="https://onlinelibrary.wiley.com/doi/full/10.1002/cite.201700129?saml_referrer" TargetMode="External"/><Relationship Id="rId7" Type="http://schemas.openxmlformats.org/officeDocument/2006/relationships/hyperlink" Target="https://doi.org/10.1021/acs.est.0c07955" TargetMode="External"/><Relationship Id="rId12" Type="http://schemas.openxmlformats.org/officeDocument/2006/relationships/hyperlink" Target="https://onlinelibrary.wiley.com/doi/full/10.1002/cite.201700129?saml_referrer" TargetMode="External"/><Relationship Id="rId17" Type="http://schemas.openxmlformats.org/officeDocument/2006/relationships/hyperlink" Target="https://doi.org/10.1021/acs.est.0c07955" TargetMode="External"/><Relationship Id="rId2" Type="http://schemas.openxmlformats.org/officeDocument/2006/relationships/hyperlink" Target="https://doi.org/10.1039/D3SE01156A" TargetMode="External"/><Relationship Id="rId16" Type="http://schemas.openxmlformats.org/officeDocument/2006/relationships/hyperlink" Target="https://doi.org/10.1016/j.rser.2024.114552" TargetMode="External"/><Relationship Id="rId1" Type="http://schemas.openxmlformats.org/officeDocument/2006/relationships/hyperlink" Target="https://doi.org/10.1039/D3SE00978E" TargetMode="External"/><Relationship Id="rId6" Type="http://schemas.openxmlformats.org/officeDocument/2006/relationships/hyperlink" Target="https://doi.org/10.1016/j.energy.2019.116511" TargetMode="External"/><Relationship Id="rId11" Type="http://schemas.openxmlformats.org/officeDocument/2006/relationships/hyperlink" Target="https://onlinelibrary.wiley.com/doi/full/10.1002/cite.201700129?saml_referrer" TargetMode="External"/><Relationship Id="rId5" Type="http://schemas.openxmlformats.org/officeDocument/2006/relationships/hyperlink" Target="https://www.sciencedirect.com/science/article/pii/S0196890423007732?via%3Dihub" TargetMode="External"/><Relationship Id="rId15" Type="http://schemas.openxmlformats.org/officeDocument/2006/relationships/hyperlink" Target="https://onlinelibrary.wiley.com/doi/full/10.1002/cite.201700129?saml_referrer" TargetMode="External"/><Relationship Id="rId10" Type="http://schemas.openxmlformats.org/officeDocument/2006/relationships/hyperlink" Target="https://doi.org/10.1039/D3SE00978E" TargetMode="External"/><Relationship Id="rId19" Type="http://schemas.openxmlformats.org/officeDocument/2006/relationships/hyperlink" Target="https://doi.org/10.1016/j.biombioe.2017.07.006" TargetMode="External"/><Relationship Id="rId4" Type="http://schemas.openxmlformats.org/officeDocument/2006/relationships/hyperlink" Target="https://doi.org/10.1021/acs.est.0c07674" TargetMode="External"/><Relationship Id="rId9" Type="http://schemas.openxmlformats.org/officeDocument/2006/relationships/hyperlink" Target="https://doi.org/10.1016/j.rser.2024.114552" TargetMode="External"/><Relationship Id="rId14" Type="http://schemas.openxmlformats.org/officeDocument/2006/relationships/hyperlink" Target="https://onlinelibrary.wiley.com/doi/full/10.1002/cite.201700129?saml_referrer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est.0c07955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1/acs.est.0c07674" TargetMode="External"/><Relationship Id="rId13" Type="http://schemas.openxmlformats.org/officeDocument/2006/relationships/hyperlink" Target="https://doi.org/10.1039/D3SE00978E" TargetMode="External"/><Relationship Id="rId18" Type="http://schemas.openxmlformats.org/officeDocument/2006/relationships/hyperlink" Target="https://doi.org/10.1021/acs.est.4c01578" TargetMode="External"/><Relationship Id="rId3" Type="http://schemas.openxmlformats.org/officeDocument/2006/relationships/hyperlink" Target="https://doi.org/10.1016/j.biombioe.2017.07.006" TargetMode="External"/><Relationship Id="rId7" Type="http://schemas.openxmlformats.org/officeDocument/2006/relationships/hyperlink" Target="https://doi.org/10.1021/acs.est.0c07955" TargetMode="External"/><Relationship Id="rId12" Type="http://schemas.openxmlformats.org/officeDocument/2006/relationships/hyperlink" Target="https://onlinelibrary.wiley.com/doi/full/10.1002/cite.201700129?saml_referrer" TargetMode="External"/><Relationship Id="rId17" Type="http://schemas.openxmlformats.org/officeDocument/2006/relationships/hyperlink" Target="https://doi.org/10.1016/j.rser.2024.114552" TargetMode="External"/><Relationship Id="rId2" Type="http://schemas.openxmlformats.org/officeDocument/2006/relationships/hyperlink" Target="https://doi.org/10.1039/D3SE01156A" TargetMode="External"/><Relationship Id="rId16" Type="http://schemas.openxmlformats.org/officeDocument/2006/relationships/hyperlink" Target="https://www.sciencedirect.com/science/article/pii/S0196890423007732?via%3Dihub" TargetMode="External"/><Relationship Id="rId1" Type="http://schemas.openxmlformats.org/officeDocument/2006/relationships/hyperlink" Target="https://doi.org/10.1039/D3SE00978E" TargetMode="External"/><Relationship Id="rId6" Type="http://schemas.openxmlformats.org/officeDocument/2006/relationships/hyperlink" Target="https://onlinelibrary.wiley.com/doi/full/10.1002/cite.201700129?saml_referrer" TargetMode="External"/><Relationship Id="rId11" Type="http://schemas.openxmlformats.org/officeDocument/2006/relationships/hyperlink" Target="https://onlinelibrary.wiley.com/doi/full/10.1002/cite.201700129?saml_referrer" TargetMode="External"/><Relationship Id="rId5" Type="http://schemas.openxmlformats.org/officeDocument/2006/relationships/hyperlink" Target="https://onlinelibrary.wiley.com/doi/full/10.1002/cite.201700129?saml_referrer" TargetMode="External"/><Relationship Id="rId15" Type="http://schemas.openxmlformats.org/officeDocument/2006/relationships/hyperlink" Target="https://doi.org/10.1021/acs.est.0c07955" TargetMode="External"/><Relationship Id="rId10" Type="http://schemas.openxmlformats.org/officeDocument/2006/relationships/hyperlink" Target="https://doi.org/10.1016/j.energy.2019.116511" TargetMode="External"/><Relationship Id="rId19" Type="http://schemas.openxmlformats.org/officeDocument/2006/relationships/hyperlink" Target="https://doi.org/10.1021/acs.est.4c01578" TargetMode="External"/><Relationship Id="rId4" Type="http://schemas.openxmlformats.org/officeDocument/2006/relationships/hyperlink" Target="https://onlinelibrary.wiley.com/doi/full/10.1002/cite.201700129?saml_referrer" TargetMode="External"/><Relationship Id="rId9" Type="http://schemas.openxmlformats.org/officeDocument/2006/relationships/hyperlink" Target="https://onlinelibrary.wiley.com/doi/full/10.1002/cite.201700129?saml_referrer" TargetMode="External"/><Relationship Id="rId14" Type="http://schemas.openxmlformats.org/officeDocument/2006/relationships/hyperlink" Target="https://doi.org/10.1016/j.rser.2024.114552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1/acs.est.0c07674" TargetMode="External"/><Relationship Id="rId13" Type="http://schemas.openxmlformats.org/officeDocument/2006/relationships/hyperlink" Target="https://doi.org/10.1039/D3SE00978E" TargetMode="External"/><Relationship Id="rId18" Type="http://schemas.openxmlformats.org/officeDocument/2006/relationships/hyperlink" Target="https://doi.org/10.1021/acs.est.4c01578" TargetMode="External"/><Relationship Id="rId3" Type="http://schemas.openxmlformats.org/officeDocument/2006/relationships/hyperlink" Target="https://doi.org/10.1016/j.biombioe.2017.07.006" TargetMode="External"/><Relationship Id="rId7" Type="http://schemas.openxmlformats.org/officeDocument/2006/relationships/hyperlink" Target="https://doi.org/10.1021/acs.est.0c07955" TargetMode="External"/><Relationship Id="rId12" Type="http://schemas.openxmlformats.org/officeDocument/2006/relationships/hyperlink" Target="https://onlinelibrary.wiley.com/doi/full/10.1002/cite.201700129?saml_referrer" TargetMode="External"/><Relationship Id="rId17" Type="http://schemas.openxmlformats.org/officeDocument/2006/relationships/hyperlink" Target="https://doi.org/10.1016/j.rser.2024.114552" TargetMode="External"/><Relationship Id="rId2" Type="http://schemas.openxmlformats.org/officeDocument/2006/relationships/hyperlink" Target="https://doi.org/10.1039/D3SE01156A" TargetMode="External"/><Relationship Id="rId16" Type="http://schemas.openxmlformats.org/officeDocument/2006/relationships/hyperlink" Target="https://www.sciencedirect.com/science/article/pii/S0196890423007732?via%3Dihub" TargetMode="External"/><Relationship Id="rId1" Type="http://schemas.openxmlformats.org/officeDocument/2006/relationships/hyperlink" Target="https://doi.org/10.1039/D3SE00978E" TargetMode="External"/><Relationship Id="rId6" Type="http://schemas.openxmlformats.org/officeDocument/2006/relationships/hyperlink" Target="https://onlinelibrary.wiley.com/doi/full/10.1002/cite.201700129?saml_referrer" TargetMode="External"/><Relationship Id="rId11" Type="http://schemas.openxmlformats.org/officeDocument/2006/relationships/hyperlink" Target="https://onlinelibrary.wiley.com/doi/full/10.1002/cite.201700129?saml_referrer" TargetMode="External"/><Relationship Id="rId5" Type="http://schemas.openxmlformats.org/officeDocument/2006/relationships/hyperlink" Target="https://onlinelibrary.wiley.com/doi/full/10.1002/cite.201700129?saml_referrer" TargetMode="External"/><Relationship Id="rId15" Type="http://schemas.openxmlformats.org/officeDocument/2006/relationships/hyperlink" Target="https://doi.org/10.1021/acs.est.0c07955" TargetMode="External"/><Relationship Id="rId10" Type="http://schemas.openxmlformats.org/officeDocument/2006/relationships/hyperlink" Target="https://doi.org/10.1016/j.energy.2019.116511" TargetMode="External"/><Relationship Id="rId19" Type="http://schemas.openxmlformats.org/officeDocument/2006/relationships/hyperlink" Target="https://doi.org/10.1021/acs.est.4c01578" TargetMode="External"/><Relationship Id="rId4" Type="http://schemas.openxmlformats.org/officeDocument/2006/relationships/hyperlink" Target="https://onlinelibrary.wiley.com/doi/full/10.1002/cite.201700129?saml_referrer" TargetMode="External"/><Relationship Id="rId9" Type="http://schemas.openxmlformats.org/officeDocument/2006/relationships/hyperlink" Target="https://onlinelibrary.wiley.com/doi/full/10.1002/cite.201700129?saml_referrer" TargetMode="External"/><Relationship Id="rId14" Type="http://schemas.openxmlformats.org/officeDocument/2006/relationships/hyperlink" Target="https://doi.org/10.1016/j.rser.2024.114552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1/acs.est.4c01578" TargetMode="External"/><Relationship Id="rId13" Type="http://schemas.openxmlformats.org/officeDocument/2006/relationships/hyperlink" Target="https://onlinelibrary.wiley.com/doi/full/10.1002/cite.201700129?saml_referrer" TargetMode="External"/><Relationship Id="rId18" Type="http://schemas.openxmlformats.org/officeDocument/2006/relationships/hyperlink" Target="https://doi.org/10.1021/acs.est.4c01578" TargetMode="External"/><Relationship Id="rId3" Type="http://schemas.openxmlformats.org/officeDocument/2006/relationships/hyperlink" Target="https://onlinelibrary.wiley.com/doi/full/10.1002/cite.201700129?saml_referrer" TargetMode="External"/><Relationship Id="rId7" Type="http://schemas.openxmlformats.org/officeDocument/2006/relationships/hyperlink" Target="https://doi.org/10.1021/acs.est.0c07955" TargetMode="External"/><Relationship Id="rId12" Type="http://schemas.openxmlformats.org/officeDocument/2006/relationships/hyperlink" Target="https://onlinelibrary.wiley.com/doi/full/10.1002/cite.201700129?saml_referrer" TargetMode="External"/><Relationship Id="rId17" Type="http://schemas.openxmlformats.org/officeDocument/2006/relationships/hyperlink" Target="https://doi.org/10.1021/acs.est.0c07955" TargetMode="External"/><Relationship Id="rId2" Type="http://schemas.openxmlformats.org/officeDocument/2006/relationships/hyperlink" Target="https://doi.org/10.1039/D3SE01156A" TargetMode="External"/><Relationship Id="rId16" Type="http://schemas.openxmlformats.org/officeDocument/2006/relationships/hyperlink" Target="https://doi.org/10.1016/j.rser.2024.114552" TargetMode="External"/><Relationship Id="rId1" Type="http://schemas.openxmlformats.org/officeDocument/2006/relationships/hyperlink" Target="https://doi.org/10.1039/D3SE00978E" TargetMode="External"/><Relationship Id="rId6" Type="http://schemas.openxmlformats.org/officeDocument/2006/relationships/hyperlink" Target="https://doi.org/10.1016/j.energy.2019.116511" TargetMode="External"/><Relationship Id="rId11" Type="http://schemas.openxmlformats.org/officeDocument/2006/relationships/hyperlink" Target="https://onlinelibrary.wiley.com/doi/full/10.1002/cite.201700129?saml_referrer" TargetMode="External"/><Relationship Id="rId5" Type="http://schemas.openxmlformats.org/officeDocument/2006/relationships/hyperlink" Target="https://www.sciencedirect.com/science/article/pii/S0196890423007732?via%3Dihub" TargetMode="External"/><Relationship Id="rId15" Type="http://schemas.openxmlformats.org/officeDocument/2006/relationships/hyperlink" Target="https://onlinelibrary.wiley.com/doi/full/10.1002/cite.201700129?saml_referrer" TargetMode="External"/><Relationship Id="rId10" Type="http://schemas.openxmlformats.org/officeDocument/2006/relationships/hyperlink" Target="https://doi.org/10.1039/D3SE00978E" TargetMode="External"/><Relationship Id="rId19" Type="http://schemas.openxmlformats.org/officeDocument/2006/relationships/hyperlink" Target="https://doi.org/10.1016/j.biombioe.2017.07.006" TargetMode="External"/><Relationship Id="rId4" Type="http://schemas.openxmlformats.org/officeDocument/2006/relationships/hyperlink" Target="https://doi.org/10.1021/acs.est.0c07674" TargetMode="External"/><Relationship Id="rId9" Type="http://schemas.openxmlformats.org/officeDocument/2006/relationships/hyperlink" Target="https://doi.org/10.1016/j.rser.2024.114552" TargetMode="External"/><Relationship Id="rId14" Type="http://schemas.openxmlformats.org/officeDocument/2006/relationships/hyperlink" Target="https://onlinelibrary.wiley.com/doi/full/10.1002/cite.201700129?saml_referrer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1/acs.est.4c01578" TargetMode="External"/><Relationship Id="rId13" Type="http://schemas.openxmlformats.org/officeDocument/2006/relationships/hyperlink" Target="https://onlinelibrary.wiley.com/doi/full/10.1002/cite.201700129?saml_referrer" TargetMode="External"/><Relationship Id="rId18" Type="http://schemas.openxmlformats.org/officeDocument/2006/relationships/hyperlink" Target="https://doi.org/10.1021/acs.est.4c01578" TargetMode="External"/><Relationship Id="rId3" Type="http://schemas.openxmlformats.org/officeDocument/2006/relationships/hyperlink" Target="https://onlinelibrary.wiley.com/doi/full/10.1002/cite.201700129?saml_referrer" TargetMode="External"/><Relationship Id="rId7" Type="http://schemas.openxmlformats.org/officeDocument/2006/relationships/hyperlink" Target="https://doi.org/10.1021/acs.est.0c07955" TargetMode="External"/><Relationship Id="rId12" Type="http://schemas.openxmlformats.org/officeDocument/2006/relationships/hyperlink" Target="https://onlinelibrary.wiley.com/doi/full/10.1002/cite.201700129?saml_referrer" TargetMode="External"/><Relationship Id="rId17" Type="http://schemas.openxmlformats.org/officeDocument/2006/relationships/hyperlink" Target="https://doi.org/10.1021/acs.est.0c07955" TargetMode="External"/><Relationship Id="rId2" Type="http://schemas.openxmlformats.org/officeDocument/2006/relationships/hyperlink" Target="https://doi.org/10.1039/D3SE01156A" TargetMode="External"/><Relationship Id="rId16" Type="http://schemas.openxmlformats.org/officeDocument/2006/relationships/hyperlink" Target="https://doi.org/10.1016/j.rser.2024.114552" TargetMode="External"/><Relationship Id="rId1" Type="http://schemas.openxmlformats.org/officeDocument/2006/relationships/hyperlink" Target="https://doi.org/10.1039/D3SE00978E" TargetMode="External"/><Relationship Id="rId6" Type="http://schemas.openxmlformats.org/officeDocument/2006/relationships/hyperlink" Target="https://doi.org/10.1016/j.energy.2019.116511" TargetMode="External"/><Relationship Id="rId11" Type="http://schemas.openxmlformats.org/officeDocument/2006/relationships/hyperlink" Target="https://onlinelibrary.wiley.com/doi/full/10.1002/cite.201700129?saml_referrer" TargetMode="External"/><Relationship Id="rId5" Type="http://schemas.openxmlformats.org/officeDocument/2006/relationships/hyperlink" Target="https://www.sciencedirect.com/science/article/pii/S0196890423007732?via%3Dihub" TargetMode="External"/><Relationship Id="rId15" Type="http://schemas.openxmlformats.org/officeDocument/2006/relationships/hyperlink" Target="https://onlinelibrary.wiley.com/doi/full/10.1002/cite.201700129?saml_referrer" TargetMode="External"/><Relationship Id="rId10" Type="http://schemas.openxmlformats.org/officeDocument/2006/relationships/hyperlink" Target="https://doi.org/10.1039/D3SE00978E" TargetMode="External"/><Relationship Id="rId19" Type="http://schemas.openxmlformats.org/officeDocument/2006/relationships/hyperlink" Target="https://doi.org/10.1016/j.biombioe.2017.07.006" TargetMode="External"/><Relationship Id="rId4" Type="http://schemas.openxmlformats.org/officeDocument/2006/relationships/hyperlink" Target="https://doi.org/10.1021/acs.est.0c07674" TargetMode="External"/><Relationship Id="rId9" Type="http://schemas.openxmlformats.org/officeDocument/2006/relationships/hyperlink" Target="https://doi.org/10.1016/j.rser.2024.114552" TargetMode="External"/><Relationship Id="rId14" Type="http://schemas.openxmlformats.org/officeDocument/2006/relationships/hyperlink" Target="https://onlinelibrary.wiley.com/doi/full/10.1002/cite.201700129?saml_referrer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8090-0B0B-C248-B9C6-3EA8C5996CC0}">
  <sheetPr codeName="Sheet1"/>
  <dimension ref="A1"/>
  <sheetViews>
    <sheetView workbookViewId="0">
      <selection activeCell="G14" sqref="G14"/>
    </sheetView>
  </sheetViews>
  <sheetFormatPr defaultColWidth="11.25" defaultRowHeight="15.6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1075-588E-5843-BB7A-EDB11B09427F}">
  <sheetPr codeName="Sheet2"/>
  <dimension ref="A1"/>
  <sheetViews>
    <sheetView workbookViewId="0">
      <selection activeCell="G14" sqref="G14"/>
    </sheetView>
  </sheetViews>
  <sheetFormatPr defaultColWidth="11.25" defaultRowHeight="15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95F4-5606-9A4E-B5D6-523DA6069C8C}">
  <sheetPr codeName="Sheet3">
    <tabColor theme="6" tint="0.59999389629810485"/>
  </sheetPr>
  <dimension ref="A1:E34"/>
  <sheetViews>
    <sheetView tabSelected="1" workbookViewId="0">
      <selection activeCell="C37" sqref="C37"/>
    </sheetView>
  </sheetViews>
  <sheetFormatPr defaultColWidth="11.25" defaultRowHeight="15.6"/>
  <cols>
    <col min="1" max="1" width="24.25" bestFit="1" customWidth="1"/>
    <col min="2" max="2" width="11.5" bestFit="1" customWidth="1"/>
    <col min="3" max="3" width="13.75" bestFit="1" customWidth="1"/>
    <col min="4" max="4" width="21.25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</row>
    <row r="2" spans="1:5">
      <c r="A2" s="8" t="s">
        <v>5</v>
      </c>
      <c r="B2" s="8" t="s">
        <v>6</v>
      </c>
      <c r="C2" s="8" t="s">
        <v>7</v>
      </c>
      <c r="D2" s="8" t="s">
        <v>8</v>
      </c>
    </row>
    <row r="3" spans="1:5" s="18" customFormat="1">
      <c r="A3" s="17" t="s">
        <v>9</v>
      </c>
    </row>
    <row r="4" spans="1:5">
      <c r="A4" t="s">
        <v>10</v>
      </c>
      <c r="C4">
        <v>2024</v>
      </c>
    </row>
    <row r="5" spans="1:5">
      <c r="A5" t="s">
        <v>11</v>
      </c>
      <c r="C5" s="12">
        <v>0.02</v>
      </c>
    </row>
    <row r="6" spans="1:5">
      <c r="A6" t="s">
        <v>12</v>
      </c>
      <c r="C6" s="15">
        <v>7.0000000000000007E-2</v>
      </c>
    </row>
    <row r="7" spans="1:5">
      <c r="A7" t="s">
        <v>13</v>
      </c>
      <c r="C7" s="16">
        <v>0.9</v>
      </c>
    </row>
    <row r="8" spans="1:5" s="18" customFormat="1">
      <c r="A8" s="17" t="s">
        <v>14</v>
      </c>
    </row>
    <row r="9" spans="1:5">
      <c r="A9" s="5" t="s">
        <v>15</v>
      </c>
      <c r="B9">
        <v>2024</v>
      </c>
      <c r="C9" cm="1">
        <f t="array" ref="C9">_xlfn.IFS($D$1 = "Low Electricity and CO2", Electricity!F30, $D$1 = "Reference",'Standard Input Calculations'!E13, $D$1="High Electricity and CO2",Electricity!F34)</f>
        <v>64</v>
      </c>
      <c r="D9" t="s">
        <v>16</v>
      </c>
    </row>
    <row r="10" spans="1:5">
      <c r="A10" s="5" t="s">
        <v>15</v>
      </c>
      <c r="B10">
        <v>2050</v>
      </c>
      <c r="C10">
        <v>39</v>
      </c>
      <c r="D10" t="s">
        <v>16</v>
      </c>
      <c r="E10" t="s">
        <v>17</v>
      </c>
    </row>
    <row r="11" spans="1:5" s="18" customFormat="1">
      <c r="A11" s="17" t="s">
        <v>18</v>
      </c>
    </row>
    <row r="12" spans="1:5">
      <c r="A12" t="s">
        <v>19</v>
      </c>
      <c r="B12">
        <v>2024</v>
      </c>
      <c r="C12">
        <f>'Standard Input Calculations'!C63</f>
        <v>88.7</v>
      </c>
      <c r="D12" t="s">
        <v>20</v>
      </c>
    </row>
    <row r="13" spans="1:5">
      <c r="A13" t="s">
        <v>19</v>
      </c>
      <c r="B13">
        <v>2050</v>
      </c>
      <c r="C13">
        <f>'Standard Input Calculations'!D63</f>
        <v>88.7</v>
      </c>
      <c r="D13" t="s">
        <v>20</v>
      </c>
    </row>
    <row r="14" spans="1:5">
      <c r="A14" t="s">
        <v>21</v>
      </c>
      <c r="C14">
        <f>'Standard Input Calculations'!C110</f>
        <v>43.2</v>
      </c>
      <c r="D14" t="s">
        <v>22</v>
      </c>
    </row>
    <row r="15" spans="1:5">
      <c r="A15" t="s">
        <v>21</v>
      </c>
      <c r="C15" s="16">
        <f>C14*C16</f>
        <v>34.689600000000006</v>
      </c>
      <c r="D15" t="s">
        <v>23</v>
      </c>
    </row>
    <row r="16" spans="1:5">
      <c r="A16" t="s">
        <v>24</v>
      </c>
      <c r="C16">
        <f>'Standard Input Calculations'!C111</f>
        <v>0.80300000000000005</v>
      </c>
      <c r="D16" t="s">
        <v>25</v>
      </c>
    </row>
    <row r="17" spans="1:5">
      <c r="A17" t="s">
        <v>26</v>
      </c>
      <c r="B17">
        <v>2024</v>
      </c>
      <c r="C17" s="16">
        <f>'Standard Input Calculations'!C73</f>
        <v>0.8</v>
      </c>
      <c r="D17" t="s">
        <v>27</v>
      </c>
    </row>
    <row r="18" spans="1:5" s="18" customFormat="1">
      <c r="A18" s="17" t="s">
        <v>28</v>
      </c>
    </row>
    <row r="19" spans="1:5">
      <c r="A19" s="5" t="s">
        <v>26</v>
      </c>
      <c r="B19">
        <v>2050</v>
      </c>
      <c r="C19" s="16">
        <v>0.8</v>
      </c>
      <c r="D19" t="s">
        <v>27</v>
      </c>
      <c r="E19" t="s">
        <v>29</v>
      </c>
    </row>
    <row r="20" spans="1:5" s="14" customFormat="1">
      <c r="A20" s="19" t="s">
        <v>30</v>
      </c>
    </row>
    <row r="21" spans="1:5">
      <c r="A21" t="s">
        <v>26</v>
      </c>
      <c r="B21">
        <v>2024</v>
      </c>
      <c r="C21" s="16">
        <f>'Standard Input Calculations'!D103</f>
        <v>0.32246153846153797</v>
      </c>
      <c r="D21" t="s">
        <v>27</v>
      </c>
    </row>
    <row r="22" spans="1:5">
      <c r="A22" t="s">
        <v>26</v>
      </c>
      <c r="B22">
        <v>2050</v>
      </c>
      <c r="C22" s="16">
        <f>'Standard Input Calculations'!E103</f>
        <v>0.20923076923076925</v>
      </c>
      <c r="D22" t="s">
        <v>27</v>
      </c>
    </row>
    <row r="23" spans="1:5" s="14" customFormat="1">
      <c r="A23" s="19" t="s">
        <v>31</v>
      </c>
    </row>
    <row r="24" spans="1:5">
      <c r="A24" t="s">
        <v>26</v>
      </c>
      <c r="B24">
        <v>2024</v>
      </c>
      <c r="C24" s="16">
        <f>'Standard Input Calculations'!D104</f>
        <v>1.0209014091790563</v>
      </c>
      <c r="D24" t="s">
        <v>27</v>
      </c>
    </row>
    <row r="25" spans="1:5">
      <c r="A25" t="s">
        <v>26</v>
      </c>
      <c r="B25">
        <v>2050</v>
      </c>
      <c r="C25" s="16">
        <f>'Standard Input Calculations'!E104</f>
        <v>2.0095593639301876</v>
      </c>
      <c r="D25" t="s">
        <v>27</v>
      </c>
    </row>
    <row r="26" spans="1:5" s="14" customFormat="1">
      <c r="A26" s="19" t="s">
        <v>32</v>
      </c>
    </row>
    <row r="27" spans="1:5">
      <c r="A27" t="s">
        <v>26</v>
      </c>
      <c r="B27">
        <v>2024</v>
      </c>
      <c r="C27" s="16">
        <f>'Standard Input Calculations'!D106</f>
        <v>0.4828683335488041</v>
      </c>
      <c r="D27" t="s">
        <v>27</v>
      </c>
    </row>
    <row r="28" spans="1:5">
      <c r="A28" t="s">
        <v>26</v>
      </c>
      <c r="B28">
        <v>2050</v>
      </c>
      <c r="C28" s="16">
        <f>'Standard Input Calculations'!E106</f>
        <v>0.89646574789915967</v>
      </c>
      <c r="D28" t="s">
        <v>27</v>
      </c>
    </row>
    <row r="29" spans="1:5" s="14" customFormat="1">
      <c r="A29" s="19" t="s">
        <v>33</v>
      </c>
    </row>
    <row r="30" spans="1:5">
      <c r="A30" t="s">
        <v>26</v>
      </c>
      <c r="B30">
        <v>2024</v>
      </c>
      <c r="C30" s="16">
        <f>'Standard Input Calculations'!D105</f>
        <v>1.8838712863606983</v>
      </c>
      <c r="D30" t="s">
        <v>27</v>
      </c>
    </row>
    <row r="31" spans="1:5">
      <c r="A31" t="s">
        <v>26</v>
      </c>
      <c r="B31">
        <v>2050</v>
      </c>
      <c r="C31" s="16">
        <f>'Standard Input Calculations'!E105</f>
        <v>3.7893730833872015</v>
      </c>
      <c r="D31" t="s">
        <v>27</v>
      </c>
    </row>
    <row r="32" spans="1:5" s="18" customFormat="1">
      <c r="A32" s="17" t="s">
        <v>34</v>
      </c>
    </row>
    <row r="33" spans="1:5">
      <c r="A33" t="s">
        <v>35</v>
      </c>
      <c r="B33">
        <v>2024</v>
      </c>
      <c r="C33" s="16">
        <f>'Standard Input Calculations'!C52</f>
        <v>440</v>
      </c>
      <c r="D33" t="s">
        <v>36</v>
      </c>
      <c r="E33" t="s">
        <v>37</v>
      </c>
    </row>
    <row r="34" spans="1:5">
      <c r="A34" t="s">
        <v>35</v>
      </c>
      <c r="B34">
        <v>2050</v>
      </c>
      <c r="C34" s="16">
        <f>'Standard Input Calculations'!D52</f>
        <v>235</v>
      </c>
      <c r="D34" t="s">
        <v>36</v>
      </c>
      <c r="E34" t="s">
        <v>37</v>
      </c>
    </row>
  </sheetData>
  <dataValidations disablePrompts="1" count="2">
    <dataValidation type="list" allowBlank="1" showInputMessage="1" showErrorMessage="1" sqref="B1" xr:uid="{CC785AC3-3298-FF43-BBAD-0346DED382E6}">
      <formula1>"Low Oil Price, Reference Oil Price, High Oil Price"</formula1>
    </dataValidation>
    <dataValidation type="list" allowBlank="1" showInputMessage="1" showErrorMessage="1" sqref="D1" xr:uid="{DAC6C1CE-BDB7-2D4B-BC09-5D2319410943}">
      <formula1>"Reference, Low Electricity and CO2, High Electricity and CO2"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155D-2A55-0744-BB3C-78DAEE3CB015}">
  <dimension ref="A1:AN40"/>
  <sheetViews>
    <sheetView workbookViewId="0">
      <selection activeCell="G14" sqref="G14"/>
    </sheetView>
  </sheetViews>
  <sheetFormatPr defaultColWidth="8.75" defaultRowHeight="15.6"/>
  <cols>
    <col min="1" max="1" width="23.25" customWidth="1"/>
    <col min="2" max="2" width="20.25" customWidth="1"/>
    <col min="3" max="3" width="21" customWidth="1"/>
    <col min="35" max="35" width="8.75" style="109"/>
    <col min="36" max="36" width="17.25" style="99" customWidth="1"/>
    <col min="37" max="37" width="13.75" customWidth="1"/>
  </cols>
  <sheetData>
    <row r="1" spans="1:38">
      <c r="A1" s="89" t="s">
        <v>38</v>
      </c>
      <c r="B1" s="89" t="s">
        <v>39</v>
      </c>
      <c r="C1" s="89" t="s">
        <v>40</v>
      </c>
      <c r="D1" s="89">
        <v>2022</v>
      </c>
      <c r="E1" s="89">
        <v>2023</v>
      </c>
      <c r="F1" s="89">
        <v>2024</v>
      </c>
      <c r="G1" s="89">
        <v>2025</v>
      </c>
      <c r="H1" s="89">
        <v>2026</v>
      </c>
      <c r="I1" s="89">
        <v>2027</v>
      </c>
      <c r="J1" s="89">
        <v>2028</v>
      </c>
      <c r="K1" s="89">
        <v>2029</v>
      </c>
      <c r="L1" s="89">
        <v>2030</v>
      </c>
      <c r="M1" s="89">
        <v>2031</v>
      </c>
      <c r="N1" s="89">
        <v>2032</v>
      </c>
      <c r="O1" s="89">
        <v>2033</v>
      </c>
      <c r="P1" s="89">
        <v>2034</v>
      </c>
      <c r="Q1" s="89">
        <v>2035</v>
      </c>
      <c r="R1" s="89">
        <v>2036</v>
      </c>
      <c r="S1" s="89">
        <v>2037</v>
      </c>
      <c r="T1" s="89">
        <v>2038</v>
      </c>
      <c r="U1" s="89">
        <v>2039</v>
      </c>
      <c r="V1" s="89">
        <v>2040</v>
      </c>
      <c r="W1" s="89">
        <v>2041</v>
      </c>
      <c r="X1" s="89">
        <v>2042</v>
      </c>
      <c r="Y1" s="89">
        <v>2043</v>
      </c>
      <c r="Z1" s="89">
        <v>2044</v>
      </c>
      <c r="AA1" s="89">
        <v>2045</v>
      </c>
      <c r="AB1" s="89">
        <v>2046</v>
      </c>
      <c r="AC1" s="89">
        <v>2047</v>
      </c>
      <c r="AD1" s="89">
        <v>2048</v>
      </c>
      <c r="AE1" s="89">
        <v>2049</v>
      </c>
      <c r="AF1" s="89">
        <v>2050</v>
      </c>
      <c r="AG1" s="90" t="s">
        <v>41</v>
      </c>
      <c r="AH1" s="90" t="s">
        <v>42</v>
      </c>
      <c r="AI1" s="90" t="s">
        <v>43</v>
      </c>
      <c r="AJ1" s="91" t="s">
        <v>44</v>
      </c>
      <c r="AK1" s="90" t="s">
        <v>45</v>
      </c>
      <c r="AL1" s="90" t="s">
        <v>41</v>
      </c>
    </row>
    <row r="2" spans="1:38">
      <c r="A2" s="92" t="s">
        <v>46</v>
      </c>
      <c r="B2" s="92" t="s">
        <v>47</v>
      </c>
      <c r="C2" s="92" t="s">
        <v>48</v>
      </c>
      <c r="D2" s="92">
        <v>111</v>
      </c>
      <c r="E2" s="92">
        <v>97</v>
      </c>
      <c r="F2" s="92">
        <v>84</v>
      </c>
      <c r="G2" s="92">
        <v>75</v>
      </c>
      <c r="H2" s="92">
        <v>68</v>
      </c>
      <c r="I2" s="92">
        <v>62</v>
      </c>
      <c r="J2" s="92">
        <v>58</v>
      </c>
      <c r="K2" s="92">
        <v>55</v>
      </c>
      <c r="L2" s="92">
        <v>53</v>
      </c>
      <c r="M2" s="92">
        <v>50</v>
      </c>
      <c r="N2" s="92">
        <v>48</v>
      </c>
      <c r="O2" s="92">
        <v>47</v>
      </c>
      <c r="P2" s="92">
        <v>45</v>
      </c>
      <c r="Q2" s="92">
        <v>44</v>
      </c>
      <c r="R2" s="92">
        <v>43</v>
      </c>
      <c r="S2" s="92">
        <v>43</v>
      </c>
      <c r="T2" s="92">
        <v>42</v>
      </c>
      <c r="U2" s="92">
        <v>41</v>
      </c>
      <c r="V2" s="92">
        <v>41</v>
      </c>
      <c r="W2" s="92">
        <v>41</v>
      </c>
      <c r="X2" s="92">
        <v>40</v>
      </c>
      <c r="Y2" s="92">
        <v>41</v>
      </c>
      <c r="Z2" s="92">
        <v>40</v>
      </c>
      <c r="AA2" s="92">
        <v>40</v>
      </c>
      <c r="AB2" s="92">
        <v>40</v>
      </c>
      <c r="AC2" s="92">
        <v>39</v>
      </c>
      <c r="AD2" s="92">
        <v>40</v>
      </c>
      <c r="AE2" s="92">
        <v>39</v>
      </c>
      <c r="AF2" s="92">
        <v>39</v>
      </c>
      <c r="AG2" s="93" t="s">
        <v>49</v>
      </c>
      <c r="AH2" s="94" t="s">
        <v>50</v>
      </c>
      <c r="AI2" s="95" t="s">
        <v>51</v>
      </c>
      <c r="AJ2" s="96">
        <f>15.3/1000</f>
        <v>1.5300000000000001E-2</v>
      </c>
      <c r="AK2" s="97" t="s">
        <v>52</v>
      </c>
      <c r="AL2" s="97" t="s">
        <v>53</v>
      </c>
    </row>
    <row r="3" spans="1:38">
      <c r="A3" s="98" t="s">
        <v>54</v>
      </c>
      <c r="B3" s="98" t="s">
        <v>55</v>
      </c>
      <c r="C3" s="98" t="s">
        <v>48</v>
      </c>
      <c r="D3" s="98">
        <v>47</v>
      </c>
      <c r="E3" s="98">
        <v>48</v>
      </c>
      <c r="F3" s="98">
        <v>48</v>
      </c>
      <c r="G3" s="98">
        <v>48</v>
      </c>
      <c r="H3" s="98">
        <v>49</v>
      </c>
      <c r="I3" s="98">
        <v>49</v>
      </c>
      <c r="J3" s="98">
        <v>50</v>
      </c>
      <c r="K3" s="98">
        <v>51</v>
      </c>
      <c r="L3" s="98">
        <v>51</v>
      </c>
      <c r="M3" s="98">
        <v>52</v>
      </c>
      <c r="N3" s="98">
        <v>52</v>
      </c>
      <c r="O3" s="98">
        <v>53</v>
      </c>
      <c r="P3" s="98">
        <v>53</v>
      </c>
      <c r="Q3" s="98">
        <v>54</v>
      </c>
      <c r="R3" s="98">
        <v>54</v>
      </c>
      <c r="S3" s="98">
        <v>54</v>
      </c>
      <c r="T3" s="98">
        <v>55</v>
      </c>
      <c r="U3" s="98">
        <v>55</v>
      </c>
      <c r="V3" s="98">
        <v>56</v>
      </c>
      <c r="W3" s="98">
        <v>56</v>
      </c>
      <c r="X3" s="98">
        <v>56</v>
      </c>
      <c r="Y3" s="98">
        <v>56</v>
      </c>
      <c r="Z3" s="98">
        <v>57</v>
      </c>
      <c r="AA3" s="98">
        <v>57</v>
      </c>
      <c r="AB3" s="98">
        <v>57</v>
      </c>
      <c r="AC3" s="98">
        <v>57</v>
      </c>
      <c r="AD3" s="98">
        <v>57</v>
      </c>
      <c r="AE3" s="98">
        <v>57</v>
      </c>
      <c r="AF3" s="98">
        <v>57</v>
      </c>
      <c r="AG3" s="93" t="s">
        <v>49</v>
      </c>
      <c r="AH3" s="94" t="s">
        <v>50</v>
      </c>
      <c r="AI3" s="95" t="s">
        <v>51</v>
      </c>
    </row>
    <row r="4" spans="1:38">
      <c r="A4" s="98" t="s">
        <v>56</v>
      </c>
      <c r="B4" s="98" t="s">
        <v>57</v>
      </c>
      <c r="C4" s="98" t="s">
        <v>48</v>
      </c>
      <c r="D4" s="98">
        <v>151</v>
      </c>
      <c r="E4" s="98">
        <v>141</v>
      </c>
      <c r="F4" s="98">
        <v>132</v>
      </c>
      <c r="G4" s="98">
        <v>121</v>
      </c>
      <c r="H4" s="98">
        <v>112</v>
      </c>
      <c r="I4" s="98">
        <v>102</v>
      </c>
      <c r="J4" s="98">
        <v>92</v>
      </c>
      <c r="K4" s="98">
        <v>82</v>
      </c>
      <c r="L4" s="98">
        <v>72</v>
      </c>
      <c r="M4" s="98">
        <v>73</v>
      </c>
      <c r="N4" s="98">
        <v>74</v>
      </c>
      <c r="O4" s="98">
        <v>74</v>
      </c>
      <c r="P4" s="98">
        <v>75</v>
      </c>
      <c r="Q4" s="98">
        <v>75</v>
      </c>
      <c r="R4" s="98">
        <v>76</v>
      </c>
      <c r="S4" s="98">
        <v>76</v>
      </c>
      <c r="T4" s="98">
        <v>77</v>
      </c>
      <c r="U4" s="98">
        <v>77</v>
      </c>
      <c r="V4" s="98">
        <v>77</v>
      </c>
      <c r="W4" s="98">
        <v>78</v>
      </c>
      <c r="X4" s="98">
        <v>78</v>
      </c>
      <c r="Y4" s="98">
        <v>79</v>
      </c>
      <c r="Z4" s="98">
        <v>79</v>
      </c>
      <c r="AA4" s="98">
        <v>79</v>
      </c>
      <c r="AB4" s="98">
        <v>79</v>
      </c>
      <c r="AC4" s="98">
        <v>79</v>
      </c>
      <c r="AD4" s="98">
        <v>79</v>
      </c>
      <c r="AE4" s="98">
        <v>79</v>
      </c>
      <c r="AF4" s="98">
        <v>79</v>
      </c>
      <c r="AG4" s="93" t="s">
        <v>49</v>
      </c>
      <c r="AH4" s="94" t="s">
        <v>50</v>
      </c>
      <c r="AI4" s="95" t="s">
        <v>51</v>
      </c>
    </row>
    <row r="5" spans="1:38">
      <c r="A5" s="98" t="s">
        <v>58</v>
      </c>
      <c r="B5" s="98" t="s">
        <v>57</v>
      </c>
      <c r="C5" s="98" t="s">
        <v>48</v>
      </c>
      <c r="D5" s="98">
        <v>152</v>
      </c>
      <c r="E5" s="98">
        <v>141</v>
      </c>
      <c r="F5" s="98">
        <v>130</v>
      </c>
      <c r="G5" s="98">
        <v>120</v>
      </c>
      <c r="H5" s="98">
        <v>112</v>
      </c>
      <c r="I5" s="98">
        <v>104</v>
      </c>
      <c r="J5" s="98">
        <v>98</v>
      </c>
      <c r="K5" s="98">
        <v>93</v>
      </c>
      <c r="L5" s="98">
        <v>89</v>
      </c>
      <c r="M5" s="98">
        <v>86</v>
      </c>
      <c r="N5" s="98">
        <v>83</v>
      </c>
      <c r="O5" s="98">
        <v>81</v>
      </c>
      <c r="P5" s="98">
        <v>78</v>
      </c>
      <c r="Q5" s="98">
        <v>76</v>
      </c>
      <c r="R5" s="98">
        <v>74</v>
      </c>
      <c r="S5" s="98">
        <v>72</v>
      </c>
      <c r="T5" s="98">
        <v>71</v>
      </c>
      <c r="U5" s="98">
        <v>70</v>
      </c>
      <c r="V5" s="98">
        <v>69</v>
      </c>
      <c r="W5" s="98">
        <v>68</v>
      </c>
      <c r="X5" s="98">
        <v>68</v>
      </c>
      <c r="Y5" s="98">
        <v>67</v>
      </c>
      <c r="Z5" s="98">
        <v>67</v>
      </c>
      <c r="AA5" s="98">
        <v>66</v>
      </c>
      <c r="AB5" s="98">
        <v>66</v>
      </c>
      <c r="AC5" s="98">
        <v>65</v>
      </c>
      <c r="AD5" s="98">
        <v>65</v>
      </c>
      <c r="AE5" s="98">
        <v>65</v>
      </c>
      <c r="AF5" s="98">
        <v>65</v>
      </c>
      <c r="AG5" s="93" t="s">
        <v>49</v>
      </c>
      <c r="AH5" s="94" t="s">
        <v>50</v>
      </c>
      <c r="AI5" s="95" t="s">
        <v>51</v>
      </c>
    </row>
    <row r="6" spans="1:38">
      <c r="A6" s="98" t="s">
        <v>59</v>
      </c>
      <c r="B6" s="98" t="s">
        <v>57</v>
      </c>
      <c r="C6" s="98" t="s">
        <v>48</v>
      </c>
      <c r="D6" s="98">
        <v>68</v>
      </c>
      <c r="E6" s="98">
        <v>68</v>
      </c>
      <c r="F6" s="98">
        <v>68</v>
      </c>
      <c r="G6" s="98">
        <v>68</v>
      </c>
      <c r="H6" s="98">
        <v>68</v>
      </c>
      <c r="I6" s="98">
        <v>69</v>
      </c>
      <c r="J6" s="98">
        <v>70</v>
      </c>
      <c r="K6" s="98">
        <v>70</v>
      </c>
      <c r="L6" s="98">
        <v>71</v>
      </c>
      <c r="M6" s="98">
        <v>71</v>
      </c>
      <c r="N6" s="98">
        <v>72</v>
      </c>
      <c r="O6" s="98">
        <v>72</v>
      </c>
      <c r="P6" s="98">
        <v>73</v>
      </c>
      <c r="Q6" s="98">
        <v>73</v>
      </c>
      <c r="R6" s="98">
        <v>74</v>
      </c>
      <c r="S6" s="98">
        <v>74</v>
      </c>
      <c r="T6" s="98">
        <v>74</v>
      </c>
      <c r="U6" s="98">
        <v>75</v>
      </c>
      <c r="V6" s="98">
        <v>75</v>
      </c>
      <c r="W6" s="98">
        <v>76</v>
      </c>
      <c r="X6" s="98">
        <v>76</v>
      </c>
      <c r="Y6" s="98">
        <v>76</v>
      </c>
      <c r="Z6" s="98">
        <v>76</v>
      </c>
      <c r="AA6" s="98">
        <v>76</v>
      </c>
      <c r="AB6" s="98">
        <v>76</v>
      </c>
      <c r="AC6" s="98">
        <v>76</v>
      </c>
      <c r="AD6" s="98">
        <v>76</v>
      </c>
      <c r="AE6" s="98">
        <v>76</v>
      </c>
      <c r="AF6" s="98">
        <v>76</v>
      </c>
      <c r="AG6" s="93" t="s">
        <v>49</v>
      </c>
      <c r="AH6" s="94" t="s">
        <v>50</v>
      </c>
      <c r="AI6" s="95" t="s">
        <v>51</v>
      </c>
    </row>
    <row r="7" spans="1:38">
      <c r="A7" s="98" t="s">
        <v>60</v>
      </c>
      <c r="B7" s="98" t="s">
        <v>57</v>
      </c>
      <c r="C7" s="98" t="s">
        <v>48</v>
      </c>
      <c r="D7" s="98">
        <v>259</v>
      </c>
      <c r="E7" s="98">
        <v>246</v>
      </c>
      <c r="F7" s="98">
        <v>231</v>
      </c>
      <c r="G7" s="98">
        <v>212</v>
      </c>
      <c r="H7" s="98">
        <v>194</v>
      </c>
      <c r="I7" s="98">
        <v>175</v>
      </c>
      <c r="J7" s="98">
        <v>154</v>
      </c>
      <c r="K7" s="98">
        <v>133</v>
      </c>
      <c r="L7" s="98">
        <v>112</v>
      </c>
      <c r="M7" s="98">
        <v>113</v>
      </c>
      <c r="N7" s="98">
        <v>114</v>
      </c>
      <c r="O7" s="98">
        <v>115</v>
      </c>
      <c r="P7" s="98">
        <v>115</v>
      </c>
      <c r="Q7" s="98">
        <v>116</v>
      </c>
      <c r="R7" s="98">
        <v>117</v>
      </c>
      <c r="S7" s="98">
        <v>117</v>
      </c>
      <c r="T7" s="98">
        <v>118</v>
      </c>
      <c r="U7" s="98">
        <v>119</v>
      </c>
      <c r="V7" s="98">
        <v>119</v>
      </c>
      <c r="W7" s="98">
        <v>120</v>
      </c>
      <c r="X7" s="98">
        <v>120</v>
      </c>
      <c r="Y7" s="98">
        <v>120</v>
      </c>
      <c r="Z7" s="98">
        <v>120</v>
      </c>
      <c r="AA7" s="98">
        <v>120</v>
      </c>
      <c r="AB7" s="98">
        <v>120</v>
      </c>
      <c r="AC7" s="98">
        <v>120</v>
      </c>
      <c r="AD7" s="98">
        <v>120</v>
      </c>
      <c r="AE7" s="98">
        <v>120</v>
      </c>
      <c r="AF7" s="98">
        <v>120</v>
      </c>
      <c r="AG7" s="93" t="s">
        <v>49</v>
      </c>
      <c r="AH7" s="94" t="s">
        <v>50</v>
      </c>
      <c r="AI7" s="95" t="s">
        <v>51</v>
      </c>
    </row>
    <row r="8" spans="1:38">
      <c r="A8" s="98" t="s">
        <v>61</v>
      </c>
      <c r="B8" s="98" t="s">
        <v>57</v>
      </c>
      <c r="C8" s="98" t="s">
        <v>48</v>
      </c>
      <c r="D8" s="98">
        <v>96</v>
      </c>
      <c r="E8" s="98">
        <v>98</v>
      </c>
      <c r="F8" s="98">
        <v>99</v>
      </c>
      <c r="G8" s="98">
        <v>101</v>
      </c>
      <c r="H8" s="98">
        <v>102</v>
      </c>
      <c r="I8" s="98">
        <v>103</v>
      </c>
      <c r="J8" s="98">
        <v>104</v>
      </c>
      <c r="K8" s="98">
        <v>105</v>
      </c>
      <c r="L8" s="98">
        <v>106</v>
      </c>
      <c r="M8" s="98">
        <v>107</v>
      </c>
      <c r="N8" s="98">
        <v>108</v>
      </c>
      <c r="O8" s="98">
        <v>109</v>
      </c>
      <c r="P8" s="98">
        <v>109</v>
      </c>
      <c r="Q8" s="98">
        <v>110</v>
      </c>
      <c r="R8" s="98">
        <v>111</v>
      </c>
      <c r="S8" s="98">
        <v>112</v>
      </c>
      <c r="T8" s="98">
        <v>112</v>
      </c>
      <c r="U8" s="98">
        <v>113</v>
      </c>
      <c r="V8" s="98">
        <v>114</v>
      </c>
      <c r="W8" s="98">
        <v>114</v>
      </c>
      <c r="X8" s="98">
        <v>114</v>
      </c>
      <c r="Y8" s="98">
        <v>115</v>
      </c>
      <c r="Z8" s="98">
        <v>115</v>
      </c>
      <c r="AA8" s="98">
        <v>115</v>
      </c>
      <c r="AB8" s="98">
        <v>116</v>
      </c>
      <c r="AC8" s="98">
        <v>116</v>
      </c>
      <c r="AD8" s="98">
        <v>116</v>
      </c>
      <c r="AE8" s="98">
        <v>116</v>
      </c>
      <c r="AF8" s="98">
        <v>116</v>
      </c>
      <c r="AG8" s="93" t="s">
        <v>49</v>
      </c>
      <c r="AH8" s="94" t="s">
        <v>50</v>
      </c>
      <c r="AI8" s="95" t="s">
        <v>51</v>
      </c>
    </row>
    <row r="9" spans="1:38">
      <c r="A9" s="98" t="s">
        <v>62</v>
      </c>
      <c r="B9" s="98" t="s">
        <v>57</v>
      </c>
      <c r="C9" s="98" t="s">
        <v>48</v>
      </c>
      <c r="D9" s="98">
        <v>455</v>
      </c>
      <c r="E9" s="98">
        <v>432</v>
      </c>
      <c r="F9" s="98">
        <v>401</v>
      </c>
      <c r="G9" s="98">
        <v>366</v>
      </c>
      <c r="H9" s="98">
        <v>330</v>
      </c>
      <c r="I9" s="98">
        <v>293</v>
      </c>
      <c r="J9" s="98">
        <v>255</v>
      </c>
      <c r="K9" s="98">
        <v>216</v>
      </c>
      <c r="L9" s="98">
        <v>176</v>
      </c>
      <c r="M9" s="98">
        <v>178</v>
      </c>
      <c r="N9" s="98">
        <v>179</v>
      </c>
      <c r="O9" s="98">
        <v>180</v>
      </c>
      <c r="P9" s="98">
        <v>181</v>
      </c>
      <c r="Q9" s="98">
        <v>182</v>
      </c>
      <c r="R9" s="98">
        <v>183</v>
      </c>
      <c r="S9" s="98">
        <v>184</v>
      </c>
      <c r="T9" s="98">
        <v>185</v>
      </c>
      <c r="U9" s="98">
        <v>186</v>
      </c>
      <c r="V9" s="98">
        <v>187</v>
      </c>
      <c r="W9" s="98">
        <v>188</v>
      </c>
      <c r="X9" s="98">
        <v>188</v>
      </c>
      <c r="Y9" s="98">
        <v>189</v>
      </c>
      <c r="Z9" s="98">
        <v>189</v>
      </c>
      <c r="AA9" s="98">
        <v>189</v>
      </c>
      <c r="AB9" s="98">
        <v>189</v>
      </c>
      <c r="AC9" s="98">
        <v>190</v>
      </c>
      <c r="AD9" s="98">
        <v>190</v>
      </c>
      <c r="AE9" s="98">
        <v>190</v>
      </c>
      <c r="AF9" s="98">
        <v>190</v>
      </c>
      <c r="AG9" s="93" t="s">
        <v>49</v>
      </c>
      <c r="AH9" s="94" t="s">
        <v>50</v>
      </c>
      <c r="AI9" s="95" t="s">
        <v>51</v>
      </c>
    </row>
    <row r="10" spans="1:38">
      <c r="A10" s="98" t="s">
        <v>63</v>
      </c>
      <c r="B10" s="98" t="s">
        <v>57</v>
      </c>
      <c r="C10" s="98" t="s">
        <v>48</v>
      </c>
      <c r="D10" s="98">
        <v>235</v>
      </c>
      <c r="E10" s="98">
        <v>224</v>
      </c>
      <c r="F10" s="98">
        <v>213</v>
      </c>
      <c r="G10" s="98">
        <v>202</v>
      </c>
      <c r="H10" s="98">
        <v>192</v>
      </c>
      <c r="I10" s="98">
        <v>184</v>
      </c>
      <c r="J10" s="98">
        <v>176</v>
      </c>
      <c r="K10" s="98">
        <v>170</v>
      </c>
      <c r="L10" s="98">
        <v>166</v>
      </c>
      <c r="M10" s="98">
        <v>161</v>
      </c>
      <c r="N10" s="98">
        <v>158</v>
      </c>
      <c r="O10" s="98">
        <v>154</v>
      </c>
      <c r="P10" s="98">
        <v>150</v>
      </c>
      <c r="Q10" s="98">
        <v>146</v>
      </c>
      <c r="R10" s="98">
        <v>142</v>
      </c>
      <c r="S10" s="98">
        <v>139</v>
      </c>
      <c r="T10" s="98">
        <v>137</v>
      </c>
      <c r="U10" s="98">
        <v>136</v>
      </c>
      <c r="V10" s="98">
        <v>134</v>
      </c>
      <c r="W10" s="98">
        <v>134</v>
      </c>
      <c r="X10" s="98">
        <v>133</v>
      </c>
      <c r="Y10" s="98">
        <v>132</v>
      </c>
      <c r="Z10" s="98">
        <v>131</v>
      </c>
      <c r="AA10" s="98">
        <v>131</v>
      </c>
      <c r="AB10" s="98">
        <v>130</v>
      </c>
      <c r="AC10" s="98">
        <v>130</v>
      </c>
      <c r="AD10" s="98">
        <v>130</v>
      </c>
      <c r="AE10" s="98">
        <v>129</v>
      </c>
      <c r="AF10" s="98">
        <v>129</v>
      </c>
      <c r="AG10" s="93" t="s">
        <v>49</v>
      </c>
      <c r="AH10" s="94" t="s">
        <v>50</v>
      </c>
      <c r="AI10" s="95" t="s">
        <v>51</v>
      </c>
    </row>
    <row r="11" spans="1:38">
      <c r="A11" s="98" t="s">
        <v>64</v>
      </c>
      <c r="B11" s="98" t="s">
        <v>57</v>
      </c>
      <c r="C11" s="98" t="s">
        <v>48</v>
      </c>
      <c r="D11" s="98">
        <v>39</v>
      </c>
      <c r="E11" s="98">
        <v>35</v>
      </c>
      <c r="F11" s="98">
        <v>33</v>
      </c>
      <c r="G11" s="98">
        <v>29</v>
      </c>
      <c r="H11" s="98">
        <v>28</v>
      </c>
      <c r="I11" s="98">
        <v>27</v>
      </c>
      <c r="J11" s="98">
        <v>27</v>
      </c>
      <c r="K11" s="98">
        <v>25</v>
      </c>
      <c r="L11" s="98">
        <v>23</v>
      </c>
      <c r="M11" s="98">
        <v>21</v>
      </c>
      <c r="N11" s="98">
        <v>19</v>
      </c>
      <c r="O11" s="98">
        <v>19</v>
      </c>
      <c r="P11" s="98">
        <v>18</v>
      </c>
      <c r="Q11" s="98">
        <v>18</v>
      </c>
      <c r="R11" s="98">
        <v>17</v>
      </c>
      <c r="S11" s="98">
        <v>17</v>
      </c>
      <c r="T11" s="98">
        <v>16</v>
      </c>
      <c r="U11" s="98">
        <v>16</v>
      </c>
      <c r="V11" s="98">
        <v>16</v>
      </c>
      <c r="W11" s="98">
        <v>15</v>
      </c>
      <c r="X11" s="98">
        <v>15</v>
      </c>
      <c r="Y11" s="98">
        <v>15</v>
      </c>
      <c r="Z11" s="98">
        <v>14</v>
      </c>
      <c r="AA11" s="98">
        <v>14</v>
      </c>
      <c r="AB11" s="98">
        <v>14</v>
      </c>
      <c r="AC11" s="98">
        <v>14</v>
      </c>
      <c r="AD11" s="98">
        <v>13</v>
      </c>
      <c r="AE11" s="98">
        <v>13</v>
      </c>
      <c r="AF11" s="98">
        <v>13</v>
      </c>
      <c r="AG11" s="93" t="s">
        <v>49</v>
      </c>
      <c r="AH11" s="94" t="s">
        <v>50</v>
      </c>
      <c r="AI11" s="95" t="s">
        <v>51</v>
      </c>
    </row>
    <row r="12" spans="1:38">
      <c r="A12" s="98" t="s">
        <v>65</v>
      </c>
      <c r="B12" s="98" t="s">
        <v>57</v>
      </c>
      <c r="C12" s="98" t="s">
        <v>48</v>
      </c>
      <c r="D12" s="98">
        <v>58</v>
      </c>
      <c r="E12" s="98">
        <v>51</v>
      </c>
      <c r="F12" s="98">
        <v>47</v>
      </c>
      <c r="G12" s="98">
        <v>42</v>
      </c>
      <c r="H12" s="98">
        <v>40</v>
      </c>
      <c r="I12" s="98">
        <v>37</v>
      </c>
      <c r="J12" s="98">
        <v>36</v>
      </c>
      <c r="K12" s="98">
        <v>33</v>
      </c>
      <c r="L12" s="98">
        <v>31</v>
      </c>
      <c r="M12" s="98">
        <v>29</v>
      </c>
      <c r="N12" s="98">
        <v>27</v>
      </c>
      <c r="O12" s="98">
        <v>26</v>
      </c>
      <c r="P12" s="98">
        <v>26</v>
      </c>
      <c r="Q12" s="98">
        <v>25</v>
      </c>
      <c r="R12" s="98">
        <v>25</v>
      </c>
      <c r="S12" s="98">
        <v>24</v>
      </c>
      <c r="T12" s="98">
        <v>24</v>
      </c>
      <c r="U12" s="98">
        <v>23</v>
      </c>
      <c r="V12" s="98">
        <v>23</v>
      </c>
      <c r="W12" s="98">
        <v>22</v>
      </c>
      <c r="X12" s="98">
        <v>22</v>
      </c>
      <c r="Y12" s="98">
        <v>22</v>
      </c>
      <c r="Z12" s="98">
        <v>22</v>
      </c>
      <c r="AA12" s="98">
        <v>21</v>
      </c>
      <c r="AB12" s="98">
        <v>21</v>
      </c>
      <c r="AC12" s="98">
        <v>21</v>
      </c>
      <c r="AD12" s="98">
        <v>21</v>
      </c>
      <c r="AE12" s="98">
        <v>20</v>
      </c>
      <c r="AF12" s="98">
        <v>20</v>
      </c>
      <c r="AG12" s="93" t="s">
        <v>49</v>
      </c>
      <c r="AH12" s="94" t="s">
        <v>50</v>
      </c>
      <c r="AI12" s="95" t="s">
        <v>51</v>
      </c>
    </row>
    <row r="13" spans="1:38">
      <c r="A13" s="98" t="s">
        <v>66</v>
      </c>
      <c r="B13" s="98" t="s">
        <v>57</v>
      </c>
      <c r="C13" s="98" t="s">
        <v>48</v>
      </c>
      <c r="D13" s="98">
        <v>34</v>
      </c>
      <c r="E13" s="98">
        <v>31</v>
      </c>
      <c r="F13" s="98">
        <v>28</v>
      </c>
      <c r="G13" s="98">
        <v>25</v>
      </c>
      <c r="H13" s="98">
        <v>25</v>
      </c>
      <c r="I13" s="98">
        <v>24</v>
      </c>
      <c r="J13" s="98">
        <v>23</v>
      </c>
      <c r="K13" s="98">
        <v>21</v>
      </c>
      <c r="L13" s="98">
        <v>20</v>
      </c>
      <c r="M13" s="98">
        <v>18</v>
      </c>
      <c r="N13" s="98">
        <v>17</v>
      </c>
      <c r="O13" s="98">
        <v>16</v>
      </c>
      <c r="P13" s="98">
        <v>16</v>
      </c>
      <c r="Q13" s="98">
        <v>15</v>
      </c>
      <c r="R13" s="98">
        <v>15</v>
      </c>
      <c r="S13" s="98">
        <v>15</v>
      </c>
      <c r="T13" s="98">
        <v>14</v>
      </c>
      <c r="U13" s="98">
        <v>14</v>
      </c>
      <c r="V13" s="98">
        <v>13</v>
      </c>
      <c r="W13" s="98">
        <v>13</v>
      </c>
      <c r="X13" s="98">
        <v>13</v>
      </c>
      <c r="Y13" s="98">
        <v>13</v>
      </c>
      <c r="Z13" s="98">
        <v>12</v>
      </c>
      <c r="AA13" s="98">
        <v>12</v>
      </c>
      <c r="AB13" s="98">
        <v>12</v>
      </c>
      <c r="AC13" s="98">
        <v>12</v>
      </c>
      <c r="AD13" s="98">
        <v>12</v>
      </c>
      <c r="AE13" s="98">
        <v>11</v>
      </c>
      <c r="AF13" s="98">
        <v>11</v>
      </c>
      <c r="AG13" s="93" t="s">
        <v>49</v>
      </c>
      <c r="AH13" s="94" t="s">
        <v>50</v>
      </c>
      <c r="AI13" s="95" t="s">
        <v>51</v>
      </c>
    </row>
    <row r="14" spans="1:38">
      <c r="A14" s="92" t="s">
        <v>46</v>
      </c>
      <c r="B14" s="92" t="s">
        <v>57</v>
      </c>
      <c r="C14" s="92" t="s">
        <v>48</v>
      </c>
      <c r="D14" s="100">
        <v>38.620689655172413</v>
      </c>
      <c r="E14" s="92">
        <v>44</v>
      </c>
      <c r="F14" s="92">
        <v>40</v>
      </c>
      <c r="G14" s="92">
        <v>35</v>
      </c>
      <c r="H14" s="92">
        <v>34</v>
      </c>
      <c r="I14" s="92">
        <v>32</v>
      </c>
      <c r="J14" s="92">
        <v>30</v>
      </c>
      <c r="K14" s="92">
        <v>28</v>
      </c>
      <c r="L14" s="92">
        <v>26</v>
      </c>
      <c r="M14" s="92">
        <v>25</v>
      </c>
      <c r="N14" s="92">
        <v>23</v>
      </c>
      <c r="O14" s="92">
        <v>22</v>
      </c>
      <c r="P14" s="92">
        <v>22</v>
      </c>
      <c r="Q14" s="92">
        <v>21</v>
      </c>
      <c r="R14" s="92">
        <v>21</v>
      </c>
      <c r="S14" s="92">
        <v>20</v>
      </c>
      <c r="T14" s="92">
        <v>20</v>
      </c>
      <c r="U14" s="92">
        <v>20</v>
      </c>
      <c r="V14" s="92">
        <v>19</v>
      </c>
      <c r="W14" s="92">
        <v>19</v>
      </c>
      <c r="X14" s="92">
        <v>19</v>
      </c>
      <c r="Y14" s="92">
        <v>18</v>
      </c>
      <c r="Z14" s="92">
        <v>18</v>
      </c>
      <c r="AA14" s="92">
        <v>18</v>
      </c>
      <c r="AB14" s="92">
        <v>18</v>
      </c>
      <c r="AC14" s="92">
        <v>18</v>
      </c>
      <c r="AD14" s="92">
        <v>17</v>
      </c>
      <c r="AE14" s="92">
        <v>17</v>
      </c>
      <c r="AF14" s="92">
        <v>17</v>
      </c>
      <c r="AG14" s="93" t="s">
        <v>49</v>
      </c>
      <c r="AH14" s="94" t="s">
        <v>50</v>
      </c>
      <c r="AI14" s="95" t="s">
        <v>51</v>
      </c>
      <c r="AJ14" s="96">
        <f>15.3/1000</f>
        <v>1.5300000000000001E-2</v>
      </c>
      <c r="AK14" s="97" t="s">
        <v>52</v>
      </c>
      <c r="AL14" s="97" t="s">
        <v>53</v>
      </c>
    </row>
    <row r="15" spans="1:38">
      <c r="A15" s="98" t="s">
        <v>67</v>
      </c>
      <c r="B15" s="98" t="s">
        <v>57</v>
      </c>
      <c r="C15" s="98" t="s">
        <v>48</v>
      </c>
      <c r="D15" s="98">
        <v>160</v>
      </c>
      <c r="E15" s="98">
        <v>136</v>
      </c>
      <c r="F15" s="98">
        <v>119</v>
      </c>
      <c r="G15" s="98">
        <v>106</v>
      </c>
      <c r="H15" s="98">
        <v>96</v>
      </c>
      <c r="I15" s="98">
        <v>88</v>
      </c>
      <c r="J15" s="98">
        <v>81</v>
      </c>
      <c r="K15" s="98">
        <v>78</v>
      </c>
      <c r="L15" s="98">
        <v>75</v>
      </c>
      <c r="M15" s="98">
        <v>71</v>
      </c>
      <c r="N15" s="98">
        <v>67</v>
      </c>
      <c r="O15" s="98">
        <v>65</v>
      </c>
      <c r="P15" s="98">
        <v>63</v>
      </c>
      <c r="Q15" s="98">
        <v>59</v>
      </c>
      <c r="R15" s="98">
        <v>58</v>
      </c>
      <c r="S15" s="98">
        <v>57</v>
      </c>
      <c r="T15" s="98">
        <v>56</v>
      </c>
      <c r="U15" s="98">
        <v>55</v>
      </c>
      <c r="V15" s="98">
        <v>54</v>
      </c>
      <c r="W15" s="98">
        <v>54</v>
      </c>
      <c r="X15" s="98">
        <v>54</v>
      </c>
      <c r="Y15" s="98">
        <v>54</v>
      </c>
      <c r="Z15" s="98">
        <v>54</v>
      </c>
      <c r="AA15" s="98">
        <v>54</v>
      </c>
      <c r="AB15" s="98">
        <v>54</v>
      </c>
      <c r="AC15" s="98">
        <v>54</v>
      </c>
      <c r="AD15" s="98">
        <v>54</v>
      </c>
      <c r="AE15" s="98">
        <v>54</v>
      </c>
      <c r="AF15" s="98">
        <v>54</v>
      </c>
      <c r="AG15" s="93" t="s">
        <v>49</v>
      </c>
      <c r="AH15" s="94" t="s">
        <v>50</v>
      </c>
      <c r="AI15" s="95" t="s">
        <v>51</v>
      </c>
    </row>
    <row r="16" spans="1:38">
      <c r="A16" s="98" t="s">
        <v>68</v>
      </c>
      <c r="B16" s="98" t="s">
        <v>57</v>
      </c>
      <c r="C16" s="98" t="s">
        <v>48</v>
      </c>
      <c r="D16" s="98">
        <v>123</v>
      </c>
      <c r="E16" s="98">
        <v>99</v>
      </c>
      <c r="F16" s="98">
        <v>83</v>
      </c>
      <c r="G16" s="98">
        <v>72</v>
      </c>
      <c r="H16" s="98">
        <v>63</v>
      </c>
      <c r="I16" s="98">
        <v>56</v>
      </c>
      <c r="J16" s="98">
        <v>50</v>
      </c>
      <c r="K16" s="98">
        <v>47</v>
      </c>
      <c r="L16" s="98">
        <v>45</v>
      </c>
      <c r="M16" s="98">
        <v>43</v>
      </c>
      <c r="N16" s="98">
        <v>41</v>
      </c>
      <c r="O16" s="98">
        <v>39</v>
      </c>
      <c r="P16" s="98">
        <v>38</v>
      </c>
      <c r="Q16" s="98">
        <v>36</v>
      </c>
      <c r="R16" s="98">
        <v>36</v>
      </c>
      <c r="S16" s="98">
        <v>35</v>
      </c>
      <c r="T16" s="98">
        <v>35</v>
      </c>
      <c r="U16" s="98">
        <v>34</v>
      </c>
      <c r="V16" s="98">
        <v>34</v>
      </c>
      <c r="W16" s="98">
        <v>34</v>
      </c>
      <c r="X16" s="98">
        <v>34</v>
      </c>
      <c r="Y16" s="98">
        <v>34</v>
      </c>
      <c r="Z16" s="98">
        <v>34</v>
      </c>
      <c r="AA16" s="98">
        <v>34</v>
      </c>
      <c r="AB16" s="98">
        <v>34</v>
      </c>
      <c r="AC16" s="98">
        <v>34</v>
      </c>
      <c r="AD16" s="98">
        <v>34</v>
      </c>
      <c r="AE16" s="98">
        <v>34</v>
      </c>
      <c r="AF16" s="98">
        <v>34</v>
      </c>
      <c r="AG16" s="93" t="s">
        <v>49</v>
      </c>
      <c r="AH16" s="94" t="s">
        <v>50</v>
      </c>
      <c r="AI16" s="95" t="s">
        <v>51</v>
      </c>
    </row>
    <row r="17" spans="1:38">
      <c r="A17" s="98" t="s">
        <v>69</v>
      </c>
      <c r="B17" s="98" t="s">
        <v>57</v>
      </c>
      <c r="C17" s="98" t="s">
        <v>48</v>
      </c>
      <c r="D17" s="98">
        <v>116</v>
      </c>
      <c r="E17" s="98">
        <v>107</v>
      </c>
      <c r="F17" s="98">
        <v>102</v>
      </c>
      <c r="G17" s="98">
        <v>97</v>
      </c>
      <c r="H17" s="98">
        <v>94</v>
      </c>
      <c r="I17" s="98">
        <v>91</v>
      </c>
      <c r="J17" s="98">
        <v>88</v>
      </c>
      <c r="K17" s="98">
        <v>86</v>
      </c>
      <c r="L17" s="98">
        <v>54</v>
      </c>
      <c r="M17" s="98">
        <v>53</v>
      </c>
      <c r="N17" s="98">
        <v>52</v>
      </c>
      <c r="O17" s="98">
        <v>51</v>
      </c>
      <c r="P17" s="98">
        <v>50</v>
      </c>
      <c r="Q17" s="98">
        <v>49</v>
      </c>
      <c r="R17" s="98">
        <v>48</v>
      </c>
      <c r="S17" s="98">
        <v>47</v>
      </c>
      <c r="T17" s="98">
        <v>46</v>
      </c>
      <c r="U17" s="98">
        <v>45</v>
      </c>
      <c r="V17" s="98">
        <v>44</v>
      </c>
      <c r="W17" s="98">
        <v>44</v>
      </c>
      <c r="X17" s="98">
        <v>43</v>
      </c>
      <c r="Y17" s="98">
        <v>43</v>
      </c>
      <c r="Z17" s="98">
        <v>42</v>
      </c>
      <c r="AA17" s="98">
        <v>42</v>
      </c>
      <c r="AB17" s="98">
        <v>41</v>
      </c>
      <c r="AC17" s="98">
        <v>40</v>
      </c>
      <c r="AD17" s="98">
        <v>40</v>
      </c>
      <c r="AE17" s="98">
        <v>40</v>
      </c>
      <c r="AF17" s="98">
        <v>40</v>
      </c>
      <c r="AG17" s="93" t="s">
        <v>49</v>
      </c>
      <c r="AH17" s="94" t="s">
        <v>50</v>
      </c>
      <c r="AI17" s="95" t="s">
        <v>51</v>
      </c>
    </row>
    <row r="18" spans="1:38">
      <c r="A18" s="98" t="s">
        <v>70</v>
      </c>
      <c r="B18" s="98" t="s">
        <v>57</v>
      </c>
      <c r="C18" s="98" t="s">
        <v>48</v>
      </c>
      <c r="D18" s="98">
        <v>33</v>
      </c>
      <c r="E18" s="98">
        <v>31</v>
      </c>
      <c r="F18" s="98">
        <v>29</v>
      </c>
      <c r="G18" s="98">
        <v>28</v>
      </c>
      <c r="H18" s="98">
        <v>27</v>
      </c>
      <c r="I18" s="98">
        <v>26</v>
      </c>
      <c r="J18" s="98">
        <v>25</v>
      </c>
      <c r="K18" s="98">
        <v>25</v>
      </c>
      <c r="L18" s="98">
        <v>24</v>
      </c>
      <c r="M18" s="98">
        <v>24</v>
      </c>
      <c r="N18" s="98">
        <v>23</v>
      </c>
      <c r="O18" s="98">
        <v>23</v>
      </c>
      <c r="P18" s="98">
        <v>22</v>
      </c>
      <c r="Q18" s="98">
        <v>22</v>
      </c>
      <c r="R18" s="98">
        <v>22</v>
      </c>
      <c r="S18" s="98">
        <v>21</v>
      </c>
      <c r="T18" s="98">
        <v>21</v>
      </c>
      <c r="U18" s="98">
        <v>21</v>
      </c>
      <c r="V18" s="98">
        <v>21</v>
      </c>
      <c r="W18" s="98">
        <v>20</v>
      </c>
      <c r="X18" s="98">
        <v>20</v>
      </c>
      <c r="Y18" s="98">
        <v>20</v>
      </c>
      <c r="Z18" s="98">
        <v>20</v>
      </c>
      <c r="AA18" s="98">
        <v>20</v>
      </c>
      <c r="AB18" s="98">
        <v>19</v>
      </c>
      <c r="AC18" s="98">
        <v>19</v>
      </c>
      <c r="AD18" s="98">
        <v>19</v>
      </c>
      <c r="AE18" s="98">
        <v>19</v>
      </c>
      <c r="AF18" s="98">
        <v>19</v>
      </c>
      <c r="AG18" s="93" t="s">
        <v>49</v>
      </c>
      <c r="AH18" s="94" t="s">
        <v>50</v>
      </c>
      <c r="AI18" s="95" t="s">
        <v>51</v>
      </c>
    </row>
    <row r="19" spans="1:38">
      <c r="A19" s="98" t="s">
        <v>71</v>
      </c>
      <c r="B19" s="98" t="s">
        <v>57</v>
      </c>
      <c r="C19" s="98" t="s">
        <v>48</v>
      </c>
      <c r="D19" s="98">
        <v>49</v>
      </c>
      <c r="E19" s="98">
        <v>45</v>
      </c>
      <c r="F19" s="98">
        <v>42</v>
      </c>
      <c r="G19" s="98">
        <v>39</v>
      </c>
      <c r="H19" s="98">
        <v>37</v>
      </c>
      <c r="I19" s="98">
        <v>36</v>
      </c>
      <c r="J19" s="98">
        <v>35</v>
      </c>
      <c r="K19" s="98">
        <v>34</v>
      </c>
      <c r="L19" s="98">
        <v>33</v>
      </c>
      <c r="M19" s="98">
        <v>32</v>
      </c>
      <c r="N19" s="98">
        <v>31</v>
      </c>
      <c r="O19" s="98">
        <v>31</v>
      </c>
      <c r="P19" s="98">
        <v>30</v>
      </c>
      <c r="Q19" s="98">
        <v>30</v>
      </c>
      <c r="R19" s="98">
        <v>29</v>
      </c>
      <c r="S19" s="98">
        <v>29</v>
      </c>
      <c r="T19" s="98">
        <v>29</v>
      </c>
      <c r="U19" s="98">
        <v>28</v>
      </c>
      <c r="V19" s="98">
        <v>28</v>
      </c>
      <c r="W19" s="98">
        <v>28</v>
      </c>
      <c r="X19" s="98">
        <v>27</v>
      </c>
      <c r="Y19" s="98">
        <v>27</v>
      </c>
      <c r="Z19" s="98">
        <v>27</v>
      </c>
      <c r="AA19" s="98">
        <v>27</v>
      </c>
      <c r="AB19" s="98">
        <v>26</v>
      </c>
      <c r="AC19" s="98">
        <v>26</v>
      </c>
      <c r="AD19" s="98">
        <v>26</v>
      </c>
      <c r="AE19" s="98">
        <v>26</v>
      </c>
      <c r="AF19" s="98">
        <v>26</v>
      </c>
      <c r="AG19" s="93" t="s">
        <v>49</v>
      </c>
      <c r="AH19" s="94" t="s">
        <v>50</v>
      </c>
      <c r="AI19" s="95" t="s">
        <v>51</v>
      </c>
      <c r="AJ19" s="96">
        <f>5.9/1000</f>
        <v>5.9000000000000007E-3</v>
      </c>
      <c r="AK19" s="97" t="s">
        <v>52</v>
      </c>
      <c r="AL19" s="97" t="s">
        <v>53</v>
      </c>
    </row>
    <row r="20" spans="1:38">
      <c r="A20" s="98" t="s">
        <v>54</v>
      </c>
      <c r="B20" s="98" t="s">
        <v>72</v>
      </c>
      <c r="C20" s="98" t="s">
        <v>48</v>
      </c>
      <c r="D20" s="98">
        <v>93</v>
      </c>
      <c r="E20" s="98">
        <v>91</v>
      </c>
      <c r="F20" s="98">
        <v>91</v>
      </c>
      <c r="G20" s="98">
        <v>90</v>
      </c>
      <c r="H20" s="98">
        <v>90</v>
      </c>
      <c r="I20" s="98">
        <v>91</v>
      </c>
      <c r="J20" s="98">
        <v>91</v>
      </c>
      <c r="K20" s="98">
        <v>92</v>
      </c>
      <c r="L20" s="98">
        <v>92</v>
      </c>
      <c r="M20" s="98">
        <v>93</v>
      </c>
      <c r="N20" s="98">
        <v>93</v>
      </c>
      <c r="O20" s="98">
        <v>94</v>
      </c>
      <c r="P20" s="98">
        <v>94</v>
      </c>
      <c r="Q20" s="98">
        <v>94</v>
      </c>
      <c r="R20" s="98">
        <v>95</v>
      </c>
      <c r="S20" s="98">
        <v>95</v>
      </c>
      <c r="T20" s="98">
        <v>95</v>
      </c>
      <c r="U20" s="98">
        <v>96</v>
      </c>
      <c r="V20" s="98">
        <v>96</v>
      </c>
      <c r="W20" s="98">
        <v>96</v>
      </c>
      <c r="X20" s="98">
        <v>96</v>
      </c>
      <c r="Y20" s="98">
        <v>97</v>
      </c>
      <c r="Z20" s="98">
        <v>97</v>
      </c>
      <c r="AA20" s="98">
        <v>97</v>
      </c>
      <c r="AB20" s="98">
        <v>97</v>
      </c>
      <c r="AC20" s="98">
        <v>97</v>
      </c>
      <c r="AD20" s="98">
        <v>97</v>
      </c>
      <c r="AE20" s="98">
        <v>97</v>
      </c>
      <c r="AF20" s="98">
        <v>97</v>
      </c>
      <c r="AG20" s="93" t="s">
        <v>49</v>
      </c>
      <c r="AH20" s="94" t="s">
        <v>50</v>
      </c>
      <c r="AI20" s="95" t="s">
        <v>51</v>
      </c>
    </row>
    <row r="21" spans="1:38">
      <c r="A21" s="98" t="s">
        <v>56</v>
      </c>
      <c r="B21" s="98" t="s">
        <v>72</v>
      </c>
      <c r="C21" s="98" t="s">
        <v>48</v>
      </c>
      <c r="D21" s="98">
        <v>479</v>
      </c>
      <c r="E21" s="98">
        <v>435</v>
      </c>
      <c r="F21" s="98">
        <v>395</v>
      </c>
      <c r="G21" s="98">
        <v>351</v>
      </c>
      <c r="H21" s="98">
        <v>312</v>
      </c>
      <c r="I21" s="98">
        <v>274</v>
      </c>
      <c r="J21" s="98">
        <v>235</v>
      </c>
      <c r="K21" s="98">
        <v>196</v>
      </c>
      <c r="L21" s="98">
        <v>158</v>
      </c>
      <c r="M21" s="98">
        <v>158</v>
      </c>
      <c r="N21" s="98">
        <v>159</v>
      </c>
      <c r="O21" s="98">
        <v>159</v>
      </c>
      <c r="P21" s="98">
        <v>160</v>
      </c>
      <c r="Q21" s="98">
        <v>160</v>
      </c>
      <c r="R21" s="98">
        <v>161</v>
      </c>
      <c r="S21" s="98">
        <v>161</v>
      </c>
      <c r="T21" s="98">
        <v>161</v>
      </c>
      <c r="U21" s="98">
        <v>162</v>
      </c>
      <c r="V21" s="98">
        <v>162</v>
      </c>
      <c r="W21" s="98">
        <v>162</v>
      </c>
      <c r="X21" s="98">
        <v>162</v>
      </c>
      <c r="Y21" s="98">
        <v>163</v>
      </c>
      <c r="Z21" s="98">
        <v>163</v>
      </c>
      <c r="AA21" s="98">
        <v>163</v>
      </c>
      <c r="AB21" s="98">
        <v>163</v>
      </c>
      <c r="AC21" s="98">
        <v>163</v>
      </c>
      <c r="AD21" s="98">
        <v>163</v>
      </c>
      <c r="AE21" s="98">
        <v>163</v>
      </c>
      <c r="AF21" s="98">
        <v>163</v>
      </c>
      <c r="AG21" s="93" t="s">
        <v>49</v>
      </c>
      <c r="AH21" s="94" t="s">
        <v>50</v>
      </c>
      <c r="AI21" s="95" t="s">
        <v>51</v>
      </c>
    </row>
    <row r="22" spans="1:38">
      <c r="A22" s="98" t="s">
        <v>58</v>
      </c>
      <c r="B22" s="98" t="s">
        <v>72</v>
      </c>
      <c r="C22" s="98" t="s">
        <v>48</v>
      </c>
      <c r="D22" s="98">
        <v>214</v>
      </c>
      <c r="E22" s="98">
        <v>195</v>
      </c>
      <c r="F22" s="98">
        <v>181</v>
      </c>
      <c r="G22" s="98">
        <v>168</v>
      </c>
      <c r="H22" s="98">
        <v>160</v>
      </c>
      <c r="I22" s="98">
        <v>153</v>
      </c>
      <c r="J22" s="98">
        <v>147</v>
      </c>
      <c r="K22" s="98">
        <v>143</v>
      </c>
      <c r="L22" s="98">
        <v>139</v>
      </c>
      <c r="M22" s="98">
        <v>136</v>
      </c>
      <c r="N22" s="98">
        <v>133</v>
      </c>
      <c r="O22" s="98">
        <v>129</v>
      </c>
      <c r="P22" s="98">
        <v>126</v>
      </c>
      <c r="Q22" s="98">
        <v>122</v>
      </c>
      <c r="R22" s="98">
        <v>119</v>
      </c>
      <c r="S22" s="98">
        <v>117</v>
      </c>
      <c r="T22" s="98">
        <v>115</v>
      </c>
      <c r="U22" s="98">
        <v>113</v>
      </c>
      <c r="V22" s="98">
        <v>112</v>
      </c>
      <c r="W22" s="98">
        <v>111</v>
      </c>
      <c r="X22" s="98">
        <v>111</v>
      </c>
      <c r="Y22" s="98">
        <v>110</v>
      </c>
      <c r="Z22" s="98">
        <v>110</v>
      </c>
      <c r="AA22" s="98">
        <v>109</v>
      </c>
      <c r="AB22" s="98">
        <v>109</v>
      </c>
      <c r="AC22" s="98">
        <v>108</v>
      </c>
      <c r="AD22" s="98">
        <v>108</v>
      </c>
      <c r="AE22" s="98">
        <v>108</v>
      </c>
      <c r="AF22" s="98">
        <v>108</v>
      </c>
      <c r="AG22" s="93" t="s">
        <v>49</v>
      </c>
      <c r="AH22" s="94" t="s">
        <v>50</v>
      </c>
      <c r="AI22" s="95" t="s">
        <v>51</v>
      </c>
    </row>
    <row r="23" spans="1:38">
      <c r="A23" s="98" t="s">
        <v>59</v>
      </c>
      <c r="B23" s="98" t="s">
        <v>72</v>
      </c>
      <c r="C23" s="98" t="s">
        <v>48</v>
      </c>
      <c r="D23" s="98">
        <v>158</v>
      </c>
      <c r="E23" s="98">
        <v>161</v>
      </c>
      <c r="F23" s="98">
        <v>164</v>
      </c>
      <c r="G23" s="98">
        <v>164</v>
      </c>
      <c r="H23" s="98">
        <v>167</v>
      </c>
      <c r="I23" s="98">
        <v>170</v>
      </c>
      <c r="J23" s="98">
        <v>172</v>
      </c>
      <c r="K23" s="98">
        <v>174</v>
      </c>
      <c r="L23" s="98">
        <v>176</v>
      </c>
      <c r="M23" s="98">
        <v>178</v>
      </c>
      <c r="N23" s="98">
        <v>180</v>
      </c>
      <c r="O23" s="98">
        <v>182</v>
      </c>
      <c r="P23" s="98">
        <v>183</v>
      </c>
      <c r="Q23" s="98">
        <v>185</v>
      </c>
      <c r="R23" s="98">
        <v>186</v>
      </c>
      <c r="S23" s="98">
        <v>188</v>
      </c>
      <c r="T23" s="98">
        <v>189</v>
      </c>
      <c r="U23" s="98">
        <v>190</v>
      </c>
      <c r="V23" s="98">
        <v>191</v>
      </c>
      <c r="W23" s="98">
        <v>192</v>
      </c>
      <c r="X23" s="98">
        <v>192</v>
      </c>
      <c r="Y23" s="98">
        <v>192</v>
      </c>
      <c r="Z23" s="98">
        <v>192</v>
      </c>
      <c r="AA23" s="98">
        <v>192</v>
      </c>
      <c r="AB23" s="98">
        <v>192</v>
      </c>
      <c r="AC23" s="98">
        <v>192</v>
      </c>
      <c r="AD23" s="98">
        <v>192</v>
      </c>
      <c r="AE23" s="98">
        <v>192</v>
      </c>
      <c r="AF23" s="98">
        <v>192</v>
      </c>
      <c r="AG23" s="93" t="s">
        <v>49</v>
      </c>
      <c r="AH23" s="94" t="s">
        <v>50</v>
      </c>
      <c r="AI23" s="95" t="s">
        <v>51</v>
      </c>
    </row>
    <row r="24" spans="1:38">
      <c r="A24" s="98" t="s">
        <v>60</v>
      </c>
      <c r="B24" s="98" t="s">
        <v>72</v>
      </c>
      <c r="C24" s="98" t="s">
        <v>48</v>
      </c>
      <c r="D24" s="98">
        <v>730</v>
      </c>
      <c r="E24" s="98">
        <v>699</v>
      </c>
      <c r="F24" s="98">
        <v>659</v>
      </c>
      <c r="G24" s="98">
        <v>600</v>
      </c>
      <c r="H24" s="98">
        <v>546</v>
      </c>
      <c r="I24" s="98">
        <v>488</v>
      </c>
      <c r="J24" s="98">
        <v>426</v>
      </c>
      <c r="K24" s="98">
        <v>361</v>
      </c>
      <c r="L24" s="98">
        <v>293</v>
      </c>
      <c r="M24" s="98">
        <v>297</v>
      </c>
      <c r="N24" s="98">
        <v>300</v>
      </c>
      <c r="O24" s="98">
        <v>303</v>
      </c>
      <c r="P24" s="98">
        <v>305</v>
      </c>
      <c r="Q24" s="98">
        <v>308</v>
      </c>
      <c r="R24" s="98">
        <v>310</v>
      </c>
      <c r="S24" s="98">
        <v>313</v>
      </c>
      <c r="T24" s="98">
        <v>315</v>
      </c>
      <c r="U24" s="98">
        <v>317</v>
      </c>
      <c r="V24" s="98">
        <v>319</v>
      </c>
      <c r="W24" s="98">
        <v>321</v>
      </c>
      <c r="X24" s="98">
        <v>321</v>
      </c>
      <c r="Y24" s="98">
        <v>321</v>
      </c>
      <c r="Z24" s="98">
        <v>321</v>
      </c>
      <c r="AA24" s="98">
        <v>321</v>
      </c>
      <c r="AB24" s="98">
        <v>321</v>
      </c>
      <c r="AC24" s="98">
        <v>321</v>
      </c>
      <c r="AD24" s="98">
        <v>321</v>
      </c>
      <c r="AE24" s="98">
        <v>321</v>
      </c>
      <c r="AF24" s="98">
        <v>321</v>
      </c>
      <c r="AG24" s="93" t="s">
        <v>49</v>
      </c>
      <c r="AH24" s="94" t="s">
        <v>50</v>
      </c>
      <c r="AI24" s="95" t="s">
        <v>51</v>
      </c>
    </row>
    <row r="25" spans="1:38">
      <c r="A25" s="98" t="s">
        <v>61</v>
      </c>
      <c r="B25" s="98" t="s">
        <v>72</v>
      </c>
      <c r="C25" s="98" t="s">
        <v>48</v>
      </c>
      <c r="D25" s="98">
        <v>223</v>
      </c>
      <c r="E25" s="98">
        <v>224</v>
      </c>
      <c r="F25" s="98">
        <v>225</v>
      </c>
      <c r="G25" s="98">
        <v>226</v>
      </c>
      <c r="H25" s="98">
        <v>227</v>
      </c>
      <c r="I25" s="98">
        <v>229</v>
      </c>
      <c r="J25" s="98">
        <v>230</v>
      </c>
      <c r="K25" s="98">
        <v>232</v>
      </c>
      <c r="L25" s="98">
        <v>233</v>
      </c>
      <c r="M25" s="98">
        <v>235</v>
      </c>
      <c r="N25" s="98">
        <v>236</v>
      </c>
      <c r="O25" s="98">
        <v>237</v>
      </c>
      <c r="P25" s="98">
        <v>238</v>
      </c>
      <c r="Q25" s="98">
        <v>239</v>
      </c>
      <c r="R25" s="98">
        <v>241</v>
      </c>
      <c r="S25" s="98">
        <v>242</v>
      </c>
      <c r="T25" s="98">
        <v>243</v>
      </c>
      <c r="U25" s="98">
        <v>244</v>
      </c>
      <c r="V25" s="98">
        <v>244</v>
      </c>
      <c r="W25" s="98">
        <v>245</v>
      </c>
      <c r="X25" s="98">
        <v>246</v>
      </c>
      <c r="Y25" s="98">
        <v>247</v>
      </c>
      <c r="Z25" s="98">
        <v>247</v>
      </c>
      <c r="AA25" s="98">
        <v>248</v>
      </c>
      <c r="AB25" s="98">
        <v>248</v>
      </c>
      <c r="AC25" s="98">
        <v>249</v>
      </c>
      <c r="AD25" s="98">
        <v>249</v>
      </c>
      <c r="AE25" s="98">
        <v>249</v>
      </c>
      <c r="AF25" s="98">
        <v>249</v>
      </c>
      <c r="AG25" s="93" t="s">
        <v>49</v>
      </c>
      <c r="AH25" s="94" t="s">
        <v>50</v>
      </c>
      <c r="AI25" s="95" t="s">
        <v>51</v>
      </c>
    </row>
    <row r="26" spans="1:38">
      <c r="A26" s="98" t="s">
        <v>62</v>
      </c>
      <c r="B26" s="98" t="s">
        <v>72</v>
      </c>
      <c r="C26" s="98" t="s">
        <v>48</v>
      </c>
      <c r="D26" s="98" t="s">
        <v>73</v>
      </c>
      <c r="E26" s="98" t="s">
        <v>74</v>
      </c>
      <c r="F26" s="98">
        <v>964</v>
      </c>
      <c r="G26" s="98">
        <v>868</v>
      </c>
      <c r="H26" s="98">
        <v>772</v>
      </c>
      <c r="I26" s="98">
        <v>678</v>
      </c>
      <c r="J26" s="98">
        <v>584</v>
      </c>
      <c r="K26" s="98">
        <v>489</v>
      </c>
      <c r="L26" s="98">
        <v>395</v>
      </c>
      <c r="M26" s="98">
        <v>396</v>
      </c>
      <c r="N26" s="98">
        <v>398</v>
      </c>
      <c r="O26" s="98">
        <v>399</v>
      </c>
      <c r="P26" s="98">
        <v>401</v>
      </c>
      <c r="Q26" s="98">
        <v>402</v>
      </c>
      <c r="R26" s="98">
        <v>403</v>
      </c>
      <c r="S26" s="98">
        <v>404</v>
      </c>
      <c r="T26" s="98">
        <v>405</v>
      </c>
      <c r="U26" s="98">
        <v>407</v>
      </c>
      <c r="V26" s="98">
        <v>408</v>
      </c>
      <c r="W26" s="98">
        <v>409</v>
      </c>
      <c r="X26" s="98">
        <v>409</v>
      </c>
      <c r="Y26" s="98">
        <v>410</v>
      </c>
      <c r="Z26" s="98">
        <v>411</v>
      </c>
      <c r="AA26" s="98">
        <v>411</v>
      </c>
      <c r="AB26" s="98">
        <v>412</v>
      </c>
      <c r="AC26" s="98">
        <v>412</v>
      </c>
      <c r="AD26" s="98">
        <v>412</v>
      </c>
      <c r="AE26" s="98">
        <v>412</v>
      </c>
      <c r="AF26" s="98">
        <v>412</v>
      </c>
      <c r="AG26" s="93" t="s">
        <v>49</v>
      </c>
      <c r="AH26" s="94" t="s">
        <v>50</v>
      </c>
      <c r="AI26" s="95" t="s">
        <v>51</v>
      </c>
    </row>
    <row r="27" spans="1:38">
      <c r="A27" s="98" t="s">
        <v>63</v>
      </c>
      <c r="B27" s="98" t="s">
        <v>72</v>
      </c>
      <c r="C27" s="98" t="s">
        <v>48</v>
      </c>
      <c r="D27" s="98">
        <v>540</v>
      </c>
      <c r="E27" s="98">
        <v>506</v>
      </c>
      <c r="F27" s="98">
        <v>475</v>
      </c>
      <c r="G27" s="98">
        <v>447</v>
      </c>
      <c r="H27" s="98">
        <v>423</v>
      </c>
      <c r="I27" s="98">
        <v>403</v>
      </c>
      <c r="J27" s="98">
        <v>385</v>
      </c>
      <c r="K27" s="98">
        <v>371</v>
      </c>
      <c r="L27" s="98">
        <v>360</v>
      </c>
      <c r="M27" s="98">
        <v>350</v>
      </c>
      <c r="N27" s="98">
        <v>341</v>
      </c>
      <c r="O27" s="98">
        <v>332</v>
      </c>
      <c r="P27" s="98">
        <v>323</v>
      </c>
      <c r="Q27" s="98">
        <v>314</v>
      </c>
      <c r="R27" s="98">
        <v>306</v>
      </c>
      <c r="S27" s="98">
        <v>299</v>
      </c>
      <c r="T27" s="98">
        <v>295</v>
      </c>
      <c r="U27" s="98">
        <v>291</v>
      </c>
      <c r="V27" s="98">
        <v>288</v>
      </c>
      <c r="W27" s="98">
        <v>286</v>
      </c>
      <c r="X27" s="98">
        <v>284</v>
      </c>
      <c r="Y27" s="98">
        <v>283</v>
      </c>
      <c r="Z27" s="98">
        <v>281</v>
      </c>
      <c r="AA27" s="98">
        <v>280</v>
      </c>
      <c r="AB27" s="98">
        <v>279</v>
      </c>
      <c r="AC27" s="98">
        <v>278</v>
      </c>
      <c r="AD27" s="98">
        <v>278</v>
      </c>
      <c r="AE27" s="98">
        <v>277</v>
      </c>
      <c r="AF27" s="98">
        <v>277</v>
      </c>
      <c r="AG27" s="93" t="s">
        <v>49</v>
      </c>
      <c r="AH27" s="94" t="s">
        <v>50</v>
      </c>
      <c r="AI27" s="95" t="s">
        <v>51</v>
      </c>
    </row>
    <row r="28" spans="1:38">
      <c r="A28" s="98" t="s">
        <v>64</v>
      </c>
      <c r="B28" s="98" t="s">
        <v>72</v>
      </c>
      <c r="C28" s="98" t="s">
        <v>48</v>
      </c>
      <c r="D28" s="98">
        <v>60</v>
      </c>
      <c r="E28" s="98">
        <v>53</v>
      </c>
      <c r="F28" s="98">
        <v>50</v>
      </c>
      <c r="G28" s="98">
        <v>45</v>
      </c>
      <c r="H28" s="98">
        <v>43</v>
      </c>
      <c r="I28" s="98">
        <v>42</v>
      </c>
      <c r="J28" s="98">
        <v>40</v>
      </c>
      <c r="K28" s="98">
        <v>38</v>
      </c>
      <c r="L28" s="98">
        <v>35</v>
      </c>
      <c r="M28" s="98">
        <v>32</v>
      </c>
      <c r="N28" s="98">
        <v>29</v>
      </c>
      <c r="O28" s="98">
        <v>28</v>
      </c>
      <c r="P28" s="98">
        <v>28</v>
      </c>
      <c r="Q28" s="98">
        <v>27</v>
      </c>
      <c r="R28" s="98">
        <v>26</v>
      </c>
      <c r="S28" s="98">
        <v>26</v>
      </c>
      <c r="T28" s="98">
        <v>25</v>
      </c>
      <c r="U28" s="98">
        <v>24</v>
      </c>
      <c r="V28" s="98">
        <v>24</v>
      </c>
      <c r="W28" s="98">
        <v>23</v>
      </c>
      <c r="X28" s="98">
        <v>23</v>
      </c>
      <c r="Y28" s="98">
        <v>22</v>
      </c>
      <c r="Z28" s="98">
        <v>22</v>
      </c>
      <c r="AA28" s="98">
        <v>21</v>
      </c>
      <c r="AB28" s="98">
        <v>21</v>
      </c>
      <c r="AC28" s="98">
        <v>21</v>
      </c>
      <c r="AD28" s="98">
        <v>20</v>
      </c>
      <c r="AE28" s="98">
        <v>20</v>
      </c>
      <c r="AF28" s="98">
        <v>20</v>
      </c>
      <c r="AG28" s="93" t="s">
        <v>49</v>
      </c>
      <c r="AH28" s="94" t="s">
        <v>50</v>
      </c>
      <c r="AI28" s="95" t="s">
        <v>51</v>
      </c>
    </row>
    <row r="29" spans="1:38">
      <c r="A29" s="98" t="s">
        <v>65</v>
      </c>
      <c r="B29" s="98" t="s">
        <v>72</v>
      </c>
      <c r="C29" s="98" t="s">
        <v>48</v>
      </c>
      <c r="D29" s="98">
        <v>188</v>
      </c>
      <c r="E29" s="98">
        <v>163</v>
      </c>
      <c r="F29" s="98">
        <v>146</v>
      </c>
      <c r="G29" s="98">
        <v>129</v>
      </c>
      <c r="H29" s="98">
        <v>119</v>
      </c>
      <c r="I29" s="98">
        <v>110</v>
      </c>
      <c r="J29" s="98">
        <v>103</v>
      </c>
      <c r="K29" s="98">
        <v>98</v>
      </c>
      <c r="L29" s="98">
        <v>93</v>
      </c>
      <c r="M29" s="98">
        <v>88</v>
      </c>
      <c r="N29" s="98">
        <v>83</v>
      </c>
      <c r="O29" s="98">
        <v>81</v>
      </c>
      <c r="P29" s="98">
        <v>79</v>
      </c>
      <c r="Q29" s="98">
        <v>76</v>
      </c>
      <c r="R29" s="98">
        <v>75</v>
      </c>
      <c r="S29" s="98">
        <v>74</v>
      </c>
      <c r="T29" s="98">
        <v>73</v>
      </c>
      <c r="U29" s="98">
        <v>71</v>
      </c>
      <c r="V29" s="98">
        <v>70</v>
      </c>
      <c r="W29" s="98">
        <v>70</v>
      </c>
      <c r="X29" s="98">
        <v>69</v>
      </c>
      <c r="Y29" s="98">
        <v>69</v>
      </c>
      <c r="Z29" s="98">
        <v>68</v>
      </c>
      <c r="AA29" s="98">
        <v>68</v>
      </c>
      <c r="AB29" s="98">
        <v>67</v>
      </c>
      <c r="AC29" s="98">
        <v>67</v>
      </c>
      <c r="AD29" s="98">
        <v>67</v>
      </c>
      <c r="AE29" s="98">
        <v>66</v>
      </c>
      <c r="AF29" s="98">
        <v>66</v>
      </c>
      <c r="AG29" s="93" t="s">
        <v>49</v>
      </c>
      <c r="AH29" s="94" t="s">
        <v>50</v>
      </c>
      <c r="AI29" s="95" t="s">
        <v>51</v>
      </c>
    </row>
    <row r="30" spans="1:38">
      <c r="A30" s="98" t="s">
        <v>66</v>
      </c>
      <c r="B30" s="98" t="s">
        <v>72</v>
      </c>
      <c r="C30" s="98" t="s">
        <v>48</v>
      </c>
      <c r="D30" s="98">
        <v>53</v>
      </c>
      <c r="E30" s="98">
        <v>48</v>
      </c>
      <c r="F30" s="98">
        <v>44</v>
      </c>
      <c r="G30" s="98">
        <v>40</v>
      </c>
      <c r="H30" s="98">
        <v>39</v>
      </c>
      <c r="I30" s="98">
        <v>37</v>
      </c>
      <c r="J30" s="98">
        <v>36</v>
      </c>
      <c r="K30" s="98">
        <v>33</v>
      </c>
      <c r="L30" s="98">
        <v>31</v>
      </c>
      <c r="M30" s="98">
        <v>28</v>
      </c>
      <c r="N30" s="98">
        <v>26</v>
      </c>
      <c r="O30" s="98">
        <v>25</v>
      </c>
      <c r="P30" s="98">
        <v>25</v>
      </c>
      <c r="Q30" s="98">
        <v>24</v>
      </c>
      <c r="R30" s="98">
        <v>23</v>
      </c>
      <c r="S30" s="98">
        <v>23</v>
      </c>
      <c r="T30" s="98">
        <v>22</v>
      </c>
      <c r="U30" s="98">
        <v>22</v>
      </c>
      <c r="V30" s="98">
        <v>21</v>
      </c>
      <c r="W30" s="98">
        <v>21</v>
      </c>
      <c r="X30" s="98">
        <v>20</v>
      </c>
      <c r="Y30" s="98">
        <v>20</v>
      </c>
      <c r="Z30" s="98">
        <v>19</v>
      </c>
      <c r="AA30" s="98">
        <v>19</v>
      </c>
      <c r="AB30" s="98">
        <v>19</v>
      </c>
      <c r="AC30" s="98">
        <v>18</v>
      </c>
      <c r="AD30" s="98">
        <v>18</v>
      </c>
      <c r="AE30" s="98">
        <v>18</v>
      </c>
      <c r="AF30" s="98">
        <v>18</v>
      </c>
      <c r="AG30" s="93" t="s">
        <v>49</v>
      </c>
      <c r="AH30" s="94" t="s">
        <v>50</v>
      </c>
      <c r="AI30" s="95" t="s">
        <v>51</v>
      </c>
    </row>
    <row r="31" spans="1:38" s="10" customFormat="1">
      <c r="A31" s="92" t="s">
        <v>46</v>
      </c>
      <c r="B31" s="92" t="s">
        <v>72</v>
      </c>
      <c r="C31" s="92" t="s">
        <v>48</v>
      </c>
      <c r="D31" s="92">
        <v>160</v>
      </c>
      <c r="E31" s="92">
        <v>141</v>
      </c>
      <c r="F31" s="92">
        <v>124</v>
      </c>
      <c r="G31" s="92">
        <v>110</v>
      </c>
      <c r="H31" s="92">
        <v>102</v>
      </c>
      <c r="I31" s="92">
        <v>94</v>
      </c>
      <c r="J31" s="92">
        <v>88</v>
      </c>
      <c r="K31" s="92">
        <v>83</v>
      </c>
      <c r="L31" s="92">
        <v>79</v>
      </c>
      <c r="M31" s="92">
        <v>75</v>
      </c>
      <c r="N31" s="92">
        <v>71</v>
      </c>
      <c r="O31" s="92">
        <v>69</v>
      </c>
      <c r="P31" s="92">
        <v>67</v>
      </c>
      <c r="Q31" s="92">
        <v>65</v>
      </c>
      <c r="R31" s="92">
        <v>64</v>
      </c>
      <c r="S31" s="92">
        <v>63</v>
      </c>
      <c r="T31" s="92">
        <v>62</v>
      </c>
      <c r="U31" s="92">
        <v>61</v>
      </c>
      <c r="V31" s="92">
        <v>60</v>
      </c>
      <c r="W31" s="92">
        <v>60</v>
      </c>
      <c r="X31" s="92">
        <v>59</v>
      </c>
      <c r="Y31" s="92">
        <v>59</v>
      </c>
      <c r="Z31" s="92">
        <v>58</v>
      </c>
      <c r="AA31" s="92">
        <v>58</v>
      </c>
      <c r="AB31" s="92">
        <v>58</v>
      </c>
      <c r="AC31" s="92">
        <v>57</v>
      </c>
      <c r="AD31" s="92">
        <v>57</v>
      </c>
      <c r="AE31" s="92">
        <v>56</v>
      </c>
      <c r="AF31" s="92">
        <v>56</v>
      </c>
      <c r="AG31" s="101" t="s">
        <v>49</v>
      </c>
      <c r="AH31" s="102" t="s">
        <v>50</v>
      </c>
      <c r="AI31" s="103" t="s">
        <v>51</v>
      </c>
      <c r="AJ31" s="104">
        <f>15.3/1000</f>
        <v>1.5300000000000001E-2</v>
      </c>
      <c r="AK31" s="104" t="s">
        <v>52</v>
      </c>
      <c r="AL31" s="104" t="s">
        <v>53</v>
      </c>
    </row>
    <row r="32" spans="1:38">
      <c r="A32" s="98" t="s">
        <v>67</v>
      </c>
      <c r="B32" s="98" t="s">
        <v>72</v>
      </c>
      <c r="C32" s="98" t="s">
        <v>48</v>
      </c>
      <c r="D32" s="98">
        <v>287</v>
      </c>
      <c r="E32" s="98">
        <v>241</v>
      </c>
      <c r="F32" s="98">
        <v>209</v>
      </c>
      <c r="G32" s="98">
        <v>184</v>
      </c>
      <c r="H32" s="98">
        <v>165</v>
      </c>
      <c r="I32" s="98">
        <v>151</v>
      </c>
      <c r="J32" s="98">
        <v>139</v>
      </c>
      <c r="K32" s="98">
        <v>132</v>
      </c>
      <c r="L32" s="98">
        <v>127</v>
      </c>
      <c r="M32" s="98">
        <v>119</v>
      </c>
      <c r="N32" s="98">
        <v>112</v>
      </c>
      <c r="O32" s="98">
        <v>109</v>
      </c>
      <c r="P32" s="98">
        <v>106</v>
      </c>
      <c r="Q32" s="98">
        <v>98</v>
      </c>
      <c r="R32" s="98">
        <v>96</v>
      </c>
      <c r="S32" s="98">
        <v>94</v>
      </c>
      <c r="T32" s="98">
        <v>92</v>
      </c>
      <c r="U32" s="98">
        <v>90</v>
      </c>
      <c r="V32" s="98">
        <v>88</v>
      </c>
      <c r="W32" s="98">
        <v>88</v>
      </c>
      <c r="X32" s="98">
        <v>88</v>
      </c>
      <c r="Y32" s="98">
        <v>88</v>
      </c>
      <c r="Z32" s="98">
        <v>88</v>
      </c>
      <c r="AA32" s="98">
        <v>88</v>
      </c>
      <c r="AB32" s="98">
        <v>88</v>
      </c>
      <c r="AC32" s="98">
        <v>88</v>
      </c>
      <c r="AD32" s="98">
        <v>88</v>
      </c>
      <c r="AE32" s="98">
        <v>88</v>
      </c>
      <c r="AF32" s="98">
        <v>88</v>
      </c>
      <c r="AG32" s="93" t="s">
        <v>49</v>
      </c>
      <c r="AH32" s="94" t="s">
        <v>50</v>
      </c>
      <c r="AI32" s="95" t="s">
        <v>51</v>
      </c>
    </row>
    <row r="33" spans="1:40">
      <c r="A33" s="98" t="s">
        <v>68</v>
      </c>
      <c r="B33" s="98" t="s">
        <v>72</v>
      </c>
      <c r="C33" s="98" t="s">
        <v>48</v>
      </c>
      <c r="D33" s="98">
        <v>206</v>
      </c>
      <c r="E33" s="98">
        <v>172</v>
      </c>
      <c r="F33" s="98">
        <v>146</v>
      </c>
      <c r="G33" s="98">
        <v>127</v>
      </c>
      <c r="H33" s="98">
        <v>112</v>
      </c>
      <c r="I33" s="98">
        <v>100</v>
      </c>
      <c r="J33" s="98">
        <v>89</v>
      </c>
      <c r="K33" s="98">
        <v>85</v>
      </c>
      <c r="L33" s="98">
        <v>81</v>
      </c>
      <c r="M33" s="98">
        <v>77</v>
      </c>
      <c r="N33" s="98">
        <v>74</v>
      </c>
      <c r="O33" s="98">
        <v>71</v>
      </c>
      <c r="P33" s="98">
        <v>69</v>
      </c>
      <c r="Q33" s="98">
        <v>66</v>
      </c>
      <c r="R33" s="98">
        <v>65</v>
      </c>
      <c r="S33" s="98">
        <v>63</v>
      </c>
      <c r="T33" s="98">
        <v>62</v>
      </c>
      <c r="U33" s="98">
        <v>61</v>
      </c>
      <c r="V33" s="98">
        <v>60</v>
      </c>
      <c r="W33" s="98">
        <v>60</v>
      </c>
      <c r="X33" s="98">
        <v>60</v>
      </c>
      <c r="Y33" s="98">
        <v>60</v>
      </c>
      <c r="Z33" s="98">
        <v>60</v>
      </c>
      <c r="AA33" s="98">
        <v>60</v>
      </c>
      <c r="AB33" s="98">
        <v>60</v>
      </c>
      <c r="AC33" s="98">
        <v>60</v>
      </c>
      <c r="AD33" s="98">
        <v>60</v>
      </c>
      <c r="AE33" s="98">
        <v>60</v>
      </c>
      <c r="AF33" s="98">
        <v>60</v>
      </c>
      <c r="AG33" s="93" t="s">
        <v>49</v>
      </c>
      <c r="AH33" s="94" t="s">
        <v>50</v>
      </c>
      <c r="AI33" s="95" t="s">
        <v>51</v>
      </c>
    </row>
    <row r="34" spans="1:40">
      <c r="A34" s="98" t="s">
        <v>69</v>
      </c>
      <c r="B34" s="98" t="s">
        <v>72</v>
      </c>
      <c r="C34" s="98" t="s">
        <v>48</v>
      </c>
      <c r="D34" s="98">
        <v>150</v>
      </c>
      <c r="E34" s="98">
        <v>137</v>
      </c>
      <c r="F34" s="98">
        <v>130</v>
      </c>
      <c r="G34" s="98">
        <v>124</v>
      </c>
      <c r="H34" s="98">
        <v>120</v>
      </c>
      <c r="I34" s="98">
        <v>116</v>
      </c>
      <c r="J34" s="98">
        <v>113</v>
      </c>
      <c r="K34" s="98">
        <v>110</v>
      </c>
      <c r="L34" s="98">
        <v>90</v>
      </c>
      <c r="M34" s="98">
        <v>88</v>
      </c>
      <c r="N34" s="98">
        <v>86</v>
      </c>
      <c r="O34" s="98">
        <v>84</v>
      </c>
      <c r="P34" s="98">
        <v>82</v>
      </c>
      <c r="Q34" s="98">
        <v>81</v>
      </c>
      <c r="R34" s="98">
        <v>79</v>
      </c>
      <c r="S34" s="98">
        <v>77</v>
      </c>
      <c r="T34" s="98">
        <v>76</v>
      </c>
      <c r="U34" s="98">
        <v>74</v>
      </c>
      <c r="V34" s="98">
        <v>73</v>
      </c>
      <c r="W34" s="98">
        <v>71</v>
      </c>
      <c r="X34" s="98">
        <v>71</v>
      </c>
      <c r="Y34" s="98">
        <v>70</v>
      </c>
      <c r="Z34" s="98">
        <v>69</v>
      </c>
      <c r="AA34" s="98">
        <v>68</v>
      </c>
      <c r="AB34" s="98">
        <v>67</v>
      </c>
      <c r="AC34" s="98">
        <v>66</v>
      </c>
      <c r="AD34" s="98">
        <v>66</v>
      </c>
      <c r="AE34" s="98">
        <v>66</v>
      </c>
      <c r="AF34" s="98">
        <v>65</v>
      </c>
      <c r="AG34" s="93" t="s">
        <v>49</v>
      </c>
      <c r="AH34" s="94" t="s">
        <v>50</v>
      </c>
      <c r="AI34" s="95" t="s">
        <v>51</v>
      </c>
    </row>
    <row r="35" spans="1:40">
      <c r="A35" s="98" t="s">
        <v>70</v>
      </c>
      <c r="B35" s="98" t="s">
        <v>72</v>
      </c>
      <c r="C35" s="98" t="s">
        <v>48</v>
      </c>
      <c r="D35" s="98">
        <v>65</v>
      </c>
      <c r="E35" s="98">
        <v>60</v>
      </c>
      <c r="F35" s="98">
        <v>55</v>
      </c>
      <c r="G35" s="98">
        <v>52</v>
      </c>
      <c r="H35" s="98">
        <v>50</v>
      </c>
      <c r="I35" s="98">
        <v>48</v>
      </c>
      <c r="J35" s="98">
        <v>46</v>
      </c>
      <c r="K35" s="98">
        <v>45</v>
      </c>
      <c r="L35" s="98">
        <v>44</v>
      </c>
      <c r="M35" s="98">
        <v>42</v>
      </c>
      <c r="N35" s="98">
        <v>41</v>
      </c>
      <c r="O35" s="98">
        <v>41</v>
      </c>
      <c r="P35" s="98">
        <v>40</v>
      </c>
      <c r="Q35" s="98">
        <v>39</v>
      </c>
      <c r="R35" s="98">
        <v>39</v>
      </c>
      <c r="S35" s="98">
        <v>38</v>
      </c>
      <c r="T35" s="98">
        <v>38</v>
      </c>
      <c r="U35" s="98">
        <v>37</v>
      </c>
      <c r="V35" s="98">
        <v>36</v>
      </c>
      <c r="W35" s="98">
        <v>36</v>
      </c>
      <c r="X35" s="98">
        <v>36</v>
      </c>
      <c r="Y35" s="98">
        <v>35</v>
      </c>
      <c r="Z35" s="98">
        <v>35</v>
      </c>
      <c r="AA35" s="98">
        <v>34</v>
      </c>
      <c r="AB35" s="98">
        <v>34</v>
      </c>
      <c r="AC35" s="98">
        <v>34</v>
      </c>
      <c r="AD35" s="98">
        <v>33</v>
      </c>
      <c r="AE35" s="98">
        <v>33</v>
      </c>
      <c r="AF35" s="98">
        <v>33</v>
      </c>
      <c r="AG35" s="93" t="s">
        <v>49</v>
      </c>
      <c r="AH35" s="94" t="s">
        <v>50</v>
      </c>
      <c r="AI35" s="95" t="s">
        <v>51</v>
      </c>
    </row>
    <row r="36" spans="1:40">
      <c r="A36" s="98" t="s">
        <v>71</v>
      </c>
      <c r="B36" s="98" t="s">
        <v>72</v>
      </c>
      <c r="C36" s="98" t="s">
        <v>48</v>
      </c>
      <c r="D36" s="98">
        <v>132</v>
      </c>
      <c r="E36" s="98">
        <v>114</v>
      </c>
      <c r="F36" s="98">
        <v>99</v>
      </c>
      <c r="G36" s="98">
        <v>89</v>
      </c>
      <c r="H36" s="98">
        <v>82</v>
      </c>
      <c r="I36" s="98">
        <v>77</v>
      </c>
      <c r="J36" s="98">
        <v>72</v>
      </c>
      <c r="K36" s="98">
        <v>69</v>
      </c>
      <c r="L36" s="98">
        <v>67</v>
      </c>
      <c r="M36" s="98">
        <v>64</v>
      </c>
      <c r="N36" s="98">
        <v>62</v>
      </c>
      <c r="O36" s="98">
        <v>61</v>
      </c>
      <c r="P36" s="98">
        <v>59</v>
      </c>
      <c r="Q36" s="98">
        <v>58</v>
      </c>
      <c r="R36" s="98">
        <v>57</v>
      </c>
      <c r="S36" s="98">
        <v>56</v>
      </c>
      <c r="T36" s="98">
        <v>55</v>
      </c>
      <c r="U36" s="98">
        <v>54</v>
      </c>
      <c r="V36" s="98">
        <v>53</v>
      </c>
      <c r="W36" s="98">
        <v>53</v>
      </c>
      <c r="X36" s="98">
        <v>52</v>
      </c>
      <c r="Y36" s="98">
        <v>52</v>
      </c>
      <c r="Z36" s="98">
        <v>51</v>
      </c>
      <c r="AA36" s="98">
        <v>51</v>
      </c>
      <c r="AB36" s="98">
        <v>50</v>
      </c>
      <c r="AC36" s="98">
        <v>50</v>
      </c>
      <c r="AD36" s="98">
        <v>49</v>
      </c>
      <c r="AE36" s="98">
        <v>49</v>
      </c>
      <c r="AF36" s="98">
        <v>48</v>
      </c>
      <c r="AG36" s="93" t="s">
        <v>49</v>
      </c>
      <c r="AH36" s="94" t="s">
        <v>50</v>
      </c>
      <c r="AI36" s="95" t="s">
        <v>51</v>
      </c>
      <c r="AJ36" s="96">
        <f>5.9/1000</f>
        <v>5.9000000000000007E-3</v>
      </c>
      <c r="AK36" s="97" t="s">
        <v>52</v>
      </c>
      <c r="AL36" s="97" t="s">
        <v>53</v>
      </c>
    </row>
    <row r="37" spans="1:40" s="99" customFormat="1">
      <c r="A37" s="105" t="s">
        <v>75</v>
      </c>
      <c r="B37" s="105" t="s">
        <v>57</v>
      </c>
      <c r="C37" s="105" t="s">
        <v>48</v>
      </c>
      <c r="D37" s="106">
        <v>43.9</v>
      </c>
      <c r="AI37" s="107" t="s">
        <v>76</v>
      </c>
      <c r="AJ37" s="96">
        <f>1.9/1000</f>
        <v>1.9E-3</v>
      </c>
      <c r="AK37" s="96" t="s">
        <v>52</v>
      </c>
      <c r="AL37" s="96" t="s">
        <v>77</v>
      </c>
    </row>
    <row r="38" spans="1:40" s="99" customFormat="1">
      <c r="A38" s="105" t="s">
        <v>75</v>
      </c>
      <c r="B38" s="105" t="s">
        <v>72</v>
      </c>
      <c r="C38" s="105" t="s">
        <v>48</v>
      </c>
      <c r="D38" s="99">
        <v>98.56</v>
      </c>
      <c r="AI38" s="107" t="s">
        <v>76</v>
      </c>
      <c r="AJ38" s="96">
        <f>1.9/1000</f>
        <v>1.9E-3</v>
      </c>
      <c r="AL38" s="96" t="s">
        <v>77</v>
      </c>
    </row>
    <row r="39" spans="1:40" s="99" customFormat="1">
      <c r="A39" s="105" t="s">
        <v>78</v>
      </c>
      <c r="B39" s="105" t="s">
        <v>57</v>
      </c>
      <c r="C39" s="105" t="s">
        <v>48</v>
      </c>
      <c r="D39" s="99">
        <v>37</v>
      </c>
      <c r="AI39" s="107" t="s">
        <v>79</v>
      </c>
      <c r="AJ39" s="96">
        <f>18.9/1000</f>
        <v>1.89E-2</v>
      </c>
      <c r="AK39" s="96" t="s">
        <v>52</v>
      </c>
      <c r="AL39" s="96" t="s">
        <v>53</v>
      </c>
      <c r="AM39" s="99" t="s">
        <v>80</v>
      </c>
      <c r="AN39" s="99" t="s">
        <v>81</v>
      </c>
    </row>
    <row r="40" spans="1:40" s="99" customFormat="1">
      <c r="A40" s="105" t="s">
        <v>78</v>
      </c>
      <c r="B40" s="105" t="s">
        <v>72</v>
      </c>
      <c r="C40" s="105" t="s">
        <v>48</v>
      </c>
      <c r="D40" s="108">
        <v>98.879150999999993</v>
      </c>
      <c r="AI40" s="107" t="s">
        <v>79</v>
      </c>
      <c r="AJ40" s="96">
        <f>18.9/1000</f>
        <v>1.89E-2</v>
      </c>
    </row>
  </sheetData>
  <hyperlinks>
    <hyperlink ref="AI3" r:id="rId1" xr:uid="{F2F2CE00-8E60-2C49-AF08-5B9EB8BED7D1}"/>
    <hyperlink ref="AI4:AI36" r:id="rId2" display="https://www.bnef.com/flagships/lcoe" xr:uid="{8E98A55B-B32E-4B4F-AE59-C62C0DD9B123}"/>
    <hyperlink ref="AI38" r:id="rId3" display="https://www.oecd-nea.org/jcms/pl_51110/projected-costs-of-generating-electricity-2020-edition" xr:uid="{6843DA57-D101-C746-AE95-85C652F36ABB}"/>
    <hyperlink ref="AI39" r:id="rId4" display="https://www.irena.org/publications/2022/Jul/Renewable-Power-Generation-Costs-in-2021" xr:uid="{0CD10D15-00B3-794F-8419-31A37DC2EB22}"/>
    <hyperlink ref="AI40" r:id="rId5" display="https://www.irena.org/publications/2022/Jul/Renewable-Power-Generation-Costs-in-2021" xr:uid="{D7690ED3-0921-2945-A154-88D6468CD3DF}"/>
    <hyperlink ref="AI2" r:id="rId6" xr:uid="{DBB7FE2C-1370-C544-8EE3-378486D12923}"/>
    <hyperlink ref="AI37" r:id="rId7" display="https://www.oecd-nea.org/jcms/pl_51110/projected-costs-of-generating-electricity-2020-edition" xr:uid="{A9D053AE-E774-2049-94AD-E8398BDB144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0A40-351E-EE4C-92AD-3BC93D7F11F0}">
  <sheetPr codeName="Sheet4"/>
  <dimension ref="A1:AR115"/>
  <sheetViews>
    <sheetView topLeftCell="A35" workbookViewId="0">
      <selection activeCell="D53" sqref="D53"/>
    </sheetView>
  </sheetViews>
  <sheetFormatPr defaultColWidth="10.75" defaultRowHeight="15.6"/>
  <cols>
    <col min="1" max="1" width="10.75" style="23"/>
    <col min="2" max="2" width="69.75" style="23" bestFit="1" customWidth="1"/>
    <col min="3" max="3" width="12" style="23" bestFit="1" customWidth="1"/>
    <col min="4" max="4" width="12.75" style="23" bestFit="1" customWidth="1"/>
    <col min="5" max="5" width="11.5" style="23" customWidth="1"/>
    <col min="6" max="16384" width="10.75" style="23"/>
  </cols>
  <sheetData>
    <row r="1" spans="1:44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ht="20.45" thickBot="1">
      <c r="A2" s="22"/>
      <c r="B2" s="24" t="s">
        <v>82</v>
      </c>
      <c r="C2" s="24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spans="1:44" ht="16.149999999999999" thickTop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</row>
    <row r="4" spans="1:44">
      <c r="A4" s="22"/>
      <c r="B4" s="23" t="s">
        <v>83</v>
      </c>
      <c r="C4" s="23" t="s">
        <v>84</v>
      </c>
      <c r="D4" s="25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</row>
    <row r="5" spans="1:44">
      <c r="A5" s="22"/>
      <c r="B5" s="22" t="s">
        <v>6</v>
      </c>
      <c r="C5" s="26">
        <v>2022</v>
      </c>
      <c r="D5" s="27">
        <v>2023</v>
      </c>
      <c r="E5" s="27">
        <v>2024</v>
      </c>
      <c r="F5" s="27">
        <v>2025</v>
      </c>
      <c r="G5" s="27">
        <v>2026</v>
      </c>
      <c r="H5" s="27">
        <v>2027</v>
      </c>
      <c r="I5" s="27">
        <v>2028</v>
      </c>
      <c r="J5" s="27">
        <v>2029</v>
      </c>
      <c r="K5" s="27">
        <v>2030</v>
      </c>
      <c r="L5" s="27">
        <v>2031</v>
      </c>
      <c r="M5" s="27">
        <v>2032</v>
      </c>
      <c r="N5" s="27">
        <v>2033</v>
      </c>
      <c r="O5" s="27">
        <v>2034</v>
      </c>
      <c r="P5" s="27">
        <v>2035</v>
      </c>
      <c r="Q5" s="27">
        <v>2036</v>
      </c>
      <c r="R5" s="27">
        <v>2037</v>
      </c>
      <c r="S5" s="27">
        <v>2038</v>
      </c>
      <c r="T5" s="27">
        <v>2039</v>
      </c>
      <c r="U5" s="27">
        <v>2040</v>
      </c>
      <c r="V5" s="27">
        <v>2041</v>
      </c>
      <c r="W5" s="27">
        <v>2042</v>
      </c>
      <c r="X5" s="27">
        <v>2043</v>
      </c>
      <c r="Y5" s="27">
        <v>2044</v>
      </c>
      <c r="Z5" s="27">
        <v>2045</v>
      </c>
      <c r="AA5" s="27">
        <v>2046</v>
      </c>
      <c r="AB5" s="27">
        <v>2047</v>
      </c>
      <c r="AC5" s="27">
        <v>2048</v>
      </c>
      <c r="AD5" s="27">
        <v>2049</v>
      </c>
      <c r="AE5" s="27">
        <v>2050</v>
      </c>
      <c r="AF5" s="22" t="s">
        <v>85</v>
      </c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</row>
    <row r="6" spans="1:44">
      <c r="A6" s="29"/>
      <c r="B6" s="29" t="s">
        <v>86</v>
      </c>
      <c r="C6" s="30">
        <v>79</v>
      </c>
      <c r="D6" s="31">
        <v>70</v>
      </c>
      <c r="E6" s="31">
        <v>64</v>
      </c>
      <c r="F6" s="31">
        <v>55</v>
      </c>
      <c r="G6" s="31">
        <v>52</v>
      </c>
      <c r="H6" s="31">
        <v>48</v>
      </c>
      <c r="I6" s="31">
        <v>44</v>
      </c>
      <c r="J6" s="31">
        <v>42</v>
      </c>
      <c r="K6" s="31">
        <v>38</v>
      </c>
      <c r="L6" s="31">
        <v>39</v>
      </c>
      <c r="M6" s="31">
        <v>35</v>
      </c>
      <c r="N6" s="31">
        <v>34</v>
      </c>
      <c r="O6" s="31">
        <v>34</v>
      </c>
      <c r="P6" s="31">
        <v>33</v>
      </c>
      <c r="Q6" s="31">
        <v>33</v>
      </c>
      <c r="R6" s="31">
        <v>30</v>
      </c>
      <c r="S6" s="31">
        <v>32</v>
      </c>
      <c r="T6" s="31">
        <v>32</v>
      </c>
      <c r="U6" s="31">
        <v>31</v>
      </c>
      <c r="V6" s="31">
        <v>31</v>
      </c>
      <c r="W6" s="31">
        <v>31</v>
      </c>
      <c r="X6" s="31">
        <v>28</v>
      </c>
      <c r="Y6" s="31">
        <v>30</v>
      </c>
      <c r="Z6" s="31">
        <v>30</v>
      </c>
      <c r="AA6" s="31">
        <v>30</v>
      </c>
      <c r="AB6" s="31">
        <v>30</v>
      </c>
      <c r="AC6" s="31">
        <v>27</v>
      </c>
      <c r="AD6" s="31">
        <v>29</v>
      </c>
      <c r="AE6" s="31">
        <v>29</v>
      </c>
      <c r="AF6" s="29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</row>
    <row r="7" spans="1:44">
      <c r="A7" s="33"/>
      <c r="B7" s="33" t="s">
        <v>87</v>
      </c>
      <c r="C7" s="34">
        <v>84</v>
      </c>
      <c r="D7" s="35">
        <v>75</v>
      </c>
      <c r="E7" s="35">
        <v>68</v>
      </c>
      <c r="F7" s="35">
        <v>59</v>
      </c>
      <c r="G7" s="35">
        <v>55</v>
      </c>
      <c r="H7" s="35">
        <v>51</v>
      </c>
      <c r="I7" s="35">
        <v>47</v>
      </c>
      <c r="J7" s="35">
        <v>45</v>
      </c>
      <c r="K7" s="36">
        <v>40.53</v>
      </c>
      <c r="L7" s="35">
        <v>42</v>
      </c>
      <c r="M7" s="35">
        <v>37</v>
      </c>
      <c r="N7" s="35">
        <v>36</v>
      </c>
      <c r="O7" s="35">
        <v>36</v>
      </c>
      <c r="P7" s="35">
        <v>35</v>
      </c>
      <c r="Q7" s="35">
        <v>35</v>
      </c>
      <c r="R7" s="35">
        <v>32</v>
      </c>
      <c r="S7" s="35">
        <v>34</v>
      </c>
      <c r="T7" s="35">
        <v>34</v>
      </c>
      <c r="U7" s="35">
        <v>33</v>
      </c>
      <c r="V7" s="35">
        <v>33</v>
      </c>
      <c r="W7" s="35">
        <v>33</v>
      </c>
      <c r="X7" s="35">
        <v>30</v>
      </c>
      <c r="Y7" s="35">
        <v>32</v>
      </c>
      <c r="Z7" s="35">
        <v>32</v>
      </c>
      <c r="AA7" s="35">
        <v>32</v>
      </c>
      <c r="AB7" s="35">
        <v>32</v>
      </c>
      <c r="AC7" s="35">
        <v>29</v>
      </c>
      <c r="AD7" s="35">
        <v>31</v>
      </c>
      <c r="AE7" s="35">
        <v>31</v>
      </c>
      <c r="AF7" s="33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</row>
    <row r="8" spans="1:44">
      <c r="A8" s="25"/>
      <c r="B8" s="25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25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</row>
    <row r="9" spans="1:44">
      <c r="A9" s="25"/>
      <c r="B9" s="25" t="s">
        <v>88</v>
      </c>
      <c r="C9" s="25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25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</row>
    <row r="10" spans="1:44">
      <c r="A10" s="25"/>
      <c r="B10" s="25" t="s">
        <v>89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</row>
    <row r="11" spans="1:44">
      <c r="A11" s="25"/>
      <c r="B11" s="25" t="s">
        <v>90</v>
      </c>
      <c r="C11" s="39">
        <v>374</v>
      </c>
      <c r="D11" s="39">
        <v>327</v>
      </c>
      <c r="E11" s="39">
        <v>284</v>
      </c>
      <c r="F11" s="39">
        <v>250</v>
      </c>
      <c r="G11" s="39">
        <v>228</v>
      </c>
      <c r="H11" s="39">
        <v>208</v>
      </c>
      <c r="I11" s="39">
        <v>192</v>
      </c>
      <c r="J11" s="39">
        <v>183</v>
      </c>
      <c r="K11" s="39">
        <v>175</v>
      </c>
      <c r="L11" s="39">
        <v>169</v>
      </c>
      <c r="M11" s="39">
        <v>161</v>
      </c>
      <c r="N11" s="39">
        <v>157</v>
      </c>
      <c r="O11" s="39">
        <v>151</v>
      </c>
      <c r="P11" s="39">
        <v>147</v>
      </c>
      <c r="Q11" s="39">
        <v>146</v>
      </c>
      <c r="R11" s="39">
        <v>143</v>
      </c>
      <c r="S11" s="39">
        <v>142</v>
      </c>
      <c r="T11" s="39">
        <v>139</v>
      </c>
      <c r="U11" s="39">
        <v>138</v>
      </c>
      <c r="V11" s="39">
        <v>138</v>
      </c>
      <c r="W11" s="39">
        <v>137</v>
      </c>
      <c r="X11" s="39">
        <v>137</v>
      </c>
      <c r="Y11" s="39">
        <v>136</v>
      </c>
      <c r="Z11" s="39">
        <v>136</v>
      </c>
      <c r="AA11" s="39">
        <v>136</v>
      </c>
      <c r="AB11" s="39">
        <v>135</v>
      </c>
      <c r="AC11" s="39">
        <v>135</v>
      </c>
      <c r="AD11" s="39">
        <v>132</v>
      </c>
      <c r="AE11" s="39">
        <v>132</v>
      </c>
      <c r="AF11" s="25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</row>
    <row r="12" spans="1:44">
      <c r="A12" s="25"/>
      <c r="B12" s="25" t="s">
        <v>91</v>
      </c>
      <c r="C12" s="25"/>
      <c r="D12" s="25"/>
      <c r="E12" s="25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25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</row>
    <row r="13" spans="1:44">
      <c r="A13" s="22"/>
      <c r="B13" s="25" t="s">
        <v>90</v>
      </c>
      <c r="C13" s="39">
        <v>79</v>
      </c>
      <c r="D13" s="39">
        <v>70</v>
      </c>
      <c r="E13" s="39">
        <v>64</v>
      </c>
      <c r="F13" s="39">
        <v>55</v>
      </c>
      <c r="G13" s="39">
        <v>52</v>
      </c>
      <c r="H13" s="39">
        <v>48</v>
      </c>
      <c r="I13" s="39">
        <v>44</v>
      </c>
      <c r="J13" s="39">
        <v>42</v>
      </c>
      <c r="K13" s="39">
        <v>38</v>
      </c>
      <c r="L13" s="39">
        <v>39</v>
      </c>
      <c r="M13" s="39">
        <v>35</v>
      </c>
      <c r="N13" s="39">
        <v>34</v>
      </c>
      <c r="O13" s="39">
        <v>34</v>
      </c>
      <c r="P13" s="39">
        <v>33</v>
      </c>
      <c r="Q13" s="39">
        <v>33</v>
      </c>
      <c r="R13" s="39">
        <v>30</v>
      </c>
      <c r="S13" s="39">
        <v>32</v>
      </c>
      <c r="T13" s="39">
        <v>32</v>
      </c>
      <c r="U13" s="39">
        <v>31</v>
      </c>
      <c r="V13" s="39">
        <v>31</v>
      </c>
      <c r="W13" s="39">
        <v>31</v>
      </c>
      <c r="X13" s="39">
        <v>28</v>
      </c>
      <c r="Y13" s="39">
        <v>30</v>
      </c>
      <c r="Z13" s="39">
        <v>30</v>
      </c>
      <c r="AA13" s="39">
        <v>30</v>
      </c>
      <c r="AB13" s="39">
        <v>30</v>
      </c>
      <c r="AC13" s="39">
        <v>27</v>
      </c>
      <c r="AD13" s="39">
        <v>29</v>
      </c>
      <c r="AE13" s="39">
        <v>29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</row>
    <row r="14" spans="1:44">
      <c r="A14" s="22"/>
      <c r="B14" s="25" t="s">
        <v>92</v>
      </c>
      <c r="C14" s="25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</row>
    <row r="15" spans="1:44">
      <c r="A15" s="22"/>
      <c r="B15" s="25" t="s">
        <v>90</v>
      </c>
      <c r="C15" s="39">
        <v>116</v>
      </c>
      <c r="D15" s="39">
        <v>107</v>
      </c>
      <c r="E15" s="39">
        <v>102</v>
      </c>
      <c r="F15" s="39">
        <v>97</v>
      </c>
      <c r="G15" s="39">
        <v>94</v>
      </c>
      <c r="H15" s="39">
        <v>91</v>
      </c>
      <c r="I15" s="39">
        <v>88</v>
      </c>
      <c r="J15" s="39">
        <v>86</v>
      </c>
      <c r="K15" s="39">
        <v>54</v>
      </c>
      <c r="L15" s="39">
        <v>53</v>
      </c>
      <c r="M15" s="39">
        <v>52</v>
      </c>
      <c r="N15" s="39">
        <v>51</v>
      </c>
      <c r="O15" s="39">
        <v>50</v>
      </c>
      <c r="P15" s="39">
        <v>49</v>
      </c>
      <c r="Q15" s="39">
        <v>48</v>
      </c>
      <c r="R15" s="39">
        <v>47</v>
      </c>
      <c r="S15" s="39">
        <v>46</v>
      </c>
      <c r="T15" s="39">
        <v>45</v>
      </c>
      <c r="U15" s="39">
        <v>44</v>
      </c>
      <c r="V15" s="39">
        <v>44</v>
      </c>
      <c r="W15" s="39">
        <v>43</v>
      </c>
      <c r="X15" s="39">
        <v>43</v>
      </c>
      <c r="Y15" s="39">
        <v>42</v>
      </c>
      <c r="Z15" s="39">
        <v>42</v>
      </c>
      <c r="AA15" s="39">
        <v>41</v>
      </c>
      <c r="AB15" s="39">
        <v>40</v>
      </c>
      <c r="AC15" s="39">
        <v>40</v>
      </c>
      <c r="AD15" s="39">
        <v>40</v>
      </c>
      <c r="AE15" s="39">
        <v>40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</row>
    <row r="16" spans="1:44">
      <c r="A16" s="22"/>
      <c r="B16" s="22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</row>
    <row r="17" spans="1:44">
      <c r="A17" s="22"/>
      <c r="B17" s="22"/>
      <c r="C17" s="38"/>
      <c r="D17" s="38"/>
      <c r="E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</row>
    <row r="18" spans="1:44" ht="20.45" thickBot="1">
      <c r="A18" s="22"/>
      <c r="B18" s="24" t="s">
        <v>93</v>
      </c>
      <c r="C18" s="24"/>
      <c r="D18" s="22"/>
      <c r="E18" s="22"/>
      <c r="F18" s="22" t="s">
        <v>41</v>
      </c>
      <c r="G18" s="22" t="s">
        <v>42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</row>
    <row r="19" spans="1:44" ht="16.149999999999999" thickTop="1">
      <c r="A19" s="22"/>
      <c r="B19" s="22"/>
      <c r="C19" s="22"/>
      <c r="D19" s="22"/>
      <c r="E19" s="22"/>
      <c r="F19" s="22" t="s">
        <v>94</v>
      </c>
      <c r="G19" s="22" t="s">
        <v>95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</row>
    <row r="20" spans="1:44">
      <c r="A20" s="22"/>
      <c r="B20" s="22"/>
      <c r="C20" s="22" t="s">
        <v>96</v>
      </c>
      <c r="D20" s="22" t="s">
        <v>97</v>
      </c>
      <c r="E20" s="22" t="s">
        <v>98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</row>
    <row r="21" spans="1:44">
      <c r="A21" s="22"/>
      <c r="B21" s="40" t="s">
        <v>99</v>
      </c>
      <c r="C21" s="41">
        <v>2024</v>
      </c>
      <c r="D21" s="42">
        <v>2024</v>
      </c>
      <c r="E21" s="42">
        <v>2024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</row>
    <row r="22" spans="1:44">
      <c r="A22" s="22"/>
      <c r="B22" s="40" t="s">
        <v>100</v>
      </c>
      <c r="C22" s="43">
        <v>2050</v>
      </c>
      <c r="D22" s="44">
        <v>2050</v>
      </c>
      <c r="E22" s="44">
        <v>2050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</row>
    <row r="23" spans="1:44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</row>
    <row r="24" spans="1:4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</row>
    <row r="25" spans="1:44">
      <c r="A25" s="22"/>
      <c r="B25" s="22" t="s">
        <v>6</v>
      </c>
      <c r="C25" s="74">
        <v>2024</v>
      </c>
      <c r="D25" s="74">
        <v>2050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1:44">
      <c r="A26" s="22"/>
      <c r="B26" s="22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 spans="1:44">
      <c r="A27" s="22"/>
      <c r="B27" s="47" t="s">
        <v>96</v>
      </c>
      <c r="C27" s="47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 spans="1:44">
      <c r="A28" s="22"/>
      <c r="B28" s="22" t="s">
        <v>101</v>
      </c>
      <c r="C28" s="71">
        <v>4.0000000000000001E-3</v>
      </c>
      <c r="D28" s="72">
        <v>1000</v>
      </c>
      <c r="E28" s="48"/>
      <c r="F28" s="22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9"/>
      <c r="AE28" s="49"/>
      <c r="AF28" s="22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</row>
    <row r="29" spans="1:44">
      <c r="A29" s="22"/>
      <c r="B29" s="22" t="s">
        <v>102</v>
      </c>
      <c r="C29" s="50">
        <v>1282</v>
      </c>
      <c r="D29" s="51">
        <v>374</v>
      </c>
      <c r="E29" s="49"/>
      <c r="F29" s="22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22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</row>
    <row r="30" spans="1:44">
      <c r="A30" s="22"/>
      <c r="B30" s="22" t="s">
        <v>103</v>
      </c>
      <c r="C30" s="50">
        <v>1180</v>
      </c>
      <c r="D30" s="51">
        <v>281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>
      <c r="A31" s="22"/>
      <c r="B31" s="22" t="s">
        <v>104</v>
      </c>
      <c r="C31" s="50">
        <v>1392</v>
      </c>
      <c r="D31" s="51">
        <v>579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>
      <c r="A33" s="22"/>
      <c r="B33" s="47" t="s">
        <v>97</v>
      </c>
      <c r="C33" s="47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22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</row>
    <row r="34" spans="1:44">
      <c r="A34" s="22"/>
      <c r="B34" s="22" t="s">
        <v>101</v>
      </c>
      <c r="C34" s="52">
        <v>0.5</v>
      </c>
      <c r="D34" s="72">
        <v>1000</v>
      </c>
      <c r="E34" s="49"/>
      <c r="F34" s="22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22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</row>
    <row r="35" spans="1:44">
      <c r="A35" s="22"/>
      <c r="B35" s="22" t="s">
        <v>102</v>
      </c>
      <c r="C35" s="50">
        <v>670</v>
      </c>
      <c r="D35" s="51">
        <v>341</v>
      </c>
      <c r="E35" s="49"/>
      <c r="F35" s="22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22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</row>
    <row r="36" spans="1:44">
      <c r="A36" s="22"/>
      <c r="B36" s="22" t="s">
        <v>103</v>
      </c>
      <c r="C36" s="50">
        <v>521</v>
      </c>
      <c r="D36" s="51">
        <v>226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>
      <c r="A37" s="22"/>
      <c r="B37" s="22" t="s">
        <v>104</v>
      </c>
      <c r="C37" s="50">
        <v>894</v>
      </c>
      <c r="D37" s="51">
        <v>544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>
      <c r="A39" s="22"/>
      <c r="B39" s="47" t="s">
        <v>98</v>
      </c>
      <c r="C39" s="47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>
      <c r="A40" s="22"/>
      <c r="B40" s="22" t="s">
        <v>101</v>
      </c>
      <c r="C40" s="73">
        <v>1E-3</v>
      </c>
      <c r="D40" s="72">
        <v>1000</v>
      </c>
      <c r="E40" s="49"/>
      <c r="F40" s="22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22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</row>
    <row r="41" spans="1:44">
      <c r="A41" s="22"/>
      <c r="B41" s="22" t="s">
        <v>102</v>
      </c>
      <c r="C41" s="50">
        <v>2481</v>
      </c>
      <c r="D41" s="51">
        <v>371</v>
      </c>
      <c r="E41" s="49"/>
      <c r="F41" s="22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22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</row>
    <row r="42" spans="1:44">
      <c r="A42" s="22"/>
      <c r="B42" s="22" t="s">
        <v>103</v>
      </c>
      <c r="C42" s="50">
        <v>2153</v>
      </c>
      <c r="D42" s="51">
        <v>230</v>
      </c>
      <c r="E42" s="49"/>
      <c r="F42" s="22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22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</row>
    <row r="43" spans="1:44">
      <c r="A43" s="22"/>
      <c r="B43" s="22" t="s">
        <v>104</v>
      </c>
      <c r="C43" s="50">
        <v>2874</v>
      </c>
      <c r="D43" s="51">
        <v>835</v>
      </c>
      <c r="E43" s="49"/>
      <c r="F43" s="22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22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</row>
    <row r="44" spans="1: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>
      <c r="A45" s="22"/>
      <c r="B45" s="47" t="s">
        <v>105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>
      <c r="A46" s="22"/>
      <c r="B46" s="22" t="s">
        <v>102</v>
      </c>
      <c r="C46" s="52">
        <f t="shared" ref="C46:D48" si="0">AVERAGE(C29,C35,C41)</f>
        <v>1477.6666666666667</v>
      </c>
      <c r="D46" s="53">
        <f t="shared" si="0"/>
        <v>362</v>
      </c>
      <c r="E46" s="49"/>
      <c r="F46" s="22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22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</row>
    <row r="47" spans="1:44">
      <c r="A47" s="22"/>
      <c r="B47" s="22" t="s">
        <v>103</v>
      </c>
      <c r="C47" s="52">
        <f t="shared" si="0"/>
        <v>1284.6666666666667</v>
      </c>
      <c r="D47" s="53">
        <f t="shared" si="0"/>
        <v>245.66666666666666</v>
      </c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22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</row>
    <row r="48" spans="1:44">
      <c r="A48" s="22"/>
      <c r="B48" s="22" t="s">
        <v>104</v>
      </c>
      <c r="C48" s="52">
        <f t="shared" si="0"/>
        <v>1720</v>
      </c>
      <c r="D48" s="53">
        <f t="shared" si="0"/>
        <v>652.66666666666663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>
      <c r="A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>
      <c r="A50" s="22"/>
      <c r="B50" s="23" t="s">
        <v>106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>
      <c r="A51" s="22"/>
      <c r="B51" s="116">
        <v>0.25</v>
      </c>
      <c r="C51" s="52">
        <v>295</v>
      </c>
      <c r="D51" s="52">
        <v>142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>
      <c r="A52" s="22"/>
      <c r="B52" s="116">
        <v>0.5</v>
      </c>
      <c r="C52" s="52">
        <v>440</v>
      </c>
      <c r="D52" s="52">
        <v>235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>
      <c r="A53" s="22"/>
      <c r="B53" s="117">
        <v>0.75</v>
      </c>
      <c r="C53" s="52">
        <v>1282</v>
      </c>
      <c r="D53" s="52">
        <v>479</v>
      </c>
      <c r="E53" s="22"/>
      <c r="F53" s="22"/>
      <c r="G53" s="22"/>
      <c r="H53" s="22"/>
      <c r="I53" s="22"/>
      <c r="J53" s="22"/>
      <c r="K53" s="22"/>
      <c r="L53" s="22"/>
      <c r="M53" s="22"/>
      <c r="N53" s="54"/>
      <c r="O53" s="55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>
      <c r="A54" s="22"/>
      <c r="B54" s="115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54"/>
      <c r="O54" s="55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20.45" thickBot="1">
      <c r="A55" s="22"/>
      <c r="B55" s="24" t="s">
        <v>107</v>
      </c>
      <c r="C55" s="24"/>
      <c r="D55" s="24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6.149999999999999" thickTop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>
      <c r="A57" s="22"/>
      <c r="B57" s="22"/>
      <c r="C57" s="22"/>
      <c r="D57" s="22"/>
      <c r="F57" s="22"/>
      <c r="G57" s="22" t="s">
        <v>41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>
      <c r="A58" s="22"/>
      <c r="B58" s="22" t="s">
        <v>107</v>
      </c>
      <c r="C58" s="56">
        <v>7.0000000000000007E-2</v>
      </c>
      <c r="D58" s="22"/>
      <c r="F58" s="22"/>
      <c r="G58" s="22" t="s">
        <v>108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20.45" thickBot="1">
      <c r="A61" s="22"/>
      <c r="B61" s="24" t="s">
        <v>109</v>
      </c>
      <c r="C61" s="24"/>
      <c r="D61" s="24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6.149999999999999" thickTop="1">
      <c r="A62" s="22"/>
      <c r="B62" s="22"/>
      <c r="C62" s="22">
        <v>2024</v>
      </c>
      <c r="D62" s="22">
        <v>2050</v>
      </c>
      <c r="E62" s="25"/>
      <c r="F62" s="57" t="s">
        <v>42</v>
      </c>
      <c r="G62" s="57" t="s">
        <v>41</v>
      </c>
      <c r="H62" s="2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>
      <c r="A63" s="22"/>
      <c r="B63" s="22" t="s">
        <v>110</v>
      </c>
      <c r="C63" s="58">
        <v>88.7</v>
      </c>
      <c r="D63" s="59">
        <v>88.7</v>
      </c>
      <c r="E63" s="22" t="s">
        <v>20</v>
      </c>
      <c r="F63" s="57" t="s">
        <v>111</v>
      </c>
      <c r="G63" s="60" t="s">
        <v>112</v>
      </c>
      <c r="H63" s="25" t="s">
        <v>113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>
      <c r="A64" s="22"/>
      <c r="B64" s="22"/>
      <c r="C64" s="22"/>
      <c r="D64" s="22"/>
      <c r="E64" s="25"/>
      <c r="F64" s="25"/>
      <c r="G64" s="25"/>
      <c r="H64" s="25" t="s">
        <v>113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20.45" thickBot="1">
      <c r="A66" s="22"/>
      <c r="B66" s="24" t="s">
        <v>114</v>
      </c>
      <c r="C66" s="24"/>
      <c r="D66" s="24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6.149999999999999" thickTop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6.149999999999999" thickBot="1">
      <c r="A68" s="61"/>
      <c r="B68" s="62" t="s">
        <v>115</v>
      </c>
      <c r="C68" s="62"/>
      <c r="D68" s="22"/>
      <c r="E68" s="22"/>
      <c r="F68" s="22"/>
      <c r="G68" s="22" t="s">
        <v>41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>
      <c r="A69" s="61"/>
      <c r="B69" s="22" t="s">
        <v>110</v>
      </c>
      <c r="C69" s="22">
        <v>0.36</v>
      </c>
      <c r="D69" s="22" t="s">
        <v>116</v>
      </c>
      <c r="E69" s="22" t="s">
        <v>117</v>
      </c>
      <c r="G69" s="22" t="s">
        <v>118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>
      <c r="A70" s="61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>
      <c r="A71" s="6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6.149999999999999" thickBot="1">
      <c r="A72" s="61"/>
      <c r="B72" s="62" t="s">
        <v>119</v>
      </c>
      <c r="C72" s="62"/>
      <c r="D72" s="22"/>
      <c r="E72" s="22"/>
      <c r="F72" s="22" t="s">
        <v>42</v>
      </c>
      <c r="G72" s="22" t="s">
        <v>41</v>
      </c>
      <c r="H72" s="22" t="s">
        <v>120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>
      <c r="A73" s="61"/>
      <c r="B73" s="22" t="s">
        <v>110</v>
      </c>
      <c r="C73" s="63">
        <v>0.8</v>
      </c>
      <c r="D73" s="22" t="s">
        <v>27</v>
      </c>
      <c r="E73" s="22" t="s">
        <v>117</v>
      </c>
      <c r="F73" s="22" t="s">
        <v>81</v>
      </c>
      <c r="G73" s="64" t="s">
        <v>121</v>
      </c>
      <c r="H73" s="65">
        <v>45458</v>
      </c>
      <c r="I73" s="22"/>
      <c r="K73" s="22"/>
      <c r="L73" s="22"/>
      <c r="M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>
      <c r="A74" s="22"/>
      <c r="B74" s="22" t="s">
        <v>122</v>
      </c>
      <c r="C74" s="22">
        <v>0.65</v>
      </c>
      <c r="D74" s="22" t="s">
        <v>27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>
      <c r="A75" s="22"/>
      <c r="B75" s="22" t="s">
        <v>123</v>
      </c>
      <c r="C75" s="66">
        <f>C73/C74</f>
        <v>1.2307692307692308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6.149999999999999" thickBot="1">
      <c r="A77" s="22"/>
      <c r="B77" s="62" t="s">
        <v>124</v>
      </c>
      <c r="C77" s="62"/>
      <c r="D77" s="62"/>
      <c r="E77" s="6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>
      <c r="A79" s="22"/>
      <c r="B79" s="47" t="s">
        <v>125</v>
      </c>
      <c r="C79" s="47"/>
      <c r="D79" s="47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>
      <c r="A80" s="22"/>
      <c r="B80" s="22"/>
      <c r="C80" s="47"/>
      <c r="D80" s="47">
        <v>2010</v>
      </c>
      <c r="E80" s="47">
        <v>2020</v>
      </c>
      <c r="F80" s="47">
        <v>2030</v>
      </c>
      <c r="G80" s="47">
        <v>2040</v>
      </c>
      <c r="H80" s="47">
        <v>2050</v>
      </c>
      <c r="I80" s="22"/>
      <c r="J80" s="22" t="s">
        <v>41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>
      <c r="A81" s="22"/>
      <c r="B81" s="47" t="s">
        <v>126</v>
      </c>
      <c r="C81" s="47"/>
      <c r="D81" s="66">
        <v>91</v>
      </c>
      <c r="E81" s="66">
        <v>37</v>
      </c>
      <c r="F81" s="66">
        <v>35</v>
      </c>
      <c r="G81" s="66">
        <v>28</v>
      </c>
      <c r="H81" s="66">
        <v>24</v>
      </c>
      <c r="I81" s="22"/>
      <c r="J81" s="22" t="s">
        <v>127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>
      <c r="A82" s="22"/>
      <c r="B82" s="47" t="s">
        <v>128</v>
      </c>
      <c r="C82" s="47"/>
      <c r="D82" s="66">
        <v>104.17</v>
      </c>
      <c r="E82" s="66">
        <v>42.35</v>
      </c>
      <c r="F82" s="66">
        <v>40.07</v>
      </c>
      <c r="G82" s="66">
        <v>32.049999999999997</v>
      </c>
      <c r="H82" s="66">
        <v>27.47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>
      <c r="A83" s="22"/>
      <c r="B83" s="47" t="s">
        <v>129</v>
      </c>
      <c r="C83" s="47"/>
      <c r="D83" s="66">
        <v>0.66</v>
      </c>
      <c r="E83" s="66">
        <v>0.27</v>
      </c>
      <c r="F83" s="66">
        <v>0.25</v>
      </c>
      <c r="G83" s="66">
        <v>0.2</v>
      </c>
      <c r="H83" s="66">
        <v>0.17</v>
      </c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>
      <c r="A85" s="22"/>
      <c r="B85" s="22"/>
      <c r="C85" s="22"/>
      <c r="D85" s="47">
        <v>2024</v>
      </c>
      <c r="E85" s="47">
        <v>2050</v>
      </c>
      <c r="F85" s="47"/>
      <c r="G85" s="47"/>
      <c r="H85" s="47"/>
      <c r="I85" s="47"/>
      <c r="J85" s="47"/>
      <c r="K85" s="47"/>
      <c r="L85" s="47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>
      <c r="A86" s="22"/>
      <c r="B86" s="47" t="s">
        <v>129</v>
      </c>
      <c r="C86" s="47"/>
      <c r="D86" s="67">
        <f>_xlfn.FORECAST.LINEAR(D85,E83:F83,E80:F80)</f>
        <v>0.26199999999999957</v>
      </c>
      <c r="E86" s="66">
        <v>0.17</v>
      </c>
      <c r="F86" s="67"/>
      <c r="G86" s="68"/>
      <c r="H86" s="67"/>
      <c r="I86" s="68"/>
      <c r="J86" s="67"/>
      <c r="K86" s="68"/>
      <c r="L86" s="67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>
      <c r="A87" s="22"/>
      <c r="B87" s="22"/>
      <c r="C87" s="22"/>
      <c r="D87" s="22"/>
      <c r="E87" s="22"/>
      <c r="F87" s="22"/>
      <c r="G87" s="22"/>
      <c r="H87" s="22"/>
      <c r="I87" s="22"/>
      <c r="J87" s="22" t="s">
        <v>41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>
      <c r="A88" s="22"/>
      <c r="B88" s="47" t="s">
        <v>130</v>
      </c>
      <c r="C88" s="22"/>
      <c r="D88" s="22"/>
      <c r="E88" s="22"/>
      <c r="F88" s="22"/>
      <c r="G88" s="22"/>
      <c r="H88" s="22"/>
      <c r="I88" s="22"/>
      <c r="J88" s="23" t="s">
        <v>131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>
      <c r="A89" s="22"/>
      <c r="B89" s="22"/>
      <c r="C89" s="22"/>
      <c r="D89" s="69">
        <v>2022</v>
      </c>
      <c r="E89" s="69">
        <v>2023</v>
      </c>
      <c r="F89" s="69">
        <v>2024</v>
      </c>
      <c r="G89" s="69">
        <v>2025</v>
      </c>
      <c r="H89" s="69">
        <v>2026</v>
      </c>
      <c r="I89" s="69">
        <v>2027</v>
      </c>
      <c r="J89" s="69">
        <v>2028</v>
      </c>
      <c r="K89" s="69">
        <v>2029</v>
      </c>
      <c r="L89" s="69">
        <v>2030</v>
      </c>
      <c r="M89" s="69">
        <v>2031</v>
      </c>
      <c r="N89" s="69">
        <v>2032</v>
      </c>
      <c r="O89" s="69">
        <v>2033</v>
      </c>
      <c r="P89" s="69">
        <v>2034</v>
      </c>
      <c r="Q89" s="69">
        <v>2035</v>
      </c>
      <c r="R89" s="69">
        <v>2036</v>
      </c>
      <c r="S89" s="69">
        <v>2037</v>
      </c>
      <c r="T89" s="69">
        <v>2038</v>
      </c>
      <c r="U89" s="69">
        <v>2039</v>
      </c>
      <c r="V89" s="69">
        <v>2040</v>
      </c>
      <c r="W89" s="69">
        <v>2041</v>
      </c>
      <c r="X89" s="69">
        <v>2042</v>
      </c>
      <c r="Y89" s="69">
        <v>2043</v>
      </c>
      <c r="Z89" s="69">
        <v>2044</v>
      </c>
      <c r="AA89" s="69">
        <v>2045</v>
      </c>
      <c r="AB89" s="69">
        <v>2046</v>
      </c>
      <c r="AC89" s="69">
        <v>2047</v>
      </c>
      <c r="AD89" s="69">
        <v>2048</v>
      </c>
      <c r="AE89" s="69">
        <v>2049</v>
      </c>
      <c r="AF89" s="69">
        <v>2050</v>
      </c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>
      <c r="A90" s="22"/>
      <c r="B90" s="47" t="s">
        <v>132</v>
      </c>
      <c r="C90" s="22"/>
      <c r="D90" s="23">
        <v>102.129997</v>
      </c>
      <c r="E90" s="23">
        <v>95.329002000000003</v>
      </c>
      <c r="F90" s="59">
        <v>98.708404999999999</v>
      </c>
      <c r="G90" s="23">
        <v>94.878890999999996</v>
      </c>
      <c r="H90" s="23">
        <v>97.830475000000007</v>
      </c>
      <c r="I90" s="23">
        <v>100.425552</v>
      </c>
      <c r="J90" s="23">
        <v>103.260544</v>
      </c>
      <c r="K90" s="23">
        <v>106.227829</v>
      </c>
      <c r="L90" s="23">
        <v>109.43918600000001</v>
      </c>
      <c r="M90" s="23">
        <v>112.639786</v>
      </c>
      <c r="N90" s="23">
        <v>116.265869</v>
      </c>
      <c r="O90" s="23">
        <v>119.61837800000001</v>
      </c>
      <c r="P90" s="23">
        <v>123.399551</v>
      </c>
      <c r="Q90" s="23">
        <v>127.457848</v>
      </c>
      <c r="R90" s="23">
        <v>131.21597299999999</v>
      </c>
      <c r="S90" s="23">
        <v>135.083923</v>
      </c>
      <c r="T90" s="23">
        <v>138.85072299999999</v>
      </c>
      <c r="U90" s="23">
        <v>142.69729599999999</v>
      </c>
      <c r="V90" s="23">
        <v>146.67823799999999</v>
      </c>
      <c r="W90" s="23">
        <v>150.81691000000001</v>
      </c>
      <c r="X90" s="23">
        <v>154.928268</v>
      </c>
      <c r="Y90" s="23">
        <v>159.09347500000001</v>
      </c>
      <c r="Z90" s="23">
        <v>163.57148699999999</v>
      </c>
      <c r="AA90" s="23">
        <v>167.987595</v>
      </c>
      <c r="AB90" s="23">
        <v>173.312363</v>
      </c>
      <c r="AC90" s="23">
        <v>178.174057</v>
      </c>
      <c r="AD90" s="23">
        <v>183.52430699999999</v>
      </c>
      <c r="AE90" s="23">
        <v>189.210342</v>
      </c>
      <c r="AF90" s="59">
        <v>194.299271</v>
      </c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>
      <c r="A91" s="22"/>
      <c r="B91" s="47" t="s">
        <v>133</v>
      </c>
      <c r="C91" s="22"/>
      <c r="D91" s="22">
        <v>102.129997</v>
      </c>
      <c r="E91" s="22">
        <v>177.06796299999999</v>
      </c>
      <c r="F91" s="70">
        <v>182.146805</v>
      </c>
      <c r="G91" s="22">
        <v>191.31384299999999</v>
      </c>
      <c r="H91" s="22">
        <v>197.33255</v>
      </c>
      <c r="I91" s="22">
        <v>202.83218400000001</v>
      </c>
      <c r="J91" s="22">
        <v>211.05892900000001</v>
      </c>
      <c r="K91" s="22">
        <v>219.212051</v>
      </c>
      <c r="L91" s="22">
        <v>227.307098</v>
      </c>
      <c r="M91" s="22">
        <v>236.33315999999999</v>
      </c>
      <c r="N91" s="22">
        <v>240.69311500000001</v>
      </c>
      <c r="O91" s="22">
        <v>249.10891699999999</v>
      </c>
      <c r="P91" s="22">
        <v>260.13980099999998</v>
      </c>
      <c r="Q91" s="22">
        <v>266.78341699999999</v>
      </c>
      <c r="R91" s="22">
        <v>272.32070900000002</v>
      </c>
      <c r="S91" s="22">
        <v>282.424622</v>
      </c>
      <c r="T91" s="22">
        <v>282.71121199999999</v>
      </c>
      <c r="U91" s="22">
        <v>288.89120500000001</v>
      </c>
      <c r="V91" s="22">
        <v>295.32135</v>
      </c>
      <c r="W91" s="22">
        <v>304.38076799999999</v>
      </c>
      <c r="X91" s="22">
        <v>312.71563700000002</v>
      </c>
      <c r="Y91" s="22">
        <v>318.85574300000002</v>
      </c>
      <c r="Z91" s="22">
        <v>326.68182400000001</v>
      </c>
      <c r="AA91" s="22">
        <v>331.069885</v>
      </c>
      <c r="AB91" s="22">
        <v>336.738068</v>
      </c>
      <c r="AC91" s="22">
        <v>344.56201199999998</v>
      </c>
      <c r="AD91" s="22">
        <v>354.44207799999998</v>
      </c>
      <c r="AE91" s="22">
        <v>359.83898900000003</v>
      </c>
      <c r="AF91" s="70">
        <v>366.38501000000002</v>
      </c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>
      <c r="A92" s="22"/>
      <c r="B92" s="47" t="s">
        <v>134</v>
      </c>
      <c r="C92" s="22"/>
      <c r="D92" s="23">
        <v>102.129997</v>
      </c>
      <c r="E92" s="23">
        <v>44.884354000000002</v>
      </c>
      <c r="F92" s="59">
        <v>46.687331999999998</v>
      </c>
      <c r="G92" s="23">
        <v>47.901820999999998</v>
      </c>
      <c r="H92" s="23">
        <v>49.076511000000004</v>
      </c>
      <c r="I92" s="23">
        <v>49.748992999999999</v>
      </c>
      <c r="J92" s="23">
        <v>51.747452000000003</v>
      </c>
      <c r="K92" s="23">
        <v>52.753216000000002</v>
      </c>
      <c r="L92" s="23">
        <v>54.358500999999997</v>
      </c>
      <c r="M92" s="23">
        <v>56.124961999999996</v>
      </c>
      <c r="N92" s="23">
        <v>57.978230000000003</v>
      </c>
      <c r="O92" s="23">
        <v>59.941422000000003</v>
      </c>
      <c r="P92" s="23">
        <v>61.09449</v>
      </c>
      <c r="Q92" s="23">
        <v>62.968905999999997</v>
      </c>
      <c r="R92" s="23">
        <v>65.077468999999994</v>
      </c>
      <c r="S92" s="23">
        <v>66.809425000000005</v>
      </c>
      <c r="T92" s="23">
        <v>68.127837999999997</v>
      </c>
      <c r="U92" s="23">
        <v>70.004172999999994</v>
      </c>
      <c r="V92" s="23">
        <v>70.147186000000005</v>
      </c>
      <c r="W92" s="23">
        <v>71.453232</v>
      </c>
      <c r="X92" s="23">
        <v>72.752785000000003</v>
      </c>
      <c r="Y92" s="23">
        <v>74.057518000000002</v>
      </c>
      <c r="Z92" s="23">
        <v>76.086876000000004</v>
      </c>
      <c r="AA92" s="23">
        <v>77.440017999999995</v>
      </c>
      <c r="AB92" s="23">
        <v>80.134620999999996</v>
      </c>
      <c r="AC92" s="23">
        <v>80.527221999999995</v>
      </c>
      <c r="AD92" s="23">
        <v>83.010245999999995</v>
      </c>
      <c r="AE92" s="23">
        <v>83.836517000000001</v>
      </c>
      <c r="AF92" s="59">
        <v>86.677031999999997</v>
      </c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>
      <c r="A93" s="22"/>
      <c r="B93" s="22"/>
      <c r="C93" s="22"/>
      <c r="D93" s="22"/>
      <c r="E93" s="68"/>
      <c r="F93" s="70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70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>
      <c r="A94" s="22"/>
      <c r="B94" s="47" t="s">
        <v>135</v>
      </c>
      <c r="C94" s="22"/>
      <c r="D94" s="22">
        <f>D90/119</f>
        <v>0.85823526890756308</v>
      </c>
      <c r="E94" s="22">
        <f t="shared" ref="E94:AF94" si="1">E90/119</f>
        <v>0.80108405042016806</v>
      </c>
      <c r="F94" s="70">
        <f t="shared" si="1"/>
        <v>0.82948239495798315</v>
      </c>
      <c r="G94" s="22">
        <f t="shared" si="1"/>
        <v>0.79730160504201675</v>
      </c>
      <c r="H94" s="22">
        <f t="shared" si="1"/>
        <v>0.82210483193277317</v>
      </c>
      <c r="I94" s="22">
        <f t="shared" si="1"/>
        <v>0.84391220168067227</v>
      </c>
      <c r="J94" s="22">
        <f t="shared" si="1"/>
        <v>0.86773566386554624</v>
      </c>
      <c r="K94" s="22">
        <f t="shared" si="1"/>
        <v>0.89267083193277308</v>
      </c>
      <c r="L94" s="22">
        <f t="shared" si="1"/>
        <v>0.91965702521008408</v>
      </c>
      <c r="M94" s="22">
        <f t="shared" si="1"/>
        <v>0.94655282352941172</v>
      </c>
      <c r="N94" s="22">
        <f t="shared" si="1"/>
        <v>0.97702410924369743</v>
      </c>
      <c r="O94" s="22">
        <f t="shared" si="1"/>
        <v>1.0051964537815126</v>
      </c>
      <c r="P94" s="22">
        <f t="shared" si="1"/>
        <v>1.0369710168067228</v>
      </c>
      <c r="Q94" s="22">
        <f t="shared" si="1"/>
        <v>1.0710743529411764</v>
      </c>
      <c r="R94" s="22">
        <f t="shared" si="1"/>
        <v>1.1026552352941175</v>
      </c>
      <c r="S94" s="22">
        <f t="shared" si="1"/>
        <v>1.1351590168067227</v>
      </c>
      <c r="T94" s="22">
        <f t="shared" si="1"/>
        <v>1.1668127983193277</v>
      </c>
      <c r="U94" s="22">
        <f t="shared" si="1"/>
        <v>1.1991369411764705</v>
      </c>
      <c r="V94" s="22">
        <f t="shared" si="1"/>
        <v>1.2325902352941176</v>
      </c>
      <c r="W94" s="22">
        <f t="shared" si="1"/>
        <v>1.2673689915966386</v>
      </c>
      <c r="X94" s="22">
        <f t="shared" si="1"/>
        <v>1.301918218487395</v>
      </c>
      <c r="Y94" s="22">
        <f t="shared" si="1"/>
        <v>1.3369199579831934</v>
      </c>
      <c r="Z94" s="22">
        <f t="shared" si="1"/>
        <v>1.3745503109243697</v>
      </c>
      <c r="AA94" s="22">
        <f t="shared" si="1"/>
        <v>1.4116604621848738</v>
      </c>
      <c r="AB94" s="22">
        <f t="shared" si="1"/>
        <v>1.456406411764706</v>
      </c>
      <c r="AC94" s="22">
        <f t="shared" si="1"/>
        <v>1.4972609831932773</v>
      </c>
      <c r="AD94" s="22">
        <f t="shared" si="1"/>
        <v>1.5422210672268908</v>
      </c>
      <c r="AE94" s="22">
        <f t="shared" si="1"/>
        <v>1.5900028739495797</v>
      </c>
      <c r="AF94" s="70">
        <f t="shared" si="1"/>
        <v>1.6327669831932774</v>
      </c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>
      <c r="A95" s="22"/>
      <c r="B95" s="47" t="s">
        <v>136</v>
      </c>
      <c r="C95" s="22"/>
      <c r="D95" s="22">
        <f t="shared" ref="D95:AF95" si="2">D91/119</f>
        <v>0.85823526890756308</v>
      </c>
      <c r="E95" s="22">
        <f t="shared" si="2"/>
        <v>1.487966075630252</v>
      </c>
      <c r="F95" s="70">
        <f t="shared" si="2"/>
        <v>1.5306454201680673</v>
      </c>
      <c r="G95" s="22">
        <f t="shared" si="2"/>
        <v>1.6076793529411764</v>
      </c>
      <c r="H95" s="22">
        <f t="shared" si="2"/>
        <v>1.6582567226890756</v>
      </c>
      <c r="I95" s="22">
        <f t="shared" si="2"/>
        <v>1.7044721344537817</v>
      </c>
      <c r="J95" s="22">
        <f t="shared" si="2"/>
        <v>1.7736044453781512</v>
      </c>
      <c r="K95" s="22">
        <f t="shared" si="2"/>
        <v>1.8421180756302522</v>
      </c>
      <c r="L95" s="22">
        <f t="shared" si="2"/>
        <v>1.9101436806722689</v>
      </c>
      <c r="M95" s="22">
        <f t="shared" si="2"/>
        <v>1.9859929411764705</v>
      </c>
      <c r="N95" s="22">
        <f t="shared" si="2"/>
        <v>2.0226312184873949</v>
      </c>
      <c r="O95" s="22">
        <f t="shared" si="2"/>
        <v>2.093352243697479</v>
      </c>
      <c r="P95" s="22">
        <f t="shared" si="2"/>
        <v>2.1860487478991595</v>
      </c>
      <c r="Q95" s="22">
        <f t="shared" si="2"/>
        <v>2.2418774537815125</v>
      </c>
      <c r="R95" s="22">
        <f t="shared" si="2"/>
        <v>2.2884093193277311</v>
      </c>
      <c r="S95" s="22">
        <f t="shared" si="2"/>
        <v>2.3733161512605041</v>
      </c>
      <c r="T95" s="22">
        <f t="shared" si="2"/>
        <v>2.375724470588235</v>
      </c>
      <c r="U95" s="22">
        <f t="shared" si="2"/>
        <v>2.4276571848739499</v>
      </c>
      <c r="V95" s="22">
        <f t="shared" si="2"/>
        <v>2.4816920168067225</v>
      </c>
      <c r="W95" s="22">
        <f t="shared" si="2"/>
        <v>2.5578215798319328</v>
      </c>
      <c r="X95" s="22">
        <f t="shared" si="2"/>
        <v>2.6278624957983197</v>
      </c>
      <c r="Y95" s="22">
        <f t="shared" si="2"/>
        <v>2.679460025210084</v>
      </c>
      <c r="Z95" s="22">
        <f t="shared" si="2"/>
        <v>2.7452254117647059</v>
      </c>
      <c r="AA95" s="22">
        <f t="shared" si="2"/>
        <v>2.7820998739495799</v>
      </c>
      <c r="AB95" s="22">
        <f t="shared" si="2"/>
        <v>2.8297316638655463</v>
      </c>
      <c r="AC95" s="22">
        <f t="shared" si="2"/>
        <v>2.8954790924369744</v>
      </c>
      <c r="AD95" s="22">
        <f t="shared" si="2"/>
        <v>2.9785048571428572</v>
      </c>
      <c r="AE95" s="22">
        <f t="shared" si="2"/>
        <v>3.0238570504201685</v>
      </c>
      <c r="AF95" s="70">
        <f t="shared" si="2"/>
        <v>3.0788656302521011</v>
      </c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>
      <c r="A96" s="22"/>
      <c r="B96" s="47" t="s">
        <v>137</v>
      </c>
      <c r="C96" s="22"/>
      <c r="D96" s="22">
        <f t="shared" ref="D96:AF96" si="3">D92/119</f>
        <v>0.85823526890756308</v>
      </c>
      <c r="E96" s="22">
        <f t="shared" si="3"/>
        <v>0.37717944537815129</v>
      </c>
      <c r="F96" s="70">
        <f t="shared" si="3"/>
        <v>0.39233052100840332</v>
      </c>
      <c r="G96" s="22">
        <f t="shared" si="3"/>
        <v>0.40253631092436976</v>
      </c>
      <c r="H96" s="22">
        <f t="shared" si="3"/>
        <v>0.41240765546218489</v>
      </c>
      <c r="I96" s="22">
        <f t="shared" si="3"/>
        <v>0.41805876470588232</v>
      </c>
      <c r="J96" s="22">
        <f t="shared" si="3"/>
        <v>0.43485253781512606</v>
      </c>
      <c r="K96" s="22">
        <f t="shared" si="3"/>
        <v>0.4433043361344538</v>
      </c>
      <c r="L96" s="22">
        <f t="shared" si="3"/>
        <v>0.45679412605042014</v>
      </c>
      <c r="M96" s="22">
        <f t="shared" si="3"/>
        <v>0.47163833613445377</v>
      </c>
      <c r="N96" s="22">
        <f t="shared" si="3"/>
        <v>0.48721201680672271</v>
      </c>
      <c r="O96" s="22">
        <f t="shared" si="3"/>
        <v>0.50370942857142864</v>
      </c>
      <c r="P96" s="22">
        <f t="shared" si="3"/>
        <v>0.51339907563025211</v>
      </c>
      <c r="Q96" s="22">
        <f t="shared" si="3"/>
        <v>0.52915047058823528</v>
      </c>
      <c r="R96" s="22">
        <f t="shared" si="3"/>
        <v>0.54686948739495789</v>
      </c>
      <c r="S96" s="22">
        <f t="shared" si="3"/>
        <v>0.56142373949579838</v>
      </c>
      <c r="T96" s="22">
        <f t="shared" si="3"/>
        <v>0.57250284033613441</v>
      </c>
      <c r="U96" s="22">
        <f t="shared" si="3"/>
        <v>0.58827036134453781</v>
      </c>
      <c r="V96" s="22">
        <f t="shared" si="3"/>
        <v>0.58947215126050423</v>
      </c>
      <c r="W96" s="22">
        <f t="shared" si="3"/>
        <v>0.60044732773109244</v>
      </c>
      <c r="X96" s="22">
        <f t="shared" si="3"/>
        <v>0.61136794117647064</v>
      </c>
      <c r="Y96" s="22">
        <f t="shared" si="3"/>
        <v>0.62233208403361351</v>
      </c>
      <c r="Z96" s="22">
        <f t="shared" si="3"/>
        <v>0.63938551260504206</v>
      </c>
      <c r="AA96" s="22">
        <f t="shared" si="3"/>
        <v>0.65075645378151259</v>
      </c>
      <c r="AB96" s="22">
        <f t="shared" si="3"/>
        <v>0.67340017647058825</v>
      </c>
      <c r="AC96" s="22">
        <f t="shared" si="3"/>
        <v>0.67669934453781511</v>
      </c>
      <c r="AD96" s="22">
        <f t="shared" si="3"/>
        <v>0.69756509243697473</v>
      </c>
      <c r="AE96" s="22">
        <f t="shared" si="3"/>
        <v>0.70450854621848735</v>
      </c>
      <c r="AF96" s="70">
        <f t="shared" si="3"/>
        <v>0.7283784201680672</v>
      </c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>
      <c r="A97" s="22"/>
      <c r="B97" s="22"/>
      <c r="C97" s="22"/>
      <c r="D97" s="22"/>
      <c r="E97" s="68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>
      <c r="A98" s="22"/>
      <c r="B98" s="22"/>
      <c r="C98" s="22"/>
      <c r="D98" s="22"/>
      <c r="E98" s="68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>
      <c r="A99" s="22"/>
      <c r="B99" s="22"/>
      <c r="C99" s="22"/>
      <c r="D99" s="22"/>
      <c r="E99" s="68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>
      <c r="A100" s="22"/>
      <c r="B100" s="22"/>
      <c r="C100" s="22"/>
      <c r="D100" s="22"/>
      <c r="E100" s="68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>
      <c r="A101" s="22"/>
      <c r="B101" s="47" t="s">
        <v>138</v>
      </c>
      <c r="C101" s="47"/>
      <c r="D101" s="47"/>
      <c r="E101" s="47"/>
      <c r="F101" s="47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>
      <c r="A102" s="22"/>
      <c r="C102" s="22"/>
      <c r="D102" s="47">
        <v>2024</v>
      </c>
      <c r="E102" s="47">
        <v>2050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>
      <c r="A103" s="22"/>
      <c r="B103" s="47" t="s">
        <v>139</v>
      </c>
      <c r="C103" s="22"/>
      <c r="D103" s="66">
        <f>D86*C75</f>
        <v>0.32246153846153797</v>
      </c>
      <c r="E103" s="66">
        <f>E86*C75</f>
        <v>0.20923076923076925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>
      <c r="A104" s="22"/>
      <c r="B104" s="47" t="s">
        <v>140</v>
      </c>
      <c r="C104" s="22"/>
      <c r="D104" s="66">
        <f>F94*C75</f>
        <v>1.0209014091790563</v>
      </c>
      <c r="E104" s="66">
        <f>AF94*C75</f>
        <v>2.0095593639301876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>
      <c r="A105" s="22"/>
      <c r="B105" s="47" t="s">
        <v>141</v>
      </c>
      <c r="C105" s="22"/>
      <c r="D105" s="66">
        <f>F95*C75</f>
        <v>1.8838712863606983</v>
      </c>
      <c r="E105" s="66">
        <f>AF95*C75</f>
        <v>3.7893730833872015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>
      <c r="A106" s="22"/>
      <c r="B106" s="47" t="s">
        <v>142</v>
      </c>
      <c r="C106" s="22"/>
      <c r="D106" s="66">
        <f>F96*C75</f>
        <v>0.4828683335488041</v>
      </c>
      <c r="E106" s="66">
        <f>AF96*C75</f>
        <v>0.89646574789915967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>
      <c r="A107" s="22"/>
      <c r="B107" s="22"/>
      <c r="C107" s="22"/>
      <c r="D107" s="22"/>
      <c r="E107" s="67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20.45" thickBot="1">
      <c r="A108" s="22"/>
      <c r="B108" s="24" t="s">
        <v>143</v>
      </c>
      <c r="C108" s="24"/>
      <c r="D108" s="24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6.149999999999999" thickTop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>
      <c r="A110" s="22"/>
      <c r="B110" s="22" t="s">
        <v>144</v>
      </c>
      <c r="C110" s="22">
        <v>43.2</v>
      </c>
      <c r="D110" s="57" t="s">
        <v>22</v>
      </c>
      <c r="E110" s="22" t="s">
        <v>145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>
      <c r="A111" s="22"/>
      <c r="B111" s="22" t="s">
        <v>146</v>
      </c>
      <c r="C111" s="22">
        <v>0.80300000000000005</v>
      </c>
      <c r="D111" s="57" t="s">
        <v>25</v>
      </c>
      <c r="E111" s="22" t="s">
        <v>145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>
      <c r="A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</sheetData>
  <hyperlinks>
    <hyperlink ref="G63" r:id="rId1" xr:uid="{EAAC9B13-8019-1641-BE73-19732BFEBE7E}"/>
  </hyperlinks>
  <pageMargins left="0.7" right="0.7" top="0.75" bottom="0.75" header="0.3" footer="0.3"/>
  <ignoredErrors>
    <ignoredError sqref="D8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61D5-92D2-D641-8B69-D340B89E733B}">
  <dimension ref="A1:D17"/>
  <sheetViews>
    <sheetView workbookViewId="0">
      <selection activeCell="G14" sqref="G14"/>
    </sheetView>
  </sheetViews>
  <sheetFormatPr defaultColWidth="11.25" defaultRowHeight="15.6"/>
  <cols>
    <col min="2" max="2" width="14" bestFit="1" customWidth="1"/>
    <col min="3" max="3" width="12" bestFit="1" customWidth="1"/>
  </cols>
  <sheetData>
    <row r="1" spans="1:4">
      <c r="A1" s="135" t="s">
        <v>147</v>
      </c>
      <c r="B1" s="135"/>
      <c r="C1" s="135"/>
    </row>
    <row r="2" spans="1:4">
      <c r="A2" t="s">
        <v>148</v>
      </c>
      <c r="B2" t="s">
        <v>149</v>
      </c>
    </row>
    <row r="3" spans="1:4">
      <c r="A3">
        <v>406</v>
      </c>
      <c r="B3">
        <v>79</v>
      </c>
    </row>
    <row r="4" spans="1:4">
      <c r="A4">
        <v>358</v>
      </c>
      <c r="B4">
        <v>29</v>
      </c>
    </row>
    <row r="6" spans="1:4">
      <c r="A6" t="s">
        <v>150</v>
      </c>
      <c r="B6">
        <f>(A3-A4)/(B3-B4)</f>
        <v>0.96</v>
      </c>
      <c r="C6" t="s">
        <v>151</v>
      </c>
    </row>
    <row r="9" spans="1:4">
      <c r="A9" s="135" t="s">
        <v>152</v>
      </c>
      <c r="B9" s="135"/>
    </row>
    <row r="10" spans="1:4">
      <c r="B10">
        <v>2024</v>
      </c>
      <c r="C10">
        <v>2050</v>
      </c>
    </row>
    <row r="11" spans="1:4">
      <c r="A11" t="s">
        <v>153</v>
      </c>
      <c r="B11">
        <v>116</v>
      </c>
      <c r="C11">
        <v>40</v>
      </c>
      <c r="D11" t="s">
        <v>92</v>
      </c>
    </row>
    <row r="12" spans="1:4">
      <c r="A12" t="s">
        <v>154</v>
      </c>
      <c r="B12">
        <v>64</v>
      </c>
      <c r="C12">
        <v>29</v>
      </c>
    </row>
    <row r="14" spans="1:4">
      <c r="A14" s="135" t="s">
        <v>155</v>
      </c>
      <c r="B14" s="135"/>
    </row>
    <row r="15" spans="1:4">
      <c r="B15">
        <v>2024</v>
      </c>
      <c r="C15">
        <v>2050</v>
      </c>
    </row>
    <row r="16" spans="1:4">
      <c r="A16" t="s">
        <v>153</v>
      </c>
      <c r="B16">
        <v>1477</v>
      </c>
      <c r="C16">
        <v>362</v>
      </c>
    </row>
    <row r="17" spans="1:4">
      <c r="A17" t="s">
        <v>154</v>
      </c>
      <c r="B17">
        <v>1284</v>
      </c>
      <c r="C17">
        <v>246</v>
      </c>
      <c r="D17" t="s">
        <v>156</v>
      </c>
    </row>
  </sheetData>
  <mergeCells count="3">
    <mergeCell ref="A1:C1"/>
    <mergeCell ref="A9:B9"/>
    <mergeCell ref="A14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CED7-41F6-FF44-BBF4-DBE0D457C1E0}">
  <sheetPr codeName="Sheet5"/>
  <dimension ref="A2:C7"/>
  <sheetViews>
    <sheetView workbookViewId="0">
      <selection activeCell="G14" sqref="G14"/>
    </sheetView>
  </sheetViews>
  <sheetFormatPr defaultColWidth="11.25" defaultRowHeight="15.6"/>
  <cols>
    <col min="1" max="1" width="13" bestFit="1" customWidth="1"/>
    <col min="2" max="2" width="68.5" bestFit="1" customWidth="1"/>
  </cols>
  <sheetData>
    <row r="2" spans="1:3">
      <c r="A2" t="s">
        <v>5</v>
      </c>
      <c r="B2" t="s">
        <v>42</v>
      </c>
      <c r="C2" t="s">
        <v>41</v>
      </c>
    </row>
    <row r="3" spans="1:3">
      <c r="A3" t="s">
        <v>157</v>
      </c>
      <c r="B3" t="s">
        <v>158</v>
      </c>
      <c r="C3" t="s">
        <v>159</v>
      </c>
    </row>
    <row r="4" spans="1:3">
      <c r="A4" t="s">
        <v>160</v>
      </c>
      <c r="B4" t="s">
        <v>161</v>
      </c>
      <c r="C4" s="3" t="s">
        <v>145</v>
      </c>
    </row>
    <row r="5" spans="1:3">
      <c r="A5" t="s">
        <v>162</v>
      </c>
      <c r="B5" t="s">
        <v>163</v>
      </c>
      <c r="C5" t="s">
        <v>164</v>
      </c>
    </row>
    <row r="6" spans="1:3">
      <c r="A6" t="s">
        <v>165</v>
      </c>
      <c r="B6" t="s">
        <v>166</v>
      </c>
      <c r="C6" t="s">
        <v>167</v>
      </c>
    </row>
    <row r="7" spans="1:3">
      <c r="A7" t="s">
        <v>168</v>
      </c>
      <c r="B7" t="s">
        <v>169</v>
      </c>
      <c r="C7" t="s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38EC-CB22-4C8C-9093-9377000E9A23}">
  <sheetPr filterMode="1"/>
  <dimension ref="A1:T50"/>
  <sheetViews>
    <sheetView topLeftCell="D1" workbookViewId="0">
      <selection activeCell="I1" sqref="I1"/>
    </sheetView>
  </sheetViews>
  <sheetFormatPr defaultColWidth="11.25" defaultRowHeight="15.6"/>
  <cols>
    <col min="1" max="1" width="19.25" bestFit="1" customWidth="1"/>
    <col min="2" max="2" width="19.25" customWidth="1"/>
    <col min="3" max="3" width="11.5" bestFit="1" customWidth="1"/>
    <col min="6" max="6" width="13.75" bestFit="1" customWidth="1"/>
    <col min="8" max="8" width="24" bestFit="1" customWidth="1"/>
    <col min="9" max="10" width="14.5" bestFit="1" customWidth="1"/>
    <col min="11" max="11" width="17.75" bestFit="1" customWidth="1"/>
    <col min="12" max="12" width="18.25" bestFit="1" customWidth="1"/>
    <col min="13" max="19" width="18.25" customWidth="1"/>
  </cols>
  <sheetData>
    <row r="1" spans="1:20">
      <c r="A1" t="s">
        <v>4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s="12" t="s">
        <v>185</v>
      </c>
      <c r="Q1" s="12" t="s">
        <v>186</v>
      </c>
      <c r="R1" s="12" t="s">
        <v>187</v>
      </c>
      <c r="S1" s="12" t="s">
        <v>188</v>
      </c>
    </row>
    <row r="2" spans="1:20" hidden="1">
      <c r="A2" t="s">
        <v>189</v>
      </c>
      <c r="C2">
        <v>2016</v>
      </c>
      <c r="D2" s="2" t="s">
        <v>190</v>
      </c>
      <c r="E2" t="s">
        <v>191</v>
      </c>
      <c r="F2" t="s">
        <v>192</v>
      </c>
      <c r="G2">
        <v>2024</v>
      </c>
      <c r="H2" t="s">
        <v>4</v>
      </c>
      <c r="I2" s="75">
        <f>([1]Outputs!$C$10) * ((1+Inputs!$C$5) ^ (G2-C2))</f>
        <v>642.29670473893407</v>
      </c>
      <c r="J2" s="75">
        <f>([1]Outputs!$D$10) * ((1+Inputs!$C$5) ^ (G2-C2))</f>
        <v>768.83260727969991</v>
      </c>
      <c r="K2" s="75">
        <f>([1]Outputs!$E$10) * ((1+Inputs!$C$5) ^ (G2-C2))</f>
        <v>2386.5584758631594</v>
      </c>
      <c r="L2" s="75">
        <f>([1]Outputs!$F$10) * ((1+Inputs!$C$5) ^ (G2-C2))</f>
        <v>2466.5878362464205</v>
      </c>
      <c r="M2" s="12"/>
      <c r="N2" s="12"/>
      <c r="O2" s="12"/>
      <c r="P2" s="12"/>
      <c r="Q2" s="12" t="s">
        <v>193</v>
      </c>
      <c r="R2" s="12" t="s">
        <v>194</v>
      </c>
      <c r="S2" s="84">
        <v>144778221.668742</v>
      </c>
      <c r="T2" t="s">
        <v>195</v>
      </c>
    </row>
    <row r="3" spans="1:20" hidden="1">
      <c r="A3" t="s">
        <v>196</v>
      </c>
      <c r="C3">
        <v>2024</v>
      </c>
      <c r="D3" t="s">
        <v>197</v>
      </c>
      <c r="E3" t="s">
        <v>191</v>
      </c>
      <c r="F3" t="s">
        <v>198</v>
      </c>
      <c r="G3">
        <v>2024</v>
      </c>
      <c r="H3" t="s">
        <v>4</v>
      </c>
      <c r="I3" s="75">
        <f>[2]Outputs!$C$10</f>
        <v>2404.7474592934755</v>
      </c>
      <c r="J3" s="75">
        <f>[2]Outputs!$D$10</f>
        <v>2435.2345642939222</v>
      </c>
      <c r="K3" s="75">
        <f>[2]Outputs!$E$10</f>
        <v>1644.4987837272511</v>
      </c>
      <c r="L3" s="75">
        <f>[2]Outputs!$F$10</f>
        <v>1623.8464295923113</v>
      </c>
      <c r="M3" s="12">
        <f>'[2]Cost Breakdown'!$B$9</f>
        <v>9.1683396556322488E-2</v>
      </c>
      <c r="N3" s="12">
        <f>'[2]Cost Breakdown'!$B$8</f>
        <v>0.37268474532754681</v>
      </c>
      <c r="O3" s="12">
        <f>'[2]Cost Breakdown'!$B$10</f>
        <v>0.51503063280397188</v>
      </c>
      <c r="P3" s="12">
        <f>'[2]Cost Breakdown'!$B$11</f>
        <v>2.0601225312158876E-2</v>
      </c>
      <c r="Q3" s="12" t="s">
        <v>199</v>
      </c>
      <c r="R3" s="12" t="s">
        <v>194</v>
      </c>
      <c r="S3" s="13" t="s">
        <v>85</v>
      </c>
      <c r="T3" t="s">
        <v>200</v>
      </c>
    </row>
    <row r="4" spans="1:20" hidden="1">
      <c r="A4" t="s">
        <v>201</v>
      </c>
      <c r="C4">
        <v>2024</v>
      </c>
      <c r="E4" t="s">
        <v>191</v>
      </c>
      <c r="F4" t="s">
        <v>192</v>
      </c>
      <c r="H4" t="s">
        <v>4</v>
      </c>
      <c r="M4" s="12"/>
      <c r="N4" s="12"/>
      <c r="O4" s="12"/>
      <c r="P4" s="12"/>
      <c r="Q4" s="12" t="s">
        <v>199</v>
      </c>
      <c r="R4" s="12" t="s">
        <v>202</v>
      </c>
      <c r="S4" s="13" t="s">
        <v>85</v>
      </c>
    </row>
    <row r="5" spans="1:20" hidden="1">
      <c r="A5" t="s">
        <v>203</v>
      </c>
      <c r="C5">
        <v>2018</v>
      </c>
      <c r="D5" s="1" t="s">
        <v>204</v>
      </c>
      <c r="E5" t="s">
        <v>191</v>
      </c>
      <c r="F5" t="s">
        <v>192</v>
      </c>
      <c r="G5">
        <v>2024</v>
      </c>
      <c r="H5" t="s">
        <v>4</v>
      </c>
      <c r="I5" s="75">
        <f>[3]Outputs!$C$10</f>
        <v>1144.7870679308462</v>
      </c>
      <c r="J5" s="75">
        <f>[3]Outputs!$D$10</f>
        <v>706.66810530147404</v>
      </c>
      <c r="K5" s="75">
        <f>[3]Outputs!$E$10</f>
        <v>2210.7958135961926</v>
      </c>
      <c r="L5" s="75">
        <f>[3]Outputs!$F$10</f>
        <v>2210.7958135961926</v>
      </c>
      <c r="M5" s="12">
        <f>'[3]Received Data'!$N$9</f>
        <v>0.11002478551214247</v>
      </c>
      <c r="N5" s="12">
        <f>'[3]Received Data'!$N$8</f>
        <v>0.32309926188801724</v>
      </c>
      <c r="O5" s="12">
        <f>'[3]Received Data'!$N$10</f>
        <v>0.51966602210730239</v>
      </c>
      <c r="P5" s="12">
        <f>'[3]Received Data'!$N$11</f>
        <v>4.7209930492537917E-2</v>
      </c>
      <c r="Q5" s="12" t="s">
        <v>199</v>
      </c>
      <c r="R5" s="12" t="s">
        <v>194</v>
      </c>
      <c r="S5" s="13"/>
    </row>
    <row r="6" spans="1:20" hidden="1">
      <c r="A6" t="s">
        <v>205</v>
      </c>
      <c r="C6">
        <v>2020</v>
      </c>
      <c r="D6" t="s">
        <v>206</v>
      </c>
      <c r="E6" t="s">
        <v>207</v>
      </c>
      <c r="F6" t="s">
        <v>192</v>
      </c>
      <c r="G6">
        <v>2024</v>
      </c>
      <c r="H6" t="s">
        <v>4</v>
      </c>
      <c r="I6" s="75">
        <f>[4]Outputs!$C$10 * (1+Inputs!C5) ^ ('Standardization Results'!F40-'Standardization Results'!B40)</f>
        <v>2029.8689596294605</v>
      </c>
      <c r="J6" s="75">
        <f>[4]Outputs!$D$10 * (1+Inputs!C5) ^ ('Standardization Results'!F40-'Standardization Results'!B40)</f>
        <v>2086.9789308577929</v>
      </c>
      <c r="K6" s="75">
        <f>[4]Outputs!$E$10 * (1+Inputs!C5) ^ ('Standardization Results'!F40-'Standardization Results'!B40)</f>
        <v>8021.9643396692736</v>
      </c>
      <c r="L6" s="75">
        <f>[4]Outputs!$F$10 * (1+Inputs!C5) ^ ('Standardization Results'!F40-'Standardization Results'!B40)</f>
        <v>7995.8084618462672</v>
      </c>
      <c r="M6" s="12"/>
      <c r="N6" s="12"/>
      <c r="O6" s="12"/>
      <c r="P6" s="12"/>
      <c r="Q6" s="12" t="s">
        <v>199</v>
      </c>
      <c r="R6" s="12" t="s">
        <v>208</v>
      </c>
      <c r="S6" s="9">
        <v>45872966</v>
      </c>
      <c r="T6" t="s">
        <v>209</v>
      </c>
    </row>
    <row r="7" spans="1:20" hidden="1">
      <c r="A7" t="s">
        <v>205</v>
      </c>
      <c r="C7">
        <v>2015</v>
      </c>
      <c r="D7" s="5" t="s">
        <v>210</v>
      </c>
      <c r="E7" t="s">
        <v>207</v>
      </c>
      <c r="F7" t="s">
        <v>192</v>
      </c>
      <c r="G7">
        <v>2024</v>
      </c>
      <c r="H7" t="s">
        <v>4</v>
      </c>
      <c r="I7" s="75">
        <f>[5]Outputs!$J$10* (1+Inputs!C5) ^ ('Standardization Results'!F41-'Standardization Results'!B41)</f>
        <v>471.65911823016069</v>
      </c>
      <c r="J7" s="75">
        <f>[5]Outputs!$K$10* (1+Inputs!C5) ^ ('Standardization Results'!F41-'Standardization Results'!B41)</f>
        <v>496.13587816522551</v>
      </c>
      <c r="K7" s="75">
        <f>[5]Outputs!$L$10* (1+Inputs!C5) ^ ('Standardization Results'!F41-'Standardization Results'!B41)</f>
        <v>4670.6875633030841</v>
      </c>
      <c r="L7" s="75">
        <f>[5]Outputs!$M$10* (1+Inputs!C5) ^ ('Standardization Results'!F41-'Standardization Results'!B41)</f>
        <v>5006.911801921543</v>
      </c>
      <c r="M7" s="12"/>
      <c r="N7" s="12"/>
      <c r="O7" s="12"/>
      <c r="P7" s="12"/>
      <c r="Q7" s="12" t="s">
        <v>199</v>
      </c>
      <c r="R7" s="12" t="s">
        <v>208</v>
      </c>
      <c r="S7" s="86">
        <v>58035000</v>
      </c>
    </row>
    <row r="8" spans="1:20" hidden="1">
      <c r="A8" t="s">
        <v>205</v>
      </c>
      <c r="C8">
        <v>2015</v>
      </c>
      <c r="D8" s="5" t="s">
        <v>210</v>
      </c>
      <c r="E8" t="s">
        <v>207</v>
      </c>
      <c r="F8" t="s">
        <v>192</v>
      </c>
      <c r="G8">
        <v>2024</v>
      </c>
      <c r="H8" t="s">
        <v>4</v>
      </c>
      <c r="I8" s="75">
        <f>[5]Outputs!$C$10* (1+Inputs!C5) ^ ('Standardization Results'!F42-'Standardization Results'!B42)</f>
        <v>667.86758145112526</v>
      </c>
      <c r="J8" s="75">
        <f>[5]Outputs!$D$10* (1+Inputs!C5) ^ ('Standardization Results'!F42-'Standardization Results'!B42)</f>
        <v>692.34434138619031</v>
      </c>
      <c r="K8" s="75">
        <f>[5]Outputs!$E$10* (1+Inputs!C5) ^ ('Standardization Results'!F42-'Standardization Results'!B42)</f>
        <v>4866.8960265240476</v>
      </c>
      <c r="L8" s="75">
        <f>[5]Outputs!$F$10* (1+Inputs!C5) ^ ('Standardization Results'!F42-'Standardization Results'!B42)</f>
        <v>5216.4444755151117</v>
      </c>
      <c r="M8" s="12">
        <f>'[5]Cost Breakdowns'!$B$10</f>
        <v>5.8359446730100857E-2</v>
      </c>
      <c r="N8" s="12">
        <f>'[5]Cost Breakdowns'!$B$9</f>
        <v>0.66723592814540433</v>
      </c>
      <c r="O8" s="12">
        <f>'[5]Cost Breakdowns'!$B$11</f>
        <v>0.10459442543324093</v>
      </c>
      <c r="P8" s="12">
        <f>'[5]Cost Breakdowns'!$B$12</f>
        <v>0.16981019969125349</v>
      </c>
      <c r="Q8" s="12" t="s">
        <v>199</v>
      </c>
      <c r="R8" s="12" t="s">
        <v>208</v>
      </c>
      <c r="S8" s="86">
        <v>58035000</v>
      </c>
      <c r="T8" t="s">
        <v>211</v>
      </c>
    </row>
    <row r="9" spans="1:20" hidden="1">
      <c r="A9" t="s">
        <v>212</v>
      </c>
      <c r="C9">
        <v>2024</v>
      </c>
      <c r="D9" s="1" t="s">
        <v>213</v>
      </c>
      <c r="E9" t="s">
        <v>191</v>
      </c>
      <c r="F9" t="s">
        <v>192</v>
      </c>
      <c r="G9">
        <v>2024</v>
      </c>
      <c r="H9" t="s">
        <v>214</v>
      </c>
      <c r="I9" s="75">
        <f>[6]Outputs!$J$10</f>
        <v>2727.5773261727436</v>
      </c>
      <c r="J9" s="75">
        <f>[6]Outputs!$K$10</f>
        <v>2805.9551585007839</v>
      </c>
      <c r="K9" s="75">
        <f>[6]Outputs!$L$10</f>
        <v>1478.0571591512389</v>
      </c>
      <c r="L9" s="75">
        <f>[6]Outputs!$M$10</f>
        <v>1555.9594485254829</v>
      </c>
      <c r="M9" s="12">
        <f>'[6]LCOF WACC Corrected'!$J$9</f>
        <v>0.36289802024133966</v>
      </c>
      <c r="N9" s="12">
        <f>'[6]LCOF WACC Corrected'!$J$8</f>
        <v>0.35987238425128565</v>
      </c>
      <c r="O9" s="12">
        <f>'[6]LCOF WACC Corrected'!$J$10</f>
        <v>0.18908764946605058</v>
      </c>
      <c r="P9" s="12">
        <f>'[6]LCOF WACC Corrected'!$J$11</f>
        <v>8.8141946041324123E-2</v>
      </c>
      <c r="Q9" s="12" t="s">
        <v>199</v>
      </c>
      <c r="R9" s="12" t="s">
        <v>194</v>
      </c>
      <c r="S9" s="84">
        <v>39140033.75</v>
      </c>
    </row>
    <row r="10" spans="1:20">
      <c r="A10" t="s">
        <v>212</v>
      </c>
      <c r="B10" t="s">
        <v>215</v>
      </c>
      <c r="C10">
        <v>2024</v>
      </c>
      <c r="D10" s="1" t="s">
        <v>213</v>
      </c>
      <c r="E10" t="s">
        <v>191</v>
      </c>
      <c r="F10" t="s">
        <v>192</v>
      </c>
      <c r="G10">
        <v>2050</v>
      </c>
      <c r="H10" t="s">
        <v>216</v>
      </c>
      <c r="I10" s="75">
        <f>[6]Outputs!$C$10</f>
        <v>1053.0156898248665</v>
      </c>
      <c r="J10" s="75">
        <f>[6]Outputs!$D$10</f>
        <v>1131.3935221529064</v>
      </c>
      <c r="K10" s="75">
        <f>[6]Outputs!$E$10</f>
        <v>1207.0425785317802</v>
      </c>
      <c r="L10" s="75">
        <f>[6]Outputs!$F$10</f>
        <v>1284.9448679060238</v>
      </c>
      <c r="M10" s="12">
        <f>'[6]LCOF WACC Corrected'!$M$9</f>
        <v>0.43600142701593897</v>
      </c>
      <c r="N10" s="12">
        <f>'[6]LCOF WACC Corrected'!$M$8</f>
        <v>0.23092290844369628</v>
      </c>
      <c r="O10" s="12">
        <f>'[6]LCOF WACC Corrected'!$M$10</f>
        <v>0.2271781062444502</v>
      </c>
      <c r="P10" s="12">
        <f>'[6]LCOF WACC Corrected'!$M$11</f>
        <v>0.10589755829591445</v>
      </c>
      <c r="Q10" s="12" t="s">
        <v>199</v>
      </c>
      <c r="R10" s="12" t="s">
        <v>194</v>
      </c>
      <c r="S10" s="84">
        <v>39140033.75</v>
      </c>
      <c r="T10" t="s">
        <v>217</v>
      </c>
    </row>
    <row r="11" spans="1:20" hidden="1">
      <c r="A11" t="s">
        <v>218</v>
      </c>
      <c r="C11">
        <v>2021</v>
      </c>
      <c r="D11" t="s">
        <v>219</v>
      </c>
      <c r="E11" t="s">
        <v>191</v>
      </c>
      <c r="F11" t="s">
        <v>192</v>
      </c>
      <c r="G11">
        <v>2024</v>
      </c>
      <c r="H11" t="s">
        <v>220</v>
      </c>
      <c r="I11" s="75">
        <f>[7]Outputs!$X$10* (1+Inputs!$C$5) ^ (G11-C11)</f>
        <v>1458.3489394680287</v>
      </c>
      <c r="J11" s="75">
        <f>[7]Outputs!$Y$10* (1+Inputs!$C$5) ^ (G11-C11)</f>
        <v>751.42718779625204</v>
      </c>
      <c r="K11" s="75">
        <f>[7]Outputs!$Z$10* (1+Inputs!$C$5)^ (G11-C11)</f>
        <v>898.00690027435132</v>
      </c>
      <c r="L11" s="75">
        <f>[7]Outputs!$AA$10* (1+Inputs!$C$5) ^ (G11-C11)</f>
        <v>883.12720715998762</v>
      </c>
      <c r="Q11" s="12" t="s">
        <v>199</v>
      </c>
      <c r="R11" s="12" t="s">
        <v>194</v>
      </c>
      <c r="S11" s="84">
        <v>69000000</v>
      </c>
    </row>
    <row r="12" spans="1:20" hidden="1">
      <c r="A12" t="s">
        <v>218</v>
      </c>
      <c r="C12">
        <v>2021</v>
      </c>
      <c r="D12" t="s">
        <v>219</v>
      </c>
      <c r="E12" t="s">
        <v>191</v>
      </c>
      <c r="F12" t="s">
        <v>192</v>
      </c>
      <c r="G12">
        <v>2024</v>
      </c>
      <c r="H12" t="s">
        <v>221</v>
      </c>
      <c r="I12" s="75">
        <f>[7]Outputs!$C$10 * (1+Inputs!$C$5) ^ (G12-C12)</f>
        <v>1892.306418410411</v>
      </c>
      <c r="J12" s="75">
        <f>[7]Outputs!$D$10* (1+Inputs!$C$5) ^ (G12-C12)</f>
        <v>1097.7096127003431</v>
      </c>
      <c r="K12" s="75">
        <f>[7]Outputs!$E$10* (1+Inputs!$C$5) ^ (G12-C12)</f>
        <v>1157.1299022637179</v>
      </c>
      <c r="L12" s="75">
        <f>[7]Outputs!$F$10* (1+Inputs!$C$5) ^ (G12-C12)</f>
        <v>1141.2525893033514</v>
      </c>
      <c r="M12" s="80">
        <f>'[7]Cost Breakdown'!$B$10</f>
        <v>0.27085063082219929</v>
      </c>
      <c r="N12" s="80">
        <f>'[7]Cost Breakdown'!$B$9</f>
        <v>0.17996259668231962</v>
      </c>
      <c r="O12" s="80">
        <f>'[7]Cost Breakdown'!$B$11</f>
        <v>0.30397258614909672</v>
      </c>
      <c r="P12" s="80">
        <f>'[7]Cost Breakdown'!$B$12</f>
        <v>0.24521418634638459</v>
      </c>
      <c r="Q12" s="12" t="s">
        <v>199</v>
      </c>
      <c r="R12" s="12" t="s">
        <v>194</v>
      </c>
      <c r="S12" s="84">
        <v>87000000</v>
      </c>
    </row>
    <row r="13" spans="1:20" hidden="1">
      <c r="A13" t="s">
        <v>218</v>
      </c>
      <c r="C13">
        <v>2021</v>
      </c>
      <c r="D13" t="s">
        <v>219</v>
      </c>
      <c r="E13" t="s">
        <v>191</v>
      </c>
      <c r="F13" t="s">
        <v>192</v>
      </c>
      <c r="G13">
        <v>2024</v>
      </c>
      <c r="H13" t="s">
        <v>222</v>
      </c>
      <c r="I13" s="75">
        <f>[7]Outputs!$AE$10* (1+Inputs!$C$5) ^ (G13-C13)</f>
        <v>1730.510800708724</v>
      </c>
      <c r="J13" s="75">
        <f>[7]Outputs!$AF$10* (1+Inputs!$C$5) ^ (G13-C13)</f>
        <v>823.96435988709356</v>
      </c>
      <c r="K13" s="75">
        <f>[7]Outputs!$AG$10* (1+Inputs!$C$5) ^ (G13-C13)</f>
        <v>997.36187349738645</v>
      </c>
      <c r="L13" s="75">
        <f>[7]Outputs!$AH$10* (1+Inputs!$C$5) ^ (G13-C13)</f>
        <v>980.42742289161697</v>
      </c>
      <c r="Q13" s="12" t="s">
        <v>199</v>
      </c>
      <c r="R13" s="12" t="s">
        <v>194</v>
      </c>
      <c r="S13" s="84">
        <v>68000000</v>
      </c>
    </row>
    <row r="14" spans="1:20" hidden="1">
      <c r="A14" t="s">
        <v>218</v>
      </c>
      <c r="C14">
        <v>2021</v>
      </c>
      <c r="D14" t="s">
        <v>219</v>
      </c>
      <c r="E14" t="s">
        <v>191</v>
      </c>
      <c r="F14" t="s">
        <v>192</v>
      </c>
      <c r="G14">
        <v>2024</v>
      </c>
      <c r="H14" t="s">
        <v>223</v>
      </c>
      <c r="I14" s="75">
        <f>[7]Outputs!$Q$10* (1+Inputs!$C$5) ^ (G14-C14)</f>
        <v>2708.6121435384971</v>
      </c>
      <c r="J14" s="75">
        <f>[7]Outputs!$R$10* (1+Inputs!$C$5) ^(G14-C14)</f>
        <v>1804.7168921979044</v>
      </c>
      <c r="K14" s="75">
        <f>[7]Outputs!$S$10* (1+Inputs!$C$5) ^ (G14-C14)</f>
        <v>1941.7692052374264</v>
      </c>
      <c r="L14" s="75">
        <f>[7]Outputs!$T$10* (1+Inputs!$C$5) ^ (G14-C14)</f>
        <v>1919.3136113487762</v>
      </c>
      <c r="Q14" s="12" t="s">
        <v>199</v>
      </c>
      <c r="R14" s="12" t="s">
        <v>194</v>
      </c>
      <c r="S14" s="84">
        <v>48000000</v>
      </c>
    </row>
    <row r="15" spans="1:20" hidden="1">
      <c r="A15" t="s">
        <v>218</v>
      </c>
      <c r="C15">
        <v>2021</v>
      </c>
      <c r="D15" t="s">
        <v>219</v>
      </c>
      <c r="E15" t="s">
        <v>191</v>
      </c>
      <c r="F15" t="s">
        <v>192</v>
      </c>
      <c r="G15">
        <v>2024</v>
      </c>
      <c r="H15" t="s">
        <v>224</v>
      </c>
      <c r="I15" s="75">
        <f>[7]Outputs!$J$10* 1.02 ^ (G15-C15)</f>
        <v>2761.7003080324448</v>
      </c>
      <c r="J15" s="75">
        <f>[7]Outputs!$K$10* 1.02 ^ (G15-C15)</f>
        <v>1368.7084844811829</v>
      </c>
      <c r="K15" s="75">
        <f>[7]Outputs!$L$10* 1.02 ^ (G15-C15)</f>
        <v>1562.0728579129388</v>
      </c>
      <c r="L15" s="75">
        <f>[7]Outputs!$M$10* 1.02 ^ (G15-C15)</f>
        <v>1533.3503435977252</v>
      </c>
      <c r="Q15" s="12" t="s">
        <v>199</v>
      </c>
      <c r="R15" s="12" t="s">
        <v>194</v>
      </c>
      <c r="S15" s="84">
        <v>35000000</v>
      </c>
    </row>
    <row r="16" spans="1:20">
      <c r="A16" t="s">
        <v>218</v>
      </c>
      <c r="B16" t="s">
        <v>215</v>
      </c>
      <c r="C16">
        <v>2021</v>
      </c>
      <c r="D16" t="s">
        <v>219</v>
      </c>
      <c r="E16" t="s">
        <v>191</v>
      </c>
      <c r="F16" t="s">
        <v>192</v>
      </c>
      <c r="G16">
        <v>2050</v>
      </c>
      <c r="H16" t="s">
        <v>221</v>
      </c>
      <c r="I16" s="75">
        <f>[7]Outputs!$C$21*  (1+Inputs!$C$5)  ^ (G16-C16)</f>
        <v>597.79761883839126</v>
      </c>
      <c r="J16" s="75">
        <f>[7]Outputs!$D$21*  (1+Inputs!$C$5)  ^ (G16-C16)</f>
        <v>297.66180151377245</v>
      </c>
      <c r="K16" s="75">
        <f>[7]Outputs!$E$21*  (1+Inputs!$C$5)  ^ (G16-C16)</f>
        <v>507.83266694964567</v>
      </c>
      <c r="L16" s="75">
        <f>[7]Outputs!$F$21*  (1+Inputs!$C$5)  ^ (G16-C16)</f>
        <v>497.82438916901862</v>
      </c>
      <c r="M16" s="80">
        <f>'[7]Cost Breakdown'!$B$22</f>
        <v>0.28830506115721238</v>
      </c>
      <c r="N16" s="80">
        <f>'[7]Cost Breakdown'!$B$21</f>
        <v>0.15734089850394842</v>
      </c>
      <c r="O16" s="80">
        <f>'[7]Cost Breakdown'!$B$23</f>
        <v>0.15294256759925415</v>
      </c>
      <c r="P16" s="80">
        <f>'[7]Cost Breakdown'!$B$24</f>
        <v>0.40141147273958483</v>
      </c>
      <c r="Q16" s="12" t="s">
        <v>199</v>
      </c>
      <c r="R16" s="12" t="s">
        <v>194</v>
      </c>
      <c r="S16" s="84">
        <v>87000000</v>
      </c>
    </row>
    <row r="17" spans="1:20">
      <c r="A17" t="s">
        <v>218</v>
      </c>
      <c r="B17" t="s">
        <v>215</v>
      </c>
      <c r="C17">
        <v>2021</v>
      </c>
      <c r="D17" t="s">
        <v>219</v>
      </c>
      <c r="E17" t="s">
        <v>191</v>
      </c>
      <c r="F17" t="s">
        <v>192</v>
      </c>
      <c r="G17">
        <v>2050</v>
      </c>
      <c r="H17" t="s">
        <v>224</v>
      </c>
      <c r="I17" s="75">
        <f>[7]Outputs!$J$21*  (1+Inputs!$C$5)  ^ (G17-C17)</f>
        <v>1954.9192922932341</v>
      </c>
      <c r="J17" s="75">
        <f>[7]Outputs!$K$21*  (1+Inputs!$C$5)  ^ (G17-C17)</f>
        <v>1438.7117096840332</v>
      </c>
      <c r="K17" s="75">
        <f>[7]Outputs!$L$21*  (1+Inputs!$C$5)  ^ (G17-C17)</f>
        <v>1976.4189268837772</v>
      </c>
      <c r="L17" s="75">
        <f>[7]Outputs!$M$21*  (1+Inputs!$C$5)  ^ (G17-C17)</f>
        <v>1958.4432933584976</v>
      </c>
      <c r="Q17" s="12" t="s">
        <v>199</v>
      </c>
      <c r="R17" s="12" t="s">
        <v>194</v>
      </c>
      <c r="S17" s="84">
        <v>35000000</v>
      </c>
    </row>
    <row r="18" spans="1:20">
      <c r="A18" t="s">
        <v>218</v>
      </c>
      <c r="B18" t="s">
        <v>215</v>
      </c>
      <c r="C18">
        <v>2021</v>
      </c>
      <c r="D18" t="s">
        <v>219</v>
      </c>
      <c r="E18" t="s">
        <v>191</v>
      </c>
      <c r="F18" t="s">
        <v>192</v>
      </c>
      <c r="G18">
        <v>2050</v>
      </c>
      <c r="H18" t="s">
        <v>223</v>
      </c>
      <c r="I18" s="75">
        <f>[7]Outputs!$Q$21*  (1+Inputs!$C$5)  ^ (G18-C18)</f>
        <v>1692.7912975423517</v>
      </c>
      <c r="J18" s="75">
        <f>[7]Outputs!$R$21 *  (1+Inputs!$C$5)  ^ (G16-C16)</f>
        <v>1109.9279733083708</v>
      </c>
      <c r="K18" s="75">
        <f>[7]Outputs!$S$21*  (1+Inputs!$C$5)  ^ (G16-C16)</f>
        <v>1500.6866480799101</v>
      </c>
      <c r="L18" s="75">
        <f>[7]Outputs!$T$21*  (1+Inputs!$C$5) ^ (G16-C16)</f>
        <v>1487.0625819464963</v>
      </c>
      <c r="Q18" s="12" t="s">
        <v>199</v>
      </c>
      <c r="R18" s="12" t="s">
        <v>194</v>
      </c>
      <c r="S18" s="84">
        <v>48000000</v>
      </c>
    </row>
    <row r="19" spans="1:20">
      <c r="A19" t="s">
        <v>218</v>
      </c>
      <c r="B19" t="s">
        <v>215</v>
      </c>
      <c r="C19">
        <v>2021</v>
      </c>
      <c r="D19" t="s">
        <v>219</v>
      </c>
      <c r="E19" t="s">
        <v>191</v>
      </c>
      <c r="F19" t="s">
        <v>192</v>
      </c>
      <c r="G19">
        <v>2050</v>
      </c>
      <c r="H19" t="s">
        <v>220</v>
      </c>
      <c r="I19" s="75">
        <f>[7]Outputs!$X$21* (1+Inputs!$C$5)  ^ (G19-C19)</f>
        <v>310.79679657966193</v>
      </c>
      <c r="J19" s="75">
        <f>[7]Outputs!$Y$21* (1+Inputs!$C$5)  ^ (G19-C19)</f>
        <v>31.763717568876785</v>
      </c>
      <c r="K19" s="75">
        <f>[7]Outputs!$Z$21* (1+Inputs!$C$5)  ^(G19-C19)</f>
        <v>320.74468425564066</v>
      </c>
      <c r="L19" s="75">
        <f>[7]Outputs!$AA$21* (1+Inputs!$C$5)  ^ (G19-C19)</f>
        <v>310.75429182815378</v>
      </c>
      <c r="Q19" s="12" t="s">
        <v>199</v>
      </c>
      <c r="R19" s="12" t="s">
        <v>194</v>
      </c>
      <c r="S19" s="84">
        <v>69000000</v>
      </c>
    </row>
    <row r="20" spans="1:20">
      <c r="A20" t="s">
        <v>218</v>
      </c>
      <c r="B20" t="s">
        <v>215</v>
      </c>
      <c r="C20">
        <v>2021</v>
      </c>
      <c r="D20" t="s">
        <v>219</v>
      </c>
      <c r="E20" t="s">
        <v>191</v>
      </c>
      <c r="F20" t="s">
        <v>192</v>
      </c>
      <c r="G20">
        <v>2050</v>
      </c>
      <c r="H20" t="s">
        <v>222</v>
      </c>
      <c r="I20" s="75">
        <f>[7]Outputs!$AE$21*  (1+Inputs!$C$5) ^ (G20-C20)</f>
        <v>628.73238316672519</v>
      </c>
      <c r="J20" s="75">
        <f>[7]Outputs!$AF$21*  (1+Inputs!$C$5)  ^ (G20-C20)</f>
        <v>270.87594530609221</v>
      </c>
      <c r="K20" s="75">
        <f>[7]Outputs!$AG$21*  (1+Inputs!$C$5)  ^ (G20-C20)</f>
        <v>572.36067226666614</v>
      </c>
      <c r="L20" s="75">
        <f>[7]Outputs!$AH$21*  (1+Inputs!$C$5)  ^ (G20-C20)</f>
        <v>561.98413374977861</v>
      </c>
      <c r="Q20" s="12" t="s">
        <v>199</v>
      </c>
      <c r="R20" s="12" t="s">
        <v>194</v>
      </c>
      <c r="S20" s="84">
        <v>68000000</v>
      </c>
    </row>
    <row r="21" spans="1:20" hidden="1">
      <c r="A21" t="s">
        <v>225</v>
      </c>
      <c r="C21">
        <v>2023</v>
      </c>
      <c r="D21" s="2" t="s">
        <v>226</v>
      </c>
      <c r="E21" t="s">
        <v>191</v>
      </c>
      <c r="F21" t="s">
        <v>192</v>
      </c>
      <c r="G21">
        <v>2024</v>
      </c>
      <c r="H21" s="76" t="s">
        <v>4</v>
      </c>
      <c r="I21" s="75">
        <f>[8]Outputs!$C$10 * (1+Inputs!C5) ^ ('Standardization Results'!F19-'Standardization Results'!B19)</f>
        <v>1999.3691180389467</v>
      </c>
      <c r="J21" s="75">
        <f>[8]Outputs!$D$10* (1+Inputs!C5) ^ ('Standardization Results'!F19-'Standardization Results'!B19)</f>
        <v>1980.3771359554378</v>
      </c>
      <c r="K21" s="75">
        <f>[8]Outputs!$E$10* (1+Inputs!C5) ^ ('Standardization Results'!F19-'Standardization Results'!B19)</f>
        <v>1827.4015837484339</v>
      </c>
      <c r="L21" s="75">
        <f>[8]Outputs!$F$10* (1+Inputs!C5) ^ ('Standardization Results'!F19-'Standardization Results'!B19)</f>
        <v>1832.9217455708297</v>
      </c>
      <c r="M21" s="12"/>
      <c r="N21" s="12"/>
      <c r="O21" s="12"/>
      <c r="P21" s="12"/>
      <c r="Q21" s="12" t="s">
        <v>199</v>
      </c>
      <c r="R21" s="12" t="s">
        <v>194</v>
      </c>
      <c r="S21" s="13" t="s">
        <v>85</v>
      </c>
    </row>
    <row r="22" spans="1:20">
      <c r="A22" t="s">
        <v>225</v>
      </c>
      <c r="B22" t="s">
        <v>215</v>
      </c>
      <c r="C22">
        <v>2023</v>
      </c>
      <c r="D22" s="2" t="s">
        <v>226</v>
      </c>
      <c r="E22" t="s">
        <v>191</v>
      </c>
      <c r="F22" t="s">
        <v>192</v>
      </c>
      <c r="G22">
        <v>2050</v>
      </c>
      <c r="H22" t="s">
        <v>4</v>
      </c>
      <c r="I22" s="75">
        <f>[8]Outputs!$J$10 * (1+Inputs!C5) ^ ('Standardization Results'!F22-'Standardization Results'!B22)</f>
        <v>209.51491964283636</v>
      </c>
      <c r="J22" s="75">
        <f>[8]Outputs!$K$10* (1+Inputs!C5) ^ ('Standardization Results'!F22-'Standardization Results'!B22)</f>
        <v>196.72580951871265</v>
      </c>
      <c r="K22" s="75">
        <f>[8]Outputs!$L$10* (1+Inputs!C5) ^ ('Standardization Results'!F22-'Standardization Results'!B22)</f>
        <v>384.19949502360646</v>
      </c>
      <c r="L22" s="75">
        <f>[8]Outputs!$M$10* (1+Inputs!C5) ^ ('Standardization Results'!F22-'Standardization Results'!B22)</f>
        <v>385.7848152629291</v>
      </c>
      <c r="M22" s="12"/>
      <c r="N22" s="12"/>
      <c r="O22" s="12"/>
      <c r="P22" s="12"/>
      <c r="Q22" s="12" t="s">
        <v>199</v>
      </c>
      <c r="R22" s="12" t="s">
        <v>194</v>
      </c>
      <c r="S22" s="13" t="s">
        <v>85</v>
      </c>
      <c r="T22" s="20"/>
    </row>
    <row r="23" spans="1:20" hidden="1">
      <c r="A23" t="s">
        <v>227</v>
      </c>
      <c r="C23">
        <v>2024</v>
      </c>
      <c r="D23" s="2" t="s">
        <v>228</v>
      </c>
      <c r="E23" t="s">
        <v>191</v>
      </c>
      <c r="F23" t="s">
        <v>192</v>
      </c>
      <c r="G23">
        <v>2024</v>
      </c>
      <c r="H23" t="s">
        <v>4</v>
      </c>
      <c r="I23" s="75">
        <f>[9]Outputs!$C$10</f>
        <v>1678.5512402252382</v>
      </c>
      <c r="J23" s="75">
        <f>[9]Outputs!$D$10</f>
        <v>1330.6141668859134</v>
      </c>
      <c r="K23" s="75">
        <f>[9]Outputs!$E$10</f>
        <v>2039.9518032184274</v>
      </c>
      <c r="L23" s="75">
        <f>[9]Outputs!$F$10</f>
        <v>2004.6360593119102</v>
      </c>
      <c r="M23" s="12"/>
      <c r="N23" s="12"/>
      <c r="O23" s="12"/>
      <c r="P23" s="12"/>
      <c r="Q23" s="12" t="s">
        <v>199</v>
      </c>
      <c r="R23" s="12" t="s">
        <v>194</v>
      </c>
      <c r="S23" s="9">
        <v>3650000</v>
      </c>
    </row>
    <row r="24" spans="1:20" hidden="1">
      <c r="A24" t="s">
        <v>229</v>
      </c>
      <c r="C24">
        <v>2023</v>
      </c>
      <c r="D24" t="s">
        <v>230</v>
      </c>
      <c r="E24" t="s">
        <v>207</v>
      </c>
      <c r="F24" t="s">
        <v>192</v>
      </c>
      <c r="G24">
        <v>2024</v>
      </c>
      <c r="H24" t="s">
        <v>4</v>
      </c>
      <c r="I24" s="75">
        <f>[10]Outputs!$C$10</f>
        <v>838.68815198564619</v>
      </c>
      <c r="J24" s="75">
        <f>[10]Outputs!$D$10</f>
        <v>793.08715685043853</v>
      </c>
      <c r="K24" s="75">
        <f>[10]Outputs!$E$10</f>
        <v>549.23621704848517</v>
      </c>
      <c r="L24" s="75">
        <f>[10]Outputs!$F$10</f>
        <v>614.21668568408393</v>
      </c>
      <c r="M24" s="12">
        <f>'[10]MFSP WACC Corrected'!$B$39</f>
        <v>-0.1147588119989327</v>
      </c>
      <c r="N24" s="12">
        <f>'[10]MFSP WACC Corrected'!$B$40</f>
        <v>0.39312614070375373</v>
      </c>
      <c r="O24" s="12">
        <f>'[10]MFSP WACC Corrected'!$B$38</f>
        <v>0.44920103621924701</v>
      </c>
      <c r="P24" s="12">
        <f>'[10]MFSP WACC Corrected'!$B$41</f>
        <v>0.27243163507593215</v>
      </c>
      <c r="Q24" s="12" t="s">
        <v>193</v>
      </c>
      <c r="R24" s="12" t="s">
        <v>208</v>
      </c>
      <c r="S24" s="9">
        <v>31354838</v>
      </c>
      <c r="T24" t="s">
        <v>231</v>
      </c>
    </row>
    <row r="25" spans="1:20">
      <c r="A25" t="s">
        <v>229</v>
      </c>
      <c r="B25" t="s">
        <v>215</v>
      </c>
      <c r="C25">
        <v>2023</v>
      </c>
      <c r="D25" t="s">
        <v>230</v>
      </c>
      <c r="E25" t="s">
        <v>207</v>
      </c>
      <c r="F25" t="s">
        <v>192</v>
      </c>
      <c r="G25">
        <v>2050</v>
      </c>
      <c r="H25" t="s">
        <v>4</v>
      </c>
      <c r="I25" s="75">
        <f>[10]Outputs!$J$10 * (1+Inputs!$C$5) ^ (G25-C25)</f>
        <v>982.35140207674465</v>
      </c>
      <c r="J25" s="75">
        <f>[10]Outputs!$K$10 * (1+Inputs!$C$5) ^ (G25-C25)</f>
        <v>982.36402727795939</v>
      </c>
      <c r="K25" s="75">
        <f>[10]Outputs!$L$10 * (1+Inputs!$C$5) ^ (G25-C25)</f>
        <v>976.9429583264623</v>
      </c>
      <c r="L25" s="75">
        <f>[10]Outputs!$M$10 * (1+Inputs!$C$5) ^ (G25-C25)</f>
        <v>1076.4346025142365</v>
      </c>
      <c r="M25" s="12">
        <f>'[10]MFSP WACC Corrected'!$B$53</f>
        <v>-3.6841458442802914E-5</v>
      </c>
      <c r="N25" s="12">
        <f>'[10]MFSP WACC Corrected'!$B$54</f>
        <v>0.40892530327735788</v>
      </c>
      <c r="O25" s="12">
        <f>'[10]MFSP WACC Corrected'!$B$52</f>
        <v>0.41554005633091412</v>
      </c>
      <c r="P25" s="12">
        <f>'[10]MFSP WACC Corrected'!$B$55</f>
        <v>0.1755714818501713</v>
      </c>
      <c r="Q25" s="12" t="s">
        <v>193</v>
      </c>
      <c r="R25" s="12" t="s">
        <v>208</v>
      </c>
      <c r="S25" s="9">
        <v>31354838</v>
      </c>
    </row>
    <row r="26" spans="1:20">
      <c r="A26" t="s">
        <v>229</v>
      </c>
      <c r="B26" t="s">
        <v>215</v>
      </c>
      <c r="C26">
        <v>2023</v>
      </c>
      <c r="D26" t="s">
        <v>230</v>
      </c>
      <c r="E26" t="s">
        <v>207</v>
      </c>
      <c r="F26" t="s">
        <v>192</v>
      </c>
      <c r="G26">
        <v>2050</v>
      </c>
      <c r="H26" t="s">
        <v>232</v>
      </c>
      <c r="I26" s="75">
        <f>[10]Outputs!$Q$10 * (1+Inputs!$C$5) ^ ('Standardization Results'!F18-'Standardization Results'!B18)</f>
        <v>858.71365553275564</v>
      </c>
      <c r="J26" s="75">
        <f>[10]Outputs!$R$10* (1+Inputs!$C$5) ^ ('Standardization Results'!F18-'Standardization Results'!B18)</f>
        <v>858.72679079209968</v>
      </c>
      <c r="K26" s="75">
        <f>[10]Outputs!$S$10* (1+Inputs!$C$5) ^ ('Standardization Results'!F18-'Standardization Results'!B18)</f>
        <v>853.08671065496173</v>
      </c>
      <c r="L26" s="75">
        <f>[10]Outputs!$T$10* (1+Inputs!$C$5) ^ ('Standardization Results'!F18-'Standardization Results'!B18)</f>
        <v>929.58904238170317</v>
      </c>
      <c r="M26" s="12"/>
      <c r="N26" s="12"/>
      <c r="O26" s="12"/>
      <c r="P26" s="12"/>
      <c r="Q26" s="12" t="s">
        <v>193</v>
      </c>
      <c r="R26" s="12" t="s">
        <v>208</v>
      </c>
      <c r="S26" s="9">
        <v>31354838</v>
      </c>
    </row>
    <row r="27" spans="1:20" hidden="1">
      <c r="A27" t="s">
        <v>233</v>
      </c>
      <c r="C27">
        <v>2024</v>
      </c>
      <c r="E27" t="s">
        <v>191</v>
      </c>
      <c r="F27" t="s">
        <v>192</v>
      </c>
      <c r="G27">
        <v>2024</v>
      </c>
      <c r="H27" t="s">
        <v>234</v>
      </c>
      <c r="I27" s="75">
        <f>[11]Outputs!$Q$10</f>
        <v>2681.2487830302389</v>
      </c>
      <c r="J27" s="75">
        <f>[11]Outputs!$R$10</f>
        <v>2495.6577011733561</v>
      </c>
      <c r="K27" s="75">
        <f>[11]Outputs!$S$10</f>
        <v>2013.7954676453287</v>
      </c>
      <c r="L27" s="75">
        <f>[11]Outputs!$T$10</f>
        <v>1988.4544055046374</v>
      </c>
      <c r="M27" s="12"/>
      <c r="N27" s="12"/>
      <c r="O27" s="12"/>
      <c r="P27" s="12"/>
      <c r="Q27" s="12" t="s">
        <v>199</v>
      </c>
      <c r="R27" s="12" t="s">
        <v>235</v>
      </c>
      <c r="S27" s="9">
        <v>157410000</v>
      </c>
    </row>
    <row r="28" spans="1:20" ht="16.899999999999999" hidden="1" customHeight="1">
      <c r="A28" t="s">
        <v>233</v>
      </c>
      <c r="C28">
        <v>2024</v>
      </c>
      <c r="E28" t="s">
        <v>191</v>
      </c>
      <c r="F28" t="s">
        <v>192</v>
      </c>
      <c r="G28">
        <v>2024</v>
      </c>
      <c r="H28" t="s">
        <v>236</v>
      </c>
      <c r="I28" s="75">
        <f>[11]Outputs!$C$10</f>
        <v>3266.1214388486155</v>
      </c>
      <c r="J28" s="75">
        <f>[11]Outputs!$D$10</f>
        <v>2576.9841253415252</v>
      </c>
      <c r="K28" s="75">
        <f>[11]Outputs!$E$10</f>
        <v>1969.1597778560372</v>
      </c>
      <c r="L28" s="75">
        <f>[11]Outputs!$F$10</f>
        <v>1947.4924520239535</v>
      </c>
      <c r="M28" s="12"/>
      <c r="N28" s="12"/>
      <c r="O28" s="12"/>
      <c r="P28" s="12"/>
      <c r="Q28" s="12" t="s">
        <v>199</v>
      </c>
      <c r="R28" s="12" t="s">
        <v>235</v>
      </c>
      <c r="S28" s="9">
        <v>157410000</v>
      </c>
      <c r="T28" t="s">
        <v>237</v>
      </c>
    </row>
    <row r="29" spans="1:20" ht="16.899999999999999" customHeight="1">
      <c r="A29" t="s">
        <v>233</v>
      </c>
      <c r="B29" t="s">
        <v>215</v>
      </c>
      <c r="C29">
        <v>2024</v>
      </c>
      <c r="E29" t="s">
        <v>191</v>
      </c>
      <c r="F29" t="s">
        <v>192</v>
      </c>
      <c r="G29">
        <v>2050</v>
      </c>
      <c r="H29" t="s">
        <v>236</v>
      </c>
      <c r="I29" s="75">
        <f>[11]Outputs!$C$22 * (1+Inputs!$C$5) ^ ('Standardization Results'!F36-'Standardization Results'!B36)</f>
        <v>1120.7136225660461</v>
      </c>
      <c r="J29" s="75">
        <f>[11]Outputs!$D$22* (1+Inputs!$C$5) ^ ('Standardization Results'!F36-'Standardization Results'!B36)</f>
        <v>983.41615931336651</v>
      </c>
      <c r="K29" s="75">
        <f>[11]Outputs!$E$22* (1+Inputs!$C$5) ^ ('Standardization Results'!F36-'Standardization Results'!B36)</f>
        <v>1214.6326684475753</v>
      </c>
      <c r="L29" s="75">
        <f>[11]Outputs!$F$22* (1+Inputs!$C$5) ^ ('Standardization Results'!F36-'Standardization Results'!B36)</f>
        <v>1197.759736244996</v>
      </c>
      <c r="M29" s="12"/>
      <c r="N29" s="12"/>
      <c r="O29" s="12"/>
      <c r="P29" s="12"/>
      <c r="Q29" s="12" t="s">
        <v>199</v>
      </c>
      <c r="R29" s="12" t="s">
        <v>235</v>
      </c>
      <c r="S29" s="9">
        <v>157410000</v>
      </c>
    </row>
    <row r="30" spans="1:20">
      <c r="A30" t="s">
        <v>233</v>
      </c>
      <c r="B30" t="s">
        <v>215</v>
      </c>
      <c r="C30">
        <v>2024</v>
      </c>
      <c r="E30" t="s">
        <v>191</v>
      </c>
      <c r="F30" t="s">
        <v>192</v>
      </c>
      <c r="G30">
        <v>2050</v>
      </c>
      <c r="H30" t="s">
        <v>238</v>
      </c>
      <c r="I30" s="75">
        <f>[11]Outputs!$J$22* (1+Inputs!$C$5) ^ ('Standardization Results'!F37-'Standardization Results'!B37)</f>
        <v>952.97687263463717</v>
      </c>
      <c r="J30" s="75">
        <f>[11]Outputs!$K$22* (1+Inputs!$C$5) ^ ('Standardization Results'!F37-'Standardization Results'!B37)</f>
        <v>964.92097557092802</v>
      </c>
      <c r="K30" s="75">
        <f>[11]Outputs!$L$22* (1+Inputs!$C$5) ^ ('Standardization Results'!F37-'Standardization Results'!B37)</f>
        <v>1151.5013334145676</v>
      </c>
      <c r="L30" s="75">
        <f>[11]Outputs!$M$22* (1+Inputs!$C$5) ^ ('Standardization Results'!F37-'Standardization Results'!B37)</f>
        <v>1134.6284012119879</v>
      </c>
      <c r="M30" s="12">
        <f>'[11]Cost Breakdowns'!$B$22</f>
        <v>0.40154651277811515</v>
      </c>
      <c r="N30" s="12">
        <f>'[11]Cost Breakdowns'!$B$21</f>
        <v>0.31639384055629749</v>
      </c>
      <c r="O30" s="12">
        <f>'[11]Cost Breakdowns'!$B$23</f>
        <v>9.22233423318084E-2</v>
      </c>
      <c r="P30" s="12">
        <f>'[11]Cost Breakdowns'!$B$24</f>
        <v>0.18983630433377849</v>
      </c>
      <c r="Q30" s="12" t="s">
        <v>199</v>
      </c>
      <c r="R30" s="12" t="s">
        <v>235</v>
      </c>
      <c r="S30" s="9">
        <v>157410000</v>
      </c>
    </row>
    <row r="31" spans="1:20">
      <c r="A31" t="s">
        <v>233</v>
      </c>
      <c r="B31" t="s">
        <v>215</v>
      </c>
      <c r="C31">
        <v>2024</v>
      </c>
      <c r="E31" t="s">
        <v>191</v>
      </c>
      <c r="F31" t="s">
        <v>192</v>
      </c>
      <c r="G31">
        <v>2050</v>
      </c>
      <c r="H31" t="s">
        <v>234</v>
      </c>
      <c r="I31" s="75">
        <f>[11]Outputs!$Q$22 * (1+Inputs!$C$5) ^ ('Standardization Results'!F38-'Standardization Results'!B38)</f>
        <v>1383.9118225223065</v>
      </c>
      <c r="J31" s="75">
        <f>[11]Outputs!$R$22* (1+Inputs!$C$5) ^ ('Standardization Results'!F38-'Standardization Results'!B38)</f>
        <v>1400.7491003650325</v>
      </c>
      <c r="K31" s="75">
        <f>[11]Outputs!$S$22* (1+Inputs!$C$5) ^ ('Standardization Results'!F38-'Standardization Results'!B38)</f>
        <v>1708.522319404834</v>
      </c>
      <c r="L31" s="75">
        <f>[11]Outputs!$T$22* (1+Inputs!$C$5) ^ ('Standardization Results'!F38-'Standardization Results'!B38)</f>
        <v>1681.9373813602908</v>
      </c>
      <c r="M31" s="12"/>
      <c r="N31" s="12"/>
      <c r="O31" s="12"/>
      <c r="P31" s="12"/>
      <c r="Q31" s="12" t="s">
        <v>199</v>
      </c>
      <c r="R31" s="12" t="s">
        <v>235</v>
      </c>
      <c r="S31" s="9">
        <v>157410000</v>
      </c>
    </row>
    <row r="32" spans="1:20" hidden="1">
      <c r="A32" t="s">
        <v>233</v>
      </c>
      <c r="C32">
        <v>2024</v>
      </c>
      <c r="E32" t="s">
        <v>191</v>
      </c>
      <c r="F32" t="s">
        <v>192</v>
      </c>
      <c r="G32">
        <v>2024</v>
      </c>
      <c r="H32" t="s">
        <v>238</v>
      </c>
      <c r="I32" s="75">
        <f>[11]Outputs!$J$10</f>
        <v>2797.4452258049691</v>
      </c>
      <c r="J32" s="75">
        <f>[11]Outputs!$K$10</f>
        <v>2548.3624580496798</v>
      </c>
      <c r="K32" s="75">
        <f>[11]Outputs!$L$10</f>
        <v>2081.053854295114</v>
      </c>
      <c r="L32" s="75">
        <f>[11]Outputs!$M$10</f>
        <v>2059.386528463031</v>
      </c>
      <c r="M32" s="12">
        <f>'[11]Cost Breakdowns'!$B$10</f>
        <v>0.36579718129764949</v>
      </c>
      <c r="N32" s="12">
        <f>'[11]Cost Breakdowns'!$B$9</f>
        <v>0.39350093841063322</v>
      </c>
      <c r="O32" s="12">
        <f>'[11]Cost Breakdowns'!$B$11</f>
        <v>7.9277063511900503E-2</v>
      </c>
      <c r="P32" s="12">
        <f>'[11]Cost Breakdowns'!$B$12</f>
        <v>0.16142481677981668</v>
      </c>
      <c r="Q32" s="12" t="s">
        <v>199</v>
      </c>
      <c r="R32" s="12" t="s">
        <v>235</v>
      </c>
      <c r="S32" s="9">
        <v>157410000</v>
      </c>
    </row>
    <row r="33" spans="1:20" hidden="1">
      <c r="A33" t="s">
        <v>239</v>
      </c>
      <c r="C33">
        <v>2022</v>
      </c>
      <c r="D33" t="s">
        <v>240</v>
      </c>
      <c r="E33" t="s">
        <v>191</v>
      </c>
      <c r="F33" t="s">
        <v>192</v>
      </c>
      <c r="G33">
        <v>2024</v>
      </c>
      <c r="H33" t="s">
        <v>178</v>
      </c>
      <c r="I33" s="75">
        <f>[12]Outputs!$C$10 * (1+Inputs!C5) ^ ('Standardization Results'!F33-'Standardization Results'!B33)</f>
        <v>642.42374178153898</v>
      </c>
      <c r="J33" s="75">
        <f>[12]Outputs!$D$10* (1+Inputs!C5) ^ ('Standardization Results'!F33-'Standardization Results'!B33)</f>
        <v>1011.8768751597115</v>
      </c>
      <c r="K33" s="75">
        <f>[12]Outputs!$E$10 * (1+Inputs!C5) ^ ('Standardization Results'!F33-'Standardization Results'!B33)</f>
        <v>3588.7386454776965</v>
      </c>
      <c r="L33" s="75">
        <f>[12]Outputs!$F$10* (1+Inputs!C5) ^ ('Standardization Results'!F33-'Standardization Results'!B33)</f>
        <v>3626.2481376136388</v>
      </c>
      <c r="M33" s="12">
        <f>'[12]Cost of Manufacturing Models'!$F$10</f>
        <v>6.6800203467038397E-2</v>
      </c>
      <c r="N33" s="12">
        <f>'[12]Cost of Manufacturing Models'!$F$9</f>
        <v>0.46591806920061163</v>
      </c>
      <c r="O33" s="12">
        <f>'[12]Cost of Manufacturing Models'!$F$11</f>
        <v>0.43493529419052063</v>
      </c>
      <c r="P33" s="12">
        <f>'[12]Cost of Manufacturing Models'!$F$12</f>
        <v>3.2346433141829486E-2</v>
      </c>
      <c r="Q33" s="12" t="s">
        <v>199</v>
      </c>
      <c r="R33" s="12" t="s">
        <v>194</v>
      </c>
      <c r="S33" s="9">
        <v>208032000</v>
      </c>
      <c r="T33" t="s">
        <v>241</v>
      </c>
    </row>
    <row r="34" spans="1:20" hidden="1">
      <c r="A34" t="s">
        <v>242</v>
      </c>
      <c r="C34">
        <v>2023</v>
      </c>
      <c r="D34" s="1" t="s">
        <v>243</v>
      </c>
      <c r="E34" t="s">
        <v>191</v>
      </c>
      <c r="F34" t="s">
        <v>192</v>
      </c>
      <c r="G34">
        <v>2024</v>
      </c>
      <c r="H34" t="s">
        <v>4</v>
      </c>
      <c r="I34" s="75">
        <f>[13]Outputs!$C$10 * (1+Inputs!C5) ^ ('Standardization Results'!F30-'Standardization Results'!B30)</f>
        <v>2879.4702235250661</v>
      </c>
      <c r="J34" s="75">
        <f>[13]Outputs!$D$10 * (1+Inputs!C5) ^ ('Standardization Results'!F30-'Standardization Results'!B30)</f>
        <v>2389.2886187401759</v>
      </c>
      <c r="K34" s="75">
        <f>[13]Outputs!$E$10 * (1+Inputs!C5) ^ ('Standardization Results'!F20-'Standardization Results'!B20)</f>
        <v>5490.974145021808</v>
      </c>
      <c r="L34" s="75">
        <f>[13]Outputs!$F$10 * (1+Inputs!C5) ^ ('Standardization Results'!F30-'Standardization Results'!B30)</f>
        <v>5101.9876947217817</v>
      </c>
      <c r="M34" s="12">
        <f>'[13]MJSP WACC Corrected'!$B$20</f>
        <v>0.28620652613279013</v>
      </c>
      <c r="N34" s="12">
        <f>'[13]MJSP WACC Corrected'!$B$19</f>
        <v>0.47089020808174514</v>
      </c>
      <c r="O34" s="12">
        <f>'[13]MJSP WACC Corrected'!$B$21</f>
        <v>2.5500913984063858E-2</v>
      </c>
      <c r="P34" s="12">
        <f>'[13]MJSP WACC Corrected'!$B$22</f>
        <v>0.21740235180140077</v>
      </c>
      <c r="Q34" s="12" t="s">
        <v>199</v>
      </c>
      <c r="R34" s="12" t="s">
        <v>235</v>
      </c>
      <c r="S34" s="9">
        <v>25105853.051058531</v>
      </c>
      <c r="T34" t="s">
        <v>244</v>
      </c>
    </row>
    <row r="35" spans="1:20" hidden="1">
      <c r="A35" t="s">
        <v>245</v>
      </c>
      <c r="C35">
        <v>2024</v>
      </c>
      <c r="D35" s="1" t="s">
        <v>246</v>
      </c>
      <c r="E35" t="s">
        <v>191</v>
      </c>
      <c r="F35" t="s">
        <v>198</v>
      </c>
      <c r="G35">
        <v>2024</v>
      </c>
      <c r="H35" t="s">
        <v>247</v>
      </c>
      <c r="I35" s="75">
        <f>[14]Outputs!$C$10</f>
        <v>6201.6746704843536</v>
      </c>
      <c r="J35" s="75">
        <f>[14]Outputs!$D$10</f>
        <v>3818.5620604832807</v>
      </c>
      <c r="K35" s="75">
        <f>[14]Outputs!$E$10</f>
        <v>3865.4180894995325</v>
      </c>
      <c r="L35" s="75">
        <f>[14]Outputs!$F$10</f>
        <v>3949.4052401580666</v>
      </c>
      <c r="M35" s="12">
        <f>'[14]Cost Breakdown'!$B$10</f>
        <v>0.18840661595310274</v>
      </c>
      <c r="N35" s="12">
        <f>'[14]Cost Breakdown'!$B$9</f>
        <v>0.68456138294840485</v>
      </c>
      <c r="O35" s="12">
        <f>'[14]Cost Breakdown'!$B$11</f>
        <v>0.11897366506350344</v>
      </c>
      <c r="P35" s="12">
        <f>'[14]Cost Breakdown'!$B$12</f>
        <v>8.0583360349887213E-3</v>
      </c>
      <c r="Q35" s="12" t="s">
        <v>199</v>
      </c>
      <c r="R35" s="12" t="s">
        <v>194</v>
      </c>
      <c r="S35" s="84">
        <v>1250000000</v>
      </c>
      <c r="T35" t="s">
        <v>248</v>
      </c>
    </row>
    <row r="36" spans="1:20" hidden="1">
      <c r="A36" t="s">
        <v>245</v>
      </c>
      <c r="C36">
        <v>2024</v>
      </c>
      <c r="D36" s="1" t="s">
        <v>246</v>
      </c>
      <c r="E36" t="s">
        <v>191</v>
      </c>
      <c r="F36" t="s">
        <v>198</v>
      </c>
      <c r="G36">
        <v>2024</v>
      </c>
      <c r="H36" t="s">
        <v>249</v>
      </c>
      <c r="I36" s="75">
        <f>[14]Outputs!$J$10</f>
        <v>5186.3474368779916</v>
      </c>
      <c r="J36" s="75">
        <f>[14]Outputs!$K$10</f>
        <v>3438.5192545251684</v>
      </c>
      <c r="K36" s="75">
        <f>[14]Outputs!$L$10</f>
        <v>5951.2256810399012</v>
      </c>
      <c r="L36" s="75">
        <f>[14]Outputs!$M$10</f>
        <v>6013.8337548512636</v>
      </c>
      <c r="M36" s="12">
        <f>'[14]Cost Breakdown'!$B$22</f>
        <v>0.10119430449322714</v>
      </c>
      <c r="N36" s="12">
        <f>'[14]Cost Breakdown'!$B$21</f>
        <v>0.61193522966613301</v>
      </c>
      <c r="O36" s="12">
        <f>'[14]Cost Breakdown'!$B$23</f>
        <v>0.27234050130799337</v>
      </c>
      <c r="P36" s="12">
        <f>'[14]Cost Breakdown'!$B$24</f>
        <v>1.4529964532646183E-2</v>
      </c>
      <c r="Q36" s="12" t="s">
        <v>199</v>
      </c>
      <c r="R36" s="12" t="s">
        <v>194</v>
      </c>
      <c r="S36" s="84">
        <v>1250000000</v>
      </c>
    </row>
    <row r="37" spans="1:20">
      <c r="A37" t="s">
        <v>250</v>
      </c>
      <c r="B37" t="s">
        <v>215</v>
      </c>
      <c r="C37">
        <v>2024</v>
      </c>
      <c r="D37" s="2" t="s">
        <v>251</v>
      </c>
      <c r="E37" t="s">
        <v>191</v>
      </c>
      <c r="F37" t="s">
        <v>192</v>
      </c>
      <c r="G37">
        <v>2050</v>
      </c>
      <c r="H37" t="s">
        <v>252</v>
      </c>
      <c r="I37" s="75">
        <f>[15]Outputs!$C$21*((1+Inputs!$C$5)^($G$9-Inputs!$C$4))</f>
        <v>832.71052901141434</v>
      </c>
      <c r="J37" s="75">
        <f>[15]Outputs!$D$21*((1+Inputs!$C$5)^($G$9-Inputs!$C$4))</f>
        <v>712.36778311330647</v>
      </c>
      <c r="K37" s="75">
        <f>[15]Outputs!$E$21*((1+Inputs!$C$5)^($G$9-Inputs!$C$4))</f>
        <v>795.36024894843092</v>
      </c>
      <c r="L37" s="75">
        <f>[15]Outputs!$F$21*((1+Inputs!$C$5)^($G$9-Inputs!$C$4))</f>
        <v>719.69501763796802</v>
      </c>
      <c r="M37" s="12">
        <f>'[15]Cost Breakdown'!$B$22</f>
        <v>0.453157435049302</v>
      </c>
      <c r="N37" s="12">
        <f>'[15]Cost Breakdown'!$B$21</f>
        <v>0.31792431480918254</v>
      </c>
      <c r="O37" s="12">
        <f>'[15]Cost Breakdown'!$B$23</f>
        <v>0.18882300026014279</v>
      </c>
      <c r="P37" s="12">
        <f>'[15]Cost Breakdown'!$B$24</f>
        <v>4.0095249881371829E-2</v>
      </c>
      <c r="Q37" s="12" t="s">
        <v>193</v>
      </c>
      <c r="R37" s="12" t="s">
        <v>194</v>
      </c>
      <c r="S37" s="9">
        <v>1000000</v>
      </c>
    </row>
    <row r="38" spans="1:20">
      <c r="A38" t="s">
        <v>250</v>
      </c>
      <c r="B38" t="s">
        <v>215</v>
      </c>
      <c r="C38">
        <v>2024</v>
      </c>
      <c r="D38" s="2" t="s">
        <v>251</v>
      </c>
      <c r="E38" t="s">
        <v>191</v>
      </c>
      <c r="F38" t="s">
        <v>192</v>
      </c>
      <c r="G38">
        <v>2050</v>
      </c>
      <c r="H38" t="s">
        <v>253</v>
      </c>
      <c r="I38" s="75">
        <f>[15]Outputs!$J$21*((1+Inputs!$C$5)^($G$10-Inputs!$C$4))</f>
        <v>1651.2877075211616</v>
      </c>
      <c r="J38" s="75">
        <f>[15]Outputs!$K$21*((1+Inputs!$C$5)^($G$10-Inputs!$C$4))</f>
        <v>1201.2151219946848</v>
      </c>
      <c r="K38" s="75">
        <f>[15]Outputs!$L$21*((1+Inputs!$C$5)^($G$10-Inputs!$C$4))</f>
        <v>1340.0962176780906</v>
      </c>
      <c r="L38" s="75">
        <f>[15]Outputs!$M$21*((1+Inputs!$C$5)^($G$10-Inputs!$C$4))</f>
        <v>1212.3243295609946</v>
      </c>
      <c r="M38" s="12"/>
      <c r="N38" s="12"/>
      <c r="O38" s="12"/>
      <c r="P38" s="12"/>
      <c r="Q38" s="12" t="s">
        <v>193</v>
      </c>
      <c r="R38" s="12" t="s">
        <v>194</v>
      </c>
      <c r="S38" s="9">
        <v>1000000</v>
      </c>
    </row>
    <row r="39" spans="1:20">
      <c r="A39" t="s">
        <v>250</v>
      </c>
      <c r="B39" t="s">
        <v>215</v>
      </c>
      <c r="C39">
        <v>2024</v>
      </c>
      <c r="D39" s="2" t="s">
        <v>251</v>
      </c>
      <c r="E39" t="s">
        <v>191</v>
      </c>
      <c r="F39" t="s">
        <v>192</v>
      </c>
      <c r="G39">
        <v>2050</v>
      </c>
      <c r="H39" t="s">
        <v>254</v>
      </c>
      <c r="I39" s="75">
        <f>[15]Outputs!$Q$21*((1+Inputs!$C$5)^($G$9-Inputs!$C$4))</f>
        <v>832.16393601308198</v>
      </c>
      <c r="J39" s="75">
        <f>[15]Outputs!$R$21*((1+Inputs!$C$5)^($G$9-Inputs!$C$4))</f>
        <v>711.82119011497434</v>
      </c>
      <c r="K39" s="75">
        <f>[15]Outputs!$S$21*((1+Inputs!$C$5)^($G$9-Inputs!$C$4))</f>
        <v>794.81365595009834</v>
      </c>
      <c r="L39" s="75">
        <f>[15]Outputs!$T$21*((1+Inputs!$C$5)^($G$9-Inputs!$C$4))</f>
        <v>719.33070169579094</v>
      </c>
      <c r="M39" s="12"/>
      <c r="N39" s="12"/>
      <c r="O39" s="12"/>
      <c r="P39" s="12"/>
      <c r="Q39" s="12" t="s">
        <v>193</v>
      </c>
      <c r="R39" s="12" t="s">
        <v>194</v>
      </c>
      <c r="S39" s="9">
        <v>1000000</v>
      </c>
    </row>
    <row r="40" spans="1:20" hidden="1">
      <c r="A40" t="s">
        <v>250</v>
      </c>
      <c r="C40">
        <v>2024</v>
      </c>
      <c r="D40" s="2" t="s">
        <v>251</v>
      </c>
      <c r="E40" t="s">
        <v>191</v>
      </c>
      <c r="F40" t="s">
        <v>192</v>
      </c>
      <c r="G40">
        <v>2024</v>
      </c>
      <c r="H40" t="s">
        <v>253</v>
      </c>
      <c r="I40" s="75">
        <f>[15]Outputs!$J$10*((1+Inputs!$C$5)^(G40-C40))</f>
        <v>1309.1063656583035</v>
      </c>
      <c r="J40" s="75">
        <f>[15]Outputs!$K$10*((1+Inputs!$C$5)^(G40-C40))</f>
        <v>1104.4864616319737</v>
      </c>
      <c r="K40" s="75">
        <f>[15]Outputs!$L$10*((1+Inputs!$C$5)^(G40-C40))</f>
        <v>1387.9542345493473</v>
      </c>
      <c r="L40" s="75">
        <f>[15]Outputs!$M$10*((1+Inputs!$C$5)^(G40-C40))</f>
        <v>1287.5803356267957</v>
      </c>
      <c r="M40" s="12"/>
      <c r="N40" s="12"/>
      <c r="O40" s="12"/>
      <c r="P40" s="12"/>
      <c r="Q40" s="12" t="s">
        <v>193</v>
      </c>
      <c r="R40" s="12" t="s">
        <v>194</v>
      </c>
      <c r="S40" s="9">
        <v>1000000</v>
      </c>
    </row>
    <row r="41" spans="1:20" hidden="1">
      <c r="A41" t="s">
        <v>250</v>
      </c>
      <c r="C41">
        <v>2024</v>
      </c>
      <c r="D41" s="2" t="s">
        <v>251</v>
      </c>
      <c r="E41" t="s">
        <v>191</v>
      </c>
      <c r="F41" t="s">
        <v>192</v>
      </c>
      <c r="G41">
        <v>2024</v>
      </c>
      <c r="H41" t="s">
        <v>252</v>
      </c>
      <c r="I41" s="75">
        <f>[15]Outputs!$C$10*((1+Inputs!$C$5)^(G41-'Standardization Results'!B23))</f>
        <v>1540.712673931587</v>
      </c>
      <c r="J41" s="75">
        <f>[15]Outputs!$D$10*((1+Inputs!$C$5)^(G41-'Standardization Results'!B23))</f>
        <v>1280.3735130161419</v>
      </c>
      <c r="K41" s="75">
        <f>[15]Outputs!$E$10*((1+Inputs!$C$5)^(G41-'Standardization Results'!B23))</f>
        <v>1569.5106413918625</v>
      </c>
      <c r="L41" s="75">
        <f>[15]Outputs!$F$10*((1+Inputs!$C$5)^(G41-'Standardization Results'!B23))</f>
        <v>1440.6043072792206</v>
      </c>
      <c r="M41" s="12">
        <f>'[15]Cost Breakdown'!$B$10</f>
        <v>0.32479490165050773</v>
      </c>
      <c r="N41" s="12">
        <f>'[15]Cost Breakdown'!$B$9</f>
        <v>0.25998798896918529</v>
      </c>
      <c r="O41" s="12">
        <f>'[15]Cost Breakdown'!$B$11</f>
        <v>0.36706731153971806</v>
      </c>
      <c r="P41" s="12">
        <f>'[15]Cost Breakdown'!$B$12</f>
        <v>4.8149797840587399E-2</v>
      </c>
      <c r="Q41" s="12" t="s">
        <v>193</v>
      </c>
      <c r="R41" s="12" t="s">
        <v>194</v>
      </c>
      <c r="S41" s="9">
        <v>1000000</v>
      </c>
      <c r="T41" t="s">
        <v>255</v>
      </c>
    </row>
    <row r="42" spans="1:20" hidden="1">
      <c r="A42" t="s">
        <v>250</v>
      </c>
      <c r="C42">
        <v>2024</v>
      </c>
      <c r="D42" s="2" t="s">
        <v>251</v>
      </c>
      <c r="E42" t="s">
        <v>191</v>
      </c>
      <c r="F42" t="s">
        <v>192</v>
      </c>
      <c r="G42">
        <v>2024</v>
      </c>
      <c r="H42" t="s">
        <v>254</v>
      </c>
      <c r="I42" s="75">
        <f>[15]Outputs!$Q$10*((1+Inputs!$C$5)^(Inputs!$C$4-'Standardization Results'!B24))</f>
        <v>1286.1593005235322</v>
      </c>
      <c r="J42" s="75">
        <f>[15]Outputs!$R$10*((1+Inputs!$C$5)^(Inputs!$C$4-'Standardization Results'!B24))</f>
        <v>1276.9021662236783</v>
      </c>
      <c r="K42" s="75">
        <f>[15]Outputs!$S$10*((1+Inputs!$C$5)^(Inputs!$C$4-'Standardization Results'!B24))</f>
        <v>1560.3699391410519</v>
      </c>
      <c r="L42" s="75">
        <f>[15]Outputs!$T$10*((1+Inputs!$C$5)^(Inputs!$C$4-'Standardization Results'!B24))</f>
        <v>1430.6696871838253</v>
      </c>
      <c r="M42" s="12"/>
      <c r="N42" s="12"/>
      <c r="O42" s="12"/>
      <c r="P42" s="12"/>
      <c r="Q42" s="12" t="s">
        <v>193</v>
      </c>
      <c r="R42" s="12" t="s">
        <v>194</v>
      </c>
      <c r="S42" s="9">
        <v>1000000</v>
      </c>
    </row>
    <row r="43" spans="1:20">
      <c r="A43" t="s">
        <v>256</v>
      </c>
      <c r="B43" t="s">
        <v>215</v>
      </c>
      <c r="C43">
        <v>2024</v>
      </c>
      <c r="D43" s="1" t="s">
        <v>257</v>
      </c>
      <c r="E43" t="s">
        <v>191</v>
      </c>
      <c r="F43" t="s">
        <v>192</v>
      </c>
      <c r="G43">
        <v>2050</v>
      </c>
      <c r="H43" t="s">
        <v>4</v>
      </c>
      <c r="I43" s="75">
        <f>[16]Outputs!$K$10*(1+Inputs!$C$5)^(2050-'Standardization Results'!$B$4)</f>
        <v>722.87277193760519</v>
      </c>
      <c r="J43" s="75">
        <f>[16]Outputs!$L$10*(1+Inputs!$C$5)^(2050-'Standardization Results'!$B$4)</f>
        <v>896.60784313426257</v>
      </c>
      <c r="K43" s="75">
        <f>[16]Outputs!$M$10*(1+Inputs!$C$5)^(2050-'Standardization Results'!$B$4)</f>
        <v>962.28229791370779</v>
      </c>
      <c r="L43" s="75">
        <f>[16]Outputs!$N$10*(1+Inputs!$C$5)^(2050-'Standardization Results'!$B$4)</f>
        <v>982.24476259922642</v>
      </c>
      <c r="M43" s="12">
        <f>'[16]MFSP WACC Corrected'!$B$41</f>
        <v>0.50281004346675162</v>
      </c>
      <c r="N43" s="12">
        <f>'[16]MFSP WACC Corrected'!$B$42</f>
        <v>0.27937510269383392</v>
      </c>
      <c r="O43" s="12">
        <f>'[16]MFSP WACC Corrected'!$B$43</f>
        <v>0.14260508139410716</v>
      </c>
      <c r="P43" s="12">
        <f>'[16]MFSP WACC Corrected'!$B$44</f>
        <v>7.520977244530741E-2</v>
      </c>
      <c r="Q43" s="80" t="s">
        <v>199</v>
      </c>
      <c r="R43" s="80" t="s">
        <v>258</v>
      </c>
      <c r="S43" s="9">
        <v>2110761</v>
      </c>
    </row>
    <row r="44" spans="1:20" hidden="1">
      <c r="A44" t="s">
        <v>256</v>
      </c>
      <c r="C44">
        <v>2024</v>
      </c>
      <c r="D44" s="1" t="s">
        <v>257</v>
      </c>
      <c r="E44" t="s">
        <v>191</v>
      </c>
      <c r="F44" t="s">
        <v>192</v>
      </c>
      <c r="G44">
        <v>2024</v>
      </c>
      <c r="H44" t="s">
        <v>4</v>
      </c>
      <c r="I44" s="75">
        <f>[16]Outputs!$C$10</f>
        <v>1703.2941883028598</v>
      </c>
      <c r="J44" s="75">
        <f>[16]Outputs!$D$10</f>
        <v>1744.0992896145076</v>
      </c>
      <c r="K44" s="75">
        <f>[16]Outputs!$E$10</f>
        <v>1362.5439705178474</v>
      </c>
      <c r="L44" s="75">
        <f>[16]Outputs!$F$10</f>
        <v>1404.6599596191554</v>
      </c>
      <c r="M44" s="12">
        <f>'[16]MFSP WACC Corrected'!$B$28</f>
        <v>0.42495600268836786</v>
      </c>
      <c r="N44" s="12">
        <f>'[16]MFSP WACC Corrected'!$B$29</f>
        <v>0.26939973959902058</v>
      </c>
      <c r="O44" s="12">
        <f>'[16]MFSP WACC Corrected'!$B$30</f>
        <v>0.20057853811086782</v>
      </c>
      <c r="P44" s="80">
        <f>'[16]MFSP WACC Corrected'!$B$31</f>
        <v>0.10506571960174352</v>
      </c>
      <c r="Q44" s="80" t="s">
        <v>199</v>
      </c>
      <c r="R44" s="80" t="s">
        <v>258</v>
      </c>
      <c r="S44" s="9">
        <v>2110761</v>
      </c>
      <c r="T44" t="s">
        <v>259</v>
      </c>
    </row>
    <row r="45" spans="1:20" hidden="1">
      <c r="A45" t="s">
        <v>260</v>
      </c>
      <c r="C45">
        <v>2021</v>
      </c>
      <c r="D45" s="1" t="s">
        <v>261</v>
      </c>
      <c r="E45" t="s">
        <v>191</v>
      </c>
      <c r="F45" t="s">
        <v>192</v>
      </c>
      <c r="G45">
        <v>2024</v>
      </c>
      <c r="H45" t="s">
        <v>4</v>
      </c>
      <c r="I45" s="75">
        <f>[17]Outputs!$C$9 * (1+Inputs!$C$5) ^ (G45-C45)</f>
        <v>1330.2315443355733</v>
      </c>
      <c r="J45" s="75">
        <f>[17]Outputs!$D$9 * (1+Inputs!$C$5) ^ (G45-C45)</f>
        <v>1583.3702130006432</v>
      </c>
      <c r="K45" s="75">
        <f>[17]Outputs!$E$9 * (1+Inputs!$C$5) ^ (G45-C45)</f>
        <v>1443.5941589979675</v>
      </c>
      <c r="L45" s="75">
        <f>[17]Outputs!$F$9 * (1+Inputs!$C$5) ^ (G45-C45)</f>
        <v>1169.7854921196551</v>
      </c>
      <c r="M45" s="12"/>
      <c r="N45" s="12"/>
      <c r="O45" s="12"/>
      <c r="P45" s="12"/>
      <c r="Q45" s="12" t="s">
        <v>199</v>
      </c>
      <c r="R45" s="12" t="s">
        <v>258</v>
      </c>
      <c r="S45" s="13" t="s">
        <v>85</v>
      </c>
    </row>
    <row r="46" spans="1:20">
      <c r="A46" t="s">
        <v>260</v>
      </c>
      <c r="B46" t="s">
        <v>215</v>
      </c>
      <c r="C46">
        <v>2021</v>
      </c>
      <c r="D46" s="1" t="s">
        <v>261</v>
      </c>
      <c r="E46" t="s">
        <v>191</v>
      </c>
      <c r="F46" t="s">
        <v>192</v>
      </c>
      <c r="G46">
        <v>2050</v>
      </c>
      <c r="H46" t="s">
        <v>4</v>
      </c>
      <c r="I46" s="75">
        <f>[17]Outputs!$J$9 * (1 +Inputs!$C$5) ^ ('Standardization Results'!F27-'Standardization Results'!B27)</f>
        <v>84.263501033570734</v>
      </c>
      <c r="J46" s="75">
        <f>[17]Outputs!$K$9 * (1 +Inputs!$C$5) ^ ('Standardization Results'!F27-'Standardization Results'!B27)</f>
        <v>400.61384985537984</v>
      </c>
      <c r="K46" s="75">
        <f>[17]Outputs!$L$9 * (1 +Inputs!$C$5) ^ ('Standardization Results'!F27-'Standardization Results'!B27)</f>
        <v>573.62889573497785</v>
      </c>
      <c r="L46" s="75">
        <f>[17]Outputs!$M$9 * (1 +Inputs!$C$5) ^ ('Standardization Results'!F27-'Standardization Results'!B27)</f>
        <v>633.64186886454445</v>
      </c>
      <c r="M46" s="12"/>
      <c r="N46" s="12"/>
      <c r="O46" s="12"/>
      <c r="P46" s="12"/>
      <c r="Q46" s="12" t="s">
        <v>199</v>
      </c>
      <c r="R46" s="12" t="s">
        <v>258</v>
      </c>
      <c r="S46" s="13" t="s">
        <v>85</v>
      </c>
    </row>
    <row r="47" spans="1:20" hidden="1">
      <c r="A47" t="s">
        <v>262</v>
      </c>
      <c r="C47">
        <v>2021</v>
      </c>
      <c r="D47" s="1" t="s">
        <v>263</v>
      </c>
      <c r="E47" t="s">
        <v>191</v>
      </c>
      <c r="F47" t="s">
        <v>192</v>
      </c>
      <c r="G47">
        <v>2030</v>
      </c>
      <c r="H47" t="s">
        <v>4</v>
      </c>
      <c r="I47" s="75">
        <f>[18]Outputs!$C$10</f>
        <v>2544.8085055775191</v>
      </c>
      <c r="J47" s="75">
        <f>[18]Outputs!$D$10</f>
        <v>1510.2027290244303</v>
      </c>
      <c r="K47" s="75"/>
      <c r="L47" s="75"/>
      <c r="M47" s="12"/>
      <c r="N47" s="12"/>
      <c r="O47" s="12"/>
      <c r="P47" s="12"/>
      <c r="Q47" s="12" t="s">
        <v>199</v>
      </c>
      <c r="R47" s="12" t="s">
        <v>258</v>
      </c>
      <c r="S47" s="13" t="s">
        <v>85</v>
      </c>
    </row>
    <row r="48" spans="1:20">
      <c r="I48" s="75"/>
      <c r="J48" s="75"/>
      <c r="K48" s="75"/>
      <c r="L48" s="75"/>
    </row>
    <row r="50" spans="9:12">
      <c r="I50" s="75"/>
      <c r="J50" s="75"/>
      <c r="L50" s="75"/>
    </row>
  </sheetData>
  <autoFilter ref="A1:T47" xr:uid="{9E6A38EC-CB22-4C8C-9093-9377000E9A23}">
    <filterColumn colId="6">
      <filters>
        <filter val="2050"/>
      </filters>
    </filterColumn>
  </autoFilter>
  <conditionalFormatting sqref="B10:B48">
    <cfRule type="cellIs" dxfId="1" priority="1" operator="equal">
      <formula>"no"</formula>
    </cfRule>
    <cfRule type="cellIs" dxfId="0" priority="2" operator="equal">
      <formula>"y"</formula>
    </cfRule>
  </conditionalFormatting>
  <hyperlinks>
    <hyperlink ref="D44" r:id="rId1" xr:uid="{62BA2608-BA23-4C5F-B49D-4E94CC68F7FF}"/>
    <hyperlink ref="D23" r:id="rId2" xr:uid="{5D6B0B0C-0679-4015-8833-3F958A608DD6}"/>
    <hyperlink ref="D41" r:id="rId3" display="https://onlinelibrary.wiley.com/doi/full/10.1002/cite.201700129?saml_referrer" xr:uid="{6125D6F5-5AF5-4B59-B42A-4FA81DDBC022}"/>
    <hyperlink ref="D47" r:id="rId4" xr:uid="{A16DEFFF-EAF7-4CCE-8FE6-40AF3EFC16F9}"/>
    <hyperlink ref="D34" r:id="rId5" location="s0005" xr:uid="{B77943B3-BB3A-4687-A9C3-FB9B0DB92DC6}"/>
    <hyperlink ref="D2" r:id="rId6" xr:uid="{0DDE0FDF-0CCB-4EDF-8B29-D43F041B05CB}"/>
    <hyperlink ref="D45" r:id="rId7" xr:uid="{F1484CC7-9632-4562-A59D-471BD7DC800F}"/>
    <hyperlink ref="D35" r:id="rId8" tooltip="DOI URL" xr:uid="{8D1F417D-1F17-4C39-AF3F-245224E54FF4}"/>
    <hyperlink ref="D9" r:id="rId9" tooltip="Persistent link using digital object identifier" xr:uid="{ACA169EF-CFAF-42CB-B541-3AB64C257CA7}"/>
    <hyperlink ref="D43" r:id="rId10" xr:uid="{B00F9AB4-008E-420A-9DC9-0F67E9ED1061}"/>
    <hyperlink ref="D40" r:id="rId11" display="https://onlinelibrary.wiley.com/doi/full/10.1002/cite.201700129?saml_referrer" xr:uid="{D470E02B-030C-4E90-9F7B-DCB598E9D7F1}"/>
    <hyperlink ref="D42" r:id="rId12" display="https://onlinelibrary.wiley.com/doi/full/10.1002/cite.201700129?saml_referrer" xr:uid="{2D3CC8BB-F4BA-4D9B-8078-35DB13828633}"/>
    <hyperlink ref="D37" r:id="rId13" display="https://onlinelibrary.wiley.com/doi/full/10.1002/cite.201700129?saml_referrer" xr:uid="{97B7B442-1339-4AA6-B23E-F06CD7B99033}"/>
    <hyperlink ref="D38" r:id="rId14" display="https://onlinelibrary.wiley.com/doi/full/10.1002/cite.201700129?saml_referrer" xr:uid="{6C0EB8C6-101A-4D52-A7E9-718694E54793}"/>
    <hyperlink ref="D39" r:id="rId15" display="https://onlinelibrary.wiley.com/doi/full/10.1002/cite.201700129?saml_referrer" xr:uid="{A3FAE53C-704F-4F2B-AA47-BA7981AC2F01}"/>
    <hyperlink ref="D10" r:id="rId16" tooltip="Persistent link using digital object identifier" xr:uid="{89AD1637-7AF6-4A56-8884-79239C773A7F}"/>
    <hyperlink ref="D46" r:id="rId17" xr:uid="{70FDE359-2FFB-4880-B5D5-080423B7100E}"/>
    <hyperlink ref="D36" r:id="rId18" tooltip="DOI URL" xr:uid="{E50C9146-20DC-43C3-8F16-894751383442}"/>
    <hyperlink ref="D5" r:id="rId19" tooltip="Persistent link using digital object identifier" xr:uid="{02E89E53-082E-48D2-B596-2482E093A6E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050F-07F8-FE48-85C0-51954A76FC24}">
  <sheetPr codeName="Sheet6" filterMode="1"/>
  <dimension ref="A1:AH30"/>
  <sheetViews>
    <sheetView workbookViewId="0">
      <pane xSplit="1" topLeftCell="B1" activePane="topRight" state="frozen"/>
      <selection pane="topRight" activeCell="G14" sqref="G14"/>
      <selection activeCell="G14" sqref="G14"/>
    </sheetView>
  </sheetViews>
  <sheetFormatPr defaultColWidth="11.25" defaultRowHeight="15.6"/>
  <cols>
    <col min="1" max="1" width="23.25" customWidth="1"/>
    <col min="2" max="2" width="12.5" customWidth="1"/>
    <col min="5" max="5" width="13.5" bestFit="1" customWidth="1"/>
    <col min="6" max="6" width="13.75" bestFit="1" customWidth="1"/>
    <col min="9" max="9" width="19" bestFit="1" customWidth="1"/>
    <col min="10" max="10" width="18" bestFit="1" customWidth="1"/>
    <col min="11" max="11" width="18.5" bestFit="1" customWidth="1"/>
    <col min="13" max="13" width="20.25" bestFit="1" customWidth="1"/>
    <col min="14" max="14" width="36.75" customWidth="1"/>
    <col min="15" max="16" width="20.25" customWidth="1"/>
    <col min="17" max="17" width="17.5" bestFit="1" customWidth="1"/>
    <col min="18" max="18" width="17.5" customWidth="1"/>
    <col min="19" max="19" width="29" bestFit="1" customWidth="1"/>
    <col min="20" max="20" width="15.25" bestFit="1" customWidth="1"/>
    <col min="21" max="22" width="14" customWidth="1"/>
    <col min="23" max="23" width="26.75" customWidth="1"/>
    <col min="24" max="24" width="15.25" bestFit="1" customWidth="1"/>
    <col min="25" max="26" width="15.25" customWidth="1"/>
    <col min="27" max="27" width="29.75" bestFit="1" customWidth="1"/>
    <col min="28" max="28" width="29.25" customWidth="1"/>
    <col min="29" max="29" width="14.5" bestFit="1" customWidth="1"/>
    <col min="31" max="31" width="20.25" bestFit="1" customWidth="1"/>
    <col min="32" max="32" width="22.5" bestFit="1" customWidth="1"/>
    <col min="33" max="33" width="55.25" bestFit="1" customWidth="1"/>
  </cols>
  <sheetData>
    <row r="1" spans="1:34">
      <c r="I1" t="s">
        <v>264</v>
      </c>
      <c r="M1" t="s">
        <v>265</v>
      </c>
    </row>
    <row r="2" spans="1:34">
      <c r="A2" t="s">
        <v>4</v>
      </c>
      <c r="B2" t="s">
        <v>266</v>
      </c>
      <c r="C2" t="s">
        <v>6</v>
      </c>
      <c r="D2" t="s">
        <v>173</v>
      </c>
      <c r="E2" t="s">
        <v>174</v>
      </c>
      <c r="F2" t="s">
        <v>175</v>
      </c>
      <c r="G2" t="s">
        <v>267</v>
      </c>
      <c r="H2" t="s">
        <v>268</v>
      </c>
      <c r="I2" t="s">
        <v>269</v>
      </c>
      <c r="J2" t="s">
        <v>270</v>
      </c>
      <c r="K2" t="s">
        <v>271</v>
      </c>
      <c r="L2" t="s">
        <v>8</v>
      </c>
      <c r="M2" t="s">
        <v>272</v>
      </c>
      <c r="N2" t="s">
        <v>273</v>
      </c>
      <c r="O2" t="s">
        <v>274</v>
      </c>
      <c r="P2" t="s">
        <v>275</v>
      </c>
      <c r="Q2" t="s">
        <v>276</v>
      </c>
      <c r="R2" t="s">
        <v>277</v>
      </c>
      <c r="S2" t="s">
        <v>278</v>
      </c>
      <c r="T2" t="s">
        <v>279</v>
      </c>
      <c r="U2" t="s">
        <v>280</v>
      </c>
      <c r="V2" t="s">
        <v>281</v>
      </c>
      <c r="W2" t="s">
        <v>282</v>
      </c>
      <c r="X2" t="s">
        <v>283</v>
      </c>
      <c r="Y2" t="s">
        <v>284</v>
      </c>
      <c r="Z2" t="s">
        <v>285</v>
      </c>
      <c r="AA2" t="s">
        <v>286</v>
      </c>
      <c r="AB2" t="s">
        <v>287</v>
      </c>
      <c r="AC2" t="s">
        <v>288</v>
      </c>
      <c r="AD2" t="s">
        <v>8</v>
      </c>
      <c r="AE2" t="s">
        <v>289</v>
      </c>
      <c r="AF2" t="s">
        <v>290</v>
      </c>
      <c r="AG2" t="s">
        <v>291</v>
      </c>
      <c r="AH2" t="s">
        <v>292</v>
      </c>
    </row>
    <row r="3" spans="1:34">
      <c r="A3" t="s">
        <v>256</v>
      </c>
      <c r="B3" t="s">
        <v>293</v>
      </c>
      <c r="C3">
        <v>2024</v>
      </c>
      <c r="D3" s="1" t="s">
        <v>257</v>
      </c>
      <c r="E3" t="s">
        <v>191</v>
      </c>
      <c r="F3" t="s">
        <v>192</v>
      </c>
      <c r="G3" t="s">
        <v>294</v>
      </c>
      <c r="H3" t="s">
        <v>293</v>
      </c>
      <c r="I3" t="s">
        <v>295</v>
      </c>
      <c r="J3" t="s">
        <v>296</v>
      </c>
      <c r="K3" t="s">
        <v>297</v>
      </c>
      <c r="L3" t="s">
        <v>298</v>
      </c>
      <c r="M3" s="4">
        <v>0.05</v>
      </c>
      <c r="N3" s="13" t="s">
        <v>299</v>
      </c>
      <c r="O3" s="13" t="s">
        <v>300</v>
      </c>
      <c r="P3" s="13" t="s">
        <v>293</v>
      </c>
      <c r="Q3" t="s">
        <v>301</v>
      </c>
      <c r="R3" t="s">
        <v>302</v>
      </c>
      <c r="S3" t="s">
        <v>303</v>
      </c>
      <c r="T3" t="s">
        <v>85</v>
      </c>
      <c r="U3" t="s">
        <v>304</v>
      </c>
      <c r="V3" t="s">
        <v>293</v>
      </c>
      <c r="W3" t="s">
        <v>305</v>
      </c>
      <c r="X3" s="1" t="s">
        <v>306</v>
      </c>
      <c r="Y3" s="87" t="s">
        <v>293</v>
      </c>
      <c r="Z3" s="87">
        <v>3.6</v>
      </c>
      <c r="AA3">
        <v>11</v>
      </c>
      <c r="AB3">
        <v>0.81</v>
      </c>
      <c r="AC3" s="6">
        <v>1018750</v>
      </c>
      <c r="AD3" t="s">
        <v>307</v>
      </c>
      <c r="AE3">
        <v>30</v>
      </c>
      <c r="AF3" t="s">
        <v>308</v>
      </c>
      <c r="AH3" t="s">
        <v>309</v>
      </c>
    </row>
    <row r="4" spans="1:34" hidden="1">
      <c r="A4" t="s">
        <v>227</v>
      </c>
      <c r="B4" t="s">
        <v>293</v>
      </c>
      <c r="C4">
        <v>2024</v>
      </c>
      <c r="D4" s="2" t="s">
        <v>228</v>
      </c>
      <c r="E4" t="s">
        <v>191</v>
      </c>
      <c r="F4" t="s">
        <v>192</v>
      </c>
      <c r="G4" t="s">
        <v>310</v>
      </c>
      <c r="H4" t="s">
        <v>293</v>
      </c>
      <c r="I4" t="s">
        <v>311</v>
      </c>
      <c r="J4" t="s">
        <v>312</v>
      </c>
      <c r="K4" t="s">
        <v>313</v>
      </c>
      <c r="L4" t="s">
        <v>314</v>
      </c>
      <c r="M4" s="4">
        <v>0.15</v>
      </c>
      <c r="N4" s="13" t="s">
        <v>315</v>
      </c>
      <c r="O4" s="13" t="s">
        <v>316</v>
      </c>
      <c r="P4" s="13"/>
      <c r="Q4" t="s">
        <v>317</v>
      </c>
      <c r="R4" t="s">
        <v>293</v>
      </c>
      <c r="S4" t="s">
        <v>85</v>
      </c>
      <c r="T4" t="s">
        <v>85</v>
      </c>
      <c r="U4" t="s">
        <v>318</v>
      </c>
      <c r="W4" t="s">
        <v>319</v>
      </c>
      <c r="X4" s="1" t="s">
        <v>306</v>
      </c>
      <c r="Y4" s="87"/>
      <c r="Z4" s="87"/>
      <c r="AA4" t="s">
        <v>85</v>
      </c>
      <c r="AB4" t="s">
        <v>85</v>
      </c>
      <c r="AC4" s="9">
        <v>10000</v>
      </c>
      <c r="AD4" t="s">
        <v>307</v>
      </c>
      <c r="AE4">
        <v>20</v>
      </c>
      <c r="AF4" t="s">
        <v>320</v>
      </c>
      <c r="AH4" t="s">
        <v>321</v>
      </c>
    </row>
    <row r="5" spans="1:34" s="123" customFormat="1">
      <c r="A5" s="123" t="s">
        <v>225</v>
      </c>
      <c r="B5" s="123" t="s">
        <v>293</v>
      </c>
      <c r="C5" s="123">
        <v>2023</v>
      </c>
      <c r="D5" s="124" t="s">
        <v>322</v>
      </c>
      <c r="E5" s="123" t="s">
        <v>191</v>
      </c>
      <c r="F5" s="123" t="s">
        <v>192</v>
      </c>
      <c r="G5" s="123" t="s">
        <v>323</v>
      </c>
      <c r="H5" s="123" t="s">
        <v>293</v>
      </c>
      <c r="I5" s="123" t="s">
        <v>324</v>
      </c>
      <c r="J5" s="123" t="s">
        <v>325</v>
      </c>
      <c r="K5" s="123" t="s">
        <v>326</v>
      </c>
      <c r="L5" s="123" t="s">
        <v>314</v>
      </c>
      <c r="M5" s="125">
        <v>0.06</v>
      </c>
      <c r="N5" s="126" t="s">
        <v>327</v>
      </c>
      <c r="O5" s="126" t="s">
        <v>328</v>
      </c>
      <c r="P5" s="126"/>
      <c r="Q5" s="123" t="s">
        <v>329</v>
      </c>
      <c r="R5" s="123" t="s">
        <v>302</v>
      </c>
      <c r="S5" s="123" t="s">
        <v>330</v>
      </c>
      <c r="T5" s="123" t="s">
        <v>85</v>
      </c>
      <c r="U5" s="123" t="s">
        <v>318</v>
      </c>
      <c r="W5" s="123" t="s">
        <v>331</v>
      </c>
      <c r="X5" s="124" t="s">
        <v>306</v>
      </c>
      <c r="Y5" s="127"/>
      <c r="Z5" s="123" t="s">
        <v>332</v>
      </c>
      <c r="AA5" s="123" t="s">
        <v>85</v>
      </c>
      <c r="AB5" s="123" t="s">
        <v>333</v>
      </c>
      <c r="AC5" s="128" t="s">
        <v>85</v>
      </c>
      <c r="AE5" s="123">
        <v>25</v>
      </c>
      <c r="AH5" s="123" t="s">
        <v>309</v>
      </c>
    </row>
    <row r="6" spans="1:34">
      <c r="A6" t="s">
        <v>250</v>
      </c>
      <c r="B6" t="s">
        <v>293</v>
      </c>
      <c r="C6">
        <v>2024</v>
      </c>
      <c r="D6" s="1" t="s">
        <v>334</v>
      </c>
      <c r="E6" t="s">
        <v>191</v>
      </c>
      <c r="F6" t="s">
        <v>192</v>
      </c>
      <c r="G6" t="s">
        <v>335</v>
      </c>
      <c r="H6" t="s">
        <v>302</v>
      </c>
      <c r="I6" t="s">
        <v>311</v>
      </c>
      <c r="J6" t="s">
        <v>336</v>
      </c>
      <c r="K6" t="s">
        <v>337</v>
      </c>
      <c r="L6" t="s">
        <v>314</v>
      </c>
      <c r="M6" s="4">
        <v>0.04</v>
      </c>
      <c r="N6" s="13" t="s">
        <v>338</v>
      </c>
      <c r="O6" s="13" t="s">
        <v>316</v>
      </c>
      <c r="P6" s="13" t="s">
        <v>293</v>
      </c>
      <c r="Q6" t="s">
        <v>339</v>
      </c>
      <c r="R6" t="s">
        <v>302</v>
      </c>
      <c r="S6" t="s">
        <v>340</v>
      </c>
      <c r="T6" t="s">
        <v>85</v>
      </c>
      <c r="U6" t="s">
        <v>341</v>
      </c>
      <c r="W6" t="s">
        <v>342</v>
      </c>
      <c r="X6" t="s">
        <v>343</v>
      </c>
      <c r="Y6" s="5"/>
      <c r="AA6">
        <v>20</v>
      </c>
      <c r="AB6" t="s">
        <v>85</v>
      </c>
      <c r="AC6" s="6" t="s">
        <v>85</v>
      </c>
      <c r="AE6" t="s">
        <v>85</v>
      </c>
      <c r="AH6" t="s">
        <v>309</v>
      </c>
    </row>
    <row r="7" spans="1:34" hidden="1">
      <c r="A7" t="s">
        <v>205</v>
      </c>
      <c r="B7" t="s">
        <v>293</v>
      </c>
      <c r="C7">
        <v>2015</v>
      </c>
      <c r="D7" s="5" t="s">
        <v>210</v>
      </c>
      <c r="E7" t="s">
        <v>207</v>
      </c>
      <c r="F7" t="s">
        <v>192</v>
      </c>
      <c r="G7">
        <v>2015</v>
      </c>
      <c r="H7" t="s">
        <v>302</v>
      </c>
      <c r="I7" t="s">
        <v>311</v>
      </c>
      <c r="J7" t="s">
        <v>344</v>
      </c>
      <c r="K7" t="s">
        <v>85</v>
      </c>
      <c r="L7" t="s">
        <v>314</v>
      </c>
      <c r="M7" s="4">
        <v>0.06</v>
      </c>
      <c r="N7" s="13">
        <v>60</v>
      </c>
      <c r="O7" s="13" t="s">
        <v>345</v>
      </c>
      <c r="P7" s="13" t="s">
        <v>302</v>
      </c>
      <c r="Q7" t="s">
        <v>346</v>
      </c>
      <c r="R7" t="s">
        <v>302</v>
      </c>
      <c r="S7" t="s">
        <v>347</v>
      </c>
      <c r="T7" t="s">
        <v>85</v>
      </c>
      <c r="U7" t="s">
        <v>347</v>
      </c>
      <c r="V7" t="s">
        <v>302</v>
      </c>
      <c r="W7">
        <v>100</v>
      </c>
      <c r="X7" t="s">
        <v>348</v>
      </c>
      <c r="Y7" s="5" t="s">
        <v>302</v>
      </c>
      <c r="Z7" s="5">
        <v>6</v>
      </c>
      <c r="AA7">
        <v>15</v>
      </c>
      <c r="AB7" t="s">
        <v>85</v>
      </c>
      <c r="AC7" s="9">
        <v>58035000</v>
      </c>
      <c r="AD7" t="s">
        <v>307</v>
      </c>
      <c r="AE7">
        <v>25</v>
      </c>
      <c r="AH7" t="s">
        <v>309</v>
      </c>
    </row>
    <row r="8" spans="1:34" hidden="1">
      <c r="A8" t="s">
        <v>262</v>
      </c>
      <c r="B8" t="s">
        <v>293</v>
      </c>
      <c r="C8">
        <v>2021</v>
      </c>
      <c r="D8" s="1" t="s">
        <v>263</v>
      </c>
      <c r="E8" t="s">
        <v>191</v>
      </c>
      <c r="F8" t="s">
        <v>192</v>
      </c>
      <c r="G8" t="s">
        <v>349</v>
      </c>
      <c r="H8" t="s">
        <v>293</v>
      </c>
      <c r="I8" t="s">
        <v>311</v>
      </c>
      <c r="J8" t="s">
        <v>350</v>
      </c>
      <c r="K8" t="s">
        <v>351</v>
      </c>
      <c r="L8" t="s">
        <v>314</v>
      </c>
      <c r="M8" s="4">
        <v>0.06</v>
      </c>
      <c r="N8" s="13" t="s">
        <v>352</v>
      </c>
      <c r="O8" s="1" t="s">
        <v>353</v>
      </c>
      <c r="P8" s="1"/>
      <c r="Q8" t="s">
        <v>301</v>
      </c>
      <c r="R8" t="s">
        <v>302</v>
      </c>
      <c r="S8">
        <v>920</v>
      </c>
      <c r="T8" t="s">
        <v>85</v>
      </c>
      <c r="U8" t="s">
        <v>354</v>
      </c>
      <c r="W8" t="s">
        <v>355</v>
      </c>
      <c r="X8" t="s">
        <v>356</v>
      </c>
      <c r="Y8" s="5"/>
      <c r="Z8" s="5"/>
      <c r="AA8">
        <v>27</v>
      </c>
      <c r="AB8" t="s">
        <v>85</v>
      </c>
      <c r="AC8" s="9">
        <v>58035000</v>
      </c>
      <c r="AD8" t="s">
        <v>307</v>
      </c>
      <c r="AE8">
        <v>20</v>
      </c>
      <c r="AF8" t="s">
        <v>357</v>
      </c>
      <c r="AH8" t="s">
        <v>358</v>
      </c>
    </row>
    <row r="9" spans="1:34">
      <c r="A9" t="s">
        <v>229</v>
      </c>
      <c r="B9" t="s">
        <v>293</v>
      </c>
      <c r="C9">
        <v>2023</v>
      </c>
      <c r="D9" t="s">
        <v>230</v>
      </c>
      <c r="E9" t="s">
        <v>207</v>
      </c>
      <c r="F9" t="s">
        <v>192</v>
      </c>
      <c r="G9" t="s">
        <v>323</v>
      </c>
      <c r="H9" t="s">
        <v>293</v>
      </c>
      <c r="I9" t="s">
        <v>311</v>
      </c>
      <c r="J9" t="s">
        <v>359</v>
      </c>
      <c r="K9" t="s">
        <v>360</v>
      </c>
      <c r="L9" t="s">
        <v>314</v>
      </c>
      <c r="M9" s="4">
        <v>6.5000000000000002E-2</v>
      </c>
      <c r="N9" s="13">
        <v>50</v>
      </c>
      <c r="O9" s="13" t="s">
        <v>345</v>
      </c>
      <c r="P9" s="13" t="s">
        <v>302</v>
      </c>
      <c r="Q9" t="s">
        <v>361</v>
      </c>
      <c r="R9" t="s">
        <v>302</v>
      </c>
      <c r="S9" t="s">
        <v>347</v>
      </c>
      <c r="T9" t="s">
        <v>85</v>
      </c>
      <c r="U9" t="s">
        <v>347</v>
      </c>
      <c r="W9" t="s">
        <v>362</v>
      </c>
      <c r="X9" t="s">
        <v>363</v>
      </c>
      <c r="Y9" s="5"/>
      <c r="Z9" s="5">
        <v>3</v>
      </c>
      <c r="AA9">
        <v>17.600000000000001</v>
      </c>
      <c r="AB9" t="s">
        <v>85</v>
      </c>
      <c r="AC9" s="7">
        <v>60000</v>
      </c>
      <c r="AD9" t="s">
        <v>307</v>
      </c>
      <c r="AE9">
        <v>25</v>
      </c>
      <c r="AF9" t="s">
        <v>364</v>
      </c>
      <c r="AH9" t="s">
        <v>309</v>
      </c>
    </row>
    <row r="10" spans="1:34" hidden="1">
      <c r="A10" t="s">
        <v>205</v>
      </c>
      <c r="B10" t="s">
        <v>293</v>
      </c>
      <c r="C10">
        <v>2020</v>
      </c>
      <c r="D10" t="s">
        <v>206</v>
      </c>
      <c r="E10" t="s">
        <v>207</v>
      </c>
      <c r="F10" t="s">
        <v>192</v>
      </c>
      <c r="G10">
        <v>2050</v>
      </c>
      <c r="H10" t="s">
        <v>302</v>
      </c>
      <c r="I10" t="s">
        <v>311</v>
      </c>
      <c r="J10" t="s">
        <v>85</v>
      </c>
      <c r="K10" t="s">
        <v>365</v>
      </c>
      <c r="L10" t="s">
        <v>314</v>
      </c>
      <c r="M10" s="77">
        <v>0.08</v>
      </c>
      <c r="N10" s="78">
        <v>40</v>
      </c>
      <c r="O10" s="78" t="s">
        <v>345</v>
      </c>
      <c r="P10" s="13" t="s">
        <v>302</v>
      </c>
      <c r="S10" t="s">
        <v>347</v>
      </c>
      <c r="T10" t="s">
        <v>85</v>
      </c>
      <c r="U10" t="s">
        <v>347</v>
      </c>
      <c r="W10">
        <v>100</v>
      </c>
      <c r="X10" t="s">
        <v>348</v>
      </c>
      <c r="Y10" s="5"/>
      <c r="Z10" s="5">
        <v>6</v>
      </c>
      <c r="AA10">
        <v>19.7</v>
      </c>
      <c r="AB10" t="s">
        <v>85</v>
      </c>
      <c r="AC10" s="79">
        <v>58035000</v>
      </c>
      <c r="AD10" t="s">
        <v>307</v>
      </c>
      <c r="AE10">
        <v>25</v>
      </c>
      <c r="AF10" t="s">
        <v>366</v>
      </c>
      <c r="AH10" t="s">
        <v>309</v>
      </c>
    </row>
    <row r="11" spans="1:34" hidden="1">
      <c r="A11" t="s">
        <v>242</v>
      </c>
      <c r="B11" t="s">
        <v>293</v>
      </c>
      <c r="C11">
        <v>2023</v>
      </c>
      <c r="D11" s="1" t="s">
        <v>243</v>
      </c>
      <c r="E11" t="s">
        <v>191</v>
      </c>
      <c r="F11" t="s">
        <v>192</v>
      </c>
      <c r="G11">
        <v>2023</v>
      </c>
      <c r="H11" t="s">
        <v>302</v>
      </c>
      <c r="I11" t="s">
        <v>311</v>
      </c>
      <c r="J11">
        <v>6.06</v>
      </c>
      <c r="K11" t="s">
        <v>85</v>
      </c>
      <c r="L11" t="s">
        <v>314</v>
      </c>
      <c r="M11" s="4">
        <v>0.08</v>
      </c>
      <c r="N11" s="13" t="s">
        <v>367</v>
      </c>
      <c r="O11" s="13" t="s">
        <v>368</v>
      </c>
      <c r="P11" s="13"/>
      <c r="Q11" t="s">
        <v>369</v>
      </c>
      <c r="R11" t="s">
        <v>302</v>
      </c>
      <c r="S11" t="s">
        <v>370</v>
      </c>
      <c r="T11">
        <v>3.66</v>
      </c>
      <c r="U11" t="s">
        <v>371</v>
      </c>
      <c r="W11">
        <v>360</v>
      </c>
      <c r="X11" s="1" t="s">
        <v>306</v>
      </c>
      <c r="Y11" s="87"/>
      <c r="Z11" s="87">
        <v>5.28</v>
      </c>
      <c r="AA11">
        <v>21.43</v>
      </c>
      <c r="AB11" t="s">
        <v>85</v>
      </c>
      <c r="AC11" s="7">
        <v>21900000</v>
      </c>
      <c r="AD11" t="s">
        <v>307</v>
      </c>
      <c r="AE11" s="10">
        <v>20</v>
      </c>
      <c r="AF11" s="10" t="s">
        <v>364</v>
      </c>
      <c r="AG11" t="s">
        <v>372</v>
      </c>
      <c r="AH11" t="s">
        <v>309</v>
      </c>
    </row>
    <row r="12" spans="1:34" s="123" customFormat="1">
      <c r="A12" s="123" t="s">
        <v>225</v>
      </c>
      <c r="B12" s="123" t="s">
        <v>302</v>
      </c>
      <c r="C12" s="123">
        <v>2023</v>
      </c>
      <c r="D12" s="129" t="s">
        <v>373</v>
      </c>
      <c r="E12" s="123" t="s">
        <v>191</v>
      </c>
      <c r="F12" s="123" t="s">
        <v>192</v>
      </c>
      <c r="G12" s="123" t="s">
        <v>323</v>
      </c>
      <c r="H12" s="123" t="s">
        <v>293</v>
      </c>
      <c r="I12" s="123" t="s">
        <v>295</v>
      </c>
      <c r="J12" s="123" t="s">
        <v>374</v>
      </c>
      <c r="K12" s="123" t="s">
        <v>375</v>
      </c>
      <c r="L12" s="123" t="s">
        <v>298</v>
      </c>
      <c r="M12" s="130">
        <v>0.06</v>
      </c>
      <c r="N12" s="131">
        <v>40</v>
      </c>
      <c r="O12" s="131" t="s">
        <v>328</v>
      </c>
      <c r="P12" s="131"/>
      <c r="Q12" s="123" t="s">
        <v>329</v>
      </c>
      <c r="R12" s="123" t="s">
        <v>302</v>
      </c>
      <c r="S12" s="123" t="s">
        <v>330</v>
      </c>
      <c r="T12" s="123" t="s">
        <v>85</v>
      </c>
      <c r="U12" s="123" t="s">
        <v>318</v>
      </c>
      <c r="W12" s="123" t="s">
        <v>319</v>
      </c>
      <c r="X12" s="132" t="s">
        <v>306</v>
      </c>
      <c r="Y12" s="133"/>
      <c r="Z12" s="123" t="s">
        <v>332</v>
      </c>
      <c r="AA12" s="123">
        <v>15</v>
      </c>
      <c r="AB12" s="123" t="s">
        <v>85</v>
      </c>
      <c r="AC12" s="123" t="s">
        <v>85</v>
      </c>
      <c r="AE12" s="123">
        <v>15</v>
      </c>
      <c r="AF12" s="123" t="s">
        <v>376</v>
      </c>
      <c r="AH12" s="123" t="s">
        <v>377</v>
      </c>
    </row>
    <row r="13" spans="1:34" hidden="1">
      <c r="A13" t="s">
        <v>239</v>
      </c>
      <c r="B13" t="s">
        <v>293</v>
      </c>
      <c r="C13">
        <v>2022</v>
      </c>
      <c r="D13" t="s">
        <v>240</v>
      </c>
      <c r="E13" t="s">
        <v>191</v>
      </c>
      <c r="F13" t="s">
        <v>192</v>
      </c>
      <c r="G13">
        <v>2022</v>
      </c>
      <c r="H13" t="s">
        <v>302</v>
      </c>
      <c r="I13" t="s">
        <v>311</v>
      </c>
      <c r="J13" t="s">
        <v>378</v>
      </c>
      <c r="K13" t="s">
        <v>85</v>
      </c>
      <c r="L13" t="s">
        <v>314</v>
      </c>
      <c r="M13" s="4">
        <v>0.05</v>
      </c>
      <c r="N13" s="13">
        <v>40</v>
      </c>
      <c r="O13" s="13" t="s">
        <v>328</v>
      </c>
      <c r="P13" s="13"/>
      <c r="Q13" t="s">
        <v>301</v>
      </c>
      <c r="R13" t="s">
        <v>302</v>
      </c>
      <c r="S13" t="s">
        <v>330</v>
      </c>
      <c r="T13" t="s">
        <v>85</v>
      </c>
      <c r="U13" s="13" t="s">
        <v>332</v>
      </c>
      <c r="V13" s="13"/>
      <c r="W13">
        <v>70</v>
      </c>
      <c r="X13" t="s">
        <v>348</v>
      </c>
      <c r="Y13" s="5"/>
      <c r="Z13" s="88">
        <v>3.8</v>
      </c>
      <c r="AA13" t="s">
        <v>85</v>
      </c>
      <c r="AB13" t="s">
        <v>85</v>
      </c>
      <c r="AC13" s="7">
        <v>138057600</v>
      </c>
      <c r="AD13" t="s">
        <v>307</v>
      </c>
      <c r="AE13">
        <v>20</v>
      </c>
      <c r="AF13" t="s">
        <v>379</v>
      </c>
      <c r="AH13" t="s">
        <v>309</v>
      </c>
    </row>
    <row r="14" spans="1:34" hidden="1">
      <c r="A14" t="s">
        <v>189</v>
      </c>
      <c r="B14" t="s">
        <v>293</v>
      </c>
      <c r="C14">
        <v>2020</v>
      </c>
      <c r="D14" s="2" t="s">
        <v>190</v>
      </c>
      <c r="E14" t="s">
        <v>191</v>
      </c>
      <c r="F14" t="s">
        <v>192</v>
      </c>
      <c r="G14">
        <v>2020</v>
      </c>
      <c r="H14" t="s">
        <v>302</v>
      </c>
      <c r="I14" t="s">
        <v>311</v>
      </c>
      <c r="J14">
        <v>2.0099999999999998</v>
      </c>
      <c r="K14" t="s">
        <v>85</v>
      </c>
      <c r="L14" t="s">
        <v>314</v>
      </c>
      <c r="M14" s="4">
        <v>0.05</v>
      </c>
      <c r="N14" s="13">
        <v>60</v>
      </c>
      <c r="O14" s="13" t="s">
        <v>380</v>
      </c>
      <c r="P14" s="13" t="s">
        <v>302</v>
      </c>
      <c r="Q14" t="s">
        <v>329</v>
      </c>
      <c r="R14" t="s">
        <v>302</v>
      </c>
      <c r="S14" t="s">
        <v>381</v>
      </c>
      <c r="T14" t="s">
        <v>85</v>
      </c>
      <c r="U14" t="s">
        <v>382</v>
      </c>
      <c r="W14">
        <v>100</v>
      </c>
      <c r="X14" t="s">
        <v>348</v>
      </c>
      <c r="Y14" s="5"/>
      <c r="Z14" s="87">
        <v>3.1</v>
      </c>
      <c r="AA14">
        <v>4.32</v>
      </c>
      <c r="AC14" s="7">
        <v>88355253.120000005</v>
      </c>
      <c r="AD14" t="s">
        <v>307</v>
      </c>
      <c r="AE14">
        <v>30</v>
      </c>
      <c r="AF14" t="s">
        <v>383</v>
      </c>
      <c r="AH14" t="s">
        <v>309</v>
      </c>
    </row>
    <row r="15" spans="1:34">
      <c r="A15" t="s">
        <v>260</v>
      </c>
      <c r="B15" t="s">
        <v>293</v>
      </c>
      <c r="C15">
        <v>2021</v>
      </c>
      <c r="D15" s="1" t="s">
        <v>261</v>
      </c>
      <c r="E15" t="s">
        <v>191</v>
      </c>
      <c r="F15" t="s">
        <v>192</v>
      </c>
      <c r="G15" t="s">
        <v>349</v>
      </c>
      <c r="H15" t="s">
        <v>293</v>
      </c>
      <c r="I15" t="s">
        <v>311</v>
      </c>
      <c r="J15" t="s">
        <v>384</v>
      </c>
      <c r="K15" t="s">
        <v>385</v>
      </c>
      <c r="L15" t="s">
        <v>314</v>
      </c>
      <c r="M15" s="4">
        <v>0.08</v>
      </c>
      <c r="N15" s="13" t="s">
        <v>386</v>
      </c>
      <c r="O15" s="13"/>
      <c r="P15" s="13"/>
      <c r="Q15" t="s">
        <v>329</v>
      </c>
      <c r="S15" t="s">
        <v>387</v>
      </c>
      <c r="T15" t="s">
        <v>85</v>
      </c>
      <c r="W15" t="s">
        <v>319</v>
      </c>
      <c r="X15" s="1" t="s">
        <v>306</v>
      </c>
      <c r="Y15" s="87"/>
      <c r="Z15" s="87"/>
      <c r="AA15" t="s">
        <v>85</v>
      </c>
      <c r="AB15">
        <v>0.55000000000000004</v>
      </c>
      <c r="AC15" t="s">
        <v>85</v>
      </c>
      <c r="AE15">
        <v>25</v>
      </c>
      <c r="AF15" t="s">
        <v>388</v>
      </c>
      <c r="AH15" t="s">
        <v>389</v>
      </c>
    </row>
    <row r="16" spans="1:34" hidden="1">
      <c r="A16" t="s">
        <v>203</v>
      </c>
      <c r="B16" t="s">
        <v>293</v>
      </c>
      <c r="C16">
        <v>2018</v>
      </c>
      <c r="D16" s="2" t="s">
        <v>204</v>
      </c>
      <c r="E16" t="s">
        <v>191</v>
      </c>
      <c r="F16" t="s">
        <v>192</v>
      </c>
      <c r="G16">
        <v>2018</v>
      </c>
      <c r="H16" t="s">
        <v>302</v>
      </c>
      <c r="I16" t="s">
        <v>311</v>
      </c>
      <c r="J16" t="s">
        <v>390</v>
      </c>
      <c r="K16" t="s">
        <v>85</v>
      </c>
      <c r="L16" t="s">
        <v>314</v>
      </c>
      <c r="M16" s="4" t="s">
        <v>85</v>
      </c>
      <c r="N16" s="13">
        <v>100</v>
      </c>
      <c r="O16" s="13"/>
      <c r="P16" s="13"/>
      <c r="Q16" t="s">
        <v>329</v>
      </c>
      <c r="T16" t="s">
        <v>85</v>
      </c>
      <c r="W16" t="s">
        <v>85</v>
      </c>
      <c r="X16" s="1" t="s">
        <v>306</v>
      </c>
      <c r="Y16" s="87"/>
      <c r="Z16" s="87"/>
      <c r="AA16" t="s">
        <v>85</v>
      </c>
      <c r="AB16" t="s">
        <v>85</v>
      </c>
      <c r="AC16" t="s">
        <v>85</v>
      </c>
      <c r="AE16" t="s">
        <v>85</v>
      </c>
      <c r="AH16" t="s">
        <v>389</v>
      </c>
    </row>
    <row r="17" spans="1:34">
      <c r="A17" t="s">
        <v>201</v>
      </c>
      <c r="B17" t="s">
        <v>293</v>
      </c>
      <c r="C17">
        <v>2024</v>
      </c>
      <c r="E17" t="s">
        <v>191</v>
      </c>
      <c r="F17" t="s">
        <v>192</v>
      </c>
      <c r="G17" t="s">
        <v>310</v>
      </c>
      <c r="H17" t="s">
        <v>293</v>
      </c>
      <c r="I17" t="s">
        <v>295</v>
      </c>
      <c r="L17" t="s">
        <v>298</v>
      </c>
      <c r="M17" s="12"/>
      <c r="N17">
        <v>30</v>
      </c>
      <c r="Q17" t="s">
        <v>339</v>
      </c>
      <c r="S17" t="s">
        <v>391</v>
      </c>
      <c r="T17" t="s">
        <v>85</v>
      </c>
      <c r="W17" t="s">
        <v>392</v>
      </c>
      <c r="Y17" s="5"/>
      <c r="Z17" s="5"/>
      <c r="AA17" t="s">
        <v>85</v>
      </c>
      <c r="AB17" t="s">
        <v>85</v>
      </c>
      <c r="AC17" t="s">
        <v>85</v>
      </c>
      <c r="AF17" t="s">
        <v>393</v>
      </c>
      <c r="AG17" s="8" t="s">
        <v>394</v>
      </c>
      <c r="AH17" t="s">
        <v>395</v>
      </c>
    </row>
    <row r="18" spans="1:34" ht="19.899999999999999" hidden="1" customHeight="1">
      <c r="A18" t="s">
        <v>245</v>
      </c>
      <c r="B18" t="s">
        <v>293</v>
      </c>
      <c r="C18">
        <v>2024</v>
      </c>
      <c r="D18" s="1" t="s">
        <v>246</v>
      </c>
      <c r="E18" t="s">
        <v>191</v>
      </c>
      <c r="F18" t="s">
        <v>198</v>
      </c>
      <c r="G18">
        <v>2024</v>
      </c>
      <c r="H18" t="s">
        <v>302</v>
      </c>
      <c r="I18" t="s">
        <v>311</v>
      </c>
      <c r="J18" t="s">
        <v>396</v>
      </c>
      <c r="K18" t="s">
        <v>85</v>
      </c>
      <c r="L18" t="s">
        <v>314</v>
      </c>
      <c r="M18" s="12"/>
      <c r="N18">
        <v>195</v>
      </c>
      <c r="Q18" t="s">
        <v>329</v>
      </c>
      <c r="S18">
        <v>1100</v>
      </c>
      <c r="T18" t="s">
        <v>85</v>
      </c>
      <c r="W18" t="s">
        <v>397</v>
      </c>
      <c r="X18" s="1" t="s">
        <v>398</v>
      </c>
      <c r="Y18" s="87"/>
      <c r="Z18" s="87">
        <v>3.4</v>
      </c>
      <c r="AA18">
        <v>45</v>
      </c>
      <c r="AB18">
        <v>1.5</v>
      </c>
      <c r="AC18" s="7">
        <v>80000</v>
      </c>
      <c r="AD18" t="s">
        <v>307</v>
      </c>
      <c r="AE18">
        <v>25</v>
      </c>
      <c r="AF18" t="s">
        <v>364</v>
      </c>
      <c r="AG18" s="11" t="s">
        <v>399</v>
      </c>
    </row>
    <row r="19" spans="1:34" hidden="1">
      <c r="A19" t="s">
        <v>400</v>
      </c>
      <c r="B19" t="s">
        <v>293</v>
      </c>
      <c r="C19">
        <v>2024</v>
      </c>
      <c r="D19" t="s">
        <v>197</v>
      </c>
      <c r="E19" t="s">
        <v>191</v>
      </c>
      <c r="F19" t="s">
        <v>198</v>
      </c>
      <c r="G19" t="s">
        <v>310</v>
      </c>
      <c r="H19" t="s">
        <v>293</v>
      </c>
      <c r="I19" t="s">
        <v>311</v>
      </c>
      <c r="M19" s="12"/>
      <c r="Z19">
        <v>3.24</v>
      </c>
      <c r="AH19" t="s">
        <v>309</v>
      </c>
    </row>
    <row r="20" spans="1:34">
      <c r="A20" t="s">
        <v>212</v>
      </c>
      <c r="B20" t="s">
        <v>293</v>
      </c>
      <c r="C20">
        <v>2024</v>
      </c>
      <c r="D20" s="1" t="s">
        <v>213</v>
      </c>
      <c r="E20" t="s">
        <v>191</v>
      </c>
      <c r="F20" t="s">
        <v>192</v>
      </c>
      <c r="G20">
        <v>2024</v>
      </c>
      <c r="H20" t="s">
        <v>302</v>
      </c>
      <c r="I20" t="s">
        <v>311</v>
      </c>
      <c r="J20" t="s">
        <v>401</v>
      </c>
      <c r="L20" t="s">
        <v>314</v>
      </c>
      <c r="M20" s="12">
        <v>0.06</v>
      </c>
      <c r="N20">
        <v>40</v>
      </c>
      <c r="Q20" t="s">
        <v>85</v>
      </c>
      <c r="S20">
        <v>800</v>
      </c>
      <c r="T20" t="s">
        <v>85</v>
      </c>
      <c r="W20">
        <v>900</v>
      </c>
      <c r="Y20" s="5"/>
      <c r="Z20" s="5">
        <v>4.5999999999999996</v>
      </c>
      <c r="AA20">
        <v>20</v>
      </c>
      <c r="AB20" t="s">
        <v>85</v>
      </c>
      <c r="AC20" s="9">
        <v>24820000</v>
      </c>
      <c r="AD20" t="s">
        <v>307</v>
      </c>
      <c r="AE20">
        <v>25</v>
      </c>
      <c r="AG20" t="s">
        <v>402</v>
      </c>
      <c r="AH20" t="s">
        <v>309</v>
      </c>
    </row>
    <row r="21" spans="1:34">
      <c r="A21" t="s">
        <v>403</v>
      </c>
      <c r="B21" t="s">
        <v>293</v>
      </c>
      <c r="C21">
        <v>2021</v>
      </c>
      <c r="D21" t="s">
        <v>219</v>
      </c>
      <c r="E21" t="s">
        <v>191</v>
      </c>
      <c r="F21" t="s">
        <v>192</v>
      </c>
      <c r="G21" t="s">
        <v>349</v>
      </c>
      <c r="I21" t="s">
        <v>311</v>
      </c>
      <c r="M21" s="12"/>
      <c r="N21" t="s">
        <v>404</v>
      </c>
      <c r="O21" t="s">
        <v>405</v>
      </c>
      <c r="S21" t="s">
        <v>406</v>
      </c>
      <c r="W21" t="s">
        <v>342</v>
      </c>
      <c r="X21" s="1" t="s">
        <v>306</v>
      </c>
      <c r="Y21" s="1"/>
      <c r="Z21" s="87">
        <v>3.13</v>
      </c>
      <c r="AC21">
        <v>87000</v>
      </c>
      <c r="AD21" t="s">
        <v>307</v>
      </c>
      <c r="AF21" t="s">
        <v>407</v>
      </c>
    </row>
    <row r="22" spans="1:34">
      <c r="A22" t="s">
        <v>233</v>
      </c>
      <c r="B22" t="s">
        <v>293</v>
      </c>
      <c r="C22">
        <v>2024</v>
      </c>
      <c r="D22" s="1" t="s">
        <v>408</v>
      </c>
      <c r="E22" t="s">
        <v>191</v>
      </c>
      <c r="F22" t="s">
        <v>192</v>
      </c>
      <c r="G22" t="s">
        <v>310</v>
      </c>
      <c r="I22" t="s">
        <v>311</v>
      </c>
      <c r="M22" s="12"/>
      <c r="N22" t="s">
        <v>409</v>
      </c>
      <c r="Q22" t="s">
        <v>301</v>
      </c>
      <c r="S22" t="s">
        <v>410</v>
      </c>
      <c r="W22" t="s">
        <v>411</v>
      </c>
      <c r="Z22" s="87">
        <v>5.08</v>
      </c>
      <c r="AC22">
        <v>157410000</v>
      </c>
      <c r="AD22" t="s">
        <v>307</v>
      </c>
      <c r="AF22" t="s">
        <v>412</v>
      </c>
    </row>
    <row r="23" spans="1:34" hidden="1">
      <c r="M23" s="12"/>
      <c r="Z23" s="5">
        <f>AVERAGE(Z3:Z22)</f>
        <v>4.185833333333334</v>
      </c>
    </row>
    <row r="24" spans="1:34">
      <c r="M24" s="12"/>
    </row>
    <row r="25" spans="1:34">
      <c r="M25" s="12"/>
    </row>
    <row r="26" spans="1:34">
      <c r="M26" s="12"/>
    </row>
    <row r="27" spans="1:34">
      <c r="M27" s="12"/>
    </row>
    <row r="28" spans="1:34">
      <c r="M28" s="12"/>
    </row>
    <row r="29" spans="1:34">
      <c r="M29" s="12"/>
    </row>
    <row r="30" spans="1:34">
      <c r="M30" s="12"/>
    </row>
  </sheetData>
  <autoFilter ref="A1:A23" xr:uid="{2E9E050F-07F8-FE48-85C0-51954A76FC24}">
    <filterColumn colId="0">
      <filters>
        <filter val="Brazzola et al."/>
        <filter val="Gray et al."/>
        <filter val="Marchese et.al"/>
        <filter val="Martin et. al."/>
        <filter val="Moretti et al."/>
        <filter val="Peacock et. al."/>
        <filter val="Reference"/>
        <filter val="Schmidt et. al."/>
        <filter val="Seymour et al."/>
        <filter val="Sherwin"/>
      </filters>
    </filterColumn>
  </autoFilter>
  <hyperlinks>
    <hyperlink ref="D3" r:id="rId1" xr:uid="{427BE18A-5D87-7D4D-8C69-9AB8177474A4}"/>
    <hyperlink ref="D4" r:id="rId2" xr:uid="{FAF9C78E-AA41-2642-A8E0-F2549491C3AA}"/>
    <hyperlink ref="D5" r:id="rId3" xr:uid="{142F0B15-AFC7-274F-BD00-E690B77BF4E2}"/>
    <hyperlink ref="D8" r:id="rId4" xr:uid="{46A0DFD0-4C29-1643-870B-218C18DC77CA}"/>
    <hyperlink ref="D11" r:id="rId5" location="s0005" xr:uid="{F01BD0E5-9091-D946-98C7-A2628705F44F}"/>
    <hyperlink ref="D12" r:id="rId6" tooltip="Persistent link using digital object identifier" xr:uid="{A907BC66-CF6F-3A46-B5A1-07891F846D48}"/>
    <hyperlink ref="D14" r:id="rId7" xr:uid="{6A77B062-2C5B-7E4C-B10C-57F054B69359}"/>
    <hyperlink ref="D15" r:id="rId8" xr:uid="{66EADF24-4BA7-FC40-BF8F-F78517A704DD}"/>
    <hyperlink ref="D16" r:id="rId9" xr:uid="{EABB7257-3A21-4144-AEDB-D5D4D8EE2895}"/>
    <hyperlink ref="D18" r:id="rId10" tooltip="DOI URL" xr:uid="{E765ED3A-3089-FD41-AA56-B70AD93867C3}"/>
    <hyperlink ref="D20" r:id="rId11" tooltip="Persistent link using digital object identifier" xr:uid="{A9DD6C09-A8D4-5342-87DB-9FB460D4B8EE}"/>
    <hyperlink ref="X18" r:id="rId12" display="https://chemrxiv.org/engage/chemrxiv/article-details/62c8275b252b2116a8df9365" xr:uid="{E518F5C4-9855-7C45-BF4D-7A1CFA0F4A91}"/>
    <hyperlink ref="X3" r:id="rId13" display="https://www.sciencedirect.com/science/article/pii/S0959652619307772?via%3Dihub" xr:uid="{5A08567E-8897-274A-AD17-A7757253813B}"/>
    <hyperlink ref="X4" r:id="rId14" display="https://www.sciencedirect.com/science/article/pii/S0959652619307772?via%3Dihub" xr:uid="{D66CF694-CEB1-5A4F-BF3F-835A53954F20}"/>
    <hyperlink ref="X5" r:id="rId15" display="https://www.sciencedirect.com/science/article/pii/S0959652619307772?via%3Dihub" xr:uid="{913E8905-8876-A246-B415-632B1AE970B9}"/>
    <hyperlink ref="O8" r:id="rId16" xr:uid="{E4A97722-A96B-E243-86D5-1061E80A1270}"/>
    <hyperlink ref="X11" r:id="rId17" display="https://www.sciencedirect.com/science/article/pii/S0959652619307772?via%3Dihub" xr:uid="{73E6B1CE-BAE6-BD45-9970-E5CAD241ED2A}"/>
    <hyperlink ref="X12" r:id="rId18" display="https://www.sciencedirect.com/science/article/pii/S0959652619307772?via%3Dihub" xr:uid="{BBC9DD8D-76F9-0049-B636-30D4B85CB764}"/>
    <hyperlink ref="X15" r:id="rId19" display="https://www.sciencedirect.com/science/article/pii/S0959652619307772?via%3Dihub" xr:uid="{713B06BE-8CD4-6948-A708-2CF745BB4C90}"/>
    <hyperlink ref="D22" r:id="rId20" xr:uid="{72D1B40E-F5F4-9449-A29E-D1F0ABB860A6}"/>
    <hyperlink ref="X16" r:id="rId21" display="https://www.sciencedirect.com/science/article/pii/S0959652619307772?via%3Dihub" xr:uid="{75F1462A-CEB1-0049-A9FE-630C748AB27A}"/>
    <hyperlink ref="X21" r:id="rId22" display="https://www.sciencedirect.com/science/article/pii/S0959652619307772?via%3Dihub" xr:uid="{59ECA28D-BF8C-B04D-A48C-312EB7451559}"/>
  </hyperlinks>
  <pageMargins left="0.7" right="0.7" top="0.75" bottom="0.75" header="0.3" footer="0.3"/>
  <pageSetup paperSize="9" orientation="portrait" horizontalDpi="0" verticalDpi="0"/>
  <legacyDrawing r:id="rId2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080C-9BF0-4933-8F5A-323BAF86AD97}">
  <dimension ref="A1:Y10"/>
  <sheetViews>
    <sheetView zoomScaleNormal="100" zoomScaleSheetLayoutView="106" workbookViewId="0">
      <pane xSplit="1" topLeftCell="B1" activePane="topRight" state="frozen"/>
      <selection pane="topRight" activeCell="J7" sqref="J7"/>
    </sheetView>
  </sheetViews>
  <sheetFormatPr defaultRowHeight="15.6"/>
  <cols>
    <col min="1" max="1" width="12.75" bestFit="1" customWidth="1"/>
    <col min="8" max="8" width="12.125" customWidth="1"/>
    <col min="23" max="23" width="10.125" bestFit="1" customWidth="1"/>
    <col min="24" max="24" width="16.25" bestFit="1" customWidth="1"/>
  </cols>
  <sheetData>
    <row r="1" spans="1:25" s="134" customFormat="1" ht="78">
      <c r="A1" s="134" t="s">
        <v>4</v>
      </c>
      <c r="B1" s="134" t="s">
        <v>413</v>
      </c>
      <c r="C1" s="134" t="s">
        <v>414</v>
      </c>
      <c r="D1" s="134" t="s">
        <v>6</v>
      </c>
      <c r="E1" s="134" t="s">
        <v>173</v>
      </c>
      <c r="F1" s="134" t="s">
        <v>174</v>
      </c>
      <c r="G1" s="134" t="s">
        <v>175</v>
      </c>
      <c r="H1" s="134" t="s">
        <v>415</v>
      </c>
      <c r="I1" s="134" t="s">
        <v>272</v>
      </c>
      <c r="J1" s="134" t="s">
        <v>273</v>
      </c>
      <c r="K1" s="134" t="s">
        <v>274</v>
      </c>
      <c r="L1" s="134" t="s">
        <v>275</v>
      </c>
      <c r="M1" s="134" t="s">
        <v>276</v>
      </c>
      <c r="N1" s="134" t="s">
        <v>277</v>
      </c>
      <c r="O1" s="134" t="s">
        <v>278</v>
      </c>
      <c r="P1" s="134" t="s">
        <v>279</v>
      </c>
      <c r="Q1" s="134" t="s">
        <v>280</v>
      </c>
      <c r="R1" s="134" t="s">
        <v>281</v>
      </c>
      <c r="S1" s="134" t="s">
        <v>416</v>
      </c>
      <c r="T1" s="134" t="s">
        <v>283</v>
      </c>
      <c r="U1" s="134" t="s">
        <v>417</v>
      </c>
      <c r="V1" s="134" t="s">
        <v>418</v>
      </c>
      <c r="W1" s="134" t="s">
        <v>419</v>
      </c>
      <c r="X1" s="134" t="s">
        <v>420</v>
      </c>
      <c r="Y1" s="134" t="s">
        <v>421</v>
      </c>
    </row>
    <row r="2" spans="1:25">
      <c r="A2" t="s">
        <v>201</v>
      </c>
      <c r="B2" t="s">
        <v>293</v>
      </c>
      <c r="C2" t="s">
        <v>293</v>
      </c>
      <c r="D2">
        <v>2024</v>
      </c>
      <c r="F2" t="s">
        <v>191</v>
      </c>
      <c r="G2" t="s">
        <v>192</v>
      </c>
      <c r="H2">
        <v>304</v>
      </c>
      <c r="I2" s="80">
        <v>7.0000000000000007E-2</v>
      </c>
      <c r="J2">
        <v>20</v>
      </c>
      <c r="O2" t="s">
        <v>391</v>
      </c>
      <c r="S2" s="123">
        <f>V2*(X2/W2)^Y2</f>
        <v>199.68819670044363</v>
      </c>
      <c r="U2" s="80">
        <v>0.12</v>
      </c>
      <c r="V2">
        <v>870</v>
      </c>
      <c r="W2" s="9">
        <v>10000</v>
      </c>
      <c r="X2" s="9">
        <f>1*10^9</f>
        <v>1000000000</v>
      </c>
      <c r="Y2">
        <f>LN(1-0.12)</f>
        <v>-0.12783337150988489</v>
      </c>
    </row>
    <row r="3" spans="1:25">
      <c r="A3" t="s">
        <v>212</v>
      </c>
      <c r="B3" t="s">
        <v>293</v>
      </c>
      <c r="C3" t="s">
        <v>293</v>
      </c>
      <c r="D3">
        <v>2024</v>
      </c>
      <c r="E3" s="1" t="s">
        <v>213</v>
      </c>
      <c r="F3" t="s">
        <v>191</v>
      </c>
      <c r="G3" t="s">
        <v>192</v>
      </c>
      <c r="H3">
        <v>1053</v>
      </c>
      <c r="I3" s="12">
        <v>0.06</v>
      </c>
      <c r="J3">
        <v>40</v>
      </c>
      <c r="O3">
        <v>800</v>
      </c>
      <c r="S3">
        <v>160</v>
      </c>
    </row>
    <row r="4" spans="1:25">
      <c r="A4" t="s">
        <v>403</v>
      </c>
      <c r="B4" t="s">
        <v>293</v>
      </c>
      <c r="C4" t="s">
        <v>293</v>
      </c>
      <c r="D4">
        <v>2021</v>
      </c>
      <c r="E4" t="s">
        <v>219</v>
      </c>
      <c r="F4" t="s">
        <v>191</v>
      </c>
      <c r="G4" t="s">
        <v>192</v>
      </c>
      <c r="H4" t="s">
        <v>422</v>
      </c>
      <c r="I4" s="15">
        <v>7.4999999999999997E-2</v>
      </c>
      <c r="J4" t="s">
        <v>404</v>
      </c>
      <c r="K4" t="s">
        <v>405</v>
      </c>
      <c r="O4" t="s">
        <v>406</v>
      </c>
      <c r="S4" t="s">
        <v>342</v>
      </c>
      <c r="T4" s="1" t="s">
        <v>306</v>
      </c>
    </row>
    <row r="5" spans="1:25">
      <c r="A5" t="s">
        <v>225</v>
      </c>
      <c r="B5" t="s">
        <v>293</v>
      </c>
      <c r="C5" t="s">
        <v>293</v>
      </c>
      <c r="D5">
        <v>2023</v>
      </c>
      <c r="E5" s="1" t="s">
        <v>423</v>
      </c>
      <c r="F5" t="s">
        <v>191</v>
      </c>
      <c r="G5" t="s">
        <v>192</v>
      </c>
      <c r="H5">
        <v>205.5</v>
      </c>
      <c r="I5" s="80">
        <v>0.08</v>
      </c>
      <c r="J5" t="s">
        <v>424</v>
      </c>
      <c r="O5" t="s">
        <v>425</v>
      </c>
      <c r="S5">
        <v>90</v>
      </c>
      <c r="T5" t="s">
        <v>426</v>
      </c>
    </row>
    <row r="6" spans="1:25">
      <c r="A6" t="s">
        <v>229</v>
      </c>
      <c r="B6" t="s">
        <v>293</v>
      </c>
      <c r="C6" t="s">
        <v>293</v>
      </c>
      <c r="D6">
        <v>2023</v>
      </c>
      <c r="E6" t="s">
        <v>230</v>
      </c>
      <c r="F6" t="s">
        <v>207</v>
      </c>
      <c r="G6" t="s">
        <v>192</v>
      </c>
      <c r="H6" t="s">
        <v>427</v>
      </c>
      <c r="I6" s="15">
        <v>5.1999999999999998E-2</v>
      </c>
      <c r="J6">
        <v>50</v>
      </c>
      <c r="O6" t="s">
        <v>428</v>
      </c>
      <c r="S6">
        <v>237</v>
      </c>
    </row>
    <row r="7" spans="1:25">
      <c r="A7" t="s">
        <v>233</v>
      </c>
      <c r="B7" t="s">
        <v>293</v>
      </c>
      <c r="C7" t="s">
        <v>293</v>
      </c>
      <c r="D7">
        <v>2024</v>
      </c>
      <c r="E7" s="1" t="s">
        <v>408</v>
      </c>
      <c r="F7" t="s">
        <v>191</v>
      </c>
      <c r="G7" t="s">
        <v>192</v>
      </c>
      <c r="H7" t="s">
        <v>429</v>
      </c>
      <c r="I7" s="80">
        <v>0.08</v>
      </c>
      <c r="J7" t="s">
        <v>430</v>
      </c>
      <c r="O7">
        <v>400</v>
      </c>
      <c r="S7" t="s">
        <v>431</v>
      </c>
    </row>
    <row r="8" spans="1:25">
      <c r="A8" t="s">
        <v>250</v>
      </c>
      <c r="B8" t="s">
        <v>293</v>
      </c>
      <c r="C8" t="s">
        <v>293</v>
      </c>
      <c r="D8">
        <v>2024</v>
      </c>
      <c r="E8" s="1" t="s">
        <v>334</v>
      </c>
      <c r="F8" t="s">
        <v>191</v>
      </c>
      <c r="G8" t="s">
        <v>192</v>
      </c>
      <c r="H8" t="s">
        <v>432</v>
      </c>
      <c r="I8" s="80">
        <v>0.08</v>
      </c>
      <c r="J8">
        <v>52</v>
      </c>
      <c r="O8">
        <v>600</v>
      </c>
      <c r="S8" t="s">
        <v>433</v>
      </c>
    </row>
    <row r="9" spans="1:25">
      <c r="A9" t="s">
        <v>256</v>
      </c>
      <c r="B9" t="s">
        <v>293</v>
      </c>
      <c r="C9" t="s">
        <v>293</v>
      </c>
      <c r="D9">
        <v>2024</v>
      </c>
      <c r="E9" s="1" t="s">
        <v>257</v>
      </c>
      <c r="F9" t="s">
        <v>191</v>
      </c>
      <c r="G9" t="s">
        <v>192</v>
      </c>
      <c r="H9">
        <v>432</v>
      </c>
      <c r="I9" s="80">
        <v>0.05</v>
      </c>
      <c r="J9">
        <v>30</v>
      </c>
      <c r="O9">
        <v>358</v>
      </c>
      <c r="S9">
        <v>199</v>
      </c>
    </row>
    <row r="10" spans="1:25">
      <c r="A10" t="s">
        <v>260</v>
      </c>
      <c r="B10" t="s">
        <v>293</v>
      </c>
      <c r="C10" t="s">
        <v>293</v>
      </c>
      <c r="D10">
        <v>2021</v>
      </c>
      <c r="E10" s="1" t="s">
        <v>261</v>
      </c>
      <c r="F10" t="s">
        <v>191</v>
      </c>
      <c r="G10" t="s">
        <v>192</v>
      </c>
      <c r="H10">
        <v>50</v>
      </c>
      <c r="I10" s="4">
        <v>0.05</v>
      </c>
      <c r="J10">
        <v>19</v>
      </c>
      <c r="O10">
        <v>485</v>
      </c>
      <c r="S10">
        <v>100</v>
      </c>
    </row>
  </sheetData>
  <hyperlinks>
    <hyperlink ref="E3" r:id="rId1" tooltip="Persistent link using digital object identifier" xr:uid="{80D3A0E4-6685-4428-8D25-BBE40EE8C391}"/>
    <hyperlink ref="T4" r:id="rId2" display="https://www.sciencedirect.com/science/article/pii/S0959652619307772?via%3Dihub" xr:uid="{C1624F5D-2AE3-489C-96FA-0BA62B7E08FE}"/>
    <hyperlink ref="E5" r:id="rId3" location="sec4" xr:uid="{A4EF579A-9255-46BD-A86A-D0C288394835}"/>
    <hyperlink ref="E7" r:id="rId4" xr:uid="{C1692AFD-C464-4050-97F2-02677F6C16DA}"/>
    <hyperlink ref="E9" r:id="rId5" xr:uid="{920C069B-8229-4BF9-B943-D3708A0C3D8F}"/>
    <hyperlink ref="E10" r:id="rId6" xr:uid="{EACD5BB3-685F-4C88-8F4E-01365C535CF2}"/>
  </hyperlinks>
  <pageMargins left="0.7" right="0.7" top="0.75" bottom="0.75" header="0.3" footer="0.3"/>
  <pageSetup paperSize="9" orientation="portrait"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99AC-5C89-CE47-B699-CCA57CE6E758}">
  <sheetPr codeName="Sheet7">
    <tabColor theme="4" tint="0.39997558519241921"/>
  </sheetPr>
  <dimension ref="A1:T53"/>
  <sheetViews>
    <sheetView workbookViewId="0">
      <selection sqref="A1:XFD1048576"/>
    </sheetView>
  </sheetViews>
  <sheetFormatPr defaultColWidth="11.25" defaultRowHeight="15.75" customHeight="1"/>
  <cols>
    <col min="1" max="1" width="19.25" bestFit="1" customWidth="1"/>
    <col min="2" max="2" width="11.5" bestFit="1" customWidth="1"/>
    <col min="5" max="5" width="13.75" bestFit="1" customWidth="1"/>
    <col min="7" max="7" width="24" bestFit="1" customWidth="1"/>
    <col min="8" max="9" width="14.5" bestFit="1" customWidth="1"/>
    <col min="10" max="10" width="17.75" bestFit="1" customWidth="1"/>
    <col min="11" max="11" width="18.25" bestFit="1" customWidth="1"/>
    <col min="12" max="19" width="18.25" customWidth="1"/>
  </cols>
  <sheetData>
    <row r="1" spans="1:20" ht="15.6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434</v>
      </c>
      <c r="M1" t="s">
        <v>182</v>
      </c>
      <c r="N1" t="s">
        <v>183</v>
      </c>
      <c r="O1" t="s">
        <v>184</v>
      </c>
      <c r="P1" s="12" t="s">
        <v>185</v>
      </c>
      <c r="Q1" s="12" t="s">
        <v>186</v>
      </c>
      <c r="R1" s="12" t="s">
        <v>187</v>
      </c>
      <c r="S1" s="12" t="s">
        <v>188</v>
      </c>
    </row>
    <row r="2" spans="1:20" ht="15.6">
      <c r="A2" t="s">
        <v>189</v>
      </c>
      <c r="B2">
        <v>2016</v>
      </c>
      <c r="C2" s="2" t="s">
        <v>190</v>
      </c>
      <c r="D2" t="s">
        <v>191</v>
      </c>
      <c r="E2" t="s">
        <v>192</v>
      </c>
      <c r="F2">
        <v>2024</v>
      </c>
      <c r="G2" t="s">
        <v>4</v>
      </c>
      <c r="H2" s="75">
        <f>([1]Outputs!$C$10) * ((1+Inputs!$C$5) ^ (F2-B2))</f>
        <v>642.29670473893407</v>
      </c>
      <c r="I2" s="75">
        <f>([1]Outputs!$D$10) * ((1+Inputs!$C$5) ^ (F2-B2))</f>
        <v>768.83260727969991</v>
      </c>
      <c r="J2" s="75">
        <f>([1]Outputs!$E$10) * ((1+Inputs!$C$5) ^ (F2-B2))</f>
        <v>2386.5584758631594</v>
      </c>
      <c r="K2" s="75">
        <f>([1]Outputs!$F$10) * ((1+Inputs!$C$5) ^ (F2-B2))</f>
        <v>2466.5878362464205</v>
      </c>
      <c r="L2" s="75"/>
      <c r="M2" s="12"/>
      <c r="N2" s="12"/>
      <c r="O2" s="12"/>
      <c r="P2" s="12"/>
      <c r="Q2" s="12" t="s">
        <v>193</v>
      </c>
      <c r="R2" s="12" t="s">
        <v>194</v>
      </c>
      <c r="S2" s="84">
        <v>144778221.668742</v>
      </c>
      <c r="T2" t="s">
        <v>195</v>
      </c>
    </row>
    <row r="3" spans="1:20" ht="15.6">
      <c r="A3" t="s">
        <v>196</v>
      </c>
      <c r="B3">
        <v>2024</v>
      </c>
      <c r="C3" t="s">
        <v>197</v>
      </c>
      <c r="D3" t="s">
        <v>191</v>
      </c>
      <c r="E3" t="s">
        <v>198</v>
      </c>
      <c r="F3">
        <v>2024</v>
      </c>
      <c r="G3" t="s">
        <v>4</v>
      </c>
      <c r="H3" s="75">
        <f>[2]Outputs!$C$10</f>
        <v>2404.7474592934755</v>
      </c>
      <c r="I3" s="75">
        <f>[2]Outputs!$D$10</f>
        <v>2435.2345642939222</v>
      </c>
      <c r="J3" s="75">
        <f>[2]Outputs!$E$10</f>
        <v>1644.4987837272511</v>
      </c>
      <c r="K3" s="75">
        <f>[2]Outputs!$F$10</f>
        <v>1623.8464295923113</v>
      </c>
      <c r="L3" s="75"/>
      <c r="M3" s="12">
        <f>'[2]Cost Breakdown'!$B$9</f>
        <v>9.1683396556322488E-2</v>
      </c>
      <c r="N3" s="12">
        <f>'[2]Cost Breakdown'!$B$8</f>
        <v>0.37268474532754681</v>
      </c>
      <c r="O3" s="12">
        <f>'[2]Cost Breakdown'!$B$10</f>
        <v>0.51503063280397188</v>
      </c>
      <c r="P3" s="12">
        <f>'[2]Cost Breakdown'!$B$11</f>
        <v>2.0601225312158876E-2</v>
      </c>
      <c r="Q3" s="12" t="s">
        <v>199</v>
      </c>
      <c r="R3" s="12" t="s">
        <v>194</v>
      </c>
      <c r="S3" s="13" t="s">
        <v>85</v>
      </c>
      <c r="T3" t="s">
        <v>200</v>
      </c>
    </row>
    <row r="4" spans="1:20" ht="15.6">
      <c r="A4" t="s">
        <v>201</v>
      </c>
      <c r="B4">
        <v>2024</v>
      </c>
      <c r="D4" t="s">
        <v>191</v>
      </c>
      <c r="E4" t="s">
        <v>192</v>
      </c>
      <c r="F4">
        <v>2024</v>
      </c>
      <c r="G4" t="s">
        <v>4</v>
      </c>
      <c r="H4" s="75">
        <f>'[19]Received Data Brazzola'!$D$6</f>
        <v>432.43603627642972</v>
      </c>
      <c r="I4" s="75">
        <f>'[19]LCOE Corrected'!$C$6</f>
        <v>859.50423300157809</v>
      </c>
      <c r="J4" s="75">
        <f>'[19]CO2 Cost Corrected'!$C$6</f>
        <v>434.69179600079815</v>
      </c>
      <c r="K4" s="75">
        <f>[19]Outputs!$B$2</f>
        <v>434.69179600079815</v>
      </c>
      <c r="L4" s="75">
        <v>0</v>
      </c>
      <c r="M4" s="12"/>
      <c r="N4" s="12"/>
      <c r="O4" s="12"/>
      <c r="P4" s="12"/>
      <c r="Q4" s="12" t="s">
        <v>199</v>
      </c>
      <c r="R4" s="12" t="s">
        <v>202</v>
      </c>
      <c r="S4" s="13" t="s">
        <v>85</v>
      </c>
    </row>
    <row r="5" spans="1:20" ht="15.6">
      <c r="A5" t="s">
        <v>201</v>
      </c>
      <c r="B5">
        <v>2024</v>
      </c>
      <c r="D5" t="s">
        <v>191</v>
      </c>
      <c r="E5" t="s">
        <v>192</v>
      </c>
      <c r="F5">
        <v>2050</v>
      </c>
      <c r="G5" t="s">
        <v>4</v>
      </c>
      <c r="H5" s="75">
        <f>'[19]Received Data Brazzola'!$D$32</f>
        <v>226.43483728748049</v>
      </c>
      <c r="I5" s="75">
        <f>'[19]LCOE Corrected'!$C$32</f>
        <v>507.5496345628751</v>
      </c>
      <c r="J5" s="75">
        <f>'[19]CO2 Cost Corrected'!$C$32</f>
        <v>256.69176920421268</v>
      </c>
      <c r="K5" s="75">
        <f>[19]Outputs!$B$3</f>
        <v>256.69176920421268</v>
      </c>
      <c r="L5" s="75">
        <v>0</v>
      </c>
      <c r="M5" s="12"/>
      <c r="N5" s="12"/>
      <c r="O5" s="12"/>
      <c r="P5" s="12"/>
      <c r="Q5" s="12" t="s">
        <v>199</v>
      </c>
      <c r="R5" s="12" t="s">
        <v>202</v>
      </c>
      <c r="S5" s="13" t="s">
        <v>85</v>
      </c>
    </row>
    <row r="6" spans="1:20" ht="15.6">
      <c r="A6" t="s">
        <v>203</v>
      </c>
      <c r="B6">
        <v>2018</v>
      </c>
      <c r="C6" s="1" t="s">
        <v>204</v>
      </c>
      <c r="D6" t="s">
        <v>191</v>
      </c>
      <c r="E6" t="s">
        <v>192</v>
      </c>
      <c r="F6">
        <v>2024</v>
      </c>
      <c r="G6" t="s">
        <v>4</v>
      </c>
      <c r="H6" s="75">
        <f>[3]Outputs!$C$10</f>
        <v>1144.7870679308462</v>
      </c>
      <c r="I6" s="75">
        <f>[3]Outputs!$D$10</f>
        <v>706.66810530147404</v>
      </c>
      <c r="J6" s="75">
        <f>[3]Outputs!$E$10</f>
        <v>2210.7958135961926</v>
      </c>
      <c r="K6" s="75">
        <f>[3]Outputs!$F$10</f>
        <v>2210.7958135961926</v>
      </c>
      <c r="L6" s="75"/>
      <c r="M6" s="12">
        <f>'[3]Received Data'!$N$9</f>
        <v>0.11002478551214247</v>
      </c>
      <c r="N6" s="12">
        <f>'[3]Received Data'!$N$8</f>
        <v>0.32309926188801724</v>
      </c>
      <c r="O6" s="12">
        <f>'[3]Received Data'!$N$10</f>
        <v>0.51966602210730239</v>
      </c>
      <c r="P6" s="12">
        <f>'[3]Received Data'!$N$11</f>
        <v>4.7209930492537917E-2</v>
      </c>
      <c r="Q6" s="12" t="s">
        <v>199</v>
      </c>
      <c r="R6" s="12" t="s">
        <v>194</v>
      </c>
      <c r="S6" s="13"/>
    </row>
    <row r="7" spans="1:20" ht="15.6">
      <c r="A7" t="s">
        <v>205</v>
      </c>
      <c r="B7">
        <v>2020</v>
      </c>
      <c r="C7" t="s">
        <v>206</v>
      </c>
      <c r="D7" t="s">
        <v>207</v>
      </c>
      <c r="E7" t="s">
        <v>192</v>
      </c>
      <c r="F7">
        <v>2024</v>
      </c>
      <c r="G7" t="s">
        <v>4</v>
      </c>
      <c r="H7" s="75">
        <f>[4]Outputs!$C$10 * (1+Inputs!C5) ^ ('Standardization Results'!F40-'Standardization Results'!B40)</f>
        <v>2029.8689596294605</v>
      </c>
      <c r="I7" s="75">
        <f>[4]Outputs!$D$10 * (1+Inputs!C5) ^ ('Standardization Results'!F40-'Standardization Results'!B40)</f>
        <v>2086.9789308577929</v>
      </c>
      <c r="J7" s="75">
        <f>[4]Outputs!$E$10 * (1+Inputs!C5) ^ ('Standardization Results'!F40-'Standardization Results'!B40)</f>
        <v>8021.9643396692736</v>
      </c>
      <c r="K7" s="75">
        <f>[4]Outputs!$F$10 * (1+Inputs!C5) ^ ('Standardization Results'!F40-'Standardization Results'!B40)</f>
        <v>7995.8084618462672</v>
      </c>
      <c r="L7" s="75"/>
      <c r="M7" s="12"/>
      <c r="N7" s="12"/>
      <c r="O7" s="12"/>
      <c r="P7" s="12"/>
      <c r="Q7" s="12" t="s">
        <v>199</v>
      </c>
      <c r="R7" s="12" t="s">
        <v>208</v>
      </c>
      <c r="S7" s="9">
        <v>45872966</v>
      </c>
      <c r="T7" t="s">
        <v>209</v>
      </c>
    </row>
    <row r="8" spans="1:20" ht="15.6">
      <c r="A8" t="s">
        <v>205</v>
      </c>
      <c r="B8">
        <v>2015</v>
      </c>
      <c r="C8" s="5" t="s">
        <v>210</v>
      </c>
      <c r="D8" t="s">
        <v>207</v>
      </c>
      <c r="E8" t="s">
        <v>192</v>
      </c>
      <c r="F8">
        <v>2024</v>
      </c>
      <c r="G8" t="s">
        <v>4</v>
      </c>
      <c r="H8" s="75">
        <f>[5]Outputs!$J$10* (1+Inputs!C5) ^ ('Standardization Results'!F41-'Standardization Results'!B41)</f>
        <v>471.65911823016069</v>
      </c>
      <c r="I8" s="75">
        <f>[5]Outputs!$K$10* (1+Inputs!C5) ^ ('Standardization Results'!F41-'Standardization Results'!B41)</f>
        <v>496.13587816522551</v>
      </c>
      <c r="J8" s="75">
        <f>[5]Outputs!$L$10* (1+Inputs!C5) ^ ('Standardization Results'!F41-'Standardization Results'!B41)</f>
        <v>4670.6875633030841</v>
      </c>
      <c r="K8" s="75">
        <f>[5]Outputs!$M$10* (1+Inputs!C5) ^ ('Standardization Results'!F41-'Standardization Results'!B41)</f>
        <v>5006.911801921543</v>
      </c>
      <c r="L8" s="75"/>
      <c r="M8" s="12"/>
      <c r="N8" s="12"/>
      <c r="O8" s="12"/>
      <c r="P8" s="12"/>
      <c r="Q8" s="12" t="s">
        <v>199</v>
      </c>
      <c r="R8" s="12" t="s">
        <v>208</v>
      </c>
      <c r="S8" s="86">
        <v>58035000</v>
      </c>
    </row>
    <row r="9" spans="1:20" ht="15.6">
      <c r="A9" t="s">
        <v>205</v>
      </c>
      <c r="B9">
        <v>2015</v>
      </c>
      <c r="C9" s="5" t="s">
        <v>210</v>
      </c>
      <c r="D9" t="s">
        <v>207</v>
      </c>
      <c r="E9" t="s">
        <v>192</v>
      </c>
      <c r="F9">
        <v>2024</v>
      </c>
      <c r="G9" t="s">
        <v>4</v>
      </c>
      <c r="H9" s="75">
        <f>[5]Outputs!$C$10* (1+Inputs!C5) ^ ('Standardization Results'!F42-'Standardization Results'!B42)</f>
        <v>667.86758145112526</v>
      </c>
      <c r="I9" s="75">
        <f>[5]Outputs!$D$10* (1+Inputs!C5) ^ ('Standardization Results'!F42-'Standardization Results'!B42)</f>
        <v>692.34434138619031</v>
      </c>
      <c r="J9" s="75">
        <f>[5]Outputs!$E$10* (1+Inputs!C5) ^ ('Standardization Results'!F42-'Standardization Results'!B42)</f>
        <v>4866.8960265240476</v>
      </c>
      <c r="K9" s="75">
        <f>[5]Outputs!$F$10* (1+Inputs!C5) ^ ('Standardization Results'!F42-'Standardization Results'!B42)</f>
        <v>5216.4444755151117</v>
      </c>
      <c r="M9" s="12">
        <f>'[5]Cost Breakdowns'!$B$10</f>
        <v>5.8359446730100857E-2</v>
      </c>
      <c r="N9" s="12">
        <f>'[5]Cost Breakdowns'!$B$9</f>
        <v>0.66723592814540433</v>
      </c>
      <c r="O9" s="12">
        <f>'[5]Cost Breakdowns'!$B$11</f>
        <v>0.10459442543324093</v>
      </c>
      <c r="P9" s="12">
        <f>'[5]Cost Breakdowns'!$B$12</f>
        <v>0.16981019969125349</v>
      </c>
      <c r="Q9" s="12" t="s">
        <v>199</v>
      </c>
      <c r="R9" s="12" t="s">
        <v>208</v>
      </c>
      <c r="S9" s="86">
        <v>58035000</v>
      </c>
      <c r="T9" t="s">
        <v>211</v>
      </c>
    </row>
    <row r="10" spans="1:20" ht="15.6">
      <c r="A10" t="s">
        <v>212</v>
      </c>
      <c r="B10">
        <v>2024</v>
      </c>
      <c r="C10" s="1" t="s">
        <v>213</v>
      </c>
      <c r="D10" t="s">
        <v>191</v>
      </c>
      <c r="E10" t="s">
        <v>192</v>
      </c>
      <c r="F10">
        <v>2024</v>
      </c>
      <c r="G10" t="s">
        <v>214</v>
      </c>
      <c r="H10" s="75">
        <f>[6]Outputs!$J$10</f>
        <v>2727.5773261727436</v>
      </c>
      <c r="I10" s="75">
        <f>[6]Outputs!$K$10</f>
        <v>2805.9551585007839</v>
      </c>
      <c r="J10" s="75">
        <f>[6]Outputs!$L$10</f>
        <v>1478.0571591512389</v>
      </c>
      <c r="K10" s="75">
        <f>[6]Outputs!$M$10</f>
        <v>1555.9594485254829</v>
      </c>
      <c r="L10" s="75">
        <f>[6]Outputs!$C$14</f>
        <v>276.92707680000001</v>
      </c>
      <c r="M10" s="12">
        <f>'[6]LCOF WACC Corrected'!$J$9</f>
        <v>0.36289802024133966</v>
      </c>
      <c r="N10" s="12">
        <f>'[6]LCOF WACC Corrected'!$J$8</f>
        <v>0.35987238425128565</v>
      </c>
      <c r="O10" s="12">
        <f>'[6]LCOF WACC Corrected'!$J$10</f>
        <v>0.18908764946605058</v>
      </c>
      <c r="P10" s="12">
        <f>'[6]LCOF WACC Corrected'!$J$11</f>
        <v>8.8141946041324123E-2</v>
      </c>
      <c r="Q10" s="12" t="s">
        <v>199</v>
      </c>
      <c r="R10" s="12" t="s">
        <v>194</v>
      </c>
      <c r="S10" s="84">
        <v>39140033.75</v>
      </c>
    </row>
    <row r="11" spans="1:20" ht="15.6">
      <c r="A11" t="s">
        <v>212</v>
      </c>
      <c r="B11">
        <v>2024</v>
      </c>
      <c r="C11" s="1" t="s">
        <v>213</v>
      </c>
      <c r="D11" t="s">
        <v>191</v>
      </c>
      <c r="E11" t="s">
        <v>192</v>
      </c>
      <c r="F11">
        <v>2050</v>
      </c>
      <c r="G11" t="s">
        <v>216</v>
      </c>
      <c r="H11" s="75">
        <f>[6]Outputs!$C$10</f>
        <v>1053.0156898248665</v>
      </c>
      <c r="I11" s="75">
        <f>[6]Outputs!$D$10</f>
        <v>1131.3935221529064</v>
      </c>
      <c r="J11" s="75">
        <f>[6]Outputs!$E$10</f>
        <v>1207.0425785317802</v>
      </c>
      <c r="K11" s="75">
        <f>[6]Outputs!$F$10</f>
        <v>1284.9448679060238</v>
      </c>
      <c r="L11" s="75">
        <f>[6]Outputs!$C$14</f>
        <v>276.92707680000001</v>
      </c>
      <c r="M11" s="12">
        <f>'[6]LCOF WACC Corrected'!$M$9</f>
        <v>0.43600142701593897</v>
      </c>
      <c r="N11" s="12">
        <f>'[6]LCOF WACC Corrected'!$M$8</f>
        <v>0.23092290844369628</v>
      </c>
      <c r="O11" s="12">
        <f>'[6]LCOF WACC Corrected'!$M$10</f>
        <v>0.2271781062444502</v>
      </c>
      <c r="P11" s="12">
        <f>'[6]LCOF WACC Corrected'!$M$11</f>
        <v>0.10589755829591445</v>
      </c>
      <c r="Q11" s="12" t="s">
        <v>199</v>
      </c>
      <c r="R11" s="12" t="s">
        <v>194</v>
      </c>
      <c r="S11" s="84">
        <v>39140033.75</v>
      </c>
      <c r="T11" t="s">
        <v>217</v>
      </c>
    </row>
    <row r="12" spans="1:20" ht="15.6">
      <c r="A12" t="s">
        <v>218</v>
      </c>
      <c r="B12">
        <v>2021</v>
      </c>
      <c r="C12" t="s">
        <v>219</v>
      </c>
      <c r="D12" t="s">
        <v>191</v>
      </c>
      <c r="E12" t="s">
        <v>192</v>
      </c>
      <c r="F12">
        <v>2024</v>
      </c>
      <c r="G12" t="s">
        <v>220</v>
      </c>
      <c r="H12" s="75">
        <f>[7]Outputs!$X$10* (1+Inputs!$C$5) ^ (F12-B12)</f>
        <v>1458.3489394680287</v>
      </c>
      <c r="I12" s="75">
        <f>[7]Outputs!$Y$10* (1+Inputs!$C$5) ^ (F12-B12)</f>
        <v>751.42718779625204</v>
      </c>
      <c r="J12" s="75">
        <f>[7]Outputs!$Z$10* (1+Inputs!$C$5)^ (F12-B12)</f>
        <v>898.00690027435132</v>
      </c>
      <c r="K12" s="75">
        <f>[7]Outputs!$AA$10* (1+Inputs!$C$5) ^ (F12-B12)</f>
        <v>883.12720715998762</v>
      </c>
      <c r="L12" s="75">
        <v>0</v>
      </c>
      <c r="Q12" s="12" t="s">
        <v>199</v>
      </c>
      <c r="R12" s="12" t="s">
        <v>194</v>
      </c>
      <c r="S12" s="84">
        <v>69000000</v>
      </c>
    </row>
    <row r="13" spans="1:20" ht="15.6">
      <c r="A13" t="s">
        <v>218</v>
      </c>
      <c r="B13">
        <v>2021</v>
      </c>
      <c r="C13" t="s">
        <v>219</v>
      </c>
      <c r="D13" t="s">
        <v>191</v>
      </c>
      <c r="E13" t="s">
        <v>192</v>
      </c>
      <c r="F13">
        <v>2024</v>
      </c>
      <c r="G13" t="s">
        <v>221</v>
      </c>
      <c r="H13" s="75">
        <f>[7]Outputs!$C$10 * (1+Inputs!$C$5) ^ (F13-B13)</f>
        <v>1892.306418410411</v>
      </c>
      <c r="I13" s="75">
        <f>[7]Outputs!$D$10* (1+Inputs!$C$5) ^ (F13-B13)</f>
        <v>1097.7096127003431</v>
      </c>
      <c r="J13" s="75">
        <f>[7]Outputs!$E$10* (1+Inputs!$C$5) ^ (F13-B13)</f>
        <v>1157.1299022637179</v>
      </c>
      <c r="K13" s="75">
        <f>[7]Outputs!$F$10* (1+Inputs!$C$5) ^ (F13-B13)</f>
        <v>1141.2525893033514</v>
      </c>
      <c r="L13" s="75">
        <v>0</v>
      </c>
      <c r="M13" s="80">
        <f>'[7]Cost Breakdown'!$B$10</f>
        <v>0.27085063082219929</v>
      </c>
      <c r="N13" s="80">
        <f>'[7]Cost Breakdown'!$B$9</f>
        <v>0.17996259668231962</v>
      </c>
      <c r="O13" s="80">
        <f>'[7]Cost Breakdown'!$B$11</f>
        <v>0.30397258614909672</v>
      </c>
      <c r="P13" s="80">
        <f>'[7]Cost Breakdown'!$B$12</f>
        <v>0.24521418634638459</v>
      </c>
      <c r="Q13" s="12" t="s">
        <v>199</v>
      </c>
      <c r="R13" s="12" t="s">
        <v>194</v>
      </c>
      <c r="S13" s="84">
        <v>87000000</v>
      </c>
    </row>
    <row r="14" spans="1:20" ht="15.6">
      <c r="A14" t="s">
        <v>218</v>
      </c>
      <c r="B14">
        <v>2021</v>
      </c>
      <c r="C14" t="s">
        <v>219</v>
      </c>
      <c r="D14" t="s">
        <v>191</v>
      </c>
      <c r="E14" t="s">
        <v>192</v>
      </c>
      <c r="F14">
        <v>2024</v>
      </c>
      <c r="G14" t="s">
        <v>222</v>
      </c>
      <c r="H14" s="75">
        <f>[7]Outputs!$AE$10* (1+Inputs!$C$5) ^ (F14-B14)</f>
        <v>1730.510800708724</v>
      </c>
      <c r="I14" s="75">
        <f>[7]Outputs!$AF$10* (1+Inputs!$C$5) ^ (F14-B14)</f>
        <v>823.96435988709356</v>
      </c>
      <c r="J14" s="75">
        <f>[7]Outputs!$AG$10* (1+Inputs!$C$5) ^ (F14-B14)</f>
        <v>997.36187349738645</v>
      </c>
      <c r="K14" s="75">
        <f>[7]Outputs!$AH$10* (1+Inputs!$C$5) ^ (F14-B14)</f>
        <v>980.42742289161697</v>
      </c>
      <c r="L14" s="75">
        <v>0</v>
      </c>
      <c r="Q14" s="12" t="s">
        <v>199</v>
      </c>
      <c r="R14" s="12" t="s">
        <v>194</v>
      </c>
      <c r="S14" s="84">
        <v>68000000</v>
      </c>
    </row>
    <row r="15" spans="1:20" ht="15.6">
      <c r="A15" t="s">
        <v>218</v>
      </c>
      <c r="B15">
        <v>2021</v>
      </c>
      <c r="C15" t="s">
        <v>219</v>
      </c>
      <c r="D15" t="s">
        <v>191</v>
      </c>
      <c r="E15" t="s">
        <v>192</v>
      </c>
      <c r="F15">
        <v>2024</v>
      </c>
      <c r="G15" t="s">
        <v>223</v>
      </c>
      <c r="H15" s="75">
        <f>[7]Outputs!$Q$10* (1+Inputs!$C$5) ^ (F15-B15)</f>
        <v>2708.6121435384971</v>
      </c>
      <c r="I15" s="75">
        <f>[7]Outputs!$R$10* (1+Inputs!$C$5) ^(F15-B15)</f>
        <v>1804.7168921979044</v>
      </c>
      <c r="J15" s="75">
        <f>[7]Outputs!$S$10* (1+Inputs!$C$5) ^ (F15-B15)</f>
        <v>1941.7692052374264</v>
      </c>
      <c r="K15" s="75">
        <f>[7]Outputs!$T$10* (1+Inputs!$C$5) ^ (F15-B15)</f>
        <v>1919.3136113487762</v>
      </c>
      <c r="L15" s="75">
        <v>0</v>
      </c>
      <c r="Q15" s="12" t="s">
        <v>199</v>
      </c>
      <c r="R15" s="12" t="s">
        <v>194</v>
      </c>
      <c r="S15" s="84">
        <v>48000000</v>
      </c>
    </row>
    <row r="16" spans="1:20" ht="15.6">
      <c r="A16" t="s">
        <v>218</v>
      </c>
      <c r="B16">
        <v>2021</v>
      </c>
      <c r="C16" t="s">
        <v>219</v>
      </c>
      <c r="D16" t="s">
        <v>191</v>
      </c>
      <c r="E16" t="s">
        <v>192</v>
      </c>
      <c r="F16">
        <v>2024</v>
      </c>
      <c r="G16" t="s">
        <v>224</v>
      </c>
      <c r="H16" s="75">
        <f>[7]Outputs!$J$10* 1.02 ^ (F16-B16)</f>
        <v>2761.7003080324448</v>
      </c>
      <c r="I16" s="75">
        <f>[7]Outputs!$K$10* 1.02 ^ (F16-B16)</f>
        <v>1368.7084844811829</v>
      </c>
      <c r="J16" s="75">
        <f>[7]Outputs!$L$10* 1.02 ^ (F16-B16)</f>
        <v>1562.0728579129388</v>
      </c>
      <c r="K16" s="75">
        <f>[7]Outputs!$M$10* 1.02 ^ (F16-B16)</f>
        <v>1533.3503435977252</v>
      </c>
      <c r="L16" s="75">
        <v>0</v>
      </c>
      <c r="Q16" s="12" t="s">
        <v>199</v>
      </c>
      <c r="R16" s="12" t="s">
        <v>194</v>
      </c>
      <c r="S16" s="84">
        <v>35000000</v>
      </c>
    </row>
    <row r="17" spans="1:20" ht="15.6">
      <c r="A17" t="s">
        <v>218</v>
      </c>
      <c r="B17">
        <v>2021</v>
      </c>
      <c r="C17" t="s">
        <v>219</v>
      </c>
      <c r="D17" t="s">
        <v>191</v>
      </c>
      <c r="E17" t="s">
        <v>192</v>
      </c>
      <c r="F17">
        <v>2050</v>
      </c>
      <c r="G17" t="s">
        <v>221</v>
      </c>
      <c r="H17" s="75">
        <f>[7]Outputs!$C$21*  (1+Inputs!$C$5)  ^ (F17-B17)</f>
        <v>597.79761883839126</v>
      </c>
      <c r="I17" s="75">
        <f>[7]Outputs!$D$21*  (1+Inputs!$C$5)  ^ (F17-B17)</f>
        <v>297.66180151377245</v>
      </c>
      <c r="J17" s="75">
        <f>[7]Outputs!$E$21*  (1+Inputs!$C$5)  ^ (F17-B17)</f>
        <v>507.83266694964567</v>
      </c>
      <c r="K17" s="75">
        <f>[7]Outputs!$F$21*  (1+Inputs!$C$5)  ^ (F17-B17)</f>
        <v>497.82438916901862</v>
      </c>
      <c r="L17" s="75">
        <v>0</v>
      </c>
      <c r="M17" s="80">
        <f>'[7]Cost Breakdown'!$B$22</f>
        <v>0.28830506115721238</v>
      </c>
      <c r="N17" s="80">
        <f>'[7]Cost Breakdown'!$B$21</f>
        <v>0.15734089850394842</v>
      </c>
      <c r="O17" s="80">
        <f>'[7]Cost Breakdown'!$B$23</f>
        <v>0.15294256759925415</v>
      </c>
      <c r="P17" s="80">
        <f>'[7]Cost Breakdown'!$B$24</f>
        <v>0.40141147273958483</v>
      </c>
      <c r="Q17" s="12" t="s">
        <v>199</v>
      </c>
      <c r="R17" s="12" t="s">
        <v>194</v>
      </c>
      <c r="S17" s="84">
        <v>87000000</v>
      </c>
    </row>
    <row r="18" spans="1:20" ht="15.6">
      <c r="A18" t="s">
        <v>218</v>
      </c>
      <c r="B18">
        <v>2021</v>
      </c>
      <c r="C18" t="s">
        <v>219</v>
      </c>
      <c r="D18" t="s">
        <v>191</v>
      </c>
      <c r="E18" t="s">
        <v>192</v>
      </c>
      <c r="F18">
        <v>2050</v>
      </c>
      <c r="G18" t="s">
        <v>224</v>
      </c>
      <c r="H18" s="75">
        <f>[7]Outputs!$J$21*  (1+Inputs!$C$5)  ^ (F18-B18)</f>
        <v>1954.9192922932341</v>
      </c>
      <c r="I18" s="75">
        <f>[7]Outputs!$K$21*  (1+Inputs!$C$5)  ^ (F18-B18)</f>
        <v>1438.7117096840332</v>
      </c>
      <c r="J18" s="75">
        <f>[7]Outputs!$L$21*  (1+Inputs!$C$5)  ^ (F18-B18)</f>
        <v>1976.4189268837772</v>
      </c>
      <c r="K18" s="75">
        <f>[7]Outputs!$M$21*  (1+Inputs!$C$5)  ^ (F18-B18)</f>
        <v>1958.4432933584976</v>
      </c>
      <c r="L18" s="75">
        <v>0</v>
      </c>
      <c r="Q18" s="12" t="s">
        <v>199</v>
      </c>
      <c r="R18" s="12" t="s">
        <v>194</v>
      </c>
      <c r="S18" s="84">
        <v>35000000</v>
      </c>
    </row>
    <row r="19" spans="1:20" ht="15.6">
      <c r="A19" t="s">
        <v>218</v>
      </c>
      <c r="B19">
        <v>2021</v>
      </c>
      <c r="C19" t="s">
        <v>219</v>
      </c>
      <c r="D19" t="s">
        <v>191</v>
      </c>
      <c r="E19" t="s">
        <v>192</v>
      </c>
      <c r="F19">
        <v>2050</v>
      </c>
      <c r="G19" t="s">
        <v>223</v>
      </c>
      <c r="H19" s="75">
        <f>[7]Outputs!$Q$21*  (1+Inputs!$C$5)  ^ (F19-B19)</f>
        <v>1692.7912975423517</v>
      </c>
      <c r="I19" s="75">
        <f>[7]Outputs!$R$21 *  (1+Inputs!$C$5)  ^ (F17-B17)</f>
        <v>1109.9279733083708</v>
      </c>
      <c r="J19" s="75">
        <f>[7]Outputs!$S$21*  (1+Inputs!$C$5)  ^ (F17-B17)</f>
        <v>1500.6866480799101</v>
      </c>
      <c r="K19" s="75">
        <f>[7]Outputs!$T$21*  (1+Inputs!$C$5) ^ (F17-B17)</f>
        <v>1487.0625819464963</v>
      </c>
      <c r="L19" s="75">
        <v>0</v>
      </c>
      <c r="Q19" s="12" t="s">
        <v>199</v>
      </c>
      <c r="R19" s="12" t="s">
        <v>194</v>
      </c>
      <c r="S19" s="84">
        <v>48000000</v>
      </c>
    </row>
    <row r="20" spans="1:20" ht="15.6">
      <c r="A20" t="s">
        <v>218</v>
      </c>
      <c r="B20">
        <v>2021</v>
      </c>
      <c r="C20" t="s">
        <v>219</v>
      </c>
      <c r="D20" t="s">
        <v>191</v>
      </c>
      <c r="E20" t="s">
        <v>192</v>
      </c>
      <c r="F20">
        <v>2050</v>
      </c>
      <c r="G20" t="s">
        <v>220</v>
      </c>
      <c r="H20" s="75">
        <f>[7]Outputs!$X$21* (1+Inputs!$C$5)  ^ (F20-B20)</f>
        <v>310.79679657966193</v>
      </c>
      <c r="I20" s="75">
        <f>[7]Outputs!$Y$21* (1+Inputs!$C$5)  ^ (F20-B20)</f>
        <v>31.763717568876785</v>
      </c>
      <c r="J20" s="75">
        <f>[7]Outputs!$Z$21* (1+Inputs!$C$5)  ^(F20-B20)</f>
        <v>320.74468425564066</v>
      </c>
      <c r="K20" s="75">
        <f>[7]Outputs!$AA$21* (1+Inputs!$C$5)  ^ (F20-B20)</f>
        <v>310.75429182815378</v>
      </c>
      <c r="L20" s="75">
        <v>0</v>
      </c>
      <c r="Q20" s="12" t="s">
        <v>199</v>
      </c>
      <c r="R20" s="12" t="s">
        <v>194</v>
      </c>
      <c r="S20" s="84">
        <v>69000000</v>
      </c>
    </row>
    <row r="21" spans="1:20" ht="15.6">
      <c r="A21" t="s">
        <v>218</v>
      </c>
      <c r="B21">
        <v>2021</v>
      </c>
      <c r="C21" t="s">
        <v>219</v>
      </c>
      <c r="D21" t="s">
        <v>191</v>
      </c>
      <c r="E21" t="s">
        <v>192</v>
      </c>
      <c r="F21">
        <v>2050</v>
      </c>
      <c r="G21" t="s">
        <v>222</v>
      </c>
      <c r="H21" s="75">
        <f>[7]Outputs!$AE$21*  (1+Inputs!$C$5) ^ (F21-B21)</f>
        <v>628.73238316672519</v>
      </c>
      <c r="I21" s="75">
        <f>[7]Outputs!$AF$21*  (1+Inputs!$C$5)  ^ (F21-B21)</f>
        <v>270.87594530609221</v>
      </c>
      <c r="J21" s="75">
        <f>[7]Outputs!$AG$21*  (1+Inputs!$C$5)  ^ (F21-B21)</f>
        <v>572.36067226666614</v>
      </c>
      <c r="K21" s="75">
        <f>[7]Outputs!$AH$21*  (1+Inputs!$C$5)  ^ (F21-B21)</f>
        <v>561.98413374977861</v>
      </c>
      <c r="L21" s="75">
        <v>0</v>
      </c>
      <c r="Q21" s="12" t="s">
        <v>199</v>
      </c>
      <c r="R21" s="12" t="s">
        <v>194</v>
      </c>
      <c r="S21" s="84">
        <v>68000000</v>
      </c>
    </row>
    <row r="22" spans="1:20" ht="15.6">
      <c r="A22" t="s">
        <v>225</v>
      </c>
      <c r="B22">
        <v>2023</v>
      </c>
      <c r="C22" s="2" t="s">
        <v>226</v>
      </c>
      <c r="D22" t="s">
        <v>191</v>
      </c>
      <c r="E22" t="s">
        <v>192</v>
      </c>
      <c r="F22">
        <v>2024</v>
      </c>
      <c r="G22" s="76" t="s">
        <v>4</v>
      </c>
      <c r="H22" s="75">
        <f>[8]Outputs!$C$10 * (1+Inputs!C5) ^ ('Standardization Results'!F19-'Standardization Results'!B19)</f>
        <v>1999.3691180389467</v>
      </c>
      <c r="I22" s="75">
        <f>[8]Outputs!$D$10* (1+Inputs!C5) ^ ('Standardization Results'!F19-'Standardization Results'!B19)</f>
        <v>1980.3771359554378</v>
      </c>
      <c r="J22" s="75">
        <f>[8]Outputs!$E$10* (1+Inputs!C5) ^ ('Standardization Results'!F19-'Standardization Results'!B19)</f>
        <v>1827.4015837484339</v>
      </c>
      <c r="K22" s="75">
        <f>[8]Outputs!$F$10* (1+Inputs!C5) ^ ('Standardization Results'!F19-'Standardization Results'!B19)</f>
        <v>1832.9217455708297</v>
      </c>
      <c r="L22" s="75">
        <f>[8]Outputs!$C$14</f>
        <v>464.84064000000006</v>
      </c>
      <c r="M22" s="12"/>
      <c r="N22" s="12"/>
      <c r="O22" s="12"/>
      <c r="P22" s="12"/>
      <c r="Q22" s="12" t="s">
        <v>199</v>
      </c>
      <c r="R22" s="12" t="s">
        <v>194</v>
      </c>
      <c r="S22" s="13" t="s">
        <v>85</v>
      </c>
    </row>
    <row r="23" spans="1:20" ht="15.6">
      <c r="A23" t="s">
        <v>225</v>
      </c>
      <c r="B23">
        <v>2023</v>
      </c>
      <c r="C23" s="2" t="s">
        <v>226</v>
      </c>
      <c r="D23" t="s">
        <v>191</v>
      </c>
      <c r="E23" t="s">
        <v>192</v>
      </c>
      <c r="F23">
        <v>2050</v>
      </c>
      <c r="G23" t="s">
        <v>4</v>
      </c>
      <c r="H23" s="75">
        <f>[8]Outputs!$J$10 * (1+Inputs!C5) ^ ('Standardization Results'!F22-'Standardization Results'!B22)</f>
        <v>209.51491964283636</v>
      </c>
      <c r="I23" s="75">
        <f>[8]Outputs!$K$10* (1+Inputs!C5) ^ ('Standardization Results'!F22-'Standardization Results'!B22)</f>
        <v>196.72580951871265</v>
      </c>
      <c r="J23" s="75">
        <f>[8]Outputs!$L$10* (1+Inputs!C5) ^ ('Standardization Results'!F22-'Standardization Results'!B22)</f>
        <v>384.19949502360646</v>
      </c>
      <c r="K23" s="75">
        <f>[8]Outputs!$M$10* (1+Inputs!C5) ^ ('Standardization Results'!F22-'Standardization Results'!B22)</f>
        <v>385.7848152629291</v>
      </c>
      <c r="L23" s="75">
        <f>[8]Outputs!$C$14</f>
        <v>464.84064000000006</v>
      </c>
      <c r="M23" s="12"/>
      <c r="N23" s="12"/>
      <c r="O23" s="12"/>
      <c r="P23" s="12"/>
      <c r="Q23" s="12" t="s">
        <v>199</v>
      </c>
      <c r="R23" s="12" t="s">
        <v>194</v>
      </c>
      <c r="S23" s="13" t="s">
        <v>85</v>
      </c>
      <c r="T23" s="20"/>
    </row>
    <row r="24" spans="1:20" ht="15.6">
      <c r="A24" t="s">
        <v>227</v>
      </c>
      <c r="B24">
        <v>2024</v>
      </c>
      <c r="C24" s="2" t="s">
        <v>228</v>
      </c>
      <c r="D24" t="s">
        <v>191</v>
      </c>
      <c r="E24" t="s">
        <v>192</v>
      </c>
      <c r="F24">
        <v>2024</v>
      </c>
      <c r="G24" t="s">
        <v>4</v>
      </c>
      <c r="H24" s="75">
        <f>[9]Outputs!$C$10</f>
        <v>1678.5512402252382</v>
      </c>
      <c r="I24" s="75">
        <f>[9]Outputs!$D$10</f>
        <v>1330.6141668859134</v>
      </c>
      <c r="J24" s="75">
        <f>[9]Outputs!$E$10</f>
        <v>2039.9518032184274</v>
      </c>
      <c r="K24" s="75">
        <f>[9]Outputs!$F$10</f>
        <v>2004.6360593119102</v>
      </c>
      <c r="L24" s="75"/>
      <c r="M24" s="12"/>
      <c r="N24" s="12"/>
      <c r="O24" s="12"/>
      <c r="P24" s="12"/>
      <c r="Q24" s="12" t="s">
        <v>199</v>
      </c>
      <c r="R24" s="12" t="s">
        <v>194</v>
      </c>
      <c r="S24" s="9">
        <v>3650000</v>
      </c>
    </row>
    <row r="25" spans="1:20" ht="15.6">
      <c r="A25" t="s">
        <v>229</v>
      </c>
      <c r="B25">
        <v>2023</v>
      </c>
      <c r="C25" t="s">
        <v>230</v>
      </c>
      <c r="D25" t="s">
        <v>207</v>
      </c>
      <c r="E25" t="s">
        <v>192</v>
      </c>
      <c r="F25">
        <v>2024</v>
      </c>
      <c r="G25" t="s">
        <v>4</v>
      </c>
      <c r="H25" s="75">
        <f>[10]Outputs!$C$10</f>
        <v>838.68815198564619</v>
      </c>
      <c r="I25" s="75">
        <f>[10]Outputs!$D$10</f>
        <v>793.08715685043853</v>
      </c>
      <c r="J25" s="75">
        <f>[10]Outputs!$E$10</f>
        <v>549.23621704848517</v>
      </c>
      <c r="K25" s="75">
        <f>[10]Outputs!$F$10</f>
        <v>614.21668568408393</v>
      </c>
      <c r="L25" s="75">
        <f>[10]Outputs!$C$14</f>
        <v>468.3096000000001</v>
      </c>
      <c r="M25" s="12">
        <f>'[10]MFSP WACC Corrected'!$B$39</f>
        <v>-0.1147588119989327</v>
      </c>
      <c r="N25" s="12">
        <f>'[10]MFSP WACC Corrected'!$B$40</f>
        <v>0.39312614070375373</v>
      </c>
      <c r="O25" s="12">
        <f>'[10]MFSP WACC Corrected'!$B$38</f>
        <v>0.44920103621924701</v>
      </c>
      <c r="P25" s="12">
        <f>'[10]MFSP WACC Corrected'!$B$41</f>
        <v>0.27243163507593215</v>
      </c>
      <c r="Q25" s="12" t="s">
        <v>193</v>
      </c>
      <c r="R25" s="12" t="s">
        <v>208</v>
      </c>
      <c r="S25" s="9">
        <v>31354838</v>
      </c>
      <c r="T25" t="s">
        <v>231</v>
      </c>
    </row>
    <row r="26" spans="1:20" ht="15.6">
      <c r="A26" t="s">
        <v>229</v>
      </c>
      <c r="B26">
        <v>2023</v>
      </c>
      <c r="C26" t="s">
        <v>230</v>
      </c>
      <c r="D26" t="s">
        <v>207</v>
      </c>
      <c r="E26" t="s">
        <v>192</v>
      </c>
      <c r="F26">
        <v>2050</v>
      </c>
      <c r="G26" t="s">
        <v>4</v>
      </c>
      <c r="H26" s="75">
        <f>[10]Outputs!$J$10 * (1+Inputs!$C$5) ^ (F26-B26)</f>
        <v>982.35140207674465</v>
      </c>
      <c r="I26" s="75">
        <f>[10]Outputs!$K$10 * (1+Inputs!$C$5) ^ (F26-B26)</f>
        <v>982.36402727795939</v>
      </c>
      <c r="J26" s="75">
        <f>[10]Outputs!$L$10 * (1+Inputs!$C$5) ^ (F26-B26)</f>
        <v>976.9429583264623</v>
      </c>
      <c r="K26" s="75">
        <f>[10]Outputs!$M$10 * (1+Inputs!$C$5) ^ (F26-B26)</f>
        <v>1076.4346025142365</v>
      </c>
      <c r="L26" s="75">
        <f>[10]Outputs!$C$14</f>
        <v>468.3096000000001</v>
      </c>
      <c r="M26" s="12">
        <f>'[10]MFSP WACC Corrected'!$B$53</f>
        <v>-3.6841458442802914E-5</v>
      </c>
      <c r="N26" s="12">
        <f>'[10]MFSP WACC Corrected'!$B$54</f>
        <v>0.40892530327735788</v>
      </c>
      <c r="O26" s="12">
        <f>'[10]MFSP WACC Corrected'!$B$52</f>
        <v>0.41554005633091412</v>
      </c>
      <c r="P26" s="12">
        <f>'[10]MFSP WACC Corrected'!$B$55</f>
        <v>0.1755714818501713</v>
      </c>
      <c r="Q26" s="12" t="s">
        <v>193</v>
      </c>
      <c r="R26" s="12" t="s">
        <v>208</v>
      </c>
      <c r="S26" s="9">
        <v>31354838</v>
      </c>
    </row>
    <row r="27" spans="1:20" ht="15.6">
      <c r="A27" t="s">
        <v>229</v>
      </c>
      <c r="B27">
        <v>2023</v>
      </c>
      <c r="C27" t="s">
        <v>230</v>
      </c>
      <c r="D27" t="s">
        <v>207</v>
      </c>
      <c r="E27" t="s">
        <v>192</v>
      </c>
      <c r="F27">
        <v>2050</v>
      </c>
      <c r="G27" t="s">
        <v>232</v>
      </c>
      <c r="H27" s="75">
        <f>[10]Outputs!$Q$10 * (1+Inputs!$C$5) ^ ('Standardization Results'!F18-'Standardization Results'!B18)</f>
        <v>858.71365553275564</v>
      </c>
      <c r="I27" s="75">
        <f>[10]Outputs!$R$10* (1+Inputs!$C$5) ^ ('Standardization Results'!F18-'Standardization Results'!B18)</f>
        <v>858.72679079209968</v>
      </c>
      <c r="J27" s="75">
        <f>[10]Outputs!$S$10* (1+Inputs!$C$5) ^ ('Standardization Results'!F18-'Standardization Results'!B18)</f>
        <v>853.08671065496173</v>
      </c>
      <c r="K27" s="75">
        <f>[10]Outputs!$T$10* (1+Inputs!$C$5) ^ ('Standardization Results'!F18-'Standardization Results'!B18)</f>
        <v>929.58904238170317</v>
      </c>
      <c r="L27" s="75">
        <f>[10]Outputs!$C$14</f>
        <v>468.3096000000001</v>
      </c>
      <c r="M27" s="12"/>
      <c r="N27" s="12"/>
      <c r="O27" s="12"/>
      <c r="P27" s="12"/>
      <c r="Q27" s="12" t="s">
        <v>193</v>
      </c>
      <c r="R27" s="12" t="s">
        <v>208</v>
      </c>
      <c r="S27" s="9">
        <v>31354838</v>
      </c>
    </row>
    <row r="28" spans="1:20" ht="15.6">
      <c r="A28" t="s">
        <v>233</v>
      </c>
      <c r="B28">
        <v>2024</v>
      </c>
      <c r="D28" t="s">
        <v>191</v>
      </c>
      <c r="E28" t="s">
        <v>192</v>
      </c>
      <c r="F28">
        <v>2024</v>
      </c>
      <c r="G28" t="s">
        <v>234</v>
      </c>
      <c r="H28" s="75">
        <f>[11]Outputs!$Q$10</f>
        <v>2681.2487830302389</v>
      </c>
      <c r="I28" s="75">
        <f>[11]Outputs!$R$10</f>
        <v>2495.6577011733561</v>
      </c>
      <c r="J28" s="75">
        <f>[11]Outputs!$S$10</f>
        <v>2013.7954676453287</v>
      </c>
      <c r="K28" s="75">
        <f>[11]Outputs!$T$10</f>
        <v>1988.4544055046374</v>
      </c>
      <c r="L28" s="75">
        <f>[11]Outputs!$C$26</f>
        <v>215.38772640000005</v>
      </c>
      <c r="M28" s="12"/>
      <c r="N28" s="12"/>
      <c r="O28" s="12"/>
      <c r="P28" s="12"/>
      <c r="Q28" s="12" t="s">
        <v>199</v>
      </c>
      <c r="R28" s="12" t="s">
        <v>235</v>
      </c>
      <c r="S28" s="9">
        <v>157410000</v>
      </c>
    </row>
    <row r="29" spans="1:20" ht="16.899999999999999" customHeight="1">
      <c r="A29" t="s">
        <v>233</v>
      </c>
      <c r="B29">
        <v>2024</v>
      </c>
      <c r="D29" t="s">
        <v>191</v>
      </c>
      <c r="E29" t="s">
        <v>192</v>
      </c>
      <c r="F29">
        <v>2024</v>
      </c>
      <c r="G29" t="s">
        <v>236</v>
      </c>
      <c r="H29" s="75">
        <f>[11]Outputs!$C$10</f>
        <v>3266.1214388486155</v>
      </c>
      <c r="I29" s="75">
        <f>[11]Outputs!$D$10</f>
        <v>2576.9841253415252</v>
      </c>
      <c r="J29" s="75">
        <f>[11]Outputs!$E$10</f>
        <v>1969.1597778560372</v>
      </c>
      <c r="K29" s="75">
        <f>[11]Outputs!$F$10</f>
        <v>1947.4924520239535</v>
      </c>
      <c r="L29" s="75">
        <f>[11]Outputs!$C$26</f>
        <v>215.38772640000005</v>
      </c>
      <c r="M29" s="12"/>
      <c r="N29" s="12"/>
      <c r="O29" s="12"/>
      <c r="P29" s="12"/>
      <c r="Q29" s="12" t="s">
        <v>199</v>
      </c>
      <c r="R29" s="12" t="s">
        <v>235</v>
      </c>
      <c r="S29" s="9">
        <v>157410000</v>
      </c>
      <c r="T29" t="s">
        <v>237</v>
      </c>
    </row>
    <row r="30" spans="1:20" ht="16.899999999999999" customHeight="1">
      <c r="A30" t="s">
        <v>233</v>
      </c>
      <c r="B30">
        <v>2024</v>
      </c>
      <c r="D30" t="s">
        <v>191</v>
      </c>
      <c r="E30" t="s">
        <v>192</v>
      </c>
      <c r="F30">
        <v>2050</v>
      </c>
      <c r="G30" t="s">
        <v>236</v>
      </c>
      <c r="H30" s="75">
        <f>[11]Outputs!$C$22 * (1+Inputs!$C$5) ^ ('Standardization Results'!F36-'Standardization Results'!B36)</f>
        <v>1120.7136225660461</v>
      </c>
      <c r="I30" s="75">
        <f>[11]Outputs!$D$22* (1+Inputs!$C$5) ^ ('Standardization Results'!F36-'Standardization Results'!B36)</f>
        <v>983.41615931336651</v>
      </c>
      <c r="J30" s="75">
        <f>[11]Outputs!$E$22* (1+Inputs!$C$5) ^ ('Standardization Results'!F36-'Standardization Results'!B36)</f>
        <v>1214.6326684475753</v>
      </c>
      <c r="K30" s="75">
        <f>[11]Outputs!$F$22* (1+Inputs!$C$5) ^ ('Standardization Results'!F36-'Standardization Results'!B36)</f>
        <v>1197.759736244996</v>
      </c>
      <c r="L30" s="75">
        <f>[11]Outputs!$C$26</f>
        <v>215.38772640000005</v>
      </c>
      <c r="M30" s="12"/>
      <c r="N30" s="12"/>
      <c r="O30" s="12"/>
      <c r="P30" s="12"/>
      <c r="Q30" s="12" t="s">
        <v>199</v>
      </c>
      <c r="R30" s="12" t="s">
        <v>235</v>
      </c>
      <c r="S30" s="9">
        <v>157410000</v>
      </c>
    </row>
    <row r="31" spans="1:20" ht="15.6">
      <c r="A31" t="s">
        <v>233</v>
      </c>
      <c r="B31">
        <v>2024</v>
      </c>
      <c r="D31" t="s">
        <v>191</v>
      </c>
      <c r="E31" t="s">
        <v>192</v>
      </c>
      <c r="F31">
        <v>2050</v>
      </c>
      <c r="G31" t="s">
        <v>238</v>
      </c>
      <c r="H31" s="75">
        <f>[11]Outputs!$J$22* (1+Inputs!$C$5) ^ ('Standardization Results'!F37-'Standardization Results'!B37)</f>
        <v>952.97687263463717</v>
      </c>
      <c r="I31" s="75">
        <f>[11]Outputs!$K$22* (1+Inputs!$C$5) ^ ('Standardization Results'!F37-'Standardization Results'!B37)</f>
        <v>964.92097557092802</v>
      </c>
      <c r="J31" s="75">
        <f>[11]Outputs!$L$22* (1+Inputs!$C$5) ^ ('Standardization Results'!F37-'Standardization Results'!B37)</f>
        <v>1151.5013334145676</v>
      </c>
      <c r="K31" s="75">
        <f>[11]Outputs!$M$22* (1+Inputs!$C$5) ^ ('Standardization Results'!F37-'Standardization Results'!B37)</f>
        <v>1134.6284012119879</v>
      </c>
      <c r="L31" s="75">
        <f>[11]Outputs!$C$26</f>
        <v>215.38772640000005</v>
      </c>
      <c r="M31" s="12">
        <f>'[11]Cost Breakdowns'!$B$22</f>
        <v>0.40154651277811515</v>
      </c>
      <c r="N31" s="12">
        <f>'[11]Cost Breakdowns'!$B$21</f>
        <v>0.31639384055629749</v>
      </c>
      <c r="O31" s="12">
        <f>'[11]Cost Breakdowns'!$B$23</f>
        <v>9.22233423318084E-2</v>
      </c>
      <c r="P31" s="12">
        <f>'[11]Cost Breakdowns'!$B$24</f>
        <v>0.18983630433377849</v>
      </c>
      <c r="Q31" s="12" t="s">
        <v>199</v>
      </c>
      <c r="R31" s="12" t="s">
        <v>235</v>
      </c>
      <c r="S31" s="9">
        <v>157410000</v>
      </c>
    </row>
    <row r="32" spans="1:20" ht="15.6">
      <c r="A32" t="s">
        <v>233</v>
      </c>
      <c r="B32">
        <v>2024</v>
      </c>
      <c r="D32" t="s">
        <v>191</v>
      </c>
      <c r="E32" t="s">
        <v>192</v>
      </c>
      <c r="F32">
        <v>2050</v>
      </c>
      <c r="G32" t="s">
        <v>234</v>
      </c>
      <c r="H32" s="75">
        <f>[11]Outputs!$Q$22 * (1+Inputs!$C$5) ^ ('Standardization Results'!F38-'Standardization Results'!B38)</f>
        <v>1383.9118225223065</v>
      </c>
      <c r="I32" s="75">
        <f>[11]Outputs!$R$22* (1+Inputs!$C$5) ^ ('Standardization Results'!F38-'Standardization Results'!B38)</f>
        <v>1400.7491003650325</v>
      </c>
      <c r="J32" s="75">
        <f>[11]Outputs!$S$22* (1+Inputs!$C$5) ^ ('Standardization Results'!F38-'Standardization Results'!B38)</f>
        <v>1708.522319404834</v>
      </c>
      <c r="K32" s="75">
        <f>[11]Outputs!$T$22* (1+Inputs!$C$5) ^ ('Standardization Results'!F38-'Standardization Results'!B38)</f>
        <v>1681.9373813602908</v>
      </c>
      <c r="L32" s="75">
        <f>[11]Outputs!$C$26</f>
        <v>215.38772640000005</v>
      </c>
      <c r="M32" s="12"/>
      <c r="N32" s="12"/>
      <c r="O32" s="12"/>
      <c r="P32" s="12"/>
      <c r="Q32" s="12" t="s">
        <v>199</v>
      </c>
      <c r="R32" s="12" t="s">
        <v>235</v>
      </c>
      <c r="S32" s="9">
        <v>157410000</v>
      </c>
    </row>
    <row r="33" spans="1:20" ht="15.6">
      <c r="A33" t="s">
        <v>233</v>
      </c>
      <c r="B33">
        <v>2024</v>
      </c>
      <c r="D33" t="s">
        <v>191</v>
      </c>
      <c r="E33" t="s">
        <v>192</v>
      </c>
      <c r="F33">
        <v>2024</v>
      </c>
      <c r="G33" t="s">
        <v>238</v>
      </c>
      <c r="H33" s="75">
        <f>[11]Outputs!$J$10</f>
        <v>2797.4452258049691</v>
      </c>
      <c r="I33" s="75">
        <f>[11]Outputs!$K$10</f>
        <v>2548.3624580496798</v>
      </c>
      <c r="J33" s="75">
        <f>[11]Outputs!$L$10</f>
        <v>2081.053854295114</v>
      </c>
      <c r="K33" s="75">
        <f>[11]Outputs!$M$10</f>
        <v>2059.386528463031</v>
      </c>
      <c r="L33" s="75">
        <f>[11]Outputs!$C$26</f>
        <v>215.38772640000005</v>
      </c>
      <c r="M33" s="12">
        <f>'[11]Cost Breakdowns'!$B$10</f>
        <v>0.36579718129764949</v>
      </c>
      <c r="N33" s="12">
        <f>'[11]Cost Breakdowns'!$B$9</f>
        <v>0.39350093841063322</v>
      </c>
      <c r="O33" s="12">
        <f>'[11]Cost Breakdowns'!$B$11</f>
        <v>7.9277063511900503E-2</v>
      </c>
      <c r="P33" s="12">
        <f>'[11]Cost Breakdowns'!$B$12</f>
        <v>0.16142481677981668</v>
      </c>
      <c r="Q33" s="12" t="s">
        <v>199</v>
      </c>
      <c r="R33" s="12" t="s">
        <v>235</v>
      </c>
      <c r="S33" s="9">
        <v>157410000</v>
      </c>
    </row>
    <row r="34" spans="1:20" ht="15.6">
      <c r="A34" t="s">
        <v>239</v>
      </c>
      <c r="B34">
        <v>2022</v>
      </c>
      <c r="C34" t="s">
        <v>240</v>
      </c>
      <c r="D34" t="s">
        <v>191</v>
      </c>
      <c r="E34" t="s">
        <v>192</v>
      </c>
      <c r="F34">
        <v>2024</v>
      </c>
      <c r="G34" t="s">
        <v>178</v>
      </c>
      <c r="H34" s="75">
        <f>[12]Outputs!$C$10 * (1+Inputs!C5) ^ ('Standardization Results'!F33-'Standardization Results'!B33)</f>
        <v>642.42374178153898</v>
      </c>
      <c r="I34" s="75">
        <f>[12]Outputs!$D$10* (1+Inputs!C5) ^ ('Standardization Results'!F33-'Standardization Results'!B33)</f>
        <v>1011.8768751597115</v>
      </c>
      <c r="J34" s="75">
        <f>[12]Outputs!$E$10 * (1+Inputs!C5) ^ ('Standardization Results'!F33-'Standardization Results'!B33)</f>
        <v>3588.7386454776965</v>
      </c>
      <c r="K34" s="75">
        <f>[12]Outputs!$F$10* (1+Inputs!C5) ^ ('Standardization Results'!F33-'Standardization Results'!B33)</f>
        <v>3626.2481376136388</v>
      </c>
      <c r="L34" s="75"/>
      <c r="M34" s="12">
        <f>'[12]Cost of Manufacturing Models'!$F$10</f>
        <v>6.6800203467038397E-2</v>
      </c>
      <c r="N34" s="12">
        <f>'[12]Cost of Manufacturing Models'!$F$9</f>
        <v>0.46591806920061163</v>
      </c>
      <c r="O34" s="12">
        <f>'[12]Cost of Manufacturing Models'!$F$11</f>
        <v>0.43493529419052063</v>
      </c>
      <c r="P34" s="12">
        <f>'[12]Cost of Manufacturing Models'!$F$12</f>
        <v>3.2346433141829486E-2</v>
      </c>
      <c r="Q34" s="12" t="s">
        <v>199</v>
      </c>
      <c r="R34" s="12" t="s">
        <v>194</v>
      </c>
      <c r="S34" s="9">
        <v>208032000</v>
      </c>
      <c r="T34" t="s">
        <v>241</v>
      </c>
    </row>
    <row r="35" spans="1:20" ht="15.6">
      <c r="A35" t="s">
        <v>242</v>
      </c>
      <c r="B35">
        <v>2023</v>
      </c>
      <c r="C35" s="1" t="s">
        <v>243</v>
      </c>
      <c r="D35" t="s">
        <v>191</v>
      </c>
      <c r="E35" t="s">
        <v>192</v>
      </c>
      <c r="F35">
        <v>2024</v>
      </c>
      <c r="G35" t="s">
        <v>4</v>
      </c>
      <c r="H35" s="75">
        <f>[13]Outputs!$C$10 * (1+Inputs!C5) ^ ('Standardization Results'!F30-'Standardization Results'!B30)</f>
        <v>2879.4702235250661</v>
      </c>
      <c r="I35" s="75">
        <f>[13]Outputs!$D$10 * (1+Inputs!C5) ^ ('Standardization Results'!F30-'Standardization Results'!B30)</f>
        <v>2389.2886187401759</v>
      </c>
      <c r="J35" s="75">
        <f>[13]Outputs!$E$10 * (1+Inputs!C5) ^ ('Standardization Results'!F20-'Standardization Results'!B20)</f>
        <v>5490.974145021808</v>
      </c>
      <c r="K35" s="75">
        <f>[13]Outputs!$F$10 * (1+Inputs!C5) ^ ('Standardization Results'!F30-'Standardization Results'!B30)</f>
        <v>5101.9876947217817</v>
      </c>
      <c r="L35" s="75"/>
      <c r="M35" s="12">
        <f>'[13]MJSP WACC Corrected'!$B$20</f>
        <v>0.28620652613279013</v>
      </c>
      <c r="N35" s="12">
        <f>'[13]MJSP WACC Corrected'!$B$19</f>
        <v>0.47089020808174514</v>
      </c>
      <c r="O35" s="12">
        <f>'[13]MJSP WACC Corrected'!$B$21</f>
        <v>2.5500913984063858E-2</v>
      </c>
      <c r="P35" s="12">
        <f>'[13]MJSP WACC Corrected'!$B$22</f>
        <v>0.21740235180140077</v>
      </c>
      <c r="Q35" s="12" t="s">
        <v>199</v>
      </c>
      <c r="R35" s="12" t="s">
        <v>235</v>
      </c>
      <c r="S35" s="9">
        <v>25105853.051058531</v>
      </c>
      <c r="T35" t="s">
        <v>244</v>
      </c>
    </row>
    <row r="36" spans="1:20" ht="15.6">
      <c r="A36" t="s">
        <v>245</v>
      </c>
      <c r="B36">
        <v>2024</v>
      </c>
      <c r="C36" s="1" t="s">
        <v>246</v>
      </c>
      <c r="D36" t="s">
        <v>191</v>
      </c>
      <c r="E36" t="s">
        <v>198</v>
      </c>
      <c r="F36">
        <v>2024</v>
      </c>
      <c r="G36" t="s">
        <v>247</v>
      </c>
      <c r="H36" s="75">
        <f>[14]Outputs!$C$10</f>
        <v>6201.6746704843536</v>
      </c>
      <c r="I36" s="75">
        <f>[14]Outputs!$D$10</f>
        <v>3818.5620604832807</v>
      </c>
      <c r="J36" s="75">
        <f>[14]Outputs!$E$10</f>
        <v>3865.4180894995325</v>
      </c>
      <c r="K36" s="75">
        <f>[14]Outputs!$F$10</f>
        <v>3949.4052401580666</v>
      </c>
      <c r="L36" s="75"/>
      <c r="M36" s="12">
        <f>'[14]Cost Breakdown'!$B$10</f>
        <v>0.18840661595310274</v>
      </c>
      <c r="N36" s="12">
        <f>'[14]Cost Breakdown'!$B$9</f>
        <v>0.68456138294840485</v>
      </c>
      <c r="O36" s="12">
        <f>'[14]Cost Breakdown'!$B$11</f>
        <v>0.11897366506350344</v>
      </c>
      <c r="P36" s="12">
        <f>'[14]Cost Breakdown'!$B$12</f>
        <v>8.0583360349887213E-3</v>
      </c>
      <c r="Q36" s="12" t="s">
        <v>199</v>
      </c>
      <c r="R36" s="12" t="s">
        <v>194</v>
      </c>
      <c r="S36" s="84">
        <v>1250000000</v>
      </c>
      <c r="T36" t="s">
        <v>248</v>
      </c>
    </row>
    <row r="37" spans="1:20" ht="15.6">
      <c r="A37" t="s">
        <v>245</v>
      </c>
      <c r="B37">
        <v>2024</v>
      </c>
      <c r="C37" s="1" t="s">
        <v>246</v>
      </c>
      <c r="D37" t="s">
        <v>191</v>
      </c>
      <c r="E37" t="s">
        <v>198</v>
      </c>
      <c r="F37">
        <v>2024</v>
      </c>
      <c r="G37" t="s">
        <v>249</v>
      </c>
      <c r="H37" s="75">
        <f>[14]Outputs!$J$10</f>
        <v>5186.3474368779916</v>
      </c>
      <c r="I37" s="75">
        <f>[14]Outputs!$K$10</f>
        <v>3438.5192545251684</v>
      </c>
      <c r="J37" s="75">
        <f>[14]Outputs!$L$10</f>
        <v>5951.2256810399012</v>
      </c>
      <c r="K37" s="75">
        <f>[14]Outputs!$M$10</f>
        <v>6013.8337548512636</v>
      </c>
      <c r="L37" s="75"/>
      <c r="M37" s="12">
        <f>'[14]Cost Breakdown'!$B$22</f>
        <v>0.10119430449322714</v>
      </c>
      <c r="N37" s="12">
        <f>'[14]Cost Breakdown'!$B$21</f>
        <v>0.61193522966613301</v>
      </c>
      <c r="O37" s="12">
        <f>'[14]Cost Breakdown'!$B$23</f>
        <v>0.27234050130799337</v>
      </c>
      <c r="P37" s="12">
        <f>'[14]Cost Breakdown'!$B$24</f>
        <v>1.4529964532646183E-2</v>
      </c>
      <c r="Q37" s="12" t="s">
        <v>199</v>
      </c>
      <c r="R37" s="12" t="s">
        <v>194</v>
      </c>
      <c r="S37" s="84">
        <v>1250000000</v>
      </c>
    </row>
    <row r="38" spans="1:20" ht="15.6">
      <c r="A38" t="s">
        <v>250</v>
      </c>
      <c r="B38">
        <v>2024</v>
      </c>
      <c r="C38" s="2" t="s">
        <v>251</v>
      </c>
      <c r="D38" t="s">
        <v>191</v>
      </c>
      <c r="E38" t="s">
        <v>192</v>
      </c>
      <c r="F38">
        <v>2050</v>
      </c>
      <c r="G38" t="s">
        <v>252</v>
      </c>
      <c r="H38" s="75">
        <f>[15]Outputs!$C$21*((1+Inputs!$C$5)^($F$10-Inputs!$C$4))</f>
        <v>832.71052901141434</v>
      </c>
      <c r="I38" s="75">
        <f>[15]Outputs!$D$21*((1+Inputs!$C$5)^($F$10-Inputs!$C$4))</f>
        <v>712.36778311330647</v>
      </c>
      <c r="J38" s="75">
        <f>[15]Outputs!$E$21*((1+Inputs!$C$5)^($F$10-Inputs!$C$4))</f>
        <v>795.36024894843092</v>
      </c>
      <c r="K38" s="75">
        <f>[15]Outputs!$F$21*((1+Inputs!$C$5)^($F$10-Inputs!$C$4))</f>
        <v>719.69501763796802</v>
      </c>
      <c r="L38" s="75">
        <f>[15]Outputs!$C$32</f>
        <v>110.7220404859698</v>
      </c>
      <c r="M38" s="12">
        <f>'[15]Cost Breakdown'!$B$22</f>
        <v>0.453157435049302</v>
      </c>
      <c r="N38" s="12">
        <f>'[15]Cost Breakdown'!$B$21</f>
        <v>0.31792431480918254</v>
      </c>
      <c r="O38" s="12">
        <f>'[15]Cost Breakdown'!$B$23</f>
        <v>0.18882300026014279</v>
      </c>
      <c r="P38" s="12">
        <f>'[15]Cost Breakdown'!$B$24</f>
        <v>4.0095249881371829E-2</v>
      </c>
      <c r="Q38" s="12" t="s">
        <v>193</v>
      </c>
      <c r="R38" s="12" t="s">
        <v>194</v>
      </c>
      <c r="S38" s="9">
        <v>1000000</v>
      </c>
    </row>
    <row r="39" spans="1:20" ht="15.6">
      <c r="A39" t="s">
        <v>250</v>
      </c>
      <c r="B39">
        <v>2024</v>
      </c>
      <c r="C39" s="2" t="s">
        <v>251</v>
      </c>
      <c r="D39" t="s">
        <v>191</v>
      </c>
      <c r="E39" t="s">
        <v>192</v>
      </c>
      <c r="F39">
        <v>2050</v>
      </c>
      <c r="G39" t="s">
        <v>253</v>
      </c>
      <c r="H39" s="75">
        <f>[15]Outputs!$J$21*((1+Inputs!$C$5)^($F$11-Inputs!$C$4))</f>
        <v>1651.2877075211616</v>
      </c>
      <c r="I39" s="75">
        <f>[15]Outputs!$K$21*((1+Inputs!$C$5)^($F$11-Inputs!$C$4))</f>
        <v>1201.2151219946848</v>
      </c>
      <c r="J39" s="75">
        <f>[15]Outputs!$L$21*((1+Inputs!$C$5)^($F$11-Inputs!$C$4))</f>
        <v>1340.0962176780906</v>
      </c>
      <c r="K39" s="75">
        <f>[15]Outputs!$M$21*((1+Inputs!$C$5)^($F$11-Inputs!$C$4))</f>
        <v>1212.3243295609946</v>
      </c>
      <c r="L39" s="75">
        <f>[15]Outputs!$J$32</f>
        <v>126.07288739834831</v>
      </c>
      <c r="M39" s="12"/>
      <c r="N39" s="12"/>
      <c r="O39" s="12"/>
      <c r="P39" s="12"/>
      <c r="Q39" s="12" t="s">
        <v>193</v>
      </c>
      <c r="R39" s="12" t="s">
        <v>194</v>
      </c>
      <c r="S39" s="9">
        <v>1000000</v>
      </c>
    </row>
    <row r="40" spans="1:20" ht="15.6">
      <c r="A40" t="s">
        <v>250</v>
      </c>
      <c r="B40">
        <v>2024</v>
      </c>
      <c r="C40" s="2" t="s">
        <v>251</v>
      </c>
      <c r="D40" t="s">
        <v>191</v>
      </c>
      <c r="E40" t="s">
        <v>192</v>
      </c>
      <c r="F40">
        <v>2050</v>
      </c>
      <c r="G40" t="s">
        <v>254</v>
      </c>
      <c r="H40" s="75">
        <f>[15]Outputs!$Q$21*((1+Inputs!$C$5)^($F$10-Inputs!$C$4))</f>
        <v>832.16393601308198</v>
      </c>
      <c r="I40" s="75">
        <f>[15]Outputs!$R$21*((1+Inputs!$C$5)^($F$10-Inputs!$C$4))</f>
        <v>711.82119011497434</v>
      </c>
      <c r="J40" s="75">
        <f>[15]Outputs!$S$21*((1+Inputs!$C$5)^($F$10-Inputs!$C$4))</f>
        <v>794.81365595009834</v>
      </c>
      <c r="K40" s="75">
        <f>[15]Outputs!$T$21*((1+Inputs!$C$5)^($F$10-Inputs!$C$4))</f>
        <v>719.33070169579094</v>
      </c>
      <c r="L40" s="75">
        <f>[15]Outputs!$Q$32</f>
        <v>110.66757856129041</v>
      </c>
      <c r="M40" s="12"/>
      <c r="N40" s="12"/>
      <c r="O40" s="12"/>
      <c r="P40" s="12"/>
      <c r="Q40" s="12" t="s">
        <v>193</v>
      </c>
      <c r="R40" s="12" t="s">
        <v>194</v>
      </c>
      <c r="S40" s="9">
        <v>1000000</v>
      </c>
    </row>
    <row r="41" spans="1:20" ht="15.6">
      <c r="A41" t="s">
        <v>250</v>
      </c>
      <c r="B41">
        <v>2024</v>
      </c>
      <c r="C41" s="2" t="s">
        <v>251</v>
      </c>
      <c r="D41" t="s">
        <v>191</v>
      </c>
      <c r="E41" t="s">
        <v>192</v>
      </c>
      <c r="F41">
        <v>2024</v>
      </c>
      <c r="G41" t="s">
        <v>253</v>
      </c>
      <c r="H41" s="75">
        <f>[15]Outputs!$J$10*((1+Inputs!$C$5)^(F41-B41))</f>
        <v>1309.1063656583035</v>
      </c>
      <c r="I41" s="75">
        <f>[15]Outputs!$K$10*((1+Inputs!$C$5)^(F41-B41))</f>
        <v>1104.4864616319737</v>
      </c>
      <c r="J41" s="75">
        <f>[15]Outputs!$L$10*((1+Inputs!$C$5)^(F41-B41))</f>
        <v>1387.9542345493473</v>
      </c>
      <c r="K41" s="75">
        <f>[15]Outputs!$M$10*((1+Inputs!$C$5)^(F41-B41))</f>
        <v>1287.5803356267957</v>
      </c>
      <c r="L41" s="75">
        <f>[15]Outputs!$C$25</f>
        <v>204.66864000000004</v>
      </c>
      <c r="M41" s="12"/>
      <c r="N41" s="12"/>
      <c r="O41" s="12"/>
      <c r="P41" s="12"/>
      <c r="Q41" s="12" t="s">
        <v>193</v>
      </c>
      <c r="R41" s="12" t="s">
        <v>194</v>
      </c>
      <c r="S41" s="9">
        <v>1000000</v>
      </c>
    </row>
    <row r="42" spans="1:20" ht="15.6">
      <c r="A42" t="s">
        <v>250</v>
      </c>
      <c r="B42">
        <v>2024</v>
      </c>
      <c r="C42" s="2" t="s">
        <v>251</v>
      </c>
      <c r="D42" t="s">
        <v>191</v>
      </c>
      <c r="E42" t="s">
        <v>192</v>
      </c>
      <c r="F42">
        <v>2024</v>
      </c>
      <c r="G42" t="s">
        <v>252</v>
      </c>
      <c r="H42" s="75">
        <f>[15]Outputs!$C$10*((1+Inputs!$C$5)^(F42-'Standardization Results'!B23))</f>
        <v>1540.712673931587</v>
      </c>
      <c r="I42" s="75">
        <f>[15]Outputs!$D$10*((1+Inputs!$C$5)^(F42-'Standardization Results'!B23))</f>
        <v>1280.3735130161419</v>
      </c>
      <c r="J42" s="75">
        <f>[15]Outputs!$E$10*((1+Inputs!$C$5)^(F42-'Standardization Results'!B23))</f>
        <v>1569.5106413918625</v>
      </c>
      <c r="K42" s="75">
        <f>[15]Outputs!$F$10*((1+Inputs!$C$5)^(F42-'Standardization Results'!B23))</f>
        <v>1440.6043072792206</v>
      </c>
      <c r="L42" s="75">
        <f>[15]Outputs!$C$25</f>
        <v>204.66864000000004</v>
      </c>
      <c r="M42" s="12">
        <f>'[15]Cost Breakdown'!$B$10</f>
        <v>0.32479490165050773</v>
      </c>
      <c r="N42" s="12">
        <f>'[15]Cost Breakdown'!$B$9</f>
        <v>0.25998798896918529</v>
      </c>
      <c r="O42" s="12">
        <f>'[15]Cost Breakdown'!$B$11</f>
        <v>0.36706731153971806</v>
      </c>
      <c r="P42" s="12">
        <f>'[15]Cost Breakdown'!$B$12</f>
        <v>4.8149797840587399E-2</v>
      </c>
      <c r="Q42" s="12" t="s">
        <v>193</v>
      </c>
      <c r="R42" s="12" t="s">
        <v>194</v>
      </c>
      <c r="S42" s="9">
        <v>1000000</v>
      </c>
      <c r="T42" t="s">
        <v>255</v>
      </c>
    </row>
    <row r="43" spans="1:20" ht="15.6">
      <c r="A43" t="s">
        <v>250</v>
      </c>
      <c r="B43">
        <v>2024</v>
      </c>
      <c r="C43" s="2" t="s">
        <v>251</v>
      </c>
      <c r="D43" t="s">
        <v>191</v>
      </c>
      <c r="E43" t="s">
        <v>192</v>
      </c>
      <c r="F43">
        <v>2024</v>
      </c>
      <c r="G43" t="s">
        <v>254</v>
      </c>
      <c r="H43" s="75">
        <f>[15]Outputs!$Q$10*((1+Inputs!$C$5)^(Inputs!$C$4-'Standardization Results'!B24))</f>
        <v>1286.1593005235322</v>
      </c>
      <c r="I43" s="75">
        <f>[15]Outputs!$R$10*((1+Inputs!$C$5)^(Inputs!$C$4-'Standardization Results'!B24))</f>
        <v>1276.9021662236783</v>
      </c>
      <c r="J43" s="75">
        <f>[15]Outputs!$S$10*((1+Inputs!$C$5)^(Inputs!$C$4-'Standardization Results'!B24))</f>
        <v>1560.3699391410519</v>
      </c>
      <c r="K43" s="75">
        <f>[15]Outputs!$T$10*((1+Inputs!$C$5)^(Inputs!$C$4-'Standardization Results'!B24))</f>
        <v>1430.6696871838253</v>
      </c>
      <c r="L43" s="75">
        <f>[15]Outputs!$C$25</f>
        <v>204.66864000000004</v>
      </c>
      <c r="M43" s="12"/>
      <c r="N43" s="12"/>
      <c r="O43" s="12"/>
      <c r="P43" s="12"/>
      <c r="Q43" s="12" t="s">
        <v>193</v>
      </c>
      <c r="R43" s="12" t="s">
        <v>194</v>
      </c>
      <c r="S43" s="9">
        <v>1000000</v>
      </c>
    </row>
    <row r="44" spans="1:20" ht="15.6">
      <c r="A44" t="s">
        <v>256</v>
      </c>
      <c r="B44">
        <v>2024</v>
      </c>
      <c r="C44" s="1" t="s">
        <v>257</v>
      </c>
      <c r="D44" t="s">
        <v>191</v>
      </c>
      <c r="E44" t="s">
        <v>192</v>
      </c>
      <c r="F44">
        <v>2050</v>
      </c>
      <c r="G44" t="s">
        <v>4</v>
      </c>
      <c r="H44" s="75">
        <f>[16]Outputs!$K$10*(1+Inputs!$C$5)^(2050-'Standardization Results'!$B$4)</f>
        <v>722.87277193760519</v>
      </c>
      <c r="I44" s="75">
        <f>[16]Outputs!$L$10*(1+Inputs!$C$5)^(2050-'Standardization Results'!$B$4)</f>
        <v>896.60784313426257</v>
      </c>
      <c r="J44" s="75">
        <f>[16]Outputs!$M$10*(1+Inputs!$C$5)^(2050-'Standardization Results'!$B$4)</f>
        <v>962.28229791370779</v>
      </c>
      <c r="K44" s="75">
        <f>[16]Outputs!$N$10*(1+Inputs!$C$5)^(2050-'Standardization Results'!$B$4)</f>
        <v>982.24476259922642</v>
      </c>
      <c r="L44" s="75">
        <f>[16]Outputs!$C$14</f>
        <v>305.14000000000004</v>
      </c>
      <c r="M44" s="12">
        <f>'[16]MFSP WACC Corrected'!$B$41</f>
        <v>0.50281004346675162</v>
      </c>
      <c r="N44" s="12">
        <f>'[16]MFSP WACC Corrected'!$B$42</f>
        <v>0.27937510269383392</v>
      </c>
      <c r="O44" s="12">
        <f>'[16]MFSP WACC Corrected'!$B$43</f>
        <v>0.14260508139410716</v>
      </c>
      <c r="P44" s="12">
        <f>'[16]MFSP WACC Corrected'!$B$44</f>
        <v>7.520977244530741E-2</v>
      </c>
      <c r="Q44" s="80" t="s">
        <v>199</v>
      </c>
      <c r="R44" s="80" t="s">
        <v>258</v>
      </c>
      <c r="S44" s="9">
        <v>2110761</v>
      </c>
    </row>
    <row r="45" spans="1:20" ht="15.6">
      <c r="A45" t="s">
        <v>256</v>
      </c>
      <c r="B45">
        <v>2024</v>
      </c>
      <c r="C45" s="1" t="s">
        <v>257</v>
      </c>
      <c r="D45" t="s">
        <v>191</v>
      </c>
      <c r="E45" t="s">
        <v>192</v>
      </c>
      <c r="F45">
        <v>2024</v>
      </c>
      <c r="G45" t="s">
        <v>4</v>
      </c>
      <c r="H45" s="75">
        <f>[16]Outputs!$C$10</f>
        <v>1703.2941883028598</v>
      </c>
      <c r="I45" s="75">
        <f>[16]Outputs!$D$10</f>
        <v>1744.0992896145076</v>
      </c>
      <c r="J45" s="75">
        <f>[16]Outputs!$E$10</f>
        <v>1362.5439705178474</v>
      </c>
      <c r="K45" s="75">
        <f>[16]Outputs!$F$10</f>
        <v>1404.6599596191554</v>
      </c>
      <c r="L45" s="75">
        <f>[16]Outputs!$C$14</f>
        <v>305.14000000000004</v>
      </c>
      <c r="M45" s="12">
        <f>'[16]MFSP WACC Corrected'!$B$28</f>
        <v>0.42495600268836786</v>
      </c>
      <c r="N45" s="12">
        <f>'[16]MFSP WACC Corrected'!$B$29</f>
        <v>0.26939973959902058</v>
      </c>
      <c r="O45" s="12">
        <f>'[16]MFSP WACC Corrected'!$B$30</f>
        <v>0.20057853811086782</v>
      </c>
      <c r="P45" s="80">
        <f>'[16]MFSP WACC Corrected'!$B$31</f>
        <v>0.10506571960174352</v>
      </c>
      <c r="Q45" s="80" t="s">
        <v>199</v>
      </c>
      <c r="R45" s="80" t="s">
        <v>258</v>
      </c>
      <c r="S45" s="9">
        <v>2110761</v>
      </c>
      <c r="T45" t="s">
        <v>259</v>
      </c>
    </row>
    <row r="46" spans="1:20" ht="15.6">
      <c r="A46" t="s">
        <v>260</v>
      </c>
      <c r="B46">
        <v>2021</v>
      </c>
      <c r="C46" s="1" t="s">
        <v>261</v>
      </c>
      <c r="D46" t="s">
        <v>191</v>
      </c>
      <c r="E46" t="s">
        <v>192</v>
      </c>
      <c r="F46">
        <v>2024</v>
      </c>
      <c r="G46" t="s">
        <v>4</v>
      </c>
      <c r="H46" s="75">
        <f>[17]Outputs!$C$9 * (1+Inputs!$C$5) ^ (F46-B46)</f>
        <v>1330.2315443355733</v>
      </c>
      <c r="I46" s="75">
        <f>[17]Outputs!$D$9 * (1+Inputs!$C$5) ^ (F46-B46)</f>
        <v>1583.3702130006432</v>
      </c>
      <c r="J46" s="75">
        <f>[17]Outputs!$E$9 * (1+Inputs!$C$5) ^ (F46-B46)</f>
        <v>1443.5941589979675</v>
      </c>
      <c r="K46" s="75">
        <f>[17]Outputs!$F$9 * (1+Inputs!$C$5) ^ (F46-B46)</f>
        <v>1169.7854921196551</v>
      </c>
      <c r="L46" s="75">
        <v>0</v>
      </c>
      <c r="M46" s="12"/>
      <c r="N46" s="12"/>
      <c r="O46" s="12"/>
      <c r="P46" s="12"/>
      <c r="Q46" s="12" t="s">
        <v>199</v>
      </c>
      <c r="R46" s="12" t="s">
        <v>258</v>
      </c>
      <c r="S46" s="13" t="s">
        <v>85</v>
      </c>
    </row>
    <row r="47" spans="1:20" ht="15.6">
      <c r="A47" t="s">
        <v>260</v>
      </c>
      <c r="B47">
        <v>2021</v>
      </c>
      <c r="C47" s="1" t="s">
        <v>261</v>
      </c>
      <c r="D47" t="s">
        <v>191</v>
      </c>
      <c r="E47" t="s">
        <v>192</v>
      </c>
      <c r="F47">
        <v>2050</v>
      </c>
      <c r="G47" t="s">
        <v>4</v>
      </c>
      <c r="H47" s="75">
        <f>[17]Outputs!$J$9 * (1 +Inputs!$C$5) ^ ('Standardization Results'!F27-'Standardization Results'!B27)</f>
        <v>84.263501033570734</v>
      </c>
      <c r="I47" s="75">
        <f>[17]Outputs!$K$9 * (1 +Inputs!$C$5) ^ ('Standardization Results'!F27-'Standardization Results'!B27)</f>
        <v>400.61384985537984</v>
      </c>
      <c r="J47" s="75">
        <f>[17]Outputs!$L$9 * (1 +Inputs!$C$5) ^ ('Standardization Results'!F27-'Standardization Results'!B27)</f>
        <v>573.62889573497785</v>
      </c>
      <c r="K47" s="75">
        <f>[17]Outputs!$M$9 * (1 +Inputs!$C$5) ^ ('Standardization Results'!F27-'Standardization Results'!B27)</f>
        <v>633.64186886454445</v>
      </c>
      <c r="L47" s="75">
        <v>0</v>
      </c>
      <c r="M47" s="12"/>
      <c r="N47" s="12"/>
      <c r="O47" s="12"/>
      <c r="P47" s="12"/>
      <c r="Q47" s="12" t="s">
        <v>199</v>
      </c>
      <c r="R47" s="12" t="s">
        <v>258</v>
      </c>
      <c r="S47" s="13" t="s">
        <v>85</v>
      </c>
    </row>
    <row r="48" spans="1:20" ht="15.6">
      <c r="A48" t="s">
        <v>262</v>
      </c>
      <c r="B48">
        <v>2021</v>
      </c>
      <c r="C48" s="1" t="s">
        <v>263</v>
      </c>
      <c r="D48" t="s">
        <v>191</v>
      </c>
      <c r="E48" t="s">
        <v>192</v>
      </c>
      <c r="F48">
        <v>2030</v>
      </c>
      <c r="G48" t="s">
        <v>4</v>
      </c>
      <c r="H48" s="75">
        <f>[18]Outputs!$C$10</f>
        <v>2544.8085055775191</v>
      </c>
      <c r="I48" s="75">
        <f>[18]Outputs!$D$10</f>
        <v>1510.2027290244303</v>
      </c>
      <c r="J48" s="75"/>
      <c r="K48" s="75"/>
      <c r="L48" s="75"/>
      <c r="M48" s="12"/>
      <c r="N48" s="12"/>
      <c r="O48" s="12"/>
      <c r="P48" s="12"/>
      <c r="Q48" s="12" t="s">
        <v>199</v>
      </c>
      <c r="R48" s="12" t="s">
        <v>258</v>
      </c>
      <c r="S48" s="13" t="s">
        <v>85</v>
      </c>
    </row>
    <row r="49" spans="8:12" ht="15.6">
      <c r="H49" s="75"/>
      <c r="I49" s="75"/>
      <c r="J49" s="75"/>
      <c r="K49" s="75"/>
      <c r="L49" s="75"/>
    </row>
    <row r="51" spans="8:12" ht="15.6">
      <c r="H51" s="75"/>
      <c r="I51" s="75"/>
      <c r="K51" s="75"/>
      <c r="L51" s="75"/>
    </row>
    <row r="53" spans="8:12" ht="15.75" customHeight="1">
      <c r="K53" s="75"/>
    </row>
  </sheetData>
  <autoFilter ref="A1:T51" xr:uid="{2D1B99AC-5C89-CE47-B699-CCA57CE6E758}">
    <filterColumn colId="7" showButton="0"/>
    <filterColumn colId="8" showButton="0"/>
    <filterColumn colId="9" showButton="0"/>
    <filterColumn colId="12" showButton="0"/>
    <filterColumn colId="13" showButton="0"/>
  </autoFilter>
  <sortState xmlns:xlrd2="http://schemas.microsoft.com/office/spreadsheetml/2017/richdata2" ref="A3:T43">
    <sortCondition ref="K3:K43"/>
  </sortState>
  <phoneticPr fontId="21" type="noConversion"/>
  <hyperlinks>
    <hyperlink ref="C45" r:id="rId1" xr:uid="{3CA5677F-4851-D648-9F33-B1B9D63EC2C1}"/>
    <hyperlink ref="C24" r:id="rId2" xr:uid="{B6CA9BBC-4B20-C14F-9B27-EFC95E84FC5B}"/>
    <hyperlink ref="C42" r:id="rId3" display="https://onlinelibrary.wiley.com/doi/full/10.1002/cite.201700129?saml_referrer" xr:uid="{3730BFF8-AB84-2249-83C4-41CD0B79BD3B}"/>
    <hyperlink ref="C48" r:id="rId4" xr:uid="{877DDA2F-AF36-7B46-AD3B-DF992939A368}"/>
    <hyperlink ref="C35" r:id="rId5" location="s0005" xr:uid="{D075A9ED-5FFC-0444-9C68-6E2C8C012E25}"/>
    <hyperlink ref="C2" r:id="rId6" xr:uid="{42BB42F5-C3B0-0941-811E-7E2F1DDE89A0}"/>
    <hyperlink ref="C46" r:id="rId7" xr:uid="{8FB6BE86-F854-DE47-9D0E-FC25B17AD96B}"/>
    <hyperlink ref="C36" r:id="rId8" tooltip="DOI URL" xr:uid="{8FB319BD-A150-604D-8422-895EB11D6A2E}"/>
    <hyperlink ref="C10" r:id="rId9" tooltip="Persistent link using digital object identifier" xr:uid="{2AFB9B4C-A685-C341-985A-4D839D222840}"/>
    <hyperlink ref="C44" r:id="rId10" xr:uid="{4639A0EB-17BC-0340-BED1-640C3EFA8ED8}"/>
    <hyperlink ref="C41" r:id="rId11" display="https://onlinelibrary.wiley.com/doi/full/10.1002/cite.201700129?saml_referrer" xr:uid="{47ACD075-EE04-9D4F-B48A-94063535596D}"/>
    <hyperlink ref="C43" r:id="rId12" display="https://onlinelibrary.wiley.com/doi/full/10.1002/cite.201700129?saml_referrer" xr:uid="{6197B393-3ADF-944A-B360-254B107CD5E4}"/>
    <hyperlink ref="C38" r:id="rId13" display="https://onlinelibrary.wiley.com/doi/full/10.1002/cite.201700129?saml_referrer" xr:uid="{939EBA9C-2065-BA45-9E1B-E0E0E7BEA396}"/>
    <hyperlink ref="C39" r:id="rId14" display="https://onlinelibrary.wiley.com/doi/full/10.1002/cite.201700129?saml_referrer" xr:uid="{E78D81F1-6137-284B-BFBE-4709225CB112}"/>
    <hyperlink ref="C40" r:id="rId15" display="https://onlinelibrary.wiley.com/doi/full/10.1002/cite.201700129?saml_referrer" xr:uid="{99ABA634-1CF9-AC47-9A7C-51F6AED30B89}"/>
    <hyperlink ref="C11" r:id="rId16" tooltip="Persistent link using digital object identifier" xr:uid="{8BD5CA5B-6B34-0444-BF39-E6EAE96CA9EE}"/>
    <hyperlink ref="C47" r:id="rId17" xr:uid="{19A84343-3CFD-BF4D-9E10-523869E9EB46}"/>
    <hyperlink ref="C37" r:id="rId18" tooltip="DOI URL" xr:uid="{C1A8E857-D686-0B4E-AB0A-B1DF28D9B492}"/>
    <hyperlink ref="C6" r:id="rId19" tooltip="Persistent link using digital object identifier" xr:uid="{41D64883-ABC4-B641-AE2E-BEB7CEFD0EE0}"/>
  </hyperlink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431A-E662-5C41-9045-CF84C3CAD717}">
  <dimension ref="A1:W50"/>
  <sheetViews>
    <sheetView workbookViewId="0">
      <selection activeCell="G14" sqref="G14"/>
    </sheetView>
  </sheetViews>
  <sheetFormatPr defaultColWidth="11.25" defaultRowHeight="15.6"/>
  <cols>
    <col min="8" max="11" width="14.75" bestFit="1" customWidth="1"/>
    <col min="12" max="13" width="14.75" customWidth="1"/>
    <col min="14" max="14" width="59.75" bestFit="1" customWidth="1"/>
    <col min="15" max="15" width="14.75" customWidth="1"/>
    <col min="16" max="16" width="13" customWidth="1"/>
    <col min="17" max="17" width="14.75" customWidth="1"/>
    <col min="23" max="23" width="17.25" bestFit="1" customWidth="1"/>
  </cols>
  <sheetData>
    <row r="1" spans="1:23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435</v>
      </c>
      <c r="M1" t="s">
        <v>436</v>
      </c>
      <c r="N1" t="s">
        <v>437</v>
      </c>
      <c r="O1" t="s">
        <v>182</v>
      </c>
      <c r="P1" t="s">
        <v>183</v>
      </c>
      <c r="Q1" t="s">
        <v>184</v>
      </c>
      <c r="R1" s="80" t="s">
        <v>185</v>
      </c>
      <c r="S1" s="80" t="s">
        <v>186</v>
      </c>
      <c r="T1" s="80" t="s">
        <v>187</v>
      </c>
      <c r="U1" s="80" t="s">
        <v>188</v>
      </c>
      <c r="W1" s="80" t="s">
        <v>188</v>
      </c>
    </row>
    <row r="2" spans="1:23">
      <c r="A2" t="s">
        <v>260</v>
      </c>
      <c r="B2">
        <v>2021</v>
      </c>
      <c r="C2" t="s">
        <v>261</v>
      </c>
      <c r="D2" t="s">
        <v>191</v>
      </c>
      <c r="E2" t="s">
        <v>192</v>
      </c>
      <c r="F2">
        <v>2050</v>
      </c>
      <c r="G2" t="s">
        <v>178</v>
      </c>
      <c r="H2" s="75">
        <v>87.667746475327007</v>
      </c>
      <c r="I2" s="75">
        <v>295.79464096519524</v>
      </c>
      <c r="J2" s="75">
        <v>645.13739413616565</v>
      </c>
      <c r="K2" s="75">
        <v>707.57489138016672</v>
      </c>
      <c r="L2" s="75">
        <f t="shared" ref="L2:L47" si="0">J2-I2</f>
        <v>349.34275317097041</v>
      </c>
      <c r="M2" s="75"/>
      <c r="N2" s="75"/>
      <c r="O2" s="80"/>
      <c r="P2" s="80"/>
      <c r="Q2" s="80"/>
      <c r="R2" s="80"/>
      <c r="S2" s="80" t="s">
        <v>199</v>
      </c>
      <c r="T2" s="80" t="s">
        <v>258</v>
      </c>
      <c r="U2" t="s">
        <v>85</v>
      </c>
      <c r="W2" s="113" t="s">
        <v>85</v>
      </c>
    </row>
    <row r="3" spans="1:23">
      <c r="A3" t="s">
        <v>218</v>
      </c>
      <c r="B3">
        <v>2021</v>
      </c>
      <c r="C3" t="s">
        <v>219</v>
      </c>
      <c r="D3" t="s">
        <v>191</v>
      </c>
      <c r="E3" t="s">
        <v>192</v>
      </c>
      <c r="F3">
        <v>2050</v>
      </c>
      <c r="G3" t="s">
        <v>220</v>
      </c>
      <c r="H3" s="75">
        <v>310.79679657966193</v>
      </c>
      <c r="I3" s="75">
        <v>-101.10917719816401</v>
      </c>
      <c r="J3" s="75">
        <v>395.15232322570546</v>
      </c>
      <c r="K3" s="75">
        <v>385.16193079821875</v>
      </c>
      <c r="L3" s="75">
        <f t="shared" si="0"/>
        <v>496.26150042386945</v>
      </c>
      <c r="M3" s="75"/>
      <c r="N3" s="75"/>
      <c r="S3" s="80" t="s">
        <v>199</v>
      </c>
      <c r="T3" s="80" t="s">
        <v>194</v>
      </c>
      <c r="U3" s="7">
        <v>69000000</v>
      </c>
      <c r="W3" s="113">
        <v>58035000</v>
      </c>
    </row>
    <row r="4" spans="1:23">
      <c r="A4" t="s">
        <v>225</v>
      </c>
      <c r="B4">
        <v>2023</v>
      </c>
      <c r="C4" t="s">
        <v>226</v>
      </c>
      <c r="D4" t="s">
        <v>191</v>
      </c>
      <c r="E4" t="s">
        <v>192</v>
      </c>
      <c r="F4">
        <v>2050</v>
      </c>
      <c r="G4" t="s">
        <v>178</v>
      </c>
      <c r="H4" s="75">
        <v>350.60606175775007</v>
      </c>
      <c r="I4" s="75">
        <v>217.99063683860547</v>
      </c>
      <c r="J4" s="75">
        <v>804.40001710277022</v>
      </c>
      <c r="K4" s="75">
        <v>807.05292070830433</v>
      </c>
      <c r="L4" s="75">
        <f t="shared" si="0"/>
        <v>586.40938026416472</v>
      </c>
      <c r="M4" s="75"/>
      <c r="N4" s="75"/>
      <c r="O4" s="80"/>
      <c r="P4" s="80"/>
      <c r="Q4" s="80"/>
      <c r="R4" s="80"/>
      <c r="S4" s="80" t="s">
        <v>199</v>
      </c>
      <c r="T4" s="80" t="s">
        <v>194</v>
      </c>
      <c r="U4" t="s">
        <v>85</v>
      </c>
      <c r="V4" s="20"/>
      <c r="W4" s="112">
        <v>157410000</v>
      </c>
    </row>
    <row r="5" spans="1:23">
      <c r="A5" t="s">
        <v>205</v>
      </c>
      <c r="B5">
        <v>2015</v>
      </c>
      <c r="C5" t="s">
        <v>210</v>
      </c>
      <c r="D5" t="s">
        <v>207</v>
      </c>
      <c r="E5" t="s">
        <v>192</v>
      </c>
      <c r="F5">
        <v>2024</v>
      </c>
      <c r="H5" s="75">
        <v>563.6763071198169</v>
      </c>
      <c r="I5" s="75">
        <v>592.92830102216521</v>
      </c>
      <c r="J5" s="75">
        <v>5581.9039972601649</v>
      </c>
      <c r="K5" s="75">
        <v>5983.7230862237793</v>
      </c>
      <c r="L5" s="75">
        <f t="shared" si="0"/>
        <v>4988.9756962379997</v>
      </c>
      <c r="M5" s="75">
        <f>K5-J5</f>
        <v>401.81908896361438</v>
      </c>
      <c r="N5" s="75" t="s">
        <v>438</v>
      </c>
      <c r="O5" s="80"/>
      <c r="P5" s="80"/>
      <c r="Q5" s="80"/>
      <c r="R5" s="80"/>
      <c r="S5" s="80" t="s">
        <v>199</v>
      </c>
      <c r="T5" s="80" t="s">
        <v>208</v>
      </c>
      <c r="U5" s="112">
        <v>58035000</v>
      </c>
      <c r="W5" s="113">
        <v>157410000</v>
      </c>
    </row>
    <row r="6" spans="1:23">
      <c r="A6" t="s">
        <v>218</v>
      </c>
      <c r="B6">
        <v>2021</v>
      </c>
      <c r="C6" t="s">
        <v>219</v>
      </c>
      <c r="D6" t="s">
        <v>191</v>
      </c>
      <c r="E6" t="s">
        <v>192</v>
      </c>
      <c r="F6">
        <v>2050</v>
      </c>
      <c r="G6" t="s">
        <v>221</v>
      </c>
      <c r="H6" s="75">
        <v>597.79761883839126</v>
      </c>
      <c r="I6" s="75">
        <v>154.73998374014388</v>
      </c>
      <c r="J6" s="75">
        <v>529.30575524337712</v>
      </c>
      <c r="K6" s="75">
        <v>519.29747746275018</v>
      </c>
      <c r="L6" s="75">
        <f t="shared" si="0"/>
        <v>374.56577150323324</v>
      </c>
      <c r="M6" s="75"/>
      <c r="N6" s="75"/>
      <c r="O6" s="80">
        <v>0.21202578729926874</v>
      </c>
      <c r="P6" s="80">
        <v>0.23970956366229598</v>
      </c>
      <c r="Q6" s="80">
        <v>0.15126254531596553</v>
      </c>
      <c r="R6" s="80">
        <v>0.39700210372246958</v>
      </c>
      <c r="S6" s="80" t="s">
        <v>199</v>
      </c>
      <c r="T6" s="80" t="s">
        <v>194</v>
      </c>
      <c r="U6" s="7">
        <v>87000000</v>
      </c>
      <c r="W6" s="113">
        <v>48000000</v>
      </c>
    </row>
    <row r="7" spans="1:23">
      <c r="A7" t="s">
        <v>218</v>
      </c>
      <c r="B7">
        <v>2021</v>
      </c>
      <c r="C7" t="s">
        <v>219</v>
      </c>
      <c r="D7" t="s">
        <v>191</v>
      </c>
      <c r="E7" t="s">
        <v>192</v>
      </c>
      <c r="F7">
        <v>2050</v>
      </c>
      <c r="G7" t="s">
        <v>222</v>
      </c>
      <c r="H7" s="75">
        <v>628.73238316672519</v>
      </c>
      <c r="I7" s="75">
        <v>100.46811775340927</v>
      </c>
      <c r="J7" s="75">
        <v>612.28162159428246</v>
      </c>
      <c r="K7" s="75">
        <v>601.90508307739435</v>
      </c>
      <c r="L7" s="75">
        <f t="shared" si="0"/>
        <v>511.81350384087318</v>
      </c>
      <c r="M7" s="75"/>
      <c r="N7" s="75"/>
      <c r="S7" s="80" t="s">
        <v>199</v>
      </c>
      <c r="T7" s="80" t="s">
        <v>194</v>
      </c>
      <c r="U7" s="7">
        <v>68000000</v>
      </c>
      <c r="W7" s="113">
        <v>58035000</v>
      </c>
    </row>
    <row r="8" spans="1:23">
      <c r="A8" t="s">
        <v>189</v>
      </c>
      <c r="B8">
        <v>2016</v>
      </c>
      <c r="C8" t="s">
        <v>190</v>
      </c>
      <c r="D8" t="s">
        <v>191</v>
      </c>
      <c r="E8" t="s">
        <v>192</v>
      </c>
      <c r="F8">
        <v>2024</v>
      </c>
      <c r="G8" t="s">
        <v>178</v>
      </c>
      <c r="H8" s="75">
        <v>642.29670473893407</v>
      </c>
      <c r="I8" s="75">
        <v>768.83260727969991</v>
      </c>
      <c r="J8" s="75">
        <v>2386.5584758631594</v>
      </c>
      <c r="K8" s="75">
        <v>2466.5878362464205</v>
      </c>
      <c r="L8" s="75">
        <f t="shared" si="0"/>
        <v>1617.7258685834595</v>
      </c>
      <c r="M8" s="75">
        <f>K8-J8</f>
        <v>80.029360383261064</v>
      </c>
      <c r="N8" s="75" t="s">
        <v>439</v>
      </c>
      <c r="O8" s="80"/>
      <c r="P8" s="80"/>
      <c r="Q8" s="80"/>
      <c r="R8" s="80"/>
      <c r="S8" s="80" t="s">
        <v>193</v>
      </c>
      <c r="T8" s="80" t="s">
        <v>194</v>
      </c>
      <c r="U8" s="7">
        <v>144778221.668742</v>
      </c>
      <c r="V8" t="s">
        <v>195</v>
      </c>
      <c r="W8" t="s">
        <v>85</v>
      </c>
    </row>
    <row r="9" spans="1:23">
      <c r="A9" t="s">
        <v>239</v>
      </c>
      <c r="B9">
        <v>2022</v>
      </c>
      <c r="C9" t="s">
        <v>240</v>
      </c>
      <c r="D9" t="s">
        <v>191</v>
      </c>
      <c r="E9" t="s">
        <v>192</v>
      </c>
      <c r="F9">
        <v>2024</v>
      </c>
      <c r="G9" t="s">
        <v>178</v>
      </c>
      <c r="H9" s="75">
        <v>668.37766094951314</v>
      </c>
      <c r="I9" s="75">
        <v>1052.7567009161639</v>
      </c>
      <c r="J9" s="75">
        <v>3733.7236867549955</v>
      </c>
      <c r="K9" s="75">
        <v>3772.74856237323</v>
      </c>
      <c r="L9" s="75">
        <f t="shared" si="0"/>
        <v>2680.9669858388315</v>
      </c>
      <c r="M9" s="75">
        <f>K9-J9</f>
        <v>39.024875618234546</v>
      </c>
      <c r="N9" s="75" t="s">
        <v>440</v>
      </c>
      <c r="O9" s="80">
        <v>6.6800203467038397E-2</v>
      </c>
      <c r="P9" s="80">
        <v>0.46591806920061163</v>
      </c>
      <c r="Q9" s="80">
        <v>0.43493529419052063</v>
      </c>
      <c r="R9" s="80">
        <v>3.2346433141829486E-2</v>
      </c>
      <c r="S9" s="80" t="s">
        <v>199</v>
      </c>
      <c r="T9" s="80" t="s">
        <v>194</v>
      </c>
      <c r="U9" s="112">
        <v>208032000</v>
      </c>
      <c r="V9" t="s">
        <v>241</v>
      </c>
      <c r="W9" s="113">
        <v>1000000</v>
      </c>
    </row>
    <row r="10" spans="1:23">
      <c r="A10" t="s">
        <v>256</v>
      </c>
      <c r="B10">
        <v>2024</v>
      </c>
      <c r="C10" t="s">
        <v>257</v>
      </c>
      <c r="D10" t="s">
        <v>191</v>
      </c>
      <c r="E10" t="s">
        <v>192</v>
      </c>
      <c r="F10">
        <v>2050</v>
      </c>
      <c r="G10" t="s">
        <v>178</v>
      </c>
      <c r="H10" s="75">
        <v>722.87277193760519</v>
      </c>
      <c r="I10" s="75">
        <v>698.76814470374268</v>
      </c>
      <c r="J10" s="75">
        <v>996.12746400731635</v>
      </c>
      <c r="K10" s="75">
        <v>1015.603356230797</v>
      </c>
      <c r="L10" s="75">
        <f t="shared" si="0"/>
        <v>297.35931930357367</v>
      </c>
      <c r="M10" s="75"/>
      <c r="N10" s="75"/>
      <c r="O10" s="80">
        <v>0.36581603108678235</v>
      </c>
      <c r="P10" s="80">
        <v>0.42106952177855445</v>
      </c>
      <c r="Q10" s="80">
        <v>0.13952768851248726</v>
      </c>
      <c r="R10" s="80">
        <v>7.3586758622175827E-2</v>
      </c>
      <c r="S10" s="80" t="s">
        <v>199</v>
      </c>
      <c r="T10" s="80" t="s">
        <v>258</v>
      </c>
      <c r="U10" s="112">
        <v>2110761</v>
      </c>
      <c r="W10" t="s">
        <v>85</v>
      </c>
    </row>
    <row r="11" spans="1:23">
      <c r="A11" t="s">
        <v>205</v>
      </c>
      <c r="B11">
        <v>2015</v>
      </c>
      <c r="C11" t="s">
        <v>210</v>
      </c>
      <c r="D11" t="s">
        <v>207</v>
      </c>
      <c r="E11" t="s">
        <v>192</v>
      </c>
      <c r="F11">
        <v>2024</v>
      </c>
      <c r="H11" s="75">
        <v>798.16358341599573</v>
      </c>
      <c r="I11" s="75">
        <v>827.41557731834428</v>
      </c>
      <c r="J11" s="75">
        <v>5816.3912735563426</v>
      </c>
      <c r="K11" s="75">
        <v>6234.1340273190181</v>
      </c>
      <c r="L11" s="75">
        <f t="shared" si="0"/>
        <v>4988.9756962379979</v>
      </c>
      <c r="M11" s="75">
        <f>K11-J11</f>
        <v>417.74275376267542</v>
      </c>
      <c r="N11" s="75" t="s">
        <v>438</v>
      </c>
      <c r="O11" s="80">
        <v>5.8359446730100857E-2</v>
      </c>
      <c r="P11" s="80">
        <v>0.66723592814540433</v>
      </c>
      <c r="Q11" s="80">
        <v>0.10459442543324093</v>
      </c>
      <c r="R11" s="80">
        <v>0.16981019969125349</v>
      </c>
      <c r="S11" s="80" t="s">
        <v>199</v>
      </c>
      <c r="T11" s="80" t="s">
        <v>208</v>
      </c>
      <c r="U11" s="112">
        <v>58035000</v>
      </c>
      <c r="V11" t="s">
        <v>211</v>
      </c>
      <c r="W11" s="113">
        <v>35000000</v>
      </c>
    </row>
    <row r="12" spans="1:23">
      <c r="A12" t="s">
        <v>229</v>
      </c>
      <c r="B12">
        <v>2023</v>
      </c>
      <c r="C12" t="s">
        <v>230</v>
      </c>
      <c r="D12" t="s">
        <v>207</v>
      </c>
      <c r="E12" t="s">
        <v>192</v>
      </c>
      <c r="F12">
        <v>2050</v>
      </c>
      <c r="G12" t="s">
        <v>232</v>
      </c>
      <c r="H12" s="75">
        <v>825.36875772083386</v>
      </c>
      <c r="I12" s="75">
        <v>825.39286037769887</v>
      </c>
      <c r="J12" s="75">
        <v>1164.2096698462692</v>
      </c>
      <c r="K12" s="75">
        <v>1237.7413227939242</v>
      </c>
      <c r="L12" s="75">
        <f t="shared" si="0"/>
        <v>338.81680946857034</v>
      </c>
      <c r="M12" s="75"/>
      <c r="N12" s="75"/>
      <c r="O12" s="80"/>
      <c r="P12" s="80"/>
      <c r="Q12" s="80"/>
      <c r="R12" s="80"/>
      <c r="S12" s="80" t="s">
        <v>193</v>
      </c>
      <c r="T12" s="80" t="s">
        <v>208</v>
      </c>
      <c r="U12" s="112">
        <v>31354838</v>
      </c>
      <c r="W12" s="7">
        <v>69000000</v>
      </c>
    </row>
    <row r="13" spans="1:23">
      <c r="A13" t="s">
        <v>229</v>
      </c>
      <c r="B13">
        <v>2023</v>
      </c>
      <c r="C13" t="s">
        <v>230</v>
      </c>
      <c r="D13" t="s">
        <v>207</v>
      </c>
      <c r="E13" t="s">
        <v>192</v>
      </c>
      <c r="F13">
        <v>2024</v>
      </c>
      <c r="G13" t="s">
        <v>178</v>
      </c>
      <c r="H13" s="75">
        <v>838.68815198564619</v>
      </c>
      <c r="I13" s="75">
        <v>793.08715685043853</v>
      </c>
      <c r="J13" s="75">
        <v>1421.7741200409919</v>
      </c>
      <c r="K13" s="75">
        <v>1486.7545886765904</v>
      </c>
      <c r="L13" s="75">
        <f t="shared" si="0"/>
        <v>628.68696319055334</v>
      </c>
      <c r="M13" s="75">
        <f>K13-J13</f>
        <v>64.980468635598527</v>
      </c>
      <c r="N13" s="75" t="s">
        <v>441</v>
      </c>
      <c r="O13" s="80">
        <v>-5.9549308921026486E-2</v>
      </c>
      <c r="P13" s="80">
        <v>0.68508807041620634</v>
      </c>
      <c r="Q13" s="80">
        <v>0.23309418080865046</v>
      </c>
      <c r="R13" s="80">
        <v>0.14136705769616995</v>
      </c>
      <c r="S13" s="80" t="s">
        <v>193</v>
      </c>
      <c r="T13" s="80" t="s">
        <v>208</v>
      </c>
      <c r="U13" s="112">
        <v>31354838</v>
      </c>
      <c r="V13" t="s">
        <v>231</v>
      </c>
      <c r="W13" t="s">
        <v>85</v>
      </c>
    </row>
    <row r="14" spans="1:23">
      <c r="A14" t="s">
        <v>229</v>
      </c>
      <c r="B14">
        <v>2023</v>
      </c>
      <c r="C14" t="s">
        <v>230</v>
      </c>
      <c r="D14" t="s">
        <v>207</v>
      </c>
      <c r="E14" t="s">
        <v>192</v>
      </c>
      <c r="F14">
        <v>2050</v>
      </c>
      <c r="G14" t="s">
        <v>178</v>
      </c>
      <c r="H14" s="75">
        <v>982.35140207674465</v>
      </c>
      <c r="I14" s="75">
        <v>982.37550473360909</v>
      </c>
      <c r="J14" s="75">
        <v>1321.1923142021794</v>
      </c>
      <c r="K14" s="75">
        <v>1420.6839583899553</v>
      </c>
      <c r="L14" s="75">
        <f t="shared" si="0"/>
        <v>338.81680946857034</v>
      </c>
      <c r="M14" s="75"/>
      <c r="N14" s="75"/>
      <c r="O14" s="80">
        <v>-3.0173340952621544E-5</v>
      </c>
      <c r="P14" s="80">
        <v>0.5159068314201406</v>
      </c>
      <c r="Q14" s="80">
        <v>0.34032940955934426</v>
      </c>
      <c r="R14" s="80">
        <v>0.14379393236146765</v>
      </c>
      <c r="S14" s="80" t="s">
        <v>193</v>
      </c>
      <c r="T14" s="80" t="s">
        <v>208</v>
      </c>
      <c r="U14" s="112">
        <v>31354838</v>
      </c>
      <c r="W14" s="112">
        <v>1000000</v>
      </c>
    </row>
    <row r="15" spans="1:23">
      <c r="A15" t="s">
        <v>212</v>
      </c>
      <c r="B15">
        <v>2024</v>
      </c>
      <c r="C15" t="s">
        <v>213</v>
      </c>
      <c r="D15" t="s">
        <v>191</v>
      </c>
      <c r="E15" t="s">
        <v>192</v>
      </c>
      <c r="F15">
        <v>2050</v>
      </c>
      <c r="G15" t="s">
        <v>216</v>
      </c>
      <c r="H15" s="75">
        <v>1053.0156898248665</v>
      </c>
      <c r="I15" s="75">
        <v>1131.3935221529064</v>
      </c>
      <c r="J15" s="75">
        <v>1374.9394162813965</v>
      </c>
      <c r="K15" s="75">
        <v>1452.8417056556398</v>
      </c>
      <c r="L15" s="75">
        <f t="shared" si="0"/>
        <v>243.54589412849009</v>
      </c>
      <c r="M15" s="75"/>
      <c r="N15" s="75"/>
      <c r="O15" s="80">
        <v>0.38762689468117906</v>
      </c>
      <c r="P15" s="80">
        <v>0.31625231868907483</v>
      </c>
      <c r="Q15" s="80">
        <v>0.2019726046902777</v>
      </c>
      <c r="R15" s="80">
        <v>9.4148181939468348E-2</v>
      </c>
      <c r="S15" s="80" t="s">
        <v>199</v>
      </c>
      <c r="T15" s="80" t="s">
        <v>194</v>
      </c>
      <c r="U15" s="7">
        <v>39140033.75</v>
      </c>
      <c r="V15" t="s">
        <v>217</v>
      </c>
      <c r="W15" s="113">
        <v>68000000</v>
      </c>
    </row>
    <row r="16" spans="1:23">
      <c r="A16" t="s">
        <v>203</v>
      </c>
      <c r="B16">
        <v>2018</v>
      </c>
      <c r="C16" t="s">
        <v>204</v>
      </c>
      <c r="D16" t="s">
        <v>191</v>
      </c>
      <c r="E16" t="s">
        <v>192</v>
      </c>
      <c r="F16">
        <v>2024</v>
      </c>
      <c r="H16" s="75">
        <v>1144.7870679308462</v>
      </c>
      <c r="I16" s="75">
        <v>717.33157452286355</v>
      </c>
      <c r="J16" s="75">
        <v>2278.5389057854431</v>
      </c>
      <c r="K16" s="75">
        <v>2313.9915105121499</v>
      </c>
      <c r="L16" s="75">
        <f t="shared" si="0"/>
        <v>1561.2073312625796</v>
      </c>
      <c r="M16" s="75">
        <f t="shared" ref="M16:M21" si="1">K16-J16</f>
        <v>35.452604726706795</v>
      </c>
      <c r="N16" s="75" t="s">
        <v>442</v>
      </c>
      <c r="O16" s="80">
        <v>0.11002478551214247</v>
      </c>
      <c r="P16" s="80">
        <v>0.32309926188801724</v>
      </c>
      <c r="Q16" s="80">
        <v>0.51966602210730239</v>
      </c>
      <c r="R16" s="80">
        <v>4.7209930492537917E-2</v>
      </c>
      <c r="S16" s="80" t="s">
        <v>199</v>
      </c>
      <c r="T16" s="80" t="s">
        <v>194</v>
      </c>
      <c r="W16" s="7">
        <v>39140033.75</v>
      </c>
    </row>
    <row r="17" spans="1:23">
      <c r="A17" t="s">
        <v>225</v>
      </c>
      <c r="B17">
        <v>2023</v>
      </c>
      <c r="C17" t="s">
        <v>226</v>
      </c>
      <c r="D17" t="s">
        <v>191</v>
      </c>
      <c r="E17" t="s">
        <v>192</v>
      </c>
      <c r="F17">
        <v>2024</v>
      </c>
      <c r="G17" t="s">
        <v>178</v>
      </c>
      <c r="H17" s="75">
        <v>1148.3867432450918</v>
      </c>
      <c r="I17" s="75">
        <v>1137.4782320272921</v>
      </c>
      <c r="J17" s="75">
        <v>2381.032548560092</v>
      </c>
      <c r="K17" s="75">
        <v>2384.2031890387366</v>
      </c>
      <c r="L17" s="75">
        <f t="shared" si="0"/>
        <v>1243.5543165327999</v>
      </c>
      <c r="M17" s="75">
        <f t="shared" si="1"/>
        <v>3.1706404786446001</v>
      </c>
      <c r="N17" s="75" t="s">
        <v>332</v>
      </c>
      <c r="O17" s="80"/>
      <c r="P17" s="80"/>
      <c r="Q17" s="80"/>
      <c r="R17" s="80"/>
      <c r="S17" s="80" t="s">
        <v>199</v>
      </c>
      <c r="T17" s="80" t="s">
        <v>194</v>
      </c>
      <c r="U17" t="s">
        <v>85</v>
      </c>
      <c r="W17" s="7">
        <v>68000000</v>
      </c>
    </row>
    <row r="18" spans="1:23">
      <c r="A18" t="s">
        <v>250</v>
      </c>
      <c r="B18">
        <v>2024</v>
      </c>
      <c r="C18" t="s">
        <v>251</v>
      </c>
      <c r="D18" t="s">
        <v>191</v>
      </c>
      <c r="E18" t="s">
        <v>192</v>
      </c>
      <c r="F18">
        <v>2024</v>
      </c>
      <c r="G18" t="s">
        <v>254</v>
      </c>
      <c r="H18" s="75">
        <v>1286.1593005235322</v>
      </c>
      <c r="I18" s="75">
        <v>1276.9021662236783</v>
      </c>
      <c r="J18" s="75">
        <v>2678.7922168239206</v>
      </c>
      <c r="K18" s="75">
        <v>2549.0919648666936</v>
      </c>
      <c r="L18" s="75">
        <f t="shared" si="0"/>
        <v>1401.8900506002424</v>
      </c>
      <c r="M18" s="75">
        <f t="shared" si="1"/>
        <v>-129.70025195722701</v>
      </c>
      <c r="N18" s="75" t="s">
        <v>443</v>
      </c>
      <c r="O18" s="80"/>
      <c r="P18" s="80"/>
      <c r="Q18" s="80"/>
      <c r="R18" s="80"/>
      <c r="S18" s="80" t="s">
        <v>193</v>
      </c>
      <c r="T18" s="80" t="s">
        <v>194</v>
      </c>
      <c r="U18" s="112">
        <v>1000000</v>
      </c>
      <c r="W18" s="113">
        <v>31354838</v>
      </c>
    </row>
    <row r="19" spans="1:23">
      <c r="A19" t="s">
        <v>250</v>
      </c>
      <c r="B19">
        <v>2024</v>
      </c>
      <c r="C19" t="s">
        <v>251</v>
      </c>
      <c r="D19" t="s">
        <v>191</v>
      </c>
      <c r="E19" t="s">
        <v>192</v>
      </c>
      <c r="F19">
        <v>2024</v>
      </c>
      <c r="G19" t="s">
        <v>253</v>
      </c>
      <c r="H19" s="75">
        <v>1309.1063656583035</v>
      </c>
      <c r="I19" s="75">
        <v>1104.4864616319737</v>
      </c>
      <c r="J19" s="75">
        <v>2506.3765122322175</v>
      </c>
      <c r="K19" s="75">
        <v>2406.0026133096653</v>
      </c>
      <c r="L19" s="75">
        <f t="shared" si="0"/>
        <v>1401.8900506002437</v>
      </c>
      <c r="M19" s="75">
        <f t="shared" si="1"/>
        <v>-100.37389892255214</v>
      </c>
      <c r="N19" s="75" t="s">
        <v>443</v>
      </c>
      <c r="O19" s="80"/>
      <c r="P19" s="80"/>
      <c r="Q19" s="80"/>
      <c r="R19" s="80"/>
      <c r="S19" s="80" t="s">
        <v>193</v>
      </c>
      <c r="T19" s="80" t="s">
        <v>194</v>
      </c>
      <c r="U19" s="112">
        <v>1000000</v>
      </c>
      <c r="W19" s="7">
        <v>35000000</v>
      </c>
    </row>
    <row r="20" spans="1:23">
      <c r="A20" t="s">
        <v>205</v>
      </c>
      <c r="B20">
        <v>2020</v>
      </c>
      <c r="C20" t="s">
        <v>206</v>
      </c>
      <c r="D20" t="s">
        <v>207</v>
      </c>
      <c r="E20" t="s">
        <v>192</v>
      </c>
      <c r="F20">
        <v>2024</v>
      </c>
      <c r="H20" s="75">
        <v>1312.9984811577319</v>
      </c>
      <c r="I20" s="75">
        <v>1349.9394398959996</v>
      </c>
      <c r="J20" s="75">
        <v>5188.919680711776</v>
      </c>
      <c r="K20" s="75">
        <v>5172.0010379136593</v>
      </c>
      <c r="L20" s="75">
        <f t="shared" si="0"/>
        <v>3838.9802408157766</v>
      </c>
      <c r="M20" s="75">
        <f t="shared" si="1"/>
        <v>-16.918642798116707</v>
      </c>
      <c r="N20" s="75" t="s">
        <v>438</v>
      </c>
      <c r="O20" s="80"/>
      <c r="P20" s="80"/>
      <c r="Q20" s="80"/>
      <c r="R20" s="80"/>
      <c r="S20" s="80" t="s">
        <v>199</v>
      </c>
      <c r="T20" s="80" t="s">
        <v>208</v>
      </c>
      <c r="U20" s="112">
        <v>45872966</v>
      </c>
      <c r="V20" t="s">
        <v>209</v>
      </c>
      <c r="W20" s="113">
        <v>157410000</v>
      </c>
    </row>
    <row r="21" spans="1:23">
      <c r="A21" t="s">
        <v>260</v>
      </c>
      <c r="B21">
        <v>2021</v>
      </c>
      <c r="C21" s="1" t="s">
        <v>261</v>
      </c>
      <c r="D21" t="s">
        <v>191</v>
      </c>
      <c r="E21" t="s">
        <v>192</v>
      </c>
      <c r="F21">
        <v>2024</v>
      </c>
      <c r="G21" t="s">
        <v>178</v>
      </c>
      <c r="H21" s="75">
        <v>1330.2315443355733</v>
      </c>
      <c r="I21" s="75">
        <v>1583.3702130006432</v>
      </c>
      <c r="J21" s="75">
        <v>2350.1001092278216</v>
      </c>
      <c r="K21" s="75">
        <v>2076.2914423495099</v>
      </c>
      <c r="L21" s="75">
        <f t="shared" si="0"/>
        <v>766.72989622717841</v>
      </c>
      <c r="M21" s="75">
        <f t="shared" si="1"/>
        <v>-273.80866687831167</v>
      </c>
      <c r="N21" s="75" t="s">
        <v>444</v>
      </c>
      <c r="O21" s="80"/>
      <c r="P21" s="80"/>
      <c r="Q21" s="80"/>
      <c r="R21" s="80"/>
      <c r="S21" s="80" t="s">
        <v>199</v>
      </c>
      <c r="T21" s="80" t="s">
        <v>258</v>
      </c>
      <c r="U21" t="s">
        <v>85</v>
      </c>
      <c r="W21" s="7">
        <v>87000000</v>
      </c>
    </row>
    <row r="22" spans="1:23">
      <c r="A22" t="s">
        <v>233</v>
      </c>
      <c r="B22">
        <v>2024</v>
      </c>
      <c r="D22" t="s">
        <v>191</v>
      </c>
      <c r="E22" t="s">
        <v>192</v>
      </c>
      <c r="F22">
        <v>2050</v>
      </c>
      <c r="G22" t="s">
        <v>234</v>
      </c>
      <c r="H22" s="75">
        <v>1383.9118225223065</v>
      </c>
      <c r="I22" s="75">
        <v>1232.3763219377704</v>
      </c>
      <c r="J22" s="75">
        <v>2232.7591121080382</v>
      </c>
      <c r="K22" s="75">
        <v>2206.174174063492</v>
      </c>
      <c r="L22" s="75">
        <f t="shared" si="0"/>
        <v>1000.3827901702678</v>
      </c>
      <c r="M22" s="75"/>
      <c r="N22" s="75" t="s">
        <v>445</v>
      </c>
      <c r="O22" s="80"/>
      <c r="P22" s="80"/>
      <c r="Q22" s="80"/>
      <c r="R22" s="80"/>
      <c r="S22" s="80" t="s">
        <v>199</v>
      </c>
      <c r="T22" s="80" t="s">
        <v>235</v>
      </c>
      <c r="U22" s="112">
        <v>157410000</v>
      </c>
      <c r="W22" s="113">
        <v>157410000</v>
      </c>
    </row>
    <row r="23" spans="1:23">
      <c r="A23" t="s">
        <v>250</v>
      </c>
      <c r="B23">
        <v>2024</v>
      </c>
      <c r="C23" t="s">
        <v>251</v>
      </c>
      <c r="D23" t="s">
        <v>191</v>
      </c>
      <c r="E23" t="s">
        <v>192</v>
      </c>
      <c r="F23">
        <v>2050</v>
      </c>
      <c r="G23" t="s">
        <v>254</v>
      </c>
      <c r="H23" s="75">
        <v>1392.5582046364345</v>
      </c>
      <c r="I23" s="75">
        <v>1036.2639114755937</v>
      </c>
      <c r="J23" s="75">
        <v>1404.2086325069524</v>
      </c>
      <c r="K23" s="75">
        <v>1277.8940895328378</v>
      </c>
      <c r="L23" s="75">
        <f t="shared" si="0"/>
        <v>367.94472103135877</v>
      </c>
      <c r="M23" s="75"/>
      <c r="N23" s="75"/>
      <c r="O23" s="80"/>
      <c r="P23" s="80"/>
      <c r="Q23" s="80"/>
      <c r="R23" s="80"/>
      <c r="S23" s="80" t="s">
        <v>193</v>
      </c>
      <c r="T23" s="80" t="s">
        <v>194</v>
      </c>
      <c r="U23" s="112">
        <v>1000000</v>
      </c>
      <c r="W23" s="112">
        <v>31354838</v>
      </c>
    </row>
    <row r="24" spans="1:23">
      <c r="A24" t="s">
        <v>250</v>
      </c>
      <c r="B24">
        <v>2024</v>
      </c>
      <c r="C24" t="s">
        <v>251</v>
      </c>
      <c r="D24" t="s">
        <v>191</v>
      </c>
      <c r="E24" t="s">
        <v>192</v>
      </c>
      <c r="F24">
        <v>2050</v>
      </c>
      <c r="G24" t="s">
        <v>252</v>
      </c>
      <c r="H24" s="75">
        <v>1393.4728832610231</v>
      </c>
      <c r="I24" s="75">
        <v>1037.1785901001817</v>
      </c>
      <c r="J24" s="75">
        <v>1405.1233111315405</v>
      </c>
      <c r="K24" s="75">
        <v>1278.503742429825</v>
      </c>
      <c r="L24" s="75">
        <f t="shared" si="0"/>
        <v>367.94472103135877</v>
      </c>
      <c r="M24" s="75"/>
      <c r="N24" s="75"/>
      <c r="O24" s="80">
        <v>0.31920876469830645</v>
      </c>
      <c r="P24" s="80">
        <v>0.46393459545237714</v>
      </c>
      <c r="Q24" s="80">
        <v>0.17887399251640163</v>
      </c>
      <c r="R24" s="80">
        <v>3.7982647332914135E-2</v>
      </c>
      <c r="S24" s="80" t="s">
        <v>193</v>
      </c>
      <c r="T24" s="80" t="s">
        <v>194</v>
      </c>
      <c r="U24" s="112">
        <v>1000000</v>
      </c>
      <c r="W24" s="112">
        <v>2110761</v>
      </c>
    </row>
    <row r="25" spans="1:23">
      <c r="A25" t="s">
        <v>218</v>
      </c>
      <c r="B25">
        <v>2021</v>
      </c>
      <c r="C25" t="s">
        <v>219</v>
      </c>
      <c r="D25" t="s">
        <v>191</v>
      </c>
      <c r="E25" t="s">
        <v>192</v>
      </c>
      <c r="F25">
        <v>2024</v>
      </c>
      <c r="G25" t="s">
        <v>220</v>
      </c>
      <c r="H25" s="75">
        <v>1458.3489394680287</v>
      </c>
      <c r="I25" s="75">
        <v>751.42718779625204</v>
      </c>
      <c r="J25" s="75">
        <v>1910.0714142687632</v>
      </c>
      <c r="K25" s="75">
        <v>1895.1917211544001</v>
      </c>
      <c r="L25" s="75">
        <f t="shared" si="0"/>
        <v>1158.644226472511</v>
      </c>
      <c r="M25" s="75">
        <f>K25-J25</f>
        <v>-14.879693114363135</v>
      </c>
      <c r="N25" s="75" t="s">
        <v>446</v>
      </c>
      <c r="S25" s="80" t="s">
        <v>199</v>
      </c>
      <c r="T25" s="80" t="s">
        <v>194</v>
      </c>
      <c r="U25" s="7">
        <v>69000000</v>
      </c>
      <c r="W25" s="113">
        <v>1250000000</v>
      </c>
    </row>
    <row r="26" spans="1:23">
      <c r="A26" t="s">
        <v>250</v>
      </c>
      <c r="B26">
        <v>2024</v>
      </c>
      <c r="C26" t="s">
        <v>251</v>
      </c>
      <c r="D26" t="s">
        <v>191</v>
      </c>
      <c r="E26" t="s">
        <v>192</v>
      </c>
      <c r="F26">
        <v>2024</v>
      </c>
      <c r="G26" t="s">
        <v>252</v>
      </c>
      <c r="H26" s="75">
        <v>1510.502621501556</v>
      </c>
      <c r="I26" s="75">
        <v>1255.2681500158253</v>
      </c>
      <c r="J26" s="75">
        <v>2657.1582006160684</v>
      </c>
      <c r="K26" s="75">
        <v>2530.7794416821052</v>
      </c>
      <c r="L26" s="75">
        <f t="shared" si="0"/>
        <v>1401.8900506002431</v>
      </c>
      <c r="M26" s="75">
        <f>K26-J26</f>
        <v>-126.37875893396313</v>
      </c>
      <c r="N26" s="75" t="s">
        <v>443</v>
      </c>
      <c r="O26" s="80">
        <v>0.20134348894042559</v>
      </c>
      <c r="P26" s="80">
        <v>0.54125942432713947</v>
      </c>
      <c r="Q26" s="80">
        <v>0.22754856312650942</v>
      </c>
      <c r="R26" s="80">
        <v>2.9848523605927362E-2</v>
      </c>
      <c r="S26" s="80" t="s">
        <v>193</v>
      </c>
      <c r="T26" s="80" t="s">
        <v>194</v>
      </c>
      <c r="U26" s="112">
        <v>1000000</v>
      </c>
      <c r="V26" t="s">
        <v>255</v>
      </c>
      <c r="W26" s="112">
        <v>157410000</v>
      </c>
    </row>
    <row r="27" spans="1:23">
      <c r="A27" t="s">
        <v>233</v>
      </c>
      <c r="B27">
        <v>2024</v>
      </c>
      <c r="D27" t="s">
        <v>191</v>
      </c>
      <c r="E27" t="s">
        <v>192</v>
      </c>
      <c r="F27">
        <v>2050</v>
      </c>
      <c r="G27" t="s">
        <v>238</v>
      </c>
      <c r="H27" s="75">
        <v>1594.7287612272498</v>
      </c>
      <c r="I27" s="75">
        <v>1414.8414573075418</v>
      </c>
      <c r="J27" s="75">
        <v>2451.1799827419513</v>
      </c>
      <c r="K27" s="75">
        <v>2422.9445123518885</v>
      </c>
      <c r="L27" s="75">
        <f t="shared" si="0"/>
        <v>1036.3385254344096</v>
      </c>
      <c r="M27" s="75"/>
      <c r="N27" s="75"/>
      <c r="O27" s="80">
        <v>0.34291277923676844</v>
      </c>
      <c r="P27" s="80">
        <v>0.41621386171084307</v>
      </c>
      <c r="Q27" s="80">
        <v>7.8756910153965909E-2</v>
      </c>
      <c r="R27" s="80">
        <v>0.16211644889842231</v>
      </c>
      <c r="S27" s="80" t="s">
        <v>199</v>
      </c>
      <c r="T27" s="80" t="s">
        <v>235</v>
      </c>
      <c r="U27" s="112">
        <v>157410000</v>
      </c>
      <c r="W27" s="113">
        <v>144778221.668742</v>
      </c>
    </row>
    <row r="28" spans="1:23">
      <c r="A28" t="s">
        <v>250</v>
      </c>
      <c r="B28">
        <v>2024</v>
      </c>
      <c r="C28" t="s">
        <v>251</v>
      </c>
      <c r="D28" t="s">
        <v>191</v>
      </c>
      <c r="E28" t="s">
        <v>192</v>
      </c>
      <c r="F28">
        <v>2050</v>
      </c>
      <c r="G28" t="s">
        <v>253</v>
      </c>
      <c r="H28" s="75">
        <v>1651.2877075211616</v>
      </c>
      <c r="I28" s="75">
        <v>1046.3045597508415</v>
      </c>
      <c r="J28" s="75">
        <v>1414.2492807822002</v>
      </c>
      <c r="K28" s="75">
        <v>1286.4773926651051</v>
      </c>
      <c r="L28" s="75">
        <f t="shared" si="0"/>
        <v>367.94472103135877</v>
      </c>
      <c r="M28" s="75"/>
      <c r="N28" s="75"/>
      <c r="O28" s="80"/>
      <c r="P28" s="80"/>
      <c r="Q28" s="80"/>
      <c r="R28" s="80"/>
      <c r="S28" s="80" t="s">
        <v>193</v>
      </c>
      <c r="T28" s="80" t="s">
        <v>194</v>
      </c>
      <c r="U28" s="112">
        <v>1000000</v>
      </c>
      <c r="W28" s="112">
        <v>31354838</v>
      </c>
    </row>
    <row r="29" spans="1:23">
      <c r="A29" t="s">
        <v>227</v>
      </c>
      <c r="B29">
        <v>2024</v>
      </c>
      <c r="C29" t="s">
        <v>228</v>
      </c>
      <c r="D29" t="s">
        <v>191</v>
      </c>
      <c r="E29" t="s">
        <v>192</v>
      </c>
      <c r="F29">
        <v>2024</v>
      </c>
      <c r="H29" s="75">
        <v>1678.5512402252382</v>
      </c>
      <c r="I29" s="75">
        <v>1330.6141668859134</v>
      </c>
      <c r="J29" s="75">
        <v>3382.6071697921725</v>
      </c>
      <c r="K29" s="75">
        <v>3347.2914258856558</v>
      </c>
      <c r="L29" s="75">
        <f t="shared" si="0"/>
        <v>2051.9930029062589</v>
      </c>
      <c r="M29" s="75">
        <f>K29-J29</f>
        <v>-35.315743906516673</v>
      </c>
      <c r="N29" s="75" t="s">
        <v>447</v>
      </c>
      <c r="O29" s="80"/>
      <c r="P29" s="80"/>
      <c r="Q29" s="80"/>
      <c r="R29" s="80"/>
      <c r="S29" s="80" t="s">
        <v>199</v>
      </c>
      <c r="T29" s="80" t="s">
        <v>194</v>
      </c>
      <c r="U29" s="112">
        <v>3650000</v>
      </c>
      <c r="W29" s="113">
        <v>39140033.75</v>
      </c>
    </row>
    <row r="30" spans="1:23">
      <c r="A30" t="s">
        <v>218</v>
      </c>
      <c r="B30">
        <v>2021</v>
      </c>
      <c r="C30" t="s">
        <v>219</v>
      </c>
      <c r="D30" t="s">
        <v>191</v>
      </c>
      <c r="E30" t="s">
        <v>192</v>
      </c>
      <c r="F30">
        <v>2050</v>
      </c>
      <c r="G30" t="s">
        <v>223</v>
      </c>
      <c r="H30" s="75">
        <v>1692.7912975423517</v>
      </c>
      <c r="I30" s="75">
        <v>832.37400938742894</v>
      </c>
      <c r="J30" s="75">
        <v>1521.0984514060563</v>
      </c>
      <c r="K30" s="75">
        <v>1507.4743852726435</v>
      </c>
      <c r="L30" s="75">
        <f t="shared" si="0"/>
        <v>688.72444201862731</v>
      </c>
      <c r="M30" s="75"/>
      <c r="N30" s="75"/>
      <c r="S30" s="80" t="s">
        <v>199</v>
      </c>
      <c r="T30" s="80" t="s">
        <v>194</v>
      </c>
      <c r="U30" s="7">
        <v>48000000</v>
      </c>
      <c r="W30" s="113">
        <v>45872966</v>
      </c>
    </row>
    <row r="31" spans="1:23">
      <c r="A31" t="s">
        <v>256</v>
      </c>
      <c r="B31">
        <v>2024</v>
      </c>
      <c r="C31" t="s">
        <v>257</v>
      </c>
      <c r="D31" t="s">
        <v>191</v>
      </c>
      <c r="E31" t="s">
        <v>192</v>
      </c>
      <c r="F31">
        <v>2024</v>
      </c>
      <c r="G31" t="s">
        <v>178</v>
      </c>
      <c r="H31" s="75">
        <v>1703.2941883028598</v>
      </c>
      <c r="I31" s="75">
        <v>1744.0992896145076</v>
      </c>
      <c r="J31" s="75">
        <v>2493.7646673531035</v>
      </c>
      <c r="K31" s="75">
        <v>2519.6177479479361</v>
      </c>
      <c r="L31" s="75">
        <f t="shared" si="0"/>
        <v>749.66537773859591</v>
      </c>
      <c r="M31" s="75">
        <f>K31-J31</f>
        <v>25.853080594832591</v>
      </c>
      <c r="N31" s="75" t="s">
        <v>448</v>
      </c>
      <c r="O31" s="80">
        <v>0.25985878261692258</v>
      </c>
      <c r="P31" s="80">
        <v>0.55324105778868227</v>
      </c>
      <c r="Q31" s="80">
        <v>0.1226529203090107</v>
      </c>
      <c r="R31" s="80">
        <v>6.4247239285384367E-2</v>
      </c>
      <c r="S31" s="80" t="s">
        <v>199</v>
      </c>
      <c r="T31" s="80" t="s">
        <v>258</v>
      </c>
      <c r="U31" s="112">
        <v>2110761</v>
      </c>
      <c r="V31" t="s">
        <v>259</v>
      </c>
      <c r="W31" s="7">
        <v>48000000</v>
      </c>
    </row>
    <row r="32" spans="1:23">
      <c r="A32" t="s">
        <v>218</v>
      </c>
      <c r="B32">
        <v>2021</v>
      </c>
      <c r="C32" t="s">
        <v>219</v>
      </c>
      <c r="D32" t="s">
        <v>191</v>
      </c>
      <c r="E32" t="s">
        <v>192</v>
      </c>
      <c r="F32">
        <v>2024</v>
      </c>
      <c r="G32" t="s">
        <v>222</v>
      </c>
      <c r="H32" s="75">
        <v>1730.510800708724</v>
      </c>
      <c r="I32" s="75">
        <v>823.96435988709356</v>
      </c>
      <c r="J32" s="75">
        <v>2024.309689168186</v>
      </c>
      <c r="K32" s="75">
        <v>2007.3752385624166</v>
      </c>
      <c r="L32" s="75">
        <f t="shared" si="0"/>
        <v>1200.3453292810923</v>
      </c>
      <c r="M32" s="75">
        <f>K32-J32</f>
        <v>-16.934450605769371</v>
      </c>
      <c r="N32" s="75" t="s">
        <v>449</v>
      </c>
      <c r="S32" s="80" t="s">
        <v>199</v>
      </c>
      <c r="T32" s="80" t="s">
        <v>194</v>
      </c>
      <c r="U32" s="7">
        <v>68000000</v>
      </c>
      <c r="W32" t="s">
        <v>85</v>
      </c>
    </row>
    <row r="33" spans="1:23">
      <c r="A33" t="s">
        <v>242</v>
      </c>
      <c r="B33">
        <v>2023</v>
      </c>
      <c r="C33" t="s">
        <v>243</v>
      </c>
      <c r="D33" t="s">
        <v>191</v>
      </c>
      <c r="E33" t="s">
        <v>192</v>
      </c>
      <c r="F33">
        <v>2024</v>
      </c>
      <c r="H33" s="75">
        <v>1755.1259920054924</v>
      </c>
      <c r="I33" s="75">
        <v>1456.3451717240093</v>
      </c>
      <c r="J33" s="75">
        <v>3092.0351171600601</v>
      </c>
      <c r="K33" s="75">
        <v>3109.819000988336</v>
      </c>
      <c r="L33" s="75">
        <f t="shared" si="0"/>
        <v>1635.6899454360507</v>
      </c>
      <c r="M33" s="75">
        <f>K33-J33</f>
        <v>17.783883828275975</v>
      </c>
      <c r="N33" s="75" t="s">
        <v>450</v>
      </c>
      <c r="O33" s="80">
        <v>0.28620652613279013</v>
      </c>
      <c r="P33" s="80">
        <v>0.47089020808174514</v>
      </c>
      <c r="Q33" s="80">
        <v>2.5500913984063858E-2</v>
      </c>
      <c r="R33" s="80">
        <v>0.21740235180140077</v>
      </c>
      <c r="S33" s="80" t="s">
        <v>199</v>
      </c>
      <c r="T33" s="80" t="s">
        <v>235</v>
      </c>
      <c r="U33" s="112">
        <v>25105853.051058531</v>
      </c>
      <c r="V33" t="s">
        <v>244</v>
      </c>
      <c r="W33" s="113">
        <v>87000000</v>
      </c>
    </row>
    <row r="34" spans="1:23">
      <c r="A34" t="s">
        <v>233</v>
      </c>
      <c r="B34">
        <v>2024</v>
      </c>
      <c r="D34" t="s">
        <v>191</v>
      </c>
      <c r="E34" t="s">
        <v>192</v>
      </c>
      <c r="F34">
        <v>2050</v>
      </c>
      <c r="G34" t="s">
        <v>236</v>
      </c>
      <c r="H34" s="75">
        <v>1875.4224770053406</v>
      </c>
      <c r="I34" s="75">
        <v>1436.797267614457</v>
      </c>
      <c r="J34" s="75">
        <v>2556.8251023695411</v>
      </c>
      <c r="K34" s="75">
        <v>2528.5896319794779</v>
      </c>
      <c r="L34" s="75">
        <f t="shared" si="0"/>
        <v>1120.0278347550841</v>
      </c>
      <c r="M34" s="75"/>
      <c r="N34" s="75"/>
      <c r="O34" s="80"/>
      <c r="P34" s="80"/>
      <c r="Q34" s="80"/>
      <c r="R34" s="80"/>
      <c r="S34" s="80" t="s">
        <v>199</v>
      </c>
      <c r="T34" s="80" t="s">
        <v>235</v>
      </c>
      <c r="U34" s="112">
        <v>157410000</v>
      </c>
      <c r="W34" s="113">
        <v>25105853.051058531</v>
      </c>
    </row>
    <row r="35" spans="1:23">
      <c r="A35" t="s">
        <v>218</v>
      </c>
      <c r="B35">
        <v>2021</v>
      </c>
      <c r="C35" t="s">
        <v>219</v>
      </c>
      <c r="D35" t="s">
        <v>191</v>
      </c>
      <c r="E35" t="s">
        <v>192</v>
      </c>
      <c r="F35">
        <v>2024</v>
      </c>
      <c r="G35" t="s">
        <v>221</v>
      </c>
      <c r="H35" s="75">
        <v>1892.306418410411</v>
      </c>
      <c r="I35" s="75">
        <v>1097.7096127003431</v>
      </c>
      <c r="J35" s="75">
        <v>1959.8017581903209</v>
      </c>
      <c r="K35" s="75">
        <v>1943.924445229954</v>
      </c>
      <c r="L35" s="75">
        <f t="shared" si="0"/>
        <v>862.09214548997784</v>
      </c>
      <c r="M35" s="75">
        <f>K35-J35</f>
        <v>-15.877312960366908</v>
      </c>
      <c r="N35" s="75" t="s">
        <v>451</v>
      </c>
      <c r="O35" s="80">
        <v>0.19014910760138215</v>
      </c>
      <c r="P35" s="80">
        <v>0.42429751790767684</v>
      </c>
      <c r="Q35" s="80">
        <v>0.21340218339560768</v>
      </c>
      <c r="R35" s="80">
        <v>0.1721511910953335</v>
      </c>
      <c r="S35" s="80" t="s">
        <v>199</v>
      </c>
      <c r="T35" s="80" t="s">
        <v>194</v>
      </c>
      <c r="U35" s="7">
        <v>87000000</v>
      </c>
      <c r="W35" s="113" t="s">
        <v>85</v>
      </c>
    </row>
    <row r="36" spans="1:23">
      <c r="A36" t="s">
        <v>218</v>
      </c>
      <c r="B36">
        <v>2021</v>
      </c>
      <c r="C36" t="s">
        <v>219</v>
      </c>
      <c r="D36" t="s">
        <v>191</v>
      </c>
      <c r="E36" t="s">
        <v>192</v>
      </c>
      <c r="F36">
        <v>2050</v>
      </c>
      <c r="G36" t="s">
        <v>224</v>
      </c>
      <c r="H36" s="75">
        <v>1954.9192922932341</v>
      </c>
      <c r="I36" s="75">
        <v>1192.8985751082232</v>
      </c>
      <c r="J36" s="75">
        <v>2139.2445588182595</v>
      </c>
      <c r="K36" s="75">
        <v>2121.2689252929808</v>
      </c>
      <c r="L36" s="75">
        <f t="shared" si="0"/>
        <v>946.34598371003631</v>
      </c>
      <c r="M36" s="75"/>
      <c r="N36" s="75" t="s">
        <v>445</v>
      </c>
      <c r="S36" s="80" t="s">
        <v>199</v>
      </c>
      <c r="T36" s="80" t="s">
        <v>194</v>
      </c>
      <c r="U36" s="7">
        <v>35000000</v>
      </c>
      <c r="W36" s="113">
        <v>208032000</v>
      </c>
    </row>
    <row r="37" spans="1:23">
      <c r="A37" t="s">
        <v>196</v>
      </c>
      <c r="B37">
        <v>2024</v>
      </c>
      <c r="C37" t="s">
        <v>197</v>
      </c>
      <c r="D37" t="s">
        <v>191</v>
      </c>
      <c r="E37" t="s">
        <v>198</v>
      </c>
      <c r="F37">
        <v>2024</v>
      </c>
      <c r="H37" s="75">
        <v>2404.7474592934755</v>
      </c>
      <c r="I37" s="75">
        <v>2435.2345642939222</v>
      </c>
      <c r="J37" s="75">
        <v>2575.7824042780635</v>
      </c>
      <c r="K37" s="75">
        <v>2555.1300501431251</v>
      </c>
      <c r="L37" s="75">
        <f t="shared" si="0"/>
        <v>140.54783998414132</v>
      </c>
      <c r="M37" s="75">
        <f t="shared" ref="M37:M45" si="2">K37-J37</f>
        <v>-20.652354134938378</v>
      </c>
      <c r="N37" s="75" t="s">
        <v>452</v>
      </c>
      <c r="O37" s="80">
        <v>5.445168642647661E-2</v>
      </c>
      <c r="P37" s="80">
        <v>0.62743119451311191</v>
      </c>
      <c r="Q37" s="80">
        <v>0.30588184525039563</v>
      </c>
      <c r="R37" s="80">
        <v>1.2235273810015825E-2</v>
      </c>
      <c r="S37" s="80" t="s">
        <v>199</v>
      </c>
      <c r="T37" s="80" t="s">
        <v>194</v>
      </c>
      <c r="U37" t="s">
        <v>85</v>
      </c>
      <c r="V37" t="s">
        <v>200</v>
      </c>
      <c r="W37" s="112">
        <v>1000000</v>
      </c>
    </row>
    <row r="38" spans="1:23">
      <c r="A38" t="s">
        <v>233</v>
      </c>
      <c r="B38">
        <v>2024</v>
      </c>
      <c r="D38" t="s">
        <v>191</v>
      </c>
      <c r="E38" t="s">
        <v>192</v>
      </c>
      <c r="F38">
        <v>2024</v>
      </c>
      <c r="G38" t="s">
        <v>234</v>
      </c>
      <c r="H38" s="75">
        <v>2681.2487830302389</v>
      </c>
      <c r="I38" s="75">
        <v>2495.6577011733561</v>
      </c>
      <c r="J38" s="75">
        <v>4573.4253820398362</v>
      </c>
      <c r="K38" s="75">
        <v>4548.0843198991461</v>
      </c>
      <c r="L38" s="75">
        <f t="shared" si="0"/>
        <v>2077.7676808664801</v>
      </c>
      <c r="M38" s="75">
        <f t="shared" si="2"/>
        <v>-25.341062140690156</v>
      </c>
      <c r="N38" s="75" t="s">
        <v>453</v>
      </c>
      <c r="O38" s="80"/>
      <c r="P38" s="80"/>
      <c r="Q38" s="80"/>
      <c r="R38" s="80"/>
      <c r="S38" s="80" t="s">
        <v>199</v>
      </c>
      <c r="T38" s="80" t="s">
        <v>235</v>
      </c>
      <c r="U38" s="112">
        <v>157410000</v>
      </c>
      <c r="W38" s="113">
        <v>1000000</v>
      </c>
    </row>
    <row r="39" spans="1:23">
      <c r="A39" t="s">
        <v>218</v>
      </c>
      <c r="B39">
        <v>2021</v>
      </c>
      <c r="C39" t="s">
        <v>219</v>
      </c>
      <c r="D39" t="s">
        <v>191</v>
      </c>
      <c r="E39" t="s">
        <v>192</v>
      </c>
      <c r="F39">
        <v>2024</v>
      </c>
      <c r="G39" t="s">
        <v>223</v>
      </c>
      <c r="H39" s="75">
        <v>2708.6121435384971</v>
      </c>
      <c r="I39" s="75">
        <v>1804.7168921979044</v>
      </c>
      <c r="J39" s="75">
        <v>3396.6119441043925</v>
      </c>
      <c r="K39" s="75">
        <v>3374.1563502157419</v>
      </c>
      <c r="L39" s="75">
        <f t="shared" si="0"/>
        <v>1591.8950519064881</v>
      </c>
      <c r="M39" s="75">
        <f t="shared" si="2"/>
        <v>-22.455593888650583</v>
      </c>
      <c r="N39" s="75" t="s">
        <v>454</v>
      </c>
      <c r="S39" s="80" t="s">
        <v>199</v>
      </c>
      <c r="T39" s="80" t="s">
        <v>194</v>
      </c>
      <c r="U39" s="7">
        <v>48000000</v>
      </c>
      <c r="W39" s="113">
        <v>1000000</v>
      </c>
    </row>
    <row r="40" spans="1:23">
      <c r="A40" t="s">
        <v>212</v>
      </c>
      <c r="B40">
        <v>2024</v>
      </c>
      <c r="C40" t="s">
        <v>213</v>
      </c>
      <c r="D40" t="s">
        <v>191</v>
      </c>
      <c r="E40" t="s">
        <v>192</v>
      </c>
      <c r="F40">
        <v>2024</v>
      </c>
      <c r="G40" t="s">
        <v>214</v>
      </c>
      <c r="H40" s="75">
        <v>2727.5773261727436</v>
      </c>
      <c r="I40" s="75">
        <v>2805.9551585007839</v>
      </c>
      <c r="J40" s="75">
        <v>2849.8756786120139</v>
      </c>
      <c r="K40" s="75">
        <v>2927.777967986257</v>
      </c>
      <c r="L40" s="75">
        <f t="shared" si="0"/>
        <v>43.920520111229962</v>
      </c>
      <c r="M40" s="75">
        <f t="shared" si="2"/>
        <v>77.902289374243082</v>
      </c>
      <c r="N40" s="75" t="s">
        <v>455</v>
      </c>
      <c r="O40" s="80">
        <v>0.19629913386788772</v>
      </c>
      <c r="P40" s="80">
        <v>0.65374157606915917</v>
      </c>
      <c r="Q40" s="80">
        <v>0.10228146681708518</v>
      </c>
      <c r="R40" s="80">
        <v>4.7677823245867994E-2</v>
      </c>
      <c r="S40" s="80" t="s">
        <v>199</v>
      </c>
      <c r="T40" s="80" t="s">
        <v>194</v>
      </c>
      <c r="U40" s="7">
        <v>39140033.75</v>
      </c>
      <c r="W40" s="112">
        <v>157410000</v>
      </c>
    </row>
    <row r="41" spans="1:23">
      <c r="A41" t="s">
        <v>218</v>
      </c>
      <c r="B41">
        <v>2021</v>
      </c>
      <c r="C41" t="s">
        <v>219</v>
      </c>
      <c r="D41" t="s">
        <v>191</v>
      </c>
      <c r="E41" t="s">
        <v>192</v>
      </c>
      <c r="F41">
        <v>2024</v>
      </c>
      <c r="G41" t="s">
        <v>224</v>
      </c>
      <c r="H41" s="75">
        <v>2761.7003080324448</v>
      </c>
      <c r="I41" s="75">
        <v>1368.7084844811829</v>
      </c>
      <c r="J41" s="75">
        <v>3557.2857569304938</v>
      </c>
      <c r="K41" s="75">
        <v>3528.5632426152797</v>
      </c>
      <c r="L41" s="75">
        <f t="shared" si="0"/>
        <v>2188.5772724493108</v>
      </c>
      <c r="M41" s="75">
        <f t="shared" si="2"/>
        <v>-28.722514315214084</v>
      </c>
      <c r="N41" s="75" t="s">
        <v>456</v>
      </c>
      <c r="S41" s="80" t="s">
        <v>199</v>
      </c>
      <c r="T41" s="80" t="s">
        <v>194</v>
      </c>
      <c r="U41" s="7">
        <v>35000000</v>
      </c>
      <c r="W41" s="113">
        <v>69000000</v>
      </c>
    </row>
    <row r="42" spans="1:23">
      <c r="A42" t="s">
        <v>233</v>
      </c>
      <c r="B42">
        <v>2024</v>
      </c>
      <c r="D42" t="s">
        <v>191</v>
      </c>
      <c r="E42" t="s">
        <v>192</v>
      </c>
      <c r="F42">
        <v>2024</v>
      </c>
      <c r="G42" t="s">
        <v>238</v>
      </c>
      <c r="H42" s="75">
        <v>2797.4452258049691</v>
      </c>
      <c r="I42" s="75">
        <v>2548.3624580496798</v>
      </c>
      <c r="J42" s="75">
        <v>4640.6837686896215</v>
      </c>
      <c r="K42" s="75">
        <v>4619.0164428575381</v>
      </c>
      <c r="L42" s="75">
        <f t="shared" si="0"/>
        <v>2092.3213106399417</v>
      </c>
      <c r="M42" s="75">
        <f t="shared" si="2"/>
        <v>-21.667325832083407</v>
      </c>
      <c r="N42" s="75" t="s">
        <v>453</v>
      </c>
      <c r="O42" s="80">
        <v>0.18972820066329413</v>
      </c>
      <c r="P42" s="80">
        <v>0.68542683885337585</v>
      </c>
      <c r="Q42" s="80">
        <v>4.1118672813784257E-2</v>
      </c>
      <c r="R42" s="80">
        <v>8.3726287669547289E-2</v>
      </c>
      <c r="S42" s="80" t="s">
        <v>199</v>
      </c>
      <c r="T42" s="80" t="s">
        <v>235</v>
      </c>
      <c r="U42" s="112">
        <v>157410000</v>
      </c>
      <c r="W42" s="112">
        <v>3650000</v>
      </c>
    </row>
    <row r="43" spans="1:23">
      <c r="A43" t="s">
        <v>233</v>
      </c>
      <c r="B43">
        <v>2024</v>
      </c>
      <c r="D43" t="s">
        <v>191</v>
      </c>
      <c r="E43" t="s">
        <v>192</v>
      </c>
      <c r="F43">
        <v>2024</v>
      </c>
      <c r="G43" t="s">
        <v>236</v>
      </c>
      <c r="H43" s="75">
        <v>3266.1214388486155</v>
      </c>
      <c r="I43" s="75">
        <v>2576.9841253415252</v>
      </c>
      <c r="J43" s="75">
        <v>4528.7896922505452</v>
      </c>
      <c r="K43" s="75">
        <v>4507.1223664184608</v>
      </c>
      <c r="L43" s="75">
        <f t="shared" si="0"/>
        <v>1951.8055669090199</v>
      </c>
      <c r="M43" s="75">
        <f t="shared" si="2"/>
        <v>-21.667325832084316</v>
      </c>
      <c r="N43" s="75" t="s">
        <v>453</v>
      </c>
      <c r="O43" s="80"/>
      <c r="P43" s="80"/>
      <c r="Q43" s="80"/>
      <c r="R43" s="80"/>
      <c r="S43" s="80" t="s">
        <v>199</v>
      </c>
      <c r="T43" s="80" t="s">
        <v>235</v>
      </c>
      <c r="U43" s="112">
        <v>157410000</v>
      </c>
      <c r="V43" t="s">
        <v>237</v>
      </c>
      <c r="W43" s="113"/>
    </row>
    <row r="44" spans="1:23">
      <c r="A44" t="s">
        <v>245</v>
      </c>
      <c r="B44">
        <v>2024</v>
      </c>
      <c r="C44" t="s">
        <v>246</v>
      </c>
      <c r="D44" t="s">
        <v>191</v>
      </c>
      <c r="E44" t="s">
        <v>198</v>
      </c>
      <c r="F44">
        <v>2024</v>
      </c>
      <c r="G44" t="s">
        <v>249</v>
      </c>
      <c r="H44" s="75">
        <v>5186.3474368779916</v>
      </c>
      <c r="I44" s="75">
        <v>3438.5192545251684</v>
      </c>
      <c r="J44" s="75">
        <v>5951.2256810399012</v>
      </c>
      <c r="K44" s="75">
        <v>6013.8337548512636</v>
      </c>
      <c r="L44" s="75">
        <f t="shared" si="0"/>
        <v>2512.7064265147328</v>
      </c>
      <c r="M44" s="75">
        <f t="shared" si="2"/>
        <v>62.608073811362374</v>
      </c>
      <c r="N44" s="75" t="s">
        <v>457</v>
      </c>
      <c r="O44" s="80">
        <v>0.10119430449322714</v>
      </c>
      <c r="P44" s="80">
        <v>0.61193522966613301</v>
      </c>
      <c r="Q44" s="80">
        <v>0.27234050130799337</v>
      </c>
      <c r="R44" s="80">
        <v>1.4529964532646183E-2</v>
      </c>
      <c r="S44" s="80" t="s">
        <v>199</v>
      </c>
      <c r="T44" s="80" t="s">
        <v>194</v>
      </c>
      <c r="U44" s="7">
        <v>1250000000</v>
      </c>
      <c r="W44" s="113">
        <v>1250000000</v>
      </c>
    </row>
    <row r="45" spans="1:23">
      <c r="A45" t="s">
        <v>245</v>
      </c>
      <c r="B45">
        <v>2024</v>
      </c>
      <c r="C45" t="s">
        <v>246</v>
      </c>
      <c r="D45" t="s">
        <v>191</v>
      </c>
      <c r="E45" t="s">
        <v>198</v>
      </c>
      <c r="F45">
        <v>2024</v>
      </c>
      <c r="G45" t="s">
        <v>247</v>
      </c>
      <c r="H45" s="75">
        <v>6201.6746704843536</v>
      </c>
      <c r="I45" s="75">
        <v>3818.5620604832807</v>
      </c>
      <c r="J45" s="75">
        <v>3865.4180894995325</v>
      </c>
      <c r="K45" s="75">
        <v>3949.4052401580666</v>
      </c>
      <c r="L45" s="75">
        <f t="shared" si="0"/>
        <v>46.856029016251796</v>
      </c>
      <c r="M45" s="75">
        <f t="shared" si="2"/>
        <v>83.987150658534119</v>
      </c>
      <c r="N45" s="75" t="s">
        <v>458</v>
      </c>
      <c r="O45" s="80">
        <v>0.18840661595310274</v>
      </c>
      <c r="P45" s="80">
        <v>0.68456138294840485</v>
      </c>
      <c r="Q45" s="80">
        <v>0.11897366506350344</v>
      </c>
      <c r="R45" s="80">
        <v>8.0583360349887213E-3</v>
      </c>
      <c r="S45" s="80" t="s">
        <v>199</v>
      </c>
      <c r="T45" s="80" t="s">
        <v>194</v>
      </c>
      <c r="U45" s="7">
        <v>1250000000</v>
      </c>
      <c r="V45" t="s">
        <v>248</v>
      </c>
      <c r="W45" s="113" t="s">
        <v>85</v>
      </c>
    </row>
    <row r="46" spans="1:23">
      <c r="A46" t="s">
        <v>262</v>
      </c>
      <c r="B46">
        <v>2021</v>
      </c>
      <c r="C46" t="s">
        <v>263</v>
      </c>
      <c r="D46" t="s">
        <v>191</v>
      </c>
      <c r="E46" t="s">
        <v>192</v>
      </c>
      <c r="H46" s="75"/>
      <c r="I46" s="75"/>
      <c r="J46" s="75"/>
      <c r="K46" s="75"/>
      <c r="L46" s="75">
        <f t="shared" si="0"/>
        <v>0</v>
      </c>
      <c r="M46" s="75"/>
      <c r="N46" s="75"/>
      <c r="O46" s="80"/>
      <c r="P46" s="80"/>
      <c r="Q46" s="80"/>
      <c r="R46" s="80"/>
      <c r="S46" s="80" t="s">
        <v>199</v>
      </c>
      <c r="T46" s="80" t="s">
        <v>258</v>
      </c>
      <c r="U46" t="s">
        <v>85</v>
      </c>
      <c r="W46" s="112">
        <v>1000000</v>
      </c>
    </row>
    <row r="47" spans="1:23">
      <c r="A47" t="s">
        <v>201</v>
      </c>
      <c r="B47">
        <v>2024</v>
      </c>
      <c r="D47" t="s">
        <v>191</v>
      </c>
      <c r="E47" t="s">
        <v>192</v>
      </c>
      <c r="L47" s="75">
        <f t="shared" si="0"/>
        <v>0</v>
      </c>
      <c r="M47" s="75"/>
      <c r="N47" s="75"/>
      <c r="O47" s="80"/>
      <c r="P47" s="80"/>
      <c r="Q47" s="80"/>
      <c r="R47" s="80"/>
      <c r="S47" s="80" t="s">
        <v>199</v>
      </c>
      <c r="T47" s="80" t="s">
        <v>202</v>
      </c>
      <c r="U47" t="s">
        <v>85</v>
      </c>
      <c r="W47" s="113">
        <v>2110761</v>
      </c>
    </row>
    <row r="49" spans="11:15">
      <c r="K49">
        <f>AVERAGEIF(F:F,2050,K:K)</f>
        <v>1339.8346764756116</v>
      </c>
    </row>
    <row r="50" spans="11:15">
      <c r="O50" s="75"/>
    </row>
  </sheetData>
  <autoFilter ref="A1:W50" xr:uid="{C7BB431A-E662-5C41-9045-CF84C3CAD717}"/>
  <sortState xmlns:xlrd2="http://schemas.microsoft.com/office/spreadsheetml/2017/richdata2" ref="A2:W50">
    <sortCondition ref="H2:H50"/>
  </sortState>
  <hyperlinks>
    <hyperlink ref="C21" r:id="rId1" xr:uid="{6664D6E3-FFE0-6D4E-9FD9-B486751F43C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4C3C-89CB-484C-A47E-6DE1328A8770}">
  <dimension ref="A1:T23"/>
  <sheetViews>
    <sheetView workbookViewId="0">
      <selection activeCell="G25" sqref="G25"/>
    </sheetView>
  </sheetViews>
  <sheetFormatPr defaultRowHeight="15.6"/>
  <sheetData>
    <row r="1" spans="1:20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434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</row>
    <row r="2" spans="1:20">
      <c r="A2" t="s">
        <v>201</v>
      </c>
      <c r="B2">
        <v>2024</v>
      </c>
      <c r="D2" t="s">
        <v>191</v>
      </c>
      <c r="E2" t="s">
        <v>192</v>
      </c>
      <c r="F2">
        <v>2050</v>
      </c>
      <c r="G2" t="s">
        <v>4</v>
      </c>
      <c r="H2">
        <v>226.43483728748049</v>
      </c>
      <c r="I2">
        <v>507.5496345628751</v>
      </c>
      <c r="J2">
        <v>256.69176920421268</v>
      </c>
      <c r="K2">
        <v>256.69176920421268</v>
      </c>
      <c r="L2">
        <v>0</v>
      </c>
      <c r="Q2" t="s">
        <v>199</v>
      </c>
      <c r="R2" t="s">
        <v>202</v>
      </c>
      <c r="S2" t="s">
        <v>85</v>
      </c>
    </row>
    <row r="3" spans="1:20">
      <c r="A3" t="s">
        <v>212</v>
      </c>
      <c r="B3">
        <v>2024</v>
      </c>
      <c r="C3" t="s">
        <v>213</v>
      </c>
      <c r="D3" t="s">
        <v>191</v>
      </c>
      <c r="E3" t="s">
        <v>192</v>
      </c>
      <c r="F3">
        <v>2050</v>
      </c>
      <c r="G3" t="s">
        <v>216</v>
      </c>
      <c r="H3">
        <v>788.73379282687233</v>
      </c>
      <c r="I3">
        <v>867.11162515491219</v>
      </c>
      <c r="J3">
        <v>942.76068153378606</v>
      </c>
      <c r="K3">
        <v>1020.6629709080298</v>
      </c>
      <c r="L3">
        <v>276.92707680000001</v>
      </c>
      <c r="M3">
        <v>0.43600142701593897</v>
      </c>
      <c r="N3">
        <v>0.23092290844369628</v>
      </c>
      <c r="O3">
        <v>0.2271781062444502</v>
      </c>
      <c r="P3">
        <v>0.10589755829591445</v>
      </c>
      <c r="Q3" t="s">
        <v>199</v>
      </c>
      <c r="R3" t="s">
        <v>194</v>
      </c>
      <c r="S3">
        <v>39140033.75</v>
      </c>
      <c r="T3" t="s">
        <v>217</v>
      </c>
    </row>
    <row r="4" spans="1:20">
      <c r="A4" t="s">
        <v>218</v>
      </c>
      <c r="B4">
        <v>2021</v>
      </c>
      <c r="C4" t="s">
        <v>219</v>
      </c>
      <c r="D4" t="s">
        <v>191</v>
      </c>
      <c r="E4" t="s">
        <v>192</v>
      </c>
      <c r="F4">
        <v>2050</v>
      </c>
      <c r="G4" t="s">
        <v>221</v>
      </c>
      <c r="H4">
        <v>170.71313963008302</v>
      </c>
      <c r="I4">
        <v>-272.34449546816433</v>
      </c>
      <c r="J4">
        <v>-62.173630032290717</v>
      </c>
      <c r="K4">
        <v>-72.181907812917927</v>
      </c>
      <c r="L4">
        <v>0</v>
      </c>
      <c r="M4">
        <v>0.2314937145892513</v>
      </c>
      <c r="N4">
        <v>0.16990070162515164</v>
      </c>
      <c r="O4">
        <v>0.16515127211386416</v>
      </c>
      <c r="P4">
        <v>0.43345431167173254</v>
      </c>
      <c r="Q4" t="s">
        <v>199</v>
      </c>
      <c r="R4" t="s">
        <v>194</v>
      </c>
      <c r="S4">
        <v>87000000</v>
      </c>
    </row>
    <row r="5" spans="1:20">
      <c r="A5" t="s">
        <v>218</v>
      </c>
      <c r="B5">
        <v>2021</v>
      </c>
      <c r="C5" t="s">
        <v>219</v>
      </c>
      <c r="D5" t="s">
        <v>191</v>
      </c>
      <c r="E5" t="s">
        <v>192</v>
      </c>
      <c r="F5">
        <v>2050</v>
      </c>
      <c r="G5" t="s">
        <v>224</v>
      </c>
      <c r="H5">
        <v>1527.8348130849258</v>
      </c>
      <c r="I5">
        <v>765.81409589991506</v>
      </c>
      <c r="J5">
        <v>1303.5213130996572</v>
      </c>
      <c r="K5">
        <v>1285.5456795743796</v>
      </c>
      <c r="L5">
        <v>0</v>
      </c>
      <c r="Q5" t="s">
        <v>199</v>
      </c>
      <c r="R5" t="s">
        <v>194</v>
      </c>
      <c r="S5">
        <v>35000000</v>
      </c>
    </row>
    <row r="6" spans="1:20">
      <c r="A6" t="s">
        <v>218</v>
      </c>
      <c r="B6">
        <v>2021</v>
      </c>
      <c r="C6" t="s">
        <v>219</v>
      </c>
      <c r="D6" t="s">
        <v>191</v>
      </c>
      <c r="E6" t="s">
        <v>192</v>
      </c>
      <c r="F6">
        <v>2050</v>
      </c>
      <c r="G6" t="s">
        <v>223</v>
      </c>
      <c r="H6">
        <v>1265.7068183340434</v>
      </c>
      <c r="I6">
        <v>405.28953017912067</v>
      </c>
      <c r="J6">
        <v>796.04820495065883</v>
      </c>
      <c r="K6">
        <v>782.42413881724599</v>
      </c>
      <c r="L6">
        <v>0</v>
      </c>
      <c r="Q6" t="s">
        <v>199</v>
      </c>
      <c r="R6" t="s">
        <v>194</v>
      </c>
      <c r="S6">
        <v>48000000</v>
      </c>
    </row>
    <row r="7" spans="1:20">
      <c r="A7" t="s">
        <v>218</v>
      </c>
      <c r="B7">
        <v>2021</v>
      </c>
      <c r="C7" t="s">
        <v>219</v>
      </c>
      <c r="D7" t="s">
        <v>191</v>
      </c>
      <c r="E7" t="s">
        <v>192</v>
      </c>
      <c r="F7">
        <v>2050</v>
      </c>
      <c r="G7" t="s">
        <v>220</v>
      </c>
      <c r="H7">
        <v>-116.28768262864624</v>
      </c>
      <c r="I7">
        <v>-528.1936564064722</v>
      </c>
      <c r="J7">
        <v>-239.21268971970835</v>
      </c>
      <c r="K7">
        <v>-249.20308214719489</v>
      </c>
      <c r="L7">
        <v>0</v>
      </c>
      <c r="Q7" t="s">
        <v>199</v>
      </c>
      <c r="R7" t="s">
        <v>194</v>
      </c>
      <c r="S7">
        <v>69000000</v>
      </c>
    </row>
    <row r="8" spans="1:20">
      <c r="A8" t="s">
        <v>218</v>
      </c>
      <c r="B8">
        <v>2021</v>
      </c>
      <c r="C8" t="s">
        <v>219</v>
      </c>
      <c r="D8" t="s">
        <v>191</v>
      </c>
      <c r="E8" t="s">
        <v>192</v>
      </c>
      <c r="F8">
        <v>2050</v>
      </c>
      <c r="G8" t="s">
        <v>222</v>
      </c>
      <c r="H8">
        <v>628.73238316672519</v>
      </c>
      <c r="I8">
        <v>100.46811775340927</v>
      </c>
      <c r="J8">
        <v>-25.131634494324178</v>
      </c>
      <c r="K8">
        <v>-35.508173011212236</v>
      </c>
      <c r="L8">
        <v>0</v>
      </c>
      <c r="Q8" t="s">
        <v>199</v>
      </c>
      <c r="R8" t="s">
        <v>194</v>
      </c>
      <c r="S8">
        <v>68000000</v>
      </c>
    </row>
    <row r="9" spans="1:20">
      <c r="A9" t="s">
        <v>225</v>
      </c>
      <c r="B9">
        <v>2023</v>
      </c>
      <c r="C9" t="s">
        <v>226</v>
      </c>
      <c r="D9" t="s">
        <v>191</v>
      </c>
      <c r="E9" t="s">
        <v>192</v>
      </c>
      <c r="F9">
        <v>2050</v>
      </c>
      <c r="G9" t="s">
        <v>4</v>
      </c>
      <c r="H9">
        <v>-79.445010205594244</v>
      </c>
      <c r="I9">
        <v>-158.69324098642159</v>
      </c>
      <c r="J9">
        <v>28.780444518472425</v>
      </c>
      <c r="K9">
        <v>30.365764757794803</v>
      </c>
      <c r="L9">
        <v>464.84064000000006</v>
      </c>
      <c r="Q9" t="s">
        <v>199</v>
      </c>
      <c r="R9" t="s">
        <v>194</v>
      </c>
      <c r="S9" t="s">
        <v>85</v>
      </c>
    </row>
    <row r="10" spans="1:20">
      <c r="A10" t="s">
        <v>229</v>
      </c>
      <c r="B10">
        <v>2023</v>
      </c>
      <c r="C10" t="s">
        <v>230</v>
      </c>
      <c r="D10" t="s">
        <v>207</v>
      </c>
      <c r="E10" t="s">
        <v>192</v>
      </c>
      <c r="F10">
        <v>2050</v>
      </c>
      <c r="G10" t="s">
        <v>4</v>
      </c>
      <c r="H10">
        <v>498.15760149041978</v>
      </c>
      <c r="I10">
        <v>498.18170414728417</v>
      </c>
      <c r="J10">
        <v>492.76063519578787</v>
      </c>
      <c r="K10">
        <v>592.25227938356227</v>
      </c>
      <c r="L10">
        <v>468.3096000000001</v>
      </c>
      <c r="M10">
        <v>-3.6841458442802914E-5</v>
      </c>
      <c r="N10">
        <v>0.40892530327735788</v>
      </c>
      <c r="O10">
        <v>0.41554005633091412</v>
      </c>
      <c r="P10">
        <v>0.1755714818501713</v>
      </c>
      <c r="Q10" t="s">
        <v>193</v>
      </c>
      <c r="R10" t="s">
        <v>208</v>
      </c>
      <c r="S10">
        <v>31354838</v>
      </c>
    </row>
    <row r="11" spans="1:20">
      <c r="A11" t="s">
        <v>229</v>
      </c>
      <c r="B11">
        <v>2023</v>
      </c>
      <c r="C11" t="s">
        <v>230</v>
      </c>
      <c r="D11" t="s">
        <v>207</v>
      </c>
      <c r="E11" t="s">
        <v>192</v>
      </c>
      <c r="F11">
        <v>2050</v>
      </c>
      <c r="G11" t="s">
        <v>232</v>
      </c>
      <c r="H11">
        <v>354.95842540274322</v>
      </c>
      <c r="I11">
        <v>354.98350180694553</v>
      </c>
      <c r="J11">
        <v>349.34342166980815</v>
      </c>
      <c r="K11">
        <v>425.84575339654856</v>
      </c>
      <c r="L11">
        <v>468.3096000000001</v>
      </c>
      <c r="Q11" t="s">
        <v>193</v>
      </c>
      <c r="R11" t="s">
        <v>208</v>
      </c>
      <c r="S11">
        <v>31354838</v>
      </c>
    </row>
    <row r="12" spans="1:20">
      <c r="A12" t="s">
        <v>233</v>
      </c>
      <c r="B12">
        <v>2024</v>
      </c>
      <c r="D12" t="s">
        <v>191</v>
      </c>
      <c r="E12" t="s">
        <v>192</v>
      </c>
      <c r="F12">
        <v>2050</v>
      </c>
      <c r="G12" t="s">
        <v>236</v>
      </c>
      <c r="H12">
        <v>862.11520722392277</v>
      </c>
      <c r="I12">
        <v>600.00186828698759</v>
      </c>
      <c r="J12">
        <v>956.03425310545208</v>
      </c>
      <c r="K12">
        <v>939.16132090287272</v>
      </c>
      <c r="L12">
        <v>215.38772640000005</v>
      </c>
      <c r="Q12" t="s">
        <v>199</v>
      </c>
      <c r="R12" t="s">
        <v>235</v>
      </c>
      <c r="S12">
        <v>157410000</v>
      </c>
    </row>
    <row r="13" spans="1:20">
      <c r="A13" t="s">
        <v>233</v>
      </c>
      <c r="B13">
        <v>2024</v>
      </c>
      <c r="D13" t="s">
        <v>191</v>
      </c>
      <c r="E13" t="s">
        <v>192</v>
      </c>
      <c r="F13">
        <v>2050</v>
      </c>
      <c r="G13" t="s">
        <v>238</v>
      </c>
      <c r="H13">
        <v>694.37845729251387</v>
      </c>
      <c r="I13">
        <v>586.88153086588193</v>
      </c>
      <c r="J13">
        <v>892.90291807244432</v>
      </c>
      <c r="K13">
        <v>876.02998586986462</v>
      </c>
      <c r="L13">
        <v>215.38772640000005</v>
      </c>
      <c r="M13">
        <v>0.40154651277811515</v>
      </c>
      <c r="N13">
        <v>0.31639384055629749</v>
      </c>
      <c r="O13">
        <v>9.22233423318084E-2</v>
      </c>
      <c r="P13">
        <v>0.18983630433377849</v>
      </c>
      <c r="Q13" t="s">
        <v>199</v>
      </c>
      <c r="R13" t="s">
        <v>235</v>
      </c>
      <c r="S13">
        <v>157410000</v>
      </c>
    </row>
    <row r="14" spans="1:20">
      <c r="A14" t="s">
        <v>233</v>
      </c>
      <c r="B14">
        <v>2024</v>
      </c>
      <c r="D14" t="s">
        <v>191</v>
      </c>
      <c r="E14" t="s">
        <v>192</v>
      </c>
      <c r="F14">
        <v>2050</v>
      </c>
      <c r="G14" t="s">
        <v>234</v>
      </c>
      <c r="H14">
        <v>951.16854994555172</v>
      </c>
      <c r="I14">
        <v>799.63304936101611</v>
      </c>
      <c r="J14">
        <v>1275.7790468280793</v>
      </c>
      <c r="K14">
        <v>1249.1941087835362</v>
      </c>
      <c r="L14">
        <v>215.38772640000005</v>
      </c>
      <c r="Q14" t="s">
        <v>199</v>
      </c>
      <c r="R14" t="s">
        <v>235</v>
      </c>
      <c r="S14">
        <v>157410000</v>
      </c>
    </row>
    <row r="15" spans="1:20">
      <c r="A15" t="s">
        <v>250</v>
      </c>
      <c r="B15">
        <v>2024</v>
      </c>
      <c r="C15" t="s">
        <v>251</v>
      </c>
      <c r="D15" t="s">
        <v>191</v>
      </c>
      <c r="E15" t="s">
        <v>192</v>
      </c>
      <c r="F15">
        <v>2050</v>
      </c>
      <c r="G15" t="s">
        <v>252</v>
      </c>
      <c r="H15">
        <v>575.07717297292299</v>
      </c>
      <c r="I15">
        <v>362.16308407627048</v>
      </c>
      <c r="J15">
        <v>445.15554991139533</v>
      </c>
      <c r="K15">
        <v>369.49031860093237</v>
      </c>
      <c r="L15">
        <v>110.7220404859698</v>
      </c>
      <c r="M15">
        <v>0.38126387755739399</v>
      </c>
      <c r="N15">
        <v>0.35972192068295039</v>
      </c>
      <c r="O15">
        <v>0.21364761724331621</v>
      </c>
      <c r="P15">
        <v>4.536658451633889E-2</v>
      </c>
      <c r="Q15" t="s">
        <v>193</v>
      </c>
      <c r="R15" t="s">
        <v>194</v>
      </c>
      <c r="S15">
        <v>1000000</v>
      </c>
    </row>
    <row r="16" spans="1:20">
      <c r="A16" t="s">
        <v>250</v>
      </c>
      <c r="B16">
        <v>2024</v>
      </c>
      <c r="C16" t="s">
        <v>251</v>
      </c>
      <c r="D16" t="s">
        <v>191</v>
      </c>
      <c r="E16" t="s">
        <v>192</v>
      </c>
      <c r="F16">
        <v>2050</v>
      </c>
      <c r="G16" t="s">
        <v>253</v>
      </c>
      <c r="H16">
        <v>1220.1593826645308</v>
      </c>
      <c r="I16">
        <v>615.17623489421021</v>
      </c>
      <c r="J16">
        <v>754.05733057761472</v>
      </c>
      <c r="K16">
        <v>626.28544246052036</v>
      </c>
      <c r="L16">
        <v>126.07288739834831</v>
      </c>
      <c r="Q16" t="s">
        <v>193</v>
      </c>
      <c r="R16" t="s">
        <v>194</v>
      </c>
      <c r="S16">
        <v>1000000</v>
      </c>
    </row>
    <row r="17" spans="1:19">
      <c r="A17" t="s">
        <v>250</v>
      </c>
      <c r="B17">
        <v>2024</v>
      </c>
      <c r="C17" t="s">
        <v>251</v>
      </c>
      <c r="D17" t="s">
        <v>191</v>
      </c>
      <c r="E17" t="s">
        <v>192</v>
      </c>
      <c r="F17">
        <v>2050</v>
      </c>
      <c r="G17" t="s">
        <v>254</v>
      </c>
      <c r="H17">
        <v>574.53057997459052</v>
      </c>
      <c r="I17">
        <v>361.61649107793841</v>
      </c>
      <c r="J17">
        <v>444.60895691306303</v>
      </c>
      <c r="K17">
        <v>369.12600265875511</v>
      </c>
      <c r="L17">
        <v>110.66757856129041</v>
      </c>
      <c r="Q17" t="s">
        <v>193</v>
      </c>
      <c r="R17" t="s">
        <v>194</v>
      </c>
      <c r="S17">
        <v>1000000</v>
      </c>
    </row>
    <row r="18" spans="1:19">
      <c r="A18" t="s">
        <v>256</v>
      </c>
      <c r="B18">
        <v>2024</v>
      </c>
      <c r="C18" t="s">
        <v>257</v>
      </c>
      <c r="D18" t="s">
        <v>191</v>
      </c>
      <c r="E18" t="s">
        <v>192</v>
      </c>
      <c r="F18">
        <v>2050</v>
      </c>
      <c r="G18" t="s">
        <v>4</v>
      </c>
      <c r="H18">
        <v>276.11719436762075</v>
      </c>
      <c r="I18">
        <v>252.01256713375824</v>
      </c>
      <c r="J18">
        <v>317.68702191320409</v>
      </c>
      <c r="K18">
        <v>340.49371401033648</v>
      </c>
      <c r="L18">
        <v>305.14000000000004</v>
      </c>
      <c r="M18">
        <v>0.42922213497345468</v>
      </c>
      <c r="N18">
        <v>0.32072475029268738</v>
      </c>
      <c r="O18">
        <v>0.16371172190929395</v>
      </c>
      <c r="P18">
        <v>8.6341392824563434E-2</v>
      </c>
      <c r="Q18" t="s">
        <v>199</v>
      </c>
      <c r="R18" t="s">
        <v>258</v>
      </c>
      <c r="S18">
        <v>2110761</v>
      </c>
    </row>
    <row r="19" spans="1:19">
      <c r="A19" t="s">
        <v>260</v>
      </c>
      <c r="B19">
        <v>2021</v>
      </c>
      <c r="C19" t="s">
        <v>261</v>
      </c>
      <c r="D19" t="s">
        <v>191</v>
      </c>
      <c r="E19" t="s">
        <v>192</v>
      </c>
      <c r="F19">
        <v>2050</v>
      </c>
      <c r="G19" t="s">
        <v>4</v>
      </c>
      <c r="H19">
        <v>-326.23676733273851</v>
      </c>
      <c r="I19">
        <v>-126.19169381306506</v>
      </c>
      <c r="J19">
        <v>46.82335206653277</v>
      </c>
      <c r="K19">
        <v>106.83632519609944</v>
      </c>
      <c r="L19">
        <v>0</v>
      </c>
      <c r="Q19" t="s">
        <v>199</v>
      </c>
      <c r="R19" t="s">
        <v>258</v>
      </c>
      <c r="S19" t="s">
        <v>85</v>
      </c>
    </row>
    <row r="21" spans="1:19">
      <c r="K21">
        <f>MEDIAN(K2:K19)</f>
        <v>397.66803599874049</v>
      </c>
    </row>
    <row r="22" spans="1:19">
      <c r="K22">
        <f>QUARTILE(K2:K19,1)</f>
        <v>144.30018619812773</v>
      </c>
    </row>
    <row r="23" spans="1:19">
      <c r="K23">
        <f>QUARTILE(K2:K19,3)</f>
        <v>852.62852410670996</v>
      </c>
    </row>
  </sheetData>
  <autoFilter ref="A1:T19" xr:uid="{68124C3C-89CB-484C-A47E-6DE1328A877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9645-AC03-4DEF-BB9F-5B34F0CEDB41}">
  <dimension ref="A1:T55"/>
  <sheetViews>
    <sheetView workbookViewId="0">
      <selection activeCell="K56" sqref="K56"/>
    </sheetView>
  </sheetViews>
  <sheetFormatPr defaultRowHeight="15.6"/>
  <cols>
    <col min="11" max="11" width="26.25" customWidth="1"/>
  </cols>
  <sheetData>
    <row r="1" spans="1:20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434</v>
      </c>
      <c r="M1" t="s">
        <v>182</v>
      </c>
      <c r="N1" t="s">
        <v>183</v>
      </c>
      <c r="O1" t="s">
        <v>184</v>
      </c>
      <c r="P1" s="12" t="s">
        <v>185</v>
      </c>
      <c r="Q1" s="12" t="s">
        <v>186</v>
      </c>
      <c r="R1" s="12" t="s">
        <v>187</v>
      </c>
      <c r="S1" s="12" t="s">
        <v>188</v>
      </c>
    </row>
    <row r="2" spans="1:20">
      <c r="A2" t="s">
        <v>189</v>
      </c>
      <c r="B2">
        <v>2016</v>
      </c>
      <c r="C2" s="2" t="s">
        <v>190</v>
      </c>
      <c r="D2" t="s">
        <v>191</v>
      </c>
      <c r="E2" t="s">
        <v>192</v>
      </c>
      <c r="F2">
        <v>2024</v>
      </c>
      <c r="G2" t="s">
        <v>4</v>
      </c>
      <c r="H2" s="75">
        <v>642.29670473893407</v>
      </c>
      <c r="I2" s="75">
        <v>768.83260727969991</v>
      </c>
      <c r="J2" s="75">
        <v>2386.5584758631594</v>
      </c>
      <c r="K2" s="75">
        <v>2466.5878362464205</v>
      </c>
      <c r="L2" s="75"/>
      <c r="M2" s="12"/>
      <c r="N2" s="12"/>
      <c r="O2" s="12"/>
      <c r="P2" s="12"/>
      <c r="Q2" s="12" t="s">
        <v>193</v>
      </c>
      <c r="R2" s="12" t="s">
        <v>194</v>
      </c>
      <c r="S2" s="84">
        <v>144778221.668742</v>
      </c>
      <c r="T2" t="s">
        <v>195</v>
      </c>
    </row>
    <row r="3" spans="1:20">
      <c r="A3" t="s">
        <v>196</v>
      </c>
      <c r="B3">
        <v>2024</v>
      </c>
      <c r="C3" t="s">
        <v>197</v>
      </c>
      <c r="D3" t="s">
        <v>191</v>
      </c>
      <c r="E3" t="s">
        <v>198</v>
      </c>
      <c r="F3">
        <v>2024</v>
      </c>
      <c r="G3" t="s">
        <v>4</v>
      </c>
      <c r="H3" s="75">
        <v>2404.7474592934755</v>
      </c>
      <c r="I3" s="75">
        <v>2435.2345642939222</v>
      </c>
      <c r="J3" s="75">
        <v>1644.4987837272511</v>
      </c>
      <c r="K3" s="75">
        <v>1623.8464295923113</v>
      </c>
      <c r="L3" s="75"/>
      <c r="M3" s="12">
        <v>9.1683396556322488E-2</v>
      </c>
      <c r="N3" s="12">
        <v>0.37268474532754681</v>
      </c>
      <c r="O3" s="12">
        <v>0.51503063280397188</v>
      </c>
      <c r="P3" s="12">
        <v>2.0601225312158876E-2</v>
      </c>
      <c r="Q3" s="12" t="s">
        <v>199</v>
      </c>
      <c r="R3" s="12" t="s">
        <v>194</v>
      </c>
      <c r="S3" s="13" t="s">
        <v>85</v>
      </c>
      <c r="T3" t="s">
        <v>200</v>
      </c>
    </row>
    <row r="4" spans="1:20">
      <c r="A4" t="s">
        <v>201</v>
      </c>
      <c r="B4">
        <v>2024</v>
      </c>
      <c r="D4" t="s">
        <v>191</v>
      </c>
      <c r="E4" t="s">
        <v>192</v>
      </c>
      <c r="F4">
        <v>2024</v>
      </c>
      <c r="G4" t="s">
        <v>4</v>
      </c>
      <c r="H4" s="75">
        <v>432.43603627642972</v>
      </c>
      <c r="I4" s="75">
        <v>859.50423300157809</v>
      </c>
      <c r="J4" s="75">
        <v>291.4410905005351</v>
      </c>
      <c r="K4" s="75">
        <v>291.4410905005351</v>
      </c>
      <c r="L4" s="75">
        <v>0</v>
      </c>
      <c r="M4" s="12"/>
      <c r="N4" s="12"/>
      <c r="O4" s="12"/>
      <c r="P4" s="12"/>
      <c r="Q4" s="12" t="s">
        <v>199</v>
      </c>
      <c r="R4" s="12" t="s">
        <v>202</v>
      </c>
      <c r="S4" s="13" t="s">
        <v>85</v>
      </c>
    </row>
    <row r="5" spans="1:20" ht="15.75">
      <c r="A5" t="s">
        <v>201</v>
      </c>
      <c r="B5">
        <v>2024</v>
      </c>
      <c r="D5" t="s">
        <v>191</v>
      </c>
      <c r="E5" t="s">
        <v>192</v>
      </c>
      <c r="F5">
        <v>2050</v>
      </c>
      <c r="G5" t="s">
        <v>4</v>
      </c>
      <c r="H5" s="75">
        <v>226.43483728748049</v>
      </c>
      <c r="I5" s="75">
        <v>507.5496345628751</v>
      </c>
      <c r="J5" s="75">
        <v>172.10016344373352</v>
      </c>
      <c r="K5" s="75">
        <v>172.10016344373352</v>
      </c>
      <c r="L5" s="75">
        <v>0</v>
      </c>
      <c r="M5" s="12"/>
      <c r="N5" s="12"/>
      <c r="O5" s="12"/>
      <c r="P5" s="12"/>
      <c r="Q5" s="12" t="s">
        <v>199</v>
      </c>
      <c r="R5" s="12" t="s">
        <v>202</v>
      </c>
      <c r="S5" s="13" t="s">
        <v>85</v>
      </c>
    </row>
    <row r="6" spans="1:20">
      <c r="A6" t="s">
        <v>203</v>
      </c>
      <c r="B6">
        <v>2018</v>
      </c>
      <c r="C6" s="1" t="s">
        <v>204</v>
      </c>
      <c r="D6" t="s">
        <v>191</v>
      </c>
      <c r="E6" t="s">
        <v>192</v>
      </c>
      <c r="F6">
        <v>2024</v>
      </c>
      <c r="G6" t="s">
        <v>4</v>
      </c>
      <c r="H6" s="75">
        <v>1144.7870679308462</v>
      </c>
      <c r="I6" s="75">
        <v>706.66810530147404</v>
      </c>
      <c r="J6" s="75">
        <v>2210.7958135961926</v>
      </c>
      <c r="K6" s="75">
        <v>2210.7958135961926</v>
      </c>
      <c r="L6" s="75"/>
      <c r="M6" s="12">
        <v>0.11002478551214247</v>
      </c>
      <c r="N6" s="12">
        <v>0.32309926188801724</v>
      </c>
      <c r="O6" s="12">
        <v>0.51966602210730239</v>
      </c>
      <c r="P6" s="12">
        <v>4.7209930492537917E-2</v>
      </c>
      <c r="Q6" s="12" t="s">
        <v>199</v>
      </c>
      <c r="R6" s="12" t="s">
        <v>194</v>
      </c>
      <c r="S6" s="13"/>
    </row>
    <row r="7" spans="1:20">
      <c r="A7" t="s">
        <v>205</v>
      </c>
      <c r="B7">
        <v>2020</v>
      </c>
      <c r="C7" t="s">
        <v>206</v>
      </c>
      <c r="D7" t="s">
        <v>207</v>
      </c>
      <c r="E7" t="s">
        <v>192</v>
      </c>
      <c r="F7">
        <v>2024</v>
      </c>
      <c r="G7" t="s">
        <v>4</v>
      </c>
      <c r="H7" s="75">
        <v>2029.8689596294605</v>
      </c>
      <c r="I7" s="75">
        <v>2086.9789308577929</v>
      </c>
      <c r="J7" s="75">
        <v>8021.9643396692736</v>
      </c>
      <c r="K7" s="75">
        <v>7995.8084618462672</v>
      </c>
      <c r="L7" s="75"/>
      <c r="M7" s="12"/>
      <c r="N7" s="12"/>
      <c r="O7" s="12"/>
      <c r="P7" s="12"/>
      <c r="Q7" s="12" t="s">
        <v>199</v>
      </c>
      <c r="R7" s="12" t="s">
        <v>208</v>
      </c>
      <c r="S7" s="9">
        <v>45872966</v>
      </c>
      <c r="T7" t="s">
        <v>209</v>
      </c>
    </row>
    <row r="8" spans="1:20">
      <c r="A8" t="s">
        <v>205</v>
      </c>
      <c r="B8">
        <v>2015</v>
      </c>
      <c r="C8" s="5" t="s">
        <v>210</v>
      </c>
      <c r="D8" t="s">
        <v>207</v>
      </c>
      <c r="E8" t="s">
        <v>192</v>
      </c>
      <c r="F8">
        <v>2024</v>
      </c>
      <c r="G8" t="s">
        <v>4</v>
      </c>
      <c r="H8" s="75">
        <v>471.65911823016069</v>
      </c>
      <c r="I8" s="75">
        <v>496.13587816522551</v>
      </c>
      <c r="J8" s="75">
        <v>4670.6875633030841</v>
      </c>
      <c r="K8" s="75">
        <v>5006.911801921543</v>
      </c>
      <c r="L8" s="75"/>
      <c r="M8" s="12"/>
      <c r="N8" s="12"/>
      <c r="O8" s="12"/>
      <c r="P8" s="12"/>
      <c r="Q8" s="12" t="s">
        <v>199</v>
      </c>
      <c r="R8" s="12" t="s">
        <v>208</v>
      </c>
      <c r="S8" s="86">
        <v>58035000</v>
      </c>
    </row>
    <row r="9" spans="1:20">
      <c r="A9" t="s">
        <v>205</v>
      </c>
      <c r="B9">
        <v>2015</v>
      </c>
      <c r="C9" s="5" t="s">
        <v>210</v>
      </c>
      <c r="D9" t="s">
        <v>207</v>
      </c>
      <c r="E9" t="s">
        <v>192</v>
      </c>
      <c r="F9">
        <v>2024</v>
      </c>
      <c r="G9" t="s">
        <v>4</v>
      </c>
      <c r="H9" s="75">
        <v>667.86758145112526</v>
      </c>
      <c r="I9" s="75">
        <v>692.34434138619031</v>
      </c>
      <c r="J9" s="75">
        <v>4866.8960265240476</v>
      </c>
      <c r="K9" s="75">
        <v>5216.4444755151117</v>
      </c>
      <c r="M9" s="12">
        <v>5.8359446730100857E-2</v>
      </c>
      <c r="N9" s="12">
        <v>0.66723592814540433</v>
      </c>
      <c r="O9" s="12">
        <v>0.10459442543324093</v>
      </c>
      <c r="P9" s="12">
        <v>0.16981019969125349</v>
      </c>
      <c r="Q9" s="12" t="s">
        <v>199</v>
      </c>
      <c r="R9" s="12" t="s">
        <v>208</v>
      </c>
      <c r="S9" s="86">
        <v>58035000</v>
      </c>
      <c r="T9" t="s">
        <v>211</v>
      </c>
    </row>
    <row r="10" spans="1:20">
      <c r="A10" t="s">
        <v>212</v>
      </c>
      <c r="B10">
        <v>2024</v>
      </c>
      <c r="C10" s="1" t="s">
        <v>213</v>
      </c>
      <c r="D10" t="s">
        <v>191</v>
      </c>
      <c r="E10" t="s">
        <v>192</v>
      </c>
      <c r="F10">
        <v>2024</v>
      </c>
      <c r="G10" t="s">
        <v>214</v>
      </c>
      <c r="H10" s="75">
        <v>2727.5773261727436</v>
      </c>
      <c r="I10" s="75">
        <v>2805.9551585007839</v>
      </c>
      <c r="J10" s="75">
        <v>1286.36391920089</v>
      </c>
      <c r="K10" s="75">
        <v>1364.2662085751335</v>
      </c>
      <c r="L10" s="75">
        <v>276.92707680000001</v>
      </c>
      <c r="M10" s="12">
        <v>0.41172643167495387</v>
      </c>
      <c r="N10" s="12">
        <v>0.2737423619077905</v>
      </c>
      <c r="O10" s="12">
        <v>0.2145296442694479</v>
      </c>
      <c r="P10" s="12">
        <v>0.10000156214780771</v>
      </c>
      <c r="Q10" s="12" t="s">
        <v>199</v>
      </c>
      <c r="R10" s="12" t="s">
        <v>194</v>
      </c>
      <c r="S10" s="84">
        <v>39140033.75</v>
      </c>
    </row>
    <row r="11" spans="1:20" ht="15.75">
      <c r="A11" t="s">
        <v>212</v>
      </c>
      <c r="B11">
        <v>2024</v>
      </c>
      <c r="C11" s="1" t="s">
        <v>213</v>
      </c>
      <c r="D11" t="s">
        <v>191</v>
      </c>
      <c r="E11" t="s">
        <v>192</v>
      </c>
      <c r="F11">
        <v>2050</v>
      </c>
      <c r="G11" t="s">
        <v>216</v>
      </c>
      <c r="H11" s="75">
        <v>1053.0156898248665</v>
      </c>
      <c r="I11" s="75">
        <v>1131.3935221529064</v>
      </c>
      <c r="J11" s="75">
        <v>1084.0945004946593</v>
      </c>
      <c r="K11" s="75">
        <v>1161.9967898689031</v>
      </c>
      <c r="L11" s="75">
        <v>276.92707680000001</v>
      </c>
      <c r="M11" s="12">
        <v>0.47985357152588964</v>
      </c>
      <c r="N11" s="12">
        <v>0.15357068510570565</v>
      </c>
      <c r="O11" s="12">
        <v>0.25002722215838585</v>
      </c>
      <c r="P11" s="12">
        <v>0.11654852121001885</v>
      </c>
      <c r="Q11" s="12" t="s">
        <v>199</v>
      </c>
      <c r="R11" s="12" t="s">
        <v>194</v>
      </c>
      <c r="S11" s="84">
        <v>39140033.75</v>
      </c>
      <c r="T11" t="s">
        <v>217</v>
      </c>
    </row>
    <row r="12" spans="1:20">
      <c r="A12" t="s">
        <v>218</v>
      </c>
      <c r="B12">
        <v>2021</v>
      </c>
      <c r="C12" t="s">
        <v>219</v>
      </c>
      <c r="D12" t="s">
        <v>191</v>
      </c>
      <c r="E12" t="s">
        <v>192</v>
      </c>
      <c r="F12">
        <v>2024</v>
      </c>
      <c r="G12" t="s">
        <v>220</v>
      </c>
      <c r="H12" s="75">
        <v>1458.3489394680287</v>
      </c>
      <c r="I12" s="75">
        <v>751.42718779625204</v>
      </c>
      <c r="J12" s="75">
        <v>756.58445774702409</v>
      </c>
      <c r="K12" s="75">
        <v>741.70476463266039</v>
      </c>
      <c r="L12" s="75">
        <v>0</v>
      </c>
      <c r="Q12" s="12" t="s">
        <v>199</v>
      </c>
      <c r="R12" s="12" t="s">
        <v>194</v>
      </c>
      <c r="S12" s="84">
        <v>69000000</v>
      </c>
    </row>
    <row r="13" spans="1:20">
      <c r="A13" t="s">
        <v>218</v>
      </c>
      <c r="B13">
        <v>2021</v>
      </c>
      <c r="C13" t="s">
        <v>219</v>
      </c>
      <c r="D13" t="s">
        <v>191</v>
      </c>
      <c r="E13" t="s">
        <v>192</v>
      </c>
      <c r="F13">
        <v>2024</v>
      </c>
      <c r="G13" t="s">
        <v>221</v>
      </c>
      <c r="H13" s="75">
        <v>1892.306418410411</v>
      </c>
      <c r="I13" s="75">
        <v>1097.7096127003431</v>
      </c>
      <c r="J13" s="75">
        <v>1044.9672754317</v>
      </c>
      <c r="K13" s="75">
        <v>1029.0899624713336</v>
      </c>
      <c r="L13" s="75">
        <v>0</v>
      </c>
      <c r="M13" s="80">
        <v>0.28792634935652145</v>
      </c>
      <c r="N13" s="80">
        <v>0.12826351869176009</v>
      </c>
      <c r="O13" s="80">
        <v>0.32313647108255777</v>
      </c>
      <c r="P13" s="80">
        <v>0.26067366086916094</v>
      </c>
      <c r="Q13" s="12" t="s">
        <v>199</v>
      </c>
      <c r="R13" s="12" t="s">
        <v>194</v>
      </c>
      <c r="S13" s="84">
        <v>87000000</v>
      </c>
    </row>
    <row r="14" spans="1:20">
      <c r="A14" t="s">
        <v>218</v>
      </c>
      <c r="B14">
        <v>2021</v>
      </c>
      <c r="C14" t="s">
        <v>219</v>
      </c>
      <c r="D14" t="s">
        <v>191</v>
      </c>
      <c r="E14" t="s">
        <v>192</v>
      </c>
      <c r="F14">
        <v>2024</v>
      </c>
      <c r="G14" t="s">
        <v>222</v>
      </c>
      <c r="H14" s="75">
        <v>1730.510800708724</v>
      </c>
      <c r="I14" s="75">
        <v>823.96435988709356</v>
      </c>
      <c r="J14" s="75">
        <v>853.85968916818717</v>
      </c>
      <c r="K14" s="75">
        <v>836.92523856241633</v>
      </c>
      <c r="L14" s="75">
        <v>0</v>
      </c>
      <c r="Q14" s="12" t="s">
        <v>199</v>
      </c>
      <c r="R14" s="12" t="s">
        <v>194</v>
      </c>
      <c r="S14" s="84">
        <v>68000000</v>
      </c>
    </row>
    <row r="15" spans="1:20">
      <c r="A15" t="s">
        <v>218</v>
      </c>
      <c r="B15">
        <v>2021</v>
      </c>
      <c r="C15" t="s">
        <v>219</v>
      </c>
      <c r="D15" t="s">
        <v>191</v>
      </c>
      <c r="E15" t="s">
        <v>192</v>
      </c>
      <c r="F15">
        <v>2024</v>
      </c>
      <c r="G15" t="s">
        <v>223</v>
      </c>
      <c r="H15" s="75">
        <v>2708.6121435384971</v>
      </c>
      <c r="I15" s="75">
        <v>1804.7168921979044</v>
      </c>
      <c r="J15" s="75">
        <v>1738.4744441043938</v>
      </c>
      <c r="K15" s="75">
        <v>1716.0188502157432</v>
      </c>
      <c r="L15" s="75">
        <v>0</v>
      </c>
      <c r="Q15" s="12" t="s">
        <v>199</v>
      </c>
      <c r="R15" s="12" t="s">
        <v>194</v>
      </c>
      <c r="S15" s="84">
        <v>48000000</v>
      </c>
    </row>
    <row r="16" spans="1:20">
      <c r="A16" t="s">
        <v>218</v>
      </c>
      <c r="B16">
        <v>2021</v>
      </c>
      <c r="C16" t="s">
        <v>219</v>
      </c>
      <c r="D16" t="s">
        <v>191</v>
      </c>
      <c r="E16" t="s">
        <v>192</v>
      </c>
      <c r="F16">
        <v>2024</v>
      </c>
      <c r="G16" t="s">
        <v>224</v>
      </c>
      <c r="H16" s="75">
        <v>2761.7003080324448</v>
      </c>
      <c r="I16" s="75">
        <v>1368.7084844811829</v>
      </c>
      <c r="J16" s="75">
        <v>1283.2686140733517</v>
      </c>
      <c r="K16" s="75">
        <v>1254.5460997581376</v>
      </c>
      <c r="L16" s="75">
        <v>0</v>
      </c>
      <c r="Q16" s="12" t="s">
        <v>199</v>
      </c>
      <c r="R16" s="12" t="s">
        <v>194</v>
      </c>
      <c r="S16" s="84">
        <v>35000000</v>
      </c>
    </row>
    <row r="17" spans="1:20">
      <c r="A17" t="s">
        <v>218</v>
      </c>
      <c r="B17">
        <v>2021</v>
      </c>
      <c r="C17" t="s">
        <v>219</v>
      </c>
      <c r="D17" t="s">
        <v>191</v>
      </c>
      <c r="E17" t="s">
        <v>192</v>
      </c>
      <c r="F17">
        <v>2050</v>
      </c>
      <c r="G17" t="s">
        <v>221</v>
      </c>
      <c r="H17" s="75">
        <v>597.79761883839126</v>
      </c>
      <c r="I17" s="75">
        <v>297.66180151377245</v>
      </c>
      <c r="J17" s="75">
        <v>387.44899557748431</v>
      </c>
      <c r="K17" s="75">
        <v>377.44071779685754</v>
      </c>
      <c r="L17" s="75">
        <v>0</v>
      </c>
      <c r="M17" s="80">
        <v>0.30744892943158864</v>
      </c>
      <c r="N17" s="80">
        <v>0.10138712934535558</v>
      </c>
      <c r="O17" s="80">
        <v>0.16309817276245459</v>
      </c>
      <c r="P17" s="80">
        <v>0.42806576846060096</v>
      </c>
      <c r="Q17" s="12" t="s">
        <v>199</v>
      </c>
      <c r="R17" s="12" t="s">
        <v>194</v>
      </c>
      <c r="S17" s="84">
        <v>87000000</v>
      </c>
    </row>
    <row r="18" spans="1:20">
      <c r="A18" t="s">
        <v>218</v>
      </c>
      <c r="B18">
        <v>2021</v>
      </c>
      <c r="C18" t="s">
        <v>219</v>
      </c>
      <c r="D18" t="s">
        <v>191</v>
      </c>
      <c r="E18" t="s">
        <v>192</v>
      </c>
      <c r="F18">
        <v>2050</v>
      </c>
      <c r="G18" t="s">
        <v>224</v>
      </c>
      <c r="H18" s="75">
        <v>1954.9192922932341</v>
      </c>
      <c r="I18" s="75">
        <v>1438.7117096840332</v>
      </c>
      <c r="J18" s="75">
        <v>1677.1795151872611</v>
      </c>
      <c r="K18" s="75">
        <v>1659.2038816619831</v>
      </c>
      <c r="L18" s="75">
        <v>0</v>
      </c>
      <c r="Q18" s="12" t="s">
        <v>199</v>
      </c>
      <c r="R18" s="12" t="s">
        <v>194</v>
      </c>
      <c r="S18" s="84">
        <v>35000000</v>
      </c>
    </row>
    <row r="19" spans="1:20" ht="15.75">
      <c r="A19" t="s">
        <v>218</v>
      </c>
      <c r="B19">
        <v>2021</v>
      </c>
      <c r="C19" t="s">
        <v>219</v>
      </c>
      <c r="D19" t="s">
        <v>191</v>
      </c>
      <c r="E19" t="s">
        <v>192</v>
      </c>
      <c r="F19">
        <v>2050</v>
      </c>
      <c r="G19" t="s">
        <v>223</v>
      </c>
      <c r="H19" s="75">
        <v>1692.7912975423517</v>
      </c>
      <c r="I19" s="75">
        <v>1109.9279733083708</v>
      </c>
      <c r="J19" s="75">
        <v>1282.4912437178675</v>
      </c>
      <c r="K19" s="75">
        <v>1268.8671775844543</v>
      </c>
      <c r="L19" s="75">
        <v>0</v>
      </c>
      <c r="Q19" s="12" t="s">
        <v>199</v>
      </c>
      <c r="R19" s="12" t="s">
        <v>194</v>
      </c>
      <c r="S19" s="84">
        <v>48000000</v>
      </c>
    </row>
    <row r="20" spans="1:20">
      <c r="A20" t="s">
        <v>218</v>
      </c>
      <c r="B20">
        <v>2021</v>
      </c>
      <c r="C20" t="s">
        <v>219</v>
      </c>
      <c r="D20" t="s">
        <v>191</v>
      </c>
      <c r="E20" t="s">
        <v>192</v>
      </c>
      <c r="F20">
        <v>2050</v>
      </c>
      <c r="G20" t="s">
        <v>220</v>
      </c>
      <c r="H20" s="75">
        <v>310.79679657966193</v>
      </c>
      <c r="I20" s="75">
        <v>31.763717568876785</v>
      </c>
      <c r="J20" s="75">
        <v>168.95657687335037</v>
      </c>
      <c r="K20" s="75">
        <v>158.9661844458638</v>
      </c>
      <c r="L20" s="75">
        <v>0</v>
      </c>
      <c r="Q20" s="12" t="s">
        <v>199</v>
      </c>
      <c r="R20" s="12" t="s">
        <v>194</v>
      </c>
      <c r="S20" s="84">
        <v>69000000</v>
      </c>
    </row>
    <row r="21" spans="1:20" ht="15.75">
      <c r="A21" t="s">
        <v>218</v>
      </c>
      <c r="B21">
        <v>2021</v>
      </c>
      <c r="C21" t="s">
        <v>219</v>
      </c>
      <c r="D21" t="s">
        <v>191</v>
      </c>
      <c r="E21" t="s">
        <v>192</v>
      </c>
      <c r="F21">
        <v>2050</v>
      </c>
      <c r="G21" t="s">
        <v>222</v>
      </c>
      <c r="H21" s="75">
        <v>628.73238316672519</v>
      </c>
      <c r="I21" s="75">
        <v>270.87594530609221</v>
      </c>
      <c r="J21" s="75">
        <v>418.34038683463649</v>
      </c>
      <c r="K21" s="75">
        <v>407.96384831774895</v>
      </c>
      <c r="L21" s="75">
        <v>0</v>
      </c>
      <c r="Q21" s="12" t="s">
        <v>199</v>
      </c>
      <c r="R21" s="12" t="s">
        <v>194</v>
      </c>
      <c r="S21" s="84">
        <v>68000000</v>
      </c>
    </row>
    <row r="22" spans="1:20">
      <c r="A22" t="s">
        <v>225</v>
      </c>
      <c r="B22">
        <v>2023</v>
      </c>
      <c r="C22" s="2" t="s">
        <v>226</v>
      </c>
      <c r="D22" t="s">
        <v>191</v>
      </c>
      <c r="E22" t="s">
        <v>192</v>
      </c>
      <c r="F22">
        <v>2024</v>
      </c>
      <c r="G22" s="76" t="s">
        <v>4</v>
      </c>
      <c r="H22" s="75">
        <v>1999.3691180389467</v>
      </c>
      <c r="I22" s="75">
        <v>1980.3771359554378</v>
      </c>
      <c r="J22" s="75">
        <v>1503.4874598301992</v>
      </c>
      <c r="K22" s="75">
        <v>1509.0076216525945</v>
      </c>
      <c r="L22" s="75">
        <v>464.84064000000006</v>
      </c>
      <c r="M22" s="12"/>
      <c r="N22" s="12"/>
      <c r="O22" s="12"/>
      <c r="P22" s="12"/>
      <c r="Q22" s="12" t="s">
        <v>199</v>
      </c>
      <c r="R22" s="12" t="s">
        <v>194</v>
      </c>
      <c r="S22" s="13" t="s">
        <v>85</v>
      </c>
    </row>
    <row r="23" spans="1:20" ht="15.75">
      <c r="A23" t="s">
        <v>225</v>
      </c>
      <c r="B23">
        <v>2023</v>
      </c>
      <c r="C23" s="2" t="s">
        <v>226</v>
      </c>
      <c r="D23" t="s">
        <v>191</v>
      </c>
      <c r="E23" t="s">
        <v>192</v>
      </c>
      <c r="F23">
        <v>2050</v>
      </c>
      <c r="G23" t="s">
        <v>4</v>
      </c>
      <c r="H23" s="75">
        <v>209.51491964283636</v>
      </c>
      <c r="I23" s="75">
        <v>196.72580951871265</v>
      </c>
      <c r="J23" s="75">
        <v>264.87213778589069</v>
      </c>
      <c r="K23" s="75">
        <v>266.4574580252131</v>
      </c>
      <c r="L23" s="75">
        <v>464.84064000000006</v>
      </c>
      <c r="M23" s="12"/>
      <c r="N23" s="12"/>
      <c r="O23" s="12"/>
      <c r="P23" s="12"/>
      <c r="Q23" s="12" t="s">
        <v>199</v>
      </c>
      <c r="R23" s="12" t="s">
        <v>194</v>
      </c>
      <c r="S23" s="13" t="s">
        <v>85</v>
      </c>
      <c r="T23" s="20"/>
    </row>
    <row r="24" spans="1:20">
      <c r="A24" t="s">
        <v>227</v>
      </c>
      <c r="B24">
        <v>2024</v>
      </c>
      <c r="C24" s="2" t="s">
        <v>228</v>
      </c>
      <c r="D24" t="s">
        <v>191</v>
      </c>
      <c r="E24" t="s">
        <v>192</v>
      </c>
      <c r="F24">
        <v>2024</v>
      </c>
      <c r="G24" t="s">
        <v>4</v>
      </c>
      <c r="H24" s="75">
        <v>1678.5512402252382</v>
      </c>
      <c r="I24" s="75">
        <v>1330.6141668859134</v>
      </c>
      <c r="J24" s="75">
        <v>2039.9518032184274</v>
      </c>
      <c r="K24" s="75">
        <v>2004.6360593119102</v>
      </c>
      <c r="L24" s="75"/>
      <c r="M24" s="12"/>
      <c r="N24" s="12"/>
      <c r="O24" s="12"/>
      <c r="P24" s="12"/>
      <c r="Q24" s="12" t="s">
        <v>199</v>
      </c>
      <c r="R24" s="12" t="s">
        <v>194</v>
      </c>
      <c r="S24" s="9">
        <v>3650000</v>
      </c>
    </row>
    <row r="25" spans="1:20">
      <c r="A25" t="s">
        <v>229</v>
      </c>
      <c r="B25">
        <v>2023</v>
      </c>
      <c r="C25" t="s">
        <v>230</v>
      </c>
      <c r="D25" t="s">
        <v>207</v>
      </c>
      <c r="E25" t="s">
        <v>192</v>
      </c>
      <c r="F25">
        <v>2024</v>
      </c>
      <c r="G25" t="s">
        <v>4</v>
      </c>
      <c r="H25" s="75">
        <v>838.68815198564619</v>
      </c>
      <c r="I25" s="75">
        <v>793.08715685043853</v>
      </c>
      <c r="J25" s="75">
        <v>427.3107471475081</v>
      </c>
      <c r="K25" s="75">
        <v>492.29121578310748</v>
      </c>
      <c r="L25" s="75">
        <v>468.3096000000001</v>
      </c>
      <c r="M25" s="12">
        <v>-0.13183893233060789</v>
      </c>
      <c r="N25" s="12">
        <v>0.302802109264456</v>
      </c>
      <c r="O25" s="12">
        <v>0.51605784327480697</v>
      </c>
      <c r="P25" s="12">
        <v>0.31297897979134465</v>
      </c>
      <c r="Q25" s="12" t="s">
        <v>193</v>
      </c>
      <c r="R25" s="12" t="s">
        <v>208</v>
      </c>
      <c r="S25" s="9">
        <v>31354838</v>
      </c>
      <c r="T25" t="s">
        <v>231</v>
      </c>
    </row>
    <row r="26" spans="1:20" ht="15.75">
      <c r="A26" t="s">
        <v>229</v>
      </c>
      <c r="B26">
        <v>2023</v>
      </c>
      <c r="C26" t="s">
        <v>230</v>
      </c>
      <c r="D26" t="s">
        <v>207</v>
      </c>
      <c r="E26" t="s">
        <v>192</v>
      </c>
      <c r="F26">
        <v>2050</v>
      </c>
      <c r="G26" t="s">
        <v>4</v>
      </c>
      <c r="H26" s="75">
        <v>982.35140207674465</v>
      </c>
      <c r="I26" s="75">
        <v>982.36402727795939</v>
      </c>
      <c r="J26" s="75">
        <v>724.86325208184599</v>
      </c>
      <c r="K26" s="75">
        <v>824.35489626962112</v>
      </c>
      <c r="L26" s="75">
        <v>468.3096000000001</v>
      </c>
      <c r="M26" s="12">
        <v>-4.3954638130964926E-5</v>
      </c>
      <c r="N26" s="12">
        <v>0.29480331395813797</v>
      </c>
      <c r="O26" s="12">
        <v>0.49577062301436148</v>
      </c>
      <c r="P26" s="12">
        <v>0.20947001766563147</v>
      </c>
      <c r="Q26" s="12" t="s">
        <v>193</v>
      </c>
      <c r="R26" s="12" t="s">
        <v>208</v>
      </c>
      <c r="S26" s="9">
        <v>31354838</v>
      </c>
    </row>
    <row r="27" spans="1:20" ht="15.75">
      <c r="A27" t="s">
        <v>229</v>
      </c>
      <c r="B27">
        <v>2023</v>
      </c>
      <c r="C27" t="s">
        <v>230</v>
      </c>
      <c r="D27" t="s">
        <v>207</v>
      </c>
      <c r="E27" t="s">
        <v>192</v>
      </c>
      <c r="F27">
        <v>2050</v>
      </c>
      <c r="G27" t="s">
        <v>232</v>
      </c>
      <c r="H27" s="75">
        <v>858.71365553275564</v>
      </c>
      <c r="I27" s="75">
        <v>858.72679079209968</v>
      </c>
      <c r="J27" s="75">
        <v>590.82298427806302</v>
      </c>
      <c r="K27" s="75">
        <v>667.32531600480343</v>
      </c>
      <c r="L27" s="75">
        <v>468.3096000000001</v>
      </c>
      <c r="M27" s="12"/>
      <c r="N27" s="12"/>
      <c r="O27" s="12"/>
      <c r="P27" s="12"/>
      <c r="Q27" s="12" t="s">
        <v>193</v>
      </c>
      <c r="R27" s="12" t="s">
        <v>208</v>
      </c>
      <c r="S27" s="9">
        <v>31354838</v>
      </c>
    </row>
    <row r="28" spans="1:20">
      <c r="A28" t="s">
        <v>233</v>
      </c>
      <c r="B28">
        <v>2024</v>
      </c>
      <c r="D28" t="s">
        <v>191</v>
      </c>
      <c r="E28" t="s">
        <v>192</v>
      </c>
      <c r="F28">
        <v>2024</v>
      </c>
      <c r="G28" t="s">
        <v>234</v>
      </c>
      <c r="H28" s="75">
        <v>2681.2487830302389</v>
      </c>
      <c r="I28" s="75">
        <v>2495.6577011733561</v>
      </c>
      <c r="J28" s="75">
        <v>1656.1215155857044</v>
      </c>
      <c r="K28" s="75">
        <v>1630.780453445014</v>
      </c>
      <c r="L28" s="75">
        <v>215.38772640000005</v>
      </c>
      <c r="M28" s="12"/>
      <c r="N28" s="12"/>
      <c r="O28" s="12"/>
      <c r="P28" s="12"/>
      <c r="Q28" s="12" t="s">
        <v>199</v>
      </c>
      <c r="R28" s="12" t="s">
        <v>235</v>
      </c>
      <c r="S28" s="9">
        <v>157410000</v>
      </c>
    </row>
    <row r="29" spans="1:20">
      <c r="A29" t="s">
        <v>233</v>
      </c>
      <c r="B29">
        <v>2024</v>
      </c>
      <c r="D29" t="s">
        <v>191</v>
      </c>
      <c r="E29" t="s">
        <v>192</v>
      </c>
      <c r="F29">
        <v>2024</v>
      </c>
      <c r="G29" t="s">
        <v>236</v>
      </c>
      <c r="H29" s="75">
        <v>3266.1214388486155</v>
      </c>
      <c r="I29" s="75">
        <v>2576.9841253415252</v>
      </c>
      <c r="J29" s="75">
        <v>1611.4858257964127</v>
      </c>
      <c r="K29" s="75">
        <v>1589.8184999643308</v>
      </c>
      <c r="L29" s="75">
        <v>215.38772640000005</v>
      </c>
      <c r="M29" s="12"/>
      <c r="N29" s="12"/>
      <c r="O29" s="12"/>
      <c r="P29" s="12"/>
      <c r="Q29" s="12" t="s">
        <v>199</v>
      </c>
      <c r="R29" s="12" t="s">
        <v>235</v>
      </c>
      <c r="S29" s="9">
        <v>157410000</v>
      </c>
      <c r="T29" t="s">
        <v>237</v>
      </c>
    </row>
    <row r="30" spans="1:20">
      <c r="A30" t="s">
        <v>233</v>
      </c>
      <c r="B30">
        <v>2024</v>
      </c>
      <c r="D30" t="s">
        <v>191</v>
      </c>
      <c r="E30" t="s">
        <v>192</v>
      </c>
      <c r="F30">
        <v>2050</v>
      </c>
      <c r="G30" t="s">
        <v>236</v>
      </c>
      <c r="H30" s="75">
        <v>1120.7136225660461</v>
      </c>
      <c r="I30" s="75">
        <v>983.41615931336651</v>
      </c>
      <c r="J30" s="75">
        <v>985.22799574726434</v>
      </c>
      <c r="K30" s="75">
        <v>968.35506354468475</v>
      </c>
      <c r="L30" s="75">
        <v>215.38772640000005</v>
      </c>
      <c r="M30" s="12"/>
      <c r="N30" s="12"/>
      <c r="O30" s="12"/>
      <c r="P30" s="12"/>
      <c r="Q30" s="12" t="s">
        <v>199</v>
      </c>
      <c r="R30" s="12" t="s">
        <v>235</v>
      </c>
      <c r="S30" s="9">
        <v>157410000</v>
      </c>
    </row>
    <row r="31" spans="1:20">
      <c r="A31" t="s">
        <v>233</v>
      </c>
      <c r="B31">
        <v>2024</v>
      </c>
      <c r="D31" t="s">
        <v>191</v>
      </c>
      <c r="E31" t="s">
        <v>192</v>
      </c>
      <c r="F31">
        <v>2050</v>
      </c>
      <c r="G31" t="s">
        <v>238</v>
      </c>
      <c r="H31" s="75">
        <v>952.97687263463717</v>
      </c>
      <c r="I31" s="75">
        <v>964.92097557092802</v>
      </c>
      <c r="J31" s="75">
        <v>922.09666071425636</v>
      </c>
      <c r="K31" s="75">
        <v>905.22372851167665</v>
      </c>
      <c r="L31" s="75">
        <v>215.38772640000005</v>
      </c>
      <c r="M31" s="12">
        <v>0.45902108411442538</v>
      </c>
      <c r="N31" s="12">
        <v>0.21854721575296182</v>
      </c>
      <c r="O31" s="12">
        <v>0.10542354927931938</v>
      </c>
      <c r="P31" s="12">
        <v>0.21700815085329309</v>
      </c>
      <c r="Q31" s="12" t="s">
        <v>199</v>
      </c>
      <c r="R31" s="12" t="s">
        <v>235</v>
      </c>
      <c r="S31" s="9">
        <v>157410000</v>
      </c>
    </row>
    <row r="32" spans="1:20">
      <c r="A32" t="s">
        <v>233</v>
      </c>
      <c r="B32">
        <v>2024</v>
      </c>
      <c r="D32" t="s">
        <v>191</v>
      </c>
      <c r="E32" t="s">
        <v>192</v>
      </c>
      <c r="F32">
        <v>2050</v>
      </c>
      <c r="G32" t="s">
        <v>234</v>
      </c>
      <c r="H32" s="75">
        <v>1383.9118225223065</v>
      </c>
      <c r="I32" s="75">
        <v>1400.7491003650325</v>
      </c>
      <c r="J32" s="75">
        <v>1324.6323845906779</v>
      </c>
      <c r="K32" s="75">
        <v>1298.0474465461334</v>
      </c>
      <c r="L32" s="75">
        <v>215.38772640000005</v>
      </c>
      <c r="M32" s="12"/>
      <c r="N32" s="12"/>
      <c r="O32" s="12"/>
      <c r="P32" s="12"/>
      <c r="Q32" s="12" t="s">
        <v>199</v>
      </c>
      <c r="R32" s="12" t="s">
        <v>235</v>
      </c>
      <c r="S32" s="9">
        <v>157410000</v>
      </c>
    </row>
    <row r="33" spans="1:20">
      <c r="A33" t="s">
        <v>233</v>
      </c>
      <c r="B33">
        <v>2024</v>
      </c>
      <c r="D33" t="s">
        <v>191</v>
      </c>
      <c r="E33" t="s">
        <v>192</v>
      </c>
      <c r="F33">
        <v>2024</v>
      </c>
      <c r="G33" t="s">
        <v>238</v>
      </c>
      <c r="H33" s="75">
        <v>2797.4452258049691</v>
      </c>
      <c r="I33" s="75">
        <v>2548.3624580496798</v>
      </c>
      <c r="J33" s="75">
        <v>1723.379902235489</v>
      </c>
      <c r="K33" s="75">
        <v>1701.7125764034058</v>
      </c>
      <c r="L33" s="75">
        <v>215.38772640000005</v>
      </c>
      <c r="M33" s="12">
        <v>0.42030021990514005</v>
      </c>
      <c r="N33" s="12">
        <v>0.30313380749959873</v>
      </c>
      <c r="O33" s="12">
        <v>9.1089185294658911E-2</v>
      </c>
      <c r="P33" s="12">
        <v>0.18547678730060202</v>
      </c>
      <c r="Q33" s="12" t="s">
        <v>199</v>
      </c>
      <c r="R33" s="12" t="s">
        <v>235</v>
      </c>
      <c r="S33" s="9">
        <v>157410000</v>
      </c>
    </row>
    <row r="34" spans="1:20">
      <c r="A34" t="s">
        <v>239</v>
      </c>
      <c r="B34">
        <v>2022</v>
      </c>
      <c r="C34" t="s">
        <v>240</v>
      </c>
      <c r="D34" t="s">
        <v>191</v>
      </c>
      <c r="E34" t="s">
        <v>192</v>
      </c>
      <c r="F34">
        <v>2024</v>
      </c>
      <c r="G34" t="s">
        <v>178</v>
      </c>
      <c r="H34" s="75">
        <v>642.42374178153898</v>
      </c>
      <c r="I34" s="75">
        <v>1011.8768751597115</v>
      </c>
      <c r="J34" s="75">
        <v>3588.7386454776965</v>
      </c>
      <c r="K34" s="75">
        <v>3626.2481376136388</v>
      </c>
      <c r="L34" s="75"/>
      <c r="M34" s="12">
        <v>6.6800203467038397E-2</v>
      </c>
      <c r="N34" s="12">
        <v>0.46591806920061163</v>
      </c>
      <c r="O34" s="12">
        <v>0.43493529419052063</v>
      </c>
      <c r="P34" s="12">
        <v>3.2346433141829486E-2</v>
      </c>
      <c r="Q34" s="12" t="s">
        <v>199</v>
      </c>
      <c r="R34" s="12" t="s">
        <v>194</v>
      </c>
      <c r="S34" s="9">
        <v>208032000</v>
      </c>
      <c r="T34" t="s">
        <v>241</v>
      </c>
    </row>
    <row r="35" spans="1:20">
      <c r="A35" t="s">
        <v>242</v>
      </c>
      <c r="B35">
        <v>2023</v>
      </c>
      <c r="C35" s="1" t="s">
        <v>243</v>
      </c>
      <c r="D35" t="s">
        <v>191</v>
      </c>
      <c r="E35" t="s">
        <v>192</v>
      </c>
      <c r="F35">
        <v>2024</v>
      </c>
      <c r="G35" t="s">
        <v>4</v>
      </c>
      <c r="H35" s="75">
        <v>2879.4702235250661</v>
      </c>
      <c r="I35" s="75">
        <v>2389.2886187401759</v>
      </c>
      <c r="J35" s="75">
        <v>5490.974145021808</v>
      </c>
      <c r="K35" s="75">
        <v>5101.9876947217817</v>
      </c>
      <c r="L35" s="75"/>
      <c r="M35" s="12">
        <v>0.28620652613279013</v>
      </c>
      <c r="N35" s="12">
        <v>0.47089020808174514</v>
      </c>
      <c r="O35" s="12">
        <v>2.5500913984063858E-2</v>
      </c>
      <c r="P35" s="12">
        <v>0.21740235180140077</v>
      </c>
      <c r="Q35" s="12" t="s">
        <v>199</v>
      </c>
      <c r="R35" s="12" t="s">
        <v>235</v>
      </c>
      <c r="S35" s="9">
        <v>25105853.051058531</v>
      </c>
      <c r="T35" t="s">
        <v>244</v>
      </c>
    </row>
    <row r="36" spans="1:20">
      <c r="A36" t="s">
        <v>245</v>
      </c>
      <c r="B36">
        <v>2024</v>
      </c>
      <c r="C36" s="1" t="s">
        <v>246</v>
      </c>
      <c r="D36" t="s">
        <v>191</v>
      </c>
      <c r="E36" t="s">
        <v>198</v>
      </c>
      <c r="F36">
        <v>2024</v>
      </c>
      <c r="G36" t="s">
        <v>247</v>
      </c>
      <c r="H36" s="75">
        <v>6201.6746704843536</v>
      </c>
      <c r="I36" s="75">
        <v>3818.5620604832807</v>
      </c>
      <c r="J36" s="75">
        <v>3865.4180894995325</v>
      </c>
      <c r="K36" s="75">
        <v>3949.4052401580666</v>
      </c>
      <c r="L36" s="75"/>
      <c r="M36" s="12">
        <v>0.18840661595310274</v>
      </c>
      <c r="N36" s="12">
        <v>0.68456138294840485</v>
      </c>
      <c r="O36" s="12">
        <v>0.11897366506350344</v>
      </c>
      <c r="P36" s="12">
        <v>8.0583360349887213E-3</v>
      </c>
      <c r="Q36" s="12" t="s">
        <v>199</v>
      </c>
      <c r="R36" s="12" t="s">
        <v>194</v>
      </c>
      <c r="S36" s="84">
        <v>1250000000</v>
      </c>
      <c r="T36" t="s">
        <v>248</v>
      </c>
    </row>
    <row r="37" spans="1:20">
      <c r="A37" t="s">
        <v>245</v>
      </c>
      <c r="B37">
        <v>2024</v>
      </c>
      <c r="C37" s="1" t="s">
        <v>246</v>
      </c>
      <c r="D37" t="s">
        <v>191</v>
      </c>
      <c r="E37" t="s">
        <v>198</v>
      </c>
      <c r="F37">
        <v>2024</v>
      </c>
      <c r="G37" t="s">
        <v>249</v>
      </c>
      <c r="H37" s="75">
        <v>5186.3474368779916</v>
      </c>
      <c r="I37" s="75">
        <v>3438.5192545251684</v>
      </c>
      <c r="J37" s="75">
        <v>5951.2256810399012</v>
      </c>
      <c r="K37" s="75">
        <v>6013.8337548512636</v>
      </c>
      <c r="L37" s="75"/>
      <c r="M37" s="12">
        <v>0.10119430449322714</v>
      </c>
      <c r="N37" s="12">
        <v>0.61193522966613301</v>
      </c>
      <c r="O37" s="12">
        <v>0.27234050130799337</v>
      </c>
      <c r="P37" s="12">
        <v>1.4529964532646183E-2</v>
      </c>
      <c r="Q37" s="12" t="s">
        <v>199</v>
      </c>
      <c r="R37" s="12" t="s">
        <v>194</v>
      </c>
      <c r="S37" s="84">
        <v>1250000000</v>
      </c>
    </row>
    <row r="38" spans="1:20" ht="15.75">
      <c r="A38" t="s">
        <v>250</v>
      </c>
      <c r="B38">
        <v>2024</v>
      </c>
      <c r="C38" s="2" t="s">
        <v>251</v>
      </c>
      <c r="D38" t="s">
        <v>191</v>
      </c>
      <c r="E38" t="s">
        <v>192</v>
      </c>
      <c r="F38">
        <v>2050</v>
      </c>
      <c r="G38" t="s">
        <v>252</v>
      </c>
      <c r="H38" s="75">
        <v>832.71052901141434</v>
      </c>
      <c r="I38" s="75">
        <v>712.36778311330647</v>
      </c>
      <c r="J38" s="75">
        <v>695.12259540730577</v>
      </c>
      <c r="K38" s="75">
        <v>619.45736409684366</v>
      </c>
      <c r="L38" s="75">
        <v>110.7220404859698</v>
      </c>
      <c r="M38" s="12">
        <v>0.51837814354831357</v>
      </c>
      <c r="N38" s="12">
        <v>0.21975653470147158</v>
      </c>
      <c r="O38" s="12">
        <v>0.21599936084779531</v>
      </c>
      <c r="P38" s="12">
        <v>4.5865960902417909E-2</v>
      </c>
      <c r="Q38" s="12" t="s">
        <v>193</v>
      </c>
      <c r="R38" s="12" t="s">
        <v>194</v>
      </c>
      <c r="S38" s="9">
        <v>1000000</v>
      </c>
    </row>
    <row r="39" spans="1:20" ht="15.75">
      <c r="A39" t="s">
        <v>250</v>
      </c>
      <c r="B39">
        <v>2024</v>
      </c>
      <c r="C39" s="2" t="s">
        <v>251</v>
      </c>
      <c r="D39" t="s">
        <v>191</v>
      </c>
      <c r="E39" t="s">
        <v>192</v>
      </c>
      <c r="F39">
        <v>2050</v>
      </c>
      <c r="G39" t="s">
        <v>253</v>
      </c>
      <c r="H39" s="75">
        <v>1651.2877075211616</v>
      </c>
      <c r="I39" s="75">
        <v>1201.2151219946848</v>
      </c>
      <c r="J39" s="75">
        <v>1172.3567125020293</v>
      </c>
      <c r="K39" s="75">
        <v>1044.5848243849339</v>
      </c>
      <c r="L39" s="75">
        <v>126.07288739834831</v>
      </c>
      <c r="M39" s="12"/>
      <c r="N39" s="12"/>
      <c r="O39" s="12"/>
      <c r="P39" s="12"/>
      <c r="Q39" s="12" t="s">
        <v>193</v>
      </c>
      <c r="R39" s="12" t="s">
        <v>194</v>
      </c>
      <c r="S39" s="9">
        <v>1000000</v>
      </c>
    </row>
    <row r="40" spans="1:20" ht="15.75">
      <c r="A40" t="s">
        <v>250</v>
      </c>
      <c r="B40">
        <v>2024</v>
      </c>
      <c r="C40" s="2" t="s">
        <v>251</v>
      </c>
      <c r="D40" t="s">
        <v>191</v>
      </c>
      <c r="E40" t="s">
        <v>192</v>
      </c>
      <c r="F40">
        <v>2050</v>
      </c>
      <c r="G40" t="s">
        <v>254</v>
      </c>
      <c r="H40" s="75">
        <v>832.16393601308198</v>
      </c>
      <c r="I40" s="75">
        <v>711.82119011497434</v>
      </c>
      <c r="J40" s="75">
        <v>694.57600240897409</v>
      </c>
      <c r="K40" s="75">
        <v>619.09304815466646</v>
      </c>
      <c r="L40" s="75">
        <v>110.66757856129041</v>
      </c>
      <c r="M40" s="12"/>
      <c r="N40" s="12"/>
      <c r="O40" s="12"/>
      <c r="P40" s="12"/>
      <c r="Q40" s="12" t="s">
        <v>193</v>
      </c>
      <c r="R40" s="12" t="s">
        <v>194</v>
      </c>
      <c r="S40" s="9">
        <v>1000000</v>
      </c>
    </row>
    <row r="41" spans="1:20">
      <c r="A41" t="s">
        <v>250</v>
      </c>
      <c r="B41">
        <v>2024</v>
      </c>
      <c r="C41" s="2" t="s">
        <v>251</v>
      </c>
      <c r="D41" t="s">
        <v>191</v>
      </c>
      <c r="E41" t="s">
        <v>192</v>
      </c>
      <c r="F41">
        <v>2024</v>
      </c>
      <c r="G41" t="s">
        <v>253</v>
      </c>
      <c r="H41" s="75">
        <v>1309.1063656583035</v>
      </c>
      <c r="I41" s="75">
        <v>1104.4864616319737</v>
      </c>
      <c r="J41" s="75">
        <v>1231.6697209637232</v>
      </c>
      <c r="K41" s="75">
        <v>1131.2958220411724</v>
      </c>
      <c r="L41" s="75">
        <v>204.66864000000004</v>
      </c>
      <c r="M41" s="12"/>
      <c r="N41" s="12"/>
      <c r="O41" s="12"/>
      <c r="P41" s="12"/>
      <c r="Q41" s="12" t="s">
        <v>193</v>
      </c>
      <c r="R41" s="12" t="s">
        <v>194</v>
      </c>
      <c r="S41" s="9">
        <v>1000000</v>
      </c>
    </row>
    <row r="42" spans="1:20">
      <c r="A42" t="s">
        <v>250</v>
      </c>
      <c r="B42">
        <v>2024</v>
      </c>
      <c r="C42" s="2" t="s">
        <v>251</v>
      </c>
      <c r="D42" t="s">
        <v>191</v>
      </c>
      <c r="E42" t="s">
        <v>192</v>
      </c>
      <c r="F42">
        <v>2024</v>
      </c>
      <c r="G42" t="s">
        <v>252</v>
      </c>
      <c r="H42" s="75">
        <v>1540.712673931587</v>
      </c>
      <c r="I42" s="75">
        <v>1280.3735130161419</v>
      </c>
      <c r="J42" s="75">
        <v>1410.1004375345256</v>
      </c>
      <c r="K42" s="75">
        <v>1281.1941034218842</v>
      </c>
      <c r="L42" s="75">
        <v>204.66864000000004</v>
      </c>
      <c r="M42" s="12">
        <v>0.35523027108469357</v>
      </c>
      <c r="N42" s="12">
        <v>0.19064410817855393</v>
      </c>
      <c r="O42" s="12">
        <v>0.40146387742530587</v>
      </c>
      <c r="P42" s="12">
        <v>5.2661743311444978E-2</v>
      </c>
      <c r="Q42" s="12" t="s">
        <v>193</v>
      </c>
      <c r="R42" s="12" t="s">
        <v>194</v>
      </c>
      <c r="S42" s="9">
        <v>1000000</v>
      </c>
      <c r="T42" t="s">
        <v>255</v>
      </c>
    </row>
    <row r="43" spans="1:20">
      <c r="A43" t="s">
        <v>250</v>
      </c>
      <c r="B43">
        <v>2024</v>
      </c>
      <c r="C43" s="2" t="s">
        <v>251</v>
      </c>
      <c r="D43" t="s">
        <v>191</v>
      </c>
      <c r="E43" t="s">
        <v>192</v>
      </c>
      <c r="F43">
        <v>2024</v>
      </c>
      <c r="G43" t="s">
        <v>254</v>
      </c>
      <c r="H43" s="75">
        <v>1286.1593005235322</v>
      </c>
      <c r="I43" s="75">
        <v>1276.9021662236783</v>
      </c>
      <c r="J43" s="75">
        <v>1404.0854255554277</v>
      </c>
      <c r="K43" s="75">
        <v>1274.3851735981998</v>
      </c>
      <c r="L43" s="75">
        <v>204.66864000000004</v>
      </c>
      <c r="M43" s="12"/>
      <c r="N43" s="12"/>
      <c r="O43" s="12"/>
      <c r="P43" s="12"/>
      <c r="Q43" s="12" t="s">
        <v>193</v>
      </c>
      <c r="R43" s="12" t="s">
        <v>194</v>
      </c>
      <c r="S43" s="9">
        <v>1000000</v>
      </c>
    </row>
    <row r="44" spans="1:20" ht="15.75">
      <c r="A44" t="s">
        <v>256</v>
      </c>
      <c r="B44">
        <v>2024</v>
      </c>
      <c r="C44" s="1" t="s">
        <v>257</v>
      </c>
      <c r="D44" t="s">
        <v>191</v>
      </c>
      <c r="E44" t="s">
        <v>192</v>
      </c>
      <c r="F44">
        <v>2050</v>
      </c>
      <c r="G44" t="s">
        <v>4</v>
      </c>
      <c r="H44" s="75">
        <v>722.87277193760519</v>
      </c>
      <c r="I44" s="75">
        <v>896.60784313426257</v>
      </c>
      <c r="J44" s="75">
        <v>792.62330263226011</v>
      </c>
      <c r="K44" s="75">
        <v>815.02485698903513</v>
      </c>
      <c r="L44" s="75">
        <v>305.14000000000004</v>
      </c>
      <c r="M44" s="12">
        <v>0.56531157579616542</v>
      </c>
      <c r="N44" s="12">
        <v>0.18979821197418778</v>
      </c>
      <c r="O44" s="12">
        <v>0.16033152942533435</v>
      </c>
      <c r="P44" s="12">
        <v>8.4558682804312738E-2</v>
      </c>
      <c r="Q44" s="80" t="s">
        <v>199</v>
      </c>
      <c r="R44" s="80" t="s">
        <v>258</v>
      </c>
      <c r="S44" s="9">
        <v>2110761</v>
      </c>
    </row>
    <row r="45" spans="1:20">
      <c r="A45" t="s">
        <v>256</v>
      </c>
      <c r="B45">
        <v>2024</v>
      </c>
      <c r="C45" s="1" t="s">
        <v>257</v>
      </c>
      <c r="D45" t="s">
        <v>191</v>
      </c>
      <c r="E45" t="s">
        <v>192</v>
      </c>
      <c r="F45">
        <v>2024</v>
      </c>
      <c r="G45" t="s">
        <v>4</v>
      </c>
      <c r="H45" s="75">
        <v>1703.2941883028598</v>
      </c>
      <c r="I45" s="75">
        <v>1744.0992896145076</v>
      </c>
      <c r="J45" s="75">
        <v>1204.4710495016786</v>
      </c>
      <c r="K45" s="75">
        <v>1248.859561956765</v>
      </c>
      <c r="L45" s="75">
        <v>305.14000000000004</v>
      </c>
      <c r="M45" s="12">
        <v>0.46635911271353919</v>
      </c>
      <c r="N45" s="12">
        <v>0.19821796366354075</v>
      </c>
      <c r="O45" s="12">
        <v>0.22012073831407863</v>
      </c>
      <c r="P45" s="80">
        <v>0.1153021853088412</v>
      </c>
      <c r="Q45" s="80" t="s">
        <v>199</v>
      </c>
      <c r="R45" s="80" t="s">
        <v>258</v>
      </c>
      <c r="S45" s="9">
        <v>2110761</v>
      </c>
      <c r="T45" t="s">
        <v>259</v>
      </c>
    </row>
    <row r="46" spans="1:20">
      <c r="A46" t="s">
        <v>260</v>
      </c>
      <c r="B46">
        <v>2021</v>
      </c>
      <c r="C46" s="1" t="s">
        <v>261</v>
      </c>
      <c r="D46" t="s">
        <v>191</v>
      </c>
      <c r="E46" t="s">
        <v>192</v>
      </c>
      <c r="F46">
        <v>2024</v>
      </c>
      <c r="G46" t="s">
        <v>4</v>
      </c>
      <c r="H46" s="75">
        <v>1330.2315443355733</v>
      </c>
      <c r="I46" s="75">
        <v>1583.3702130006432</v>
      </c>
      <c r="J46" s="75">
        <v>1316.9221100580423</v>
      </c>
      <c r="K46" s="75">
        <v>1043.11344317973</v>
      </c>
      <c r="L46" s="75">
        <v>0</v>
      </c>
      <c r="M46" s="12"/>
      <c r="N46" s="12"/>
      <c r="O46" s="12"/>
      <c r="P46" s="12"/>
      <c r="Q46" s="12" t="s">
        <v>199</v>
      </c>
      <c r="R46" s="12" t="s">
        <v>258</v>
      </c>
      <c r="S46" s="13" t="s">
        <v>85</v>
      </c>
    </row>
    <row r="47" spans="1:20" ht="15.75">
      <c r="A47" t="s">
        <v>260</v>
      </c>
      <c r="B47">
        <v>2021</v>
      </c>
      <c r="C47" s="1" t="s">
        <v>261</v>
      </c>
      <c r="D47" t="s">
        <v>191</v>
      </c>
      <c r="E47" t="s">
        <v>192</v>
      </c>
      <c r="F47">
        <v>2050</v>
      </c>
      <c r="G47" t="s">
        <v>4</v>
      </c>
      <c r="H47" s="75">
        <v>84.263501033570734</v>
      </c>
      <c r="I47" s="75">
        <v>400.61384985537984</v>
      </c>
      <c r="J47" s="75">
        <v>454.44075301792151</v>
      </c>
      <c r="K47" s="75">
        <v>514.45372614748828</v>
      </c>
      <c r="L47" s="75">
        <v>0</v>
      </c>
      <c r="M47" s="12"/>
      <c r="N47" s="12"/>
      <c r="O47" s="12"/>
      <c r="P47" s="12"/>
      <c r="Q47" s="12" t="s">
        <v>199</v>
      </c>
      <c r="R47" s="12" t="s">
        <v>258</v>
      </c>
      <c r="S47" s="13" t="s">
        <v>85</v>
      </c>
    </row>
    <row r="48" spans="1:20">
      <c r="A48" t="s">
        <v>262</v>
      </c>
      <c r="B48">
        <v>2021</v>
      </c>
      <c r="C48" s="1" t="s">
        <v>263</v>
      </c>
      <c r="D48" t="s">
        <v>191</v>
      </c>
      <c r="E48" t="s">
        <v>192</v>
      </c>
      <c r="F48">
        <v>2030</v>
      </c>
      <c r="G48" t="s">
        <v>4</v>
      </c>
      <c r="H48" s="75">
        <v>2544.8085055775191</v>
      </c>
      <c r="I48" s="75">
        <v>1510.2027290244303</v>
      </c>
      <c r="J48" s="75"/>
      <c r="K48" s="75"/>
      <c r="L48" s="75"/>
      <c r="M48" s="12"/>
      <c r="N48" s="12"/>
      <c r="O48" s="12"/>
      <c r="P48" s="12"/>
      <c r="Q48" s="12" t="s">
        <v>199</v>
      </c>
      <c r="R48" s="12" t="s">
        <v>258</v>
      </c>
      <c r="S48" s="13" t="s">
        <v>85</v>
      </c>
    </row>
    <row r="49" spans="8:12">
      <c r="H49" s="75"/>
      <c r="I49" s="75"/>
      <c r="J49" s="75"/>
      <c r="K49" s="75"/>
      <c r="L49" s="75"/>
    </row>
    <row r="51" spans="8:12">
      <c r="H51" s="75"/>
      <c r="I51" s="75"/>
      <c r="K51" s="75"/>
      <c r="L51" s="75"/>
    </row>
    <row r="55" spans="8:12">
      <c r="K55" s="75">
        <f>MEDIAN(K5:K47)</f>
        <v>1248.859561956765</v>
      </c>
    </row>
  </sheetData>
  <autoFilter ref="A1:T53" xr:uid="{D5589645-AC03-4DEF-BB9F-5B34F0CEDB41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F8DC-159B-4F66-B175-7947C46506AD}">
  <sheetPr filterMode="1"/>
  <dimension ref="A1:T56"/>
  <sheetViews>
    <sheetView workbookViewId="0">
      <selection activeCell="L60" sqref="L60"/>
    </sheetView>
  </sheetViews>
  <sheetFormatPr defaultRowHeight="15.6"/>
  <sheetData>
    <row r="1" spans="1:20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434</v>
      </c>
      <c r="M1" t="s">
        <v>182</v>
      </c>
      <c r="N1" t="s">
        <v>183</v>
      </c>
      <c r="O1" t="s">
        <v>184</v>
      </c>
      <c r="P1" s="12" t="s">
        <v>185</v>
      </c>
      <c r="Q1" s="12" t="s">
        <v>186</v>
      </c>
      <c r="R1" s="12" t="s">
        <v>187</v>
      </c>
      <c r="S1" s="12" t="s">
        <v>188</v>
      </c>
    </row>
    <row r="2" spans="1:20" hidden="1">
      <c r="A2" t="s">
        <v>189</v>
      </c>
      <c r="B2">
        <v>2016</v>
      </c>
      <c r="C2" s="2" t="s">
        <v>190</v>
      </c>
      <c r="D2" t="s">
        <v>191</v>
      </c>
      <c r="E2" t="s">
        <v>192</v>
      </c>
      <c r="F2">
        <v>2024</v>
      </c>
      <c r="G2" t="s">
        <v>4</v>
      </c>
      <c r="H2" s="75">
        <v>642.29670473893407</v>
      </c>
      <c r="I2" s="75">
        <v>768.83260727969991</v>
      </c>
      <c r="J2" s="75">
        <v>2386.5584758631594</v>
      </c>
      <c r="K2" s="75">
        <v>2466.5878362464205</v>
      </c>
      <c r="L2" s="75"/>
      <c r="M2" s="12"/>
      <c r="N2" s="12"/>
      <c r="O2" s="12"/>
      <c r="P2" s="12"/>
      <c r="Q2" s="12" t="s">
        <v>193</v>
      </c>
      <c r="R2" s="12" t="s">
        <v>194</v>
      </c>
      <c r="S2" s="84">
        <v>144778221.668742</v>
      </c>
      <c r="T2" t="s">
        <v>195</v>
      </c>
    </row>
    <row r="3" spans="1:20" hidden="1">
      <c r="A3" t="s">
        <v>196</v>
      </c>
      <c r="B3">
        <v>2024</v>
      </c>
      <c r="C3" t="s">
        <v>197</v>
      </c>
      <c r="D3" t="s">
        <v>191</v>
      </c>
      <c r="E3" t="s">
        <v>198</v>
      </c>
      <c r="F3">
        <v>2024</v>
      </c>
      <c r="G3" t="s">
        <v>4</v>
      </c>
      <c r="H3" s="75">
        <v>2404.7474592934755</v>
      </c>
      <c r="I3" s="75">
        <v>2435.2345642939222</v>
      </c>
      <c r="J3" s="75">
        <v>1644.4987837272511</v>
      </c>
      <c r="K3" s="75">
        <v>1623.8464295923113</v>
      </c>
      <c r="L3" s="75"/>
      <c r="M3" s="12">
        <v>9.1683396556322488E-2</v>
      </c>
      <c r="N3" s="12">
        <v>0.37268474532754681</v>
      </c>
      <c r="O3" s="12">
        <v>0.51503063280397188</v>
      </c>
      <c r="P3" s="12">
        <v>2.0601225312158876E-2</v>
      </c>
      <c r="Q3" s="12" t="s">
        <v>199</v>
      </c>
      <c r="R3" s="12" t="s">
        <v>194</v>
      </c>
      <c r="S3" s="13" t="s">
        <v>85</v>
      </c>
      <c r="T3" t="s">
        <v>200</v>
      </c>
    </row>
    <row r="4" spans="1:20" hidden="1">
      <c r="A4" t="s">
        <v>201</v>
      </c>
      <c r="B4">
        <v>2024</v>
      </c>
      <c r="D4" t="s">
        <v>191</v>
      </c>
      <c r="E4" t="s">
        <v>192</v>
      </c>
      <c r="F4">
        <v>2024</v>
      </c>
      <c r="G4" t="s">
        <v>4</v>
      </c>
      <c r="H4" s="75">
        <v>432.43603627642972</v>
      </c>
      <c r="I4" s="75">
        <v>859.50423300157809</v>
      </c>
      <c r="J4" s="75">
        <v>1266.5338238023253</v>
      </c>
      <c r="K4" s="75">
        <v>1266.5338238023253</v>
      </c>
      <c r="L4" s="75">
        <v>0</v>
      </c>
      <c r="M4" s="12"/>
      <c r="N4" s="12"/>
      <c r="O4" s="12"/>
      <c r="P4" s="12"/>
      <c r="Q4" s="12" t="s">
        <v>199</v>
      </c>
      <c r="R4" s="12" t="s">
        <v>202</v>
      </c>
      <c r="S4" s="13" t="s">
        <v>85</v>
      </c>
    </row>
    <row r="5" spans="1:20">
      <c r="A5" t="s">
        <v>201</v>
      </c>
      <c r="B5">
        <v>2024</v>
      </c>
      <c r="D5" t="s">
        <v>191</v>
      </c>
      <c r="E5" t="s">
        <v>192</v>
      </c>
      <c r="F5">
        <v>2050</v>
      </c>
      <c r="G5" t="s">
        <v>4</v>
      </c>
      <c r="H5" s="75">
        <v>226.43483728748049</v>
      </c>
      <c r="I5" s="75">
        <v>507.5496345628751</v>
      </c>
      <c r="J5" s="75">
        <v>747.90647299954708</v>
      </c>
      <c r="K5" s="75">
        <v>747.90647299954708</v>
      </c>
      <c r="L5" s="75">
        <v>0</v>
      </c>
      <c r="M5" s="12"/>
      <c r="N5" s="12"/>
      <c r="O5" s="12"/>
      <c r="P5" s="12"/>
      <c r="Q5" s="12" t="s">
        <v>199</v>
      </c>
      <c r="R5" s="12" t="s">
        <v>202</v>
      </c>
      <c r="S5" s="13" t="s">
        <v>85</v>
      </c>
    </row>
    <row r="6" spans="1:20" hidden="1">
      <c r="A6" t="s">
        <v>203</v>
      </c>
      <c r="B6">
        <v>2018</v>
      </c>
      <c r="C6" s="1" t="s">
        <v>204</v>
      </c>
      <c r="D6" t="s">
        <v>191</v>
      </c>
      <c r="E6" t="s">
        <v>192</v>
      </c>
      <c r="F6">
        <v>2024</v>
      </c>
      <c r="G6" t="s">
        <v>4</v>
      </c>
      <c r="H6" s="75">
        <v>1144.7870679308462</v>
      </c>
      <c r="I6" s="75">
        <v>706.66810530147404</v>
      </c>
      <c r="J6" s="75">
        <v>2210.7958135961926</v>
      </c>
      <c r="K6" s="75">
        <v>2210.7958135961926</v>
      </c>
      <c r="L6" s="75"/>
      <c r="M6" s="12">
        <v>0.11002478551214247</v>
      </c>
      <c r="N6" s="12">
        <v>0.32309926188801724</v>
      </c>
      <c r="O6" s="12">
        <v>0.51966602210730239</v>
      </c>
      <c r="P6" s="12">
        <v>4.7209930492537917E-2</v>
      </c>
      <c r="Q6" s="12" t="s">
        <v>199</v>
      </c>
      <c r="R6" s="12" t="s">
        <v>194</v>
      </c>
      <c r="S6" s="13"/>
    </row>
    <row r="7" spans="1:20" hidden="1">
      <c r="A7" t="s">
        <v>205</v>
      </c>
      <c r="B7">
        <v>2020</v>
      </c>
      <c r="C7" t="s">
        <v>206</v>
      </c>
      <c r="D7" t="s">
        <v>207</v>
      </c>
      <c r="E7" t="s">
        <v>192</v>
      </c>
      <c r="F7">
        <v>2024</v>
      </c>
      <c r="G7" t="s">
        <v>4</v>
      </c>
      <c r="H7" s="75">
        <v>2029.8689596294605</v>
      </c>
      <c r="I7" s="75">
        <v>2086.9789308577929</v>
      </c>
      <c r="J7" s="75">
        <v>8021.9643396692736</v>
      </c>
      <c r="K7" s="75">
        <v>7995.8084618462672</v>
      </c>
      <c r="L7" s="75"/>
      <c r="M7" s="12"/>
      <c r="N7" s="12"/>
      <c r="O7" s="12"/>
      <c r="P7" s="12"/>
      <c r="Q7" s="12" t="s">
        <v>199</v>
      </c>
      <c r="R7" s="12" t="s">
        <v>208</v>
      </c>
      <c r="S7" s="9">
        <v>45872966</v>
      </c>
      <c r="T7" t="s">
        <v>209</v>
      </c>
    </row>
    <row r="8" spans="1:20" hidden="1">
      <c r="A8" t="s">
        <v>205</v>
      </c>
      <c r="B8">
        <v>2015</v>
      </c>
      <c r="C8" s="5" t="s">
        <v>210</v>
      </c>
      <c r="D8" t="s">
        <v>207</v>
      </c>
      <c r="E8" t="s">
        <v>192</v>
      </c>
      <c r="F8">
        <v>2024</v>
      </c>
      <c r="G8" t="s">
        <v>4</v>
      </c>
      <c r="H8" s="75">
        <v>471.65911823016069</v>
      </c>
      <c r="I8" s="75">
        <v>496.13587816522551</v>
      </c>
      <c r="J8" s="75">
        <v>4670.6875633030841</v>
      </c>
      <c r="K8" s="75">
        <v>5006.911801921543</v>
      </c>
      <c r="L8" s="75"/>
      <c r="M8" s="12"/>
      <c r="N8" s="12"/>
      <c r="O8" s="12"/>
      <c r="P8" s="12"/>
      <c r="Q8" s="12" t="s">
        <v>199</v>
      </c>
      <c r="R8" s="12" t="s">
        <v>208</v>
      </c>
      <c r="S8" s="86">
        <v>58035000</v>
      </c>
    </row>
    <row r="9" spans="1:20" hidden="1">
      <c r="A9" t="s">
        <v>205</v>
      </c>
      <c r="B9">
        <v>2015</v>
      </c>
      <c r="C9" s="5" t="s">
        <v>210</v>
      </c>
      <c r="D9" t="s">
        <v>207</v>
      </c>
      <c r="E9" t="s">
        <v>192</v>
      </c>
      <c r="F9">
        <v>2024</v>
      </c>
      <c r="G9" t="s">
        <v>4</v>
      </c>
      <c r="H9" s="75">
        <v>667.86758145112526</v>
      </c>
      <c r="I9" s="75">
        <v>692.34434138619031</v>
      </c>
      <c r="J9" s="75">
        <v>4866.8960265240476</v>
      </c>
      <c r="K9" s="75">
        <v>5216.4444755151117</v>
      </c>
      <c r="M9" s="12">
        <v>5.8359446730100857E-2</v>
      </c>
      <c r="N9" s="12">
        <v>0.66723592814540433</v>
      </c>
      <c r="O9" s="12">
        <v>0.10459442543324093</v>
      </c>
      <c r="P9" s="12">
        <v>0.16981019969125349</v>
      </c>
      <c r="Q9" s="12" t="s">
        <v>199</v>
      </c>
      <c r="R9" s="12" t="s">
        <v>208</v>
      </c>
      <c r="S9" s="86">
        <v>58035000</v>
      </c>
      <c r="T9" t="s">
        <v>211</v>
      </c>
    </row>
    <row r="10" spans="1:20" hidden="1">
      <c r="A10" t="s">
        <v>212</v>
      </c>
      <c r="B10">
        <v>2024</v>
      </c>
      <c r="C10" s="1" t="s">
        <v>213</v>
      </c>
      <c r="D10" t="s">
        <v>191</v>
      </c>
      <c r="E10" t="s">
        <v>192</v>
      </c>
      <c r="F10">
        <v>2024</v>
      </c>
      <c r="G10" t="s">
        <v>214</v>
      </c>
      <c r="H10" s="75">
        <v>2727.5773261727436</v>
      </c>
      <c r="I10" s="75">
        <v>2805.9551585007839</v>
      </c>
      <c r="J10" s="75">
        <v>2591.1999732077488</v>
      </c>
      <c r="K10" s="75">
        <v>2669.1022625819933</v>
      </c>
      <c r="L10" s="75">
        <v>276.92707680000001</v>
      </c>
      <c r="M10" s="12">
        <v>0.21490233164290276</v>
      </c>
      <c r="N10" s="12">
        <v>0.62092679072229295</v>
      </c>
      <c r="O10" s="12">
        <v>0.11197464435905774</v>
      </c>
      <c r="P10" s="12">
        <v>5.2196233275746323E-2</v>
      </c>
      <c r="Q10" s="12" t="s">
        <v>199</v>
      </c>
      <c r="R10" s="12" t="s">
        <v>194</v>
      </c>
      <c r="S10" s="84">
        <v>39140033.75</v>
      </c>
    </row>
    <row r="11" spans="1:20">
      <c r="A11" t="s">
        <v>212</v>
      </c>
      <c r="B11">
        <v>2024</v>
      </c>
      <c r="C11" s="1" t="s">
        <v>213</v>
      </c>
      <c r="D11" t="s">
        <v>191</v>
      </c>
      <c r="E11" t="s">
        <v>192</v>
      </c>
      <c r="F11">
        <v>2050</v>
      </c>
      <c r="G11" t="s">
        <v>216</v>
      </c>
      <c r="H11" s="75">
        <v>1053.0156898248665</v>
      </c>
      <c r="I11" s="75">
        <v>1131.3935221529064</v>
      </c>
      <c r="J11" s="75">
        <v>1529.6160305861604</v>
      </c>
      <c r="K11" s="75">
        <v>1607.5183199604039</v>
      </c>
      <c r="L11" s="75">
        <v>276.92707680000001</v>
      </c>
      <c r="M11" s="12">
        <v>0.35168020267719141</v>
      </c>
      <c r="N11" s="12">
        <v>0.37965985734487484</v>
      </c>
      <c r="O11" s="12">
        <v>0.1832426168755362</v>
      </c>
      <c r="P11" s="12">
        <v>8.5417323102397594E-2</v>
      </c>
      <c r="Q11" s="12" t="s">
        <v>199</v>
      </c>
      <c r="R11" s="12" t="s">
        <v>194</v>
      </c>
      <c r="S11" s="84">
        <v>39140033.75</v>
      </c>
      <c r="T11" t="s">
        <v>217</v>
      </c>
    </row>
    <row r="12" spans="1:20" hidden="1">
      <c r="A12" t="s">
        <v>218</v>
      </c>
      <c r="B12">
        <v>2021</v>
      </c>
      <c r="C12" t="s">
        <v>219</v>
      </c>
      <c r="D12" t="s">
        <v>191</v>
      </c>
      <c r="E12" t="s">
        <v>192</v>
      </c>
      <c r="F12">
        <v>2024</v>
      </c>
      <c r="G12" t="s">
        <v>220</v>
      </c>
      <c r="H12" s="75">
        <v>1458.3489394680287</v>
      </c>
      <c r="I12" s="75">
        <v>751.42718779625204</v>
      </c>
      <c r="J12" s="75">
        <v>1719.2323941226925</v>
      </c>
      <c r="K12" s="75">
        <v>1704.3527010083276</v>
      </c>
      <c r="L12" s="75">
        <v>0</v>
      </c>
      <c r="Q12" s="12" t="s">
        <v>199</v>
      </c>
      <c r="R12" s="12" t="s">
        <v>194</v>
      </c>
      <c r="S12" s="84">
        <v>69000000</v>
      </c>
    </row>
    <row r="13" spans="1:20" hidden="1">
      <c r="A13" t="s">
        <v>218</v>
      </c>
      <c r="B13">
        <v>2021</v>
      </c>
      <c r="C13" t="s">
        <v>219</v>
      </c>
      <c r="D13" t="s">
        <v>191</v>
      </c>
      <c r="E13" t="s">
        <v>192</v>
      </c>
      <c r="F13">
        <v>2024</v>
      </c>
      <c r="G13" t="s">
        <v>221</v>
      </c>
      <c r="H13" s="75">
        <v>1892.306418410411</v>
      </c>
      <c r="I13" s="75">
        <v>1097.7096127003431</v>
      </c>
      <c r="J13" s="75">
        <v>1808.4466732468848</v>
      </c>
      <c r="K13" s="75">
        <v>1792.5693602865178</v>
      </c>
      <c r="L13" s="75">
        <v>0</v>
      </c>
      <c r="M13" s="80">
        <v>0.20146835912565156</v>
      </c>
      <c r="N13" s="80">
        <v>0.39002693268037147</v>
      </c>
      <c r="O13" s="80">
        <v>0.22610565079629083</v>
      </c>
      <c r="P13" s="80">
        <v>0.18239905739768625</v>
      </c>
      <c r="Q13" s="12" t="s">
        <v>199</v>
      </c>
      <c r="R13" s="12" t="s">
        <v>194</v>
      </c>
      <c r="S13" s="84">
        <v>87000000</v>
      </c>
    </row>
    <row r="14" spans="1:20" hidden="1">
      <c r="A14" t="s">
        <v>218</v>
      </c>
      <c r="B14">
        <v>2021</v>
      </c>
      <c r="C14" t="s">
        <v>219</v>
      </c>
      <c r="D14" t="s">
        <v>191</v>
      </c>
      <c r="E14" t="s">
        <v>192</v>
      </c>
      <c r="F14">
        <v>2024</v>
      </c>
      <c r="G14" t="s">
        <v>222</v>
      </c>
      <c r="H14" s="75">
        <v>1730.510800708724</v>
      </c>
      <c r="I14" s="75">
        <v>823.96435988709356</v>
      </c>
      <c r="J14" s="75">
        <v>1830.6642128434967</v>
      </c>
      <c r="K14" s="75">
        <v>1813.7297622377273</v>
      </c>
      <c r="L14" s="75">
        <v>0</v>
      </c>
      <c r="Q14" s="12" t="s">
        <v>199</v>
      </c>
      <c r="R14" s="12" t="s">
        <v>194</v>
      </c>
      <c r="S14" s="84">
        <v>68000000</v>
      </c>
    </row>
    <row r="15" spans="1:20" hidden="1">
      <c r="A15" t="s">
        <v>218</v>
      </c>
      <c r="B15">
        <v>2021</v>
      </c>
      <c r="C15" t="s">
        <v>219</v>
      </c>
      <c r="D15" t="s">
        <v>191</v>
      </c>
      <c r="E15" t="s">
        <v>192</v>
      </c>
      <c r="F15">
        <v>2024</v>
      </c>
      <c r="G15" t="s">
        <v>223</v>
      </c>
      <c r="H15" s="75">
        <v>2708.6121435384971</v>
      </c>
      <c r="I15" s="75">
        <v>1804.7168921979044</v>
      </c>
      <c r="J15" s="75">
        <v>3122.2808526444142</v>
      </c>
      <c r="K15" s="75">
        <v>3099.8252587557645</v>
      </c>
      <c r="L15" s="75">
        <v>0</v>
      </c>
      <c r="Q15" s="12" t="s">
        <v>199</v>
      </c>
      <c r="R15" s="12" t="s">
        <v>194</v>
      </c>
      <c r="S15" s="84">
        <v>48000000</v>
      </c>
    </row>
    <row r="16" spans="1:20" hidden="1">
      <c r="A16" t="s">
        <v>218</v>
      </c>
      <c r="B16">
        <v>2021</v>
      </c>
      <c r="C16" t="s">
        <v>219</v>
      </c>
      <c r="D16" t="s">
        <v>191</v>
      </c>
      <c r="E16" t="s">
        <v>192</v>
      </c>
      <c r="F16">
        <v>2024</v>
      </c>
      <c r="G16" t="s">
        <v>224</v>
      </c>
      <c r="H16" s="75">
        <v>2761.7003080324448</v>
      </c>
      <c r="I16" s="75">
        <v>1368.7084844811829</v>
      </c>
      <c r="J16" s="75">
        <v>3181.0602600710949</v>
      </c>
      <c r="K16" s="75">
        <v>3152.3377457558836</v>
      </c>
      <c r="L16" s="75">
        <v>0</v>
      </c>
      <c r="Q16" s="12" t="s">
        <v>199</v>
      </c>
      <c r="R16" s="12" t="s">
        <v>194</v>
      </c>
      <c r="S16" s="84">
        <v>35000000</v>
      </c>
    </row>
    <row r="17" spans="1:20">
      <c r="A17" t="s">
        <v>218</v>
      </c>
      <c r="B17">
        <v>2021</v>
      </c>
      <c r="C17" t="s">
        <v>219</v>
      </c>
      <c r="D17" t="s">
        <v>191</v>
      </c>
      <c r="E17" t="s">
        <v>192</v>
      </c>
      <c r="F17">
        <v>2050</v>
      </c>
      <c r="G17" t="s">
        <v>221</v>
      </c>
      <c r="H17" s="75">
        <v>597.79761883839126</v>
      </c>
      <c r="I17" s="75">
        <v>297.66180151377245</v>
      </c>
      <c r="J17" s="75">
        <v>823.67799829166029</v>
      </c>
      <c r="K17" s="75">
        <v>813.66972051103255</v>
      </c>
      <c r="L17" s="75">
        <v>0</v>
      </c>
      <c r="M17" s="80">
        <v>0.24781958789429837</v>
      </c>
      <c r="N17" s="80">
        <v>0.27567198983628671</v>
      </c>
      <c r="O17" s="80">
        <v>0.13146548285281412</v>
      </c>
      <c r="P17" s="80">
        <v>0.34504293941660036</v>
      </c>
      <c r="Q17" s="12" t="s">
        <v>199</v>
      </c>
      <c r="R17" s="12" t="s">
        <v>194</v>
      </c>
      <c r="S17" s="84">
        <v>87000000</v>
      </c>
    </row>
    <row r="18" spans="1:20">
      <c r="A18" t="s">
        <v>218</v>
      </c>
      <c r="B18">
        <v>2021</v>
      </c>
      <c r="C18" t="s">
        <v>219</v>
      </c>
      <c r="D18" t="s">
        <v>191</v>
      </c>
      <c r="E18" t="s">
        <v>192</v>
      </c>
      <c r="F18">
        <v>2050</v>
      </c>
      <c r="G18" t="s">
        <v>224</v>
      </c>
      <c r="H18" s="75">
        <v>1954.9192922932341</v>
      </c>
      <c r="I18" s="75">
        <v>1438.7117096840332</v>
      </c>
      <c r="J18" s="75">
        <v>2761.5201790767815</v>
      </c>
      <c r="K18" s="75">
        <v>2743.5445455515051</v>
      </c>
      <c r="L18" s="75">
        <v>0</v>
      </c>
      <c r="Q18" s="12" t="s">
        <v>199</v>
      </c>
      <c r="R18" s="12" t="s">
        <v>194</v>
      </c>
      <c r="S18" s="84">
        <v>35000000</v>
      </c>
    </row>
    <row r="19" spans="1:20">
      <c r="A19" t="s">
        <v>218</v>
      </c>
      <c r="B19">
        <v>2021</v>
      </c>
      <c r="C19" t="s">
        <v>219</v>
      </c>
      <c r="D19" t="s">
        <v>191</v>
      </c>
      <c r="E19" t="s">
        <v>192</v>
      </c>
      <c r="F19">
        <v>2050</v>
      </c>
      <c r="G19" t="s">
        <v>223</v>
      </c>
      <c r="H19" s="75">
        <v>1692.7912975423517</v>
      </c>
      <c r="I19" s="75">
        <v>1109.9279733083708</v>
      </c>
      <c r="J19" s="75">
        <v>2073.1563111373093</v>
      </c>
      <c r="K19" s="75">
        <v>2059.5322450038975</v>
      </c>
      <c r="L19" s="75">
        <v>0</v>
      </c>
      <c r="Q19" s="12" t="s">
        <v>199</v>
      </c>
      <c r="R19" s="12" t="s">
        <v>194</v>
      </c>
      <c r="S19" s="84">
        <v>48000000</v>
      </c>
    </row>
    <row r="20" spans="1:20">
      <c r="A20" t="s">
        <v>218</v>
      </c>
      <c r="B20">
        <v>2021</v>
      </c>
      <c r="C20" t="s">
        <v>219</v>
      </c>
      <c r="D20" t="s">
        <v>191</v>
      </c>
      <c r="E20" t="s">
        <v>192</v>
      </c>
      <c r="F20">
        <v>2050</v>
      </c>
      <c r="G20" t="s">
        <v>220</v>
      </c>
      <c r="H20" s="75">
        <v>310.79679657966193</v>
      </c>
      <c r="I20" s="75">
        <v>31.763717568876785</v>
      </c>
      <c r="J20" s="75">
        <v>718.98444986078903</v>
      </c>
      <c r="K20" s="75">
        <v>708.99405743330203</v>
      </c>
      <c r="L20" s="75">
        <v>0</v>
      </c>
      <c r="Q20" s="12" t="s">
        <v>199</v>
      </c>
      <c r="R20" s="12" t="s">
        <v>194</v>
      </c>
      <c r="S20" s="84">
        <v>69000000</v>
      </c>
    </row>
    <row r="21" spans="1:20">
      <c r="A21" t="s">
        <v>218</v>
      </c>
      <c r="B21">
        <v>2021</v>
      </c>
      <c r="C21" t="s">
        <v>219</v>
      </c>
      <c r="D21" t="s">
        <v>191</v>
      </c>
      <c r="E21" t="s">
        <v>192</v>
      </c>
      <c r="F21">
        <v>2050</v>
      </c>
      <c r="G21" t="s">
        <v>222</v>
      </c>
      <c r="H21" s="75">
        <v>628.73238316672519</v>
      </c>
      <c r="I21" s="75">
        <v>270.87594530609221</v>
      </c>
      <c r="J21" s="75">
        <v>976.45690501306638</v>
      </c>
      <c r="K21" s="75">
        <v>966.08036649617895</v>
      </c>
      <c r="L21" s="75">
        <v>0</v>
      </c>
      <c r="Q21" s="12" t="s">
        <v>199</v>
      </c>
      <c r="R21" s="12" t="s">
        <v>194</v>
      </c>
      <c r="S21" s="84">
        <v>68000000</v>
      </c>
    </row>
    <row r="22" spans="1:20" hidden="1">
      <c r="A22" t="s">
        <v>225</v>
      </c>
      <c r="B22">
        <v>2023</v>
      </c>
      <c r="C22" s="2" t="s">
        <v>226</v>
      </c>
      <c r="D22" t="s">
        <v>191</v>
      </c>
      <c r="E22" t="s">
        <v>192</v>
      </c>
      <c r="F22">
        <v>2024</v>
      </c>
      <c r="G22" s="76" t="s">
        <v>4</v>
      </c>
      <c r="H22" s="75">
        <v>1999.3691180389467</v>
      </c>
      <c r="I22" s="75">
        <v>1980.3771359554378</v>
      </c>
      <c r="J22" s="75">
        <v>3708.337392983979</v>
      </c>
      <c r="K22" s="75">
        <v>3713.857554806375</v>
      </c>
      <c r="L22" s="75">
        <v>464.84064000000006</v>
      </c>
      <c r="M22" s="12"/>
      <c r="N22" s="12"/>
      <c r="O22" s="12"/>
      <c r="P22" s="12"/>
      <c r="Q22" s="12" t="s">
        <v>199</v>
      </c>
      <c r="R22" s="12" t="s">
        <v>194</v>
      </c>
      <c r="S22" s="13" t="s">
        <v>85</v>
      </c>
    </row>
    <row r="23" spans="1:20">
      <c r="A23" t="s">
        <v>225</v>
      </c>
      <c r="B23">
        <v>2023</v>
      </c>
      <c r="C23" s="2" t="s">
        <v>226</v>
      </c>
      <c r="D23" t="s">
        <v>191</v>
      </c>
      <c r="E23" t="s">
        <v>192</v>
      </c>
      <c r="F23">
        <v>2050</v>
      </c>
      <c r="G23" t="s">
        <v>4</v>
      </c>
      <c r="H23" s="75">
        <v>209.51491964283636</v>
      </c>
      <c r="I23" s="75">
        <v>196.72580951871265</v>
      </c>
      <c r="J23" s="75">
        <v>697.27342153976429</v>
      </c>
      <c r="K23" s="75">
        <v>698.8587417790867</v>
      </c>
      <c r="L23" s="75">
        <v>464.84064000000006</v>
      </c>
      <c r="M23" s="12"/>
      <c r="N23" s="12"/>
      <c r="O23" s="12"/>
      <c r="P23" s="12"/>
      <c r="Q23" s="12" t="s">
        <v>199</v>
      </c>
      <c r="R23" s="12" t="s">
        <v>194</v>
      </c>
      <c r="S23" s="13" t="s">
        <v>85</v>
      </c>
      <c r="T23" s="20"/>
    </row>
    <row r="24" spans="1:20" hidden="1">
      <c r="A24" t="s">
        <v>227</v>
      </c>
      <c r="B24">
        <v>2024</v>
      </c>
      <c r="C24" s="2" t="s">
        <v>228</v>
      </c>
      <c r="D24" t="s">
        <v>191</v>
      </c>
      <c r="E24" t="s">
        <v>192</v>
      </c>
      <c r="F24">
        <v>2024</v>
      </c>
      <c r="G24" t="s">
        <v>4</v>
      </c>
      <c r="H24" s="75">
        <v>1678.5512402252382</v>
      </c>
      <c r="I24" s="75">
        <v>1330.6141668859134</v>
      </c>
      <c r="J24" s="75">
        <v>2039.9518032184274</v>
      </c>
      <c r="K24" s="75">
        <v>2004.6360593119102</v>
      </c>
      <c r="L24" s="75"/>
      <c r="M24" s="12"/>
      <c r="N24" s="12"/>
      <c r="O24" s="12"/>
      <c r="P24" s="12"/>
      <c r="Q24" s="12" t="s">
        <v>199</v>
      </c>
      <c r="R24" s="12" t="s">
        <v>194</v>
      </c>
      <c r="S24" s="9">
        <v>3650000</v>
      </c>
    </row>
    <row r="25" spans="1:20" hidden="1">
      <c r="A25" t="s">
        <v>229</v>
      </c>
      <c r="B25">
        <v>2023</v>
      </c>
      <c r="C25" t="s">
        <v>230</v>
      </c>
      <c r="D25" t="s">
        <v>207</v>
      </c>
      <c r="E25" t="s">
        <v>192</v>
      </c>
      <c r="F25">
        <v>2024</v>
      </c>
      <c r="G25" t="s">
        <v>4</v>
      </c>
      <c r="H25" s="75">
        <v>838.68815198564619</v>
      </c>
      <c r="I25" s="75">
        <v>793.08715685043853</v>
      </c>
      <c r="J25" s="75">
        <v>1257.2448077838119</v>
      </c>
      <c r="K25" s="75">
        <v>1322.2252764194104</v>
      </c>
      <c r="L25" s="75">
        <v>468.3096000000001</v>
      </c>
      <c r="M25" s="12">
        <v>-6.5490373036481767E-2</v>
      </c>
      <c r="N25" s="12">
        <v>0.65367020850851831</v>
      </c>
      <c r="O25" s="12">
        <v>0.25634932009095945</v>
      </c>
      <c r="P25" s="12">
        <v>0.1554708444370041</v>
      </c>
      <c r="Q25" s="12" t="s">
        <v>193</v>
      </c>
      <c r="R25" s="12" t="s">
        <v>208</v>
      </c>
      <c r="S25" s="9">
        <v>31354838</v>
      </c>
      <c r="T25" t="s">
        <v>231</v>
      </c>
    </row>
    <row r="26" spans="1:20">
      <c r="A26" t="s">
        <v>229</v>
      </c>
      <c r="B26">
        <v>2023</v>
      </c>
      <c r="C26" t="s">
        <v>230</v>
      </c>
      <c r="D26" t="s">
        <v>207</v>
      </c>
      <c r="E26" t="s">
        <v>192</v>
      </c>
      <c r="F26">
        <v>2050</v>
      </c>
      <c r="G26" t="s">
        <v>4</v>
      </c>
      <c r="H26" s="75">
        <v>982.35140207674465</v>
      </c>
      <c r="I26" s="75">
        <v>982.36402727795939</v>
      </c>
      <c r="J26" s="75">
        <v>1638.3133704091115</v>
      </c>
      <c r="K26" s="75">
        <v>1737.8050145968871</v>
      </c>
      <c r="L26" s="75">
        <v>468.3096000000001</v>
      </c>
      <c r="M26" s="12">
        <v>-2.5861163453661896E-5</v>
      </c>
      <c r="N26" s="12">
        <v>0.58509027624409837</v>
      </c>
      <c r="O26" s="12">
        <v>0.29169174545577664</v>
      </c>
      <c r="P26" s="12">
        <v>0.12324383946357881</v>
      </c>
      <c r="Q26" s="12" t="s">
        <v>193</v>
      </c>
      <c r="R26" s="12" t="s">
        <v>208</v>
      </c>
      <c r="S26" s="9">
        <v>31354838</v>
      </c>
    </row>
    <row r="27" spans="1:20">
      <c r="A27" t="s">
        <v>229</v>
      </c>
      <c r="B27">
        <v>2023</v>
      </c>
      <c r="C27" t="s">
        <v>230</v>
      </c>
      <c r="D27" t="s">
        <v>207</v>
      </c>
      <c r="E27" t="s">
        <v>192</v>
      </c>
      <c r="F27">
        <v>2050</v>
      </c>
      <c r="G27" t="s">
        <v>232</v>
      </c>
      <c r="H27" s="75">
        <v>858.71365553275564</v>
      </c>
      <c r="I27" s="75">
        <v>858.72679079209968</v>
      </c>
      <c r="J27" s="75">
        <v>1541.1764873857499</v>
      </c>
      <c r="K27" s="75">
        <v>1617.6788191124913</v>
      </c>
      <c r="L27" s="75">
        <v>468.3096000000001</v>
      </c>
      <c r="M27" s="12"/>
      <c r="N27" s="12"/>
      <c r="O27" s="12"/>
      <c r="P27" s="12"/>
      <c r="Q27" s="12" t="s">
        <v>193</v>
      </c>
      <c r="R27" s="12" t="s">
        <v>208</v>
      </c>
      <c r="S27" s="9">
        <v>31354838</v>
      </c>
    </row>
    <row r="28" spans="1:20" hidden="1">
      <c r="A28" t="s">
        <v>233</v>
      </c>
      <c r="B28">
        <v>2024</v>
      </c>
      <c r="D28" t="s">
        <v>191</v>
      </c>
      <c r="E28" t="s">
        <v>192</v>
      </c>
      <c r="F28">
        <v>2024</v>
      </c>
      <c r="G28" t="s">
        <v>234</v>
      </c>
      <c r="H28" s="75">
        <v>2681.2487830302389</v>
      </c>
      <c r="I28" s="75">
        <v>2495.6577011733561</v>
      </c>
      <c r="J28" s="75">
        <v>4090.7711065019043</v>
      </c>
      <c r="K28" s="75">
        <v>4065.430044361216</v>
      </c>
      <c r="L28" s="75">
        <v>215.38772640000005</v>
      </c>
      <c r="M28" s="12"/>
      <c r="N28" s="12"/>
      <c r="O28" s="12"/>
      <c r="P28" s="12"/>
      <c r="Q28" s="12" t="s">
        <v>199</v>
      </c>
      <c r="R28" s="12" t="s">
        <v>235</v>
      </c>
      <c r="S28" s="9">
        <v>157410000</v>
      </c>
    </row>
    <row r="29" spans="1:20" hidden="1">
      <c r="A29" t="s">
        <v>233</v>
      </c>
      <c r="B29">
        <v>2024</v>
      </c>
      <c r="D29" t="s">
        <v>191</v>
      </c>
      <c r="E29" t="s">
        <v>192</v>
      </c>
      <c r="F29">
        <v>2024</v>
      </c>
      <c r="G29" t="s">
        <v>236</v>
      </c>
      <c r="H29" s="75">
        <v>3266.1214388486155</v>
      </c>
      <c r="I29" s="75">
        <v>2576.9841253415252</v>
      </c>
      <c r="J29" s="75">
        <v>4046.1354167126142</v>
      </c>
      <c r="K29" s="75">
        <v>4024.4680908805312</v>
      </c>
      <c r="L29" s="75">
        <v>215.38772640000005</v>
      </c>
      <c r="M29" s="12"/>
      <c r="N29" s="12"/>
      <c r="O29" s="12"/>
      <c r="P29" s="12"/>
      <c r="Q29" s="12" t="s">
        <v>199</v>
      </c>
      <c r="R29" s="12" t="s">
        <v>235</v>
      </c>
      <c r="S29" s="9">
        <v>157410000</v>
      </c>
      <c r="T29" t="s">
        <v>237</v>
      </c>
    </row>
    <row r="30" spans="1:20">
      <c r="A30" t="s">
        <v>233</v>
      </c>
      <c r="B30">
        <v>2024</v>
      </c>
      <c r="D30" t="s">
        <v>191</v>
      </c>
      <c r="E30" t="s">
        <v>192</v>
      </c>
      <c r="F30">
        <v>2050</v>
      </c>
      <c r="G30" t="s">
        <v>236</v>
      </c>
      <c r="H30" s="75">
        <v>1120.7136225660461</v>
      </c>
      <c r="I30" s="75">
        <v>983.41615931336651</v>
      </c>
      <c r="J30" s="75">
        <v>1816.5115946720468</v>
      </c>
      <c r="K30" s="75">
        <v>1799.6386624694676</v>
      </c>
      <c r="L30" s="75">
        <v>215.38772640000005</v>
      </c>
      <c r="M30" s="12"/>
      <c r="N30" s="12"/>
      <c r="O30" s="12"/>
      <c r="P30" s="12"/>
      <c r="Q30" s="12" t="s">
        <v>199</v>
      </c>
      <c r="R30" s="12" t="s">
        <v>235</v>
      </c>
      <c r="S30" s="9">
        <v>157410000</v>
      </c>
    </row>
    <row r="31" spans="1:20">
      <c r="A31" t="s">
        <v>233</v>
      </c>
      <c r="B31">
        <v>2024</v>
      </c>
      <c r="D31" t="s">
        <v>191</v>
      </c>
      <c r="E31" t="s">
        <v>192</v>
      </c>
      <c r="F31">
        <v>2050</v>
      </c>
      <c r="G31" t="s">
        <v>238</v>
      </c>
      <c r="H31" s="75">
        <v>952.97687263463717</v>
      </c>
      <c r="I31" s="75">
        <v>964.92097557092802</v>
      </c>
      <c r="J31" s="75">
        <v>1753.3802596390397</v>
      </c>
      <c r="K31" s="75">
        <v>1736.5073274364584</v>
      </c>
      <c r="L31" s="75">
        <v>215.38772640000005</v>
      </c>
      <c r="M31" s="12">
        <v>0.30225304662195679</v>
      </c>
      <c r="N31" s="12">
        <v>0.48543434494830628</v>
      </c>
      <c r="O31" s="12">
        <v>6.9418573695475466E-2</v>
      </c>
      <c r="P31" s="12">
        <v>0.1428940347342614</v>
      </c>
      <c r="Q31" s="12" t="s">
        <v>199</v>
      </c>
      <c r="R31" s="12" t="s">
        <v>235</v>
      </c>
      <c r="S31" s="9">
        <v>157410000</v>
      </c>
    </row>
    <row r="32" spans="1:20">
      <c r="A32" t="s">
        <v>233</v>
      </c>
      <c r="B32">
        <v>2024</v>
      </c>
      <c r="D32" t="s">
        <v>191</v>
      </c>
      <c r="E32" t="s">
        <v>192</v>
      </c>
      <c r="F32">
        <v>2050</v>
      </c>
      <c r="G32" t="s">
        <v>234</v>
      </c>
      <c r="H32" s="75">
        <v>1383.9118225223065</v>
      </c>
      <c r="I32" s="75">
        <v>1400.7491003650325</v>
      </c>
      <c r="J32" s="75">
        <v>2715.7174171968154</v>
      </c>
      <c r="K32" s="75">
        <v>2689.1324791522707</v>
      </c>
      <c r="L32" s="75">
        <v>215.38772640000005</v>
      </c>
      <c r="M32" s="12"/>
      <c r="N32" s="12"/>
      <c r="O32" s="12"/>
      <c r="P32" s="12"/>
      <c r="Q32" s="12" t="s">
        <v>199</v>
      </c>
      <c r="R32" s="12" t="s">
        <v>235</v>
      </c>
      <c r="S32" s="9">
        <v>157410000</v>
      </c>
    </row>
    <row r="33" spans="1:20" hidden="1">
      <c r="A33" t="s">
        <v>233</v>
      </c>
      <c r="B33">
        <v>2024</v>
      </c>
      <c r="D33" t="s">
        <v>191</v>
      </c>
      <c r="E33" t="s">
        <v>192</v>
      </c>
      <c r="F33">
        <v>2024</v>
      </c>
      <c r="G33" t="s">
        <v>238</v>
      </c>
      <c r="H33" s="75">
        <v>2797.4452258049691</v>
      </c>
      <c r="I33" s="75">
        <v>2548.3624580496798</v>
      </c>
      <c r="J33" s="75">
        <v>4158.029493151691</v>
      </c>
      <c r="K33" s="75">
        <v>4136.3621673196058</v>
      </c>
      <c r="L33" s="75">
        <v>215.38772640000005</v>
      </c>
      <c r="M33" s="12">
        <v>0.20866713455428176</v>
      </c>
      <c r="N33" s="12">
        <v>0.65402570669691862</v>
      </c>
      <c r="O33" s="12">
        <v>4.5223196144437823E-2</v>
      </c>
      <c r="P33" s="12">
        <v>9.2083962604363384E-2</v>
      </c>
      <c r="Q33" s="12" t="s">
        <v>199</v>
      </c>
      <c r="R33" s="12" t="s">
        <v>235</v>
      </c>
      <c r="S33" s="9">
        <v>157410000</v>
      </c>
    </row>
    <row r="34" spans="1:20" hidden="1">
      <c r="A34" t="s">
        <v>239</v>
      </c>
      <c r="B34">
        <v>2022</v>
      </c>
      <c r="C34" t="s">
        <v>240</v>
      </c>
      <c r="D34" t="s">
        <v>191</v>
      </c>
      <c r="E34" t="s">
        <v>192</v>
      </c>
      <c r="F34">
        <v>2024</v>
      </c>
      <c r="G34" t="s">
        <v>178</v>
      </c>
      <c r="H34" s="75">
        <v>642.42374178153898</v>
      </c>
      <c r="I34" s="75">
        <v>1011.8768751597115</v>
      </c>
      <c r="J34" s="75">
        <v>3588.7386454776965</v>
      </c>
      <c r="K34" s="75">
        <v>3626.2481376136388</v>
      </c>
      <c r="L34" s="75"/>
      <c r="M34" s="12">
        <v>6.6800203467038397E-2</v>
      </c>
      <c r="N34" s="12">
        <v>0.46591806920061163</v>
      </c>
      <c r="O34" s="12">
        <v>0.43493529419052063</v>
      </c>
      <c r="P34" s="12">
        <v>3.2346433141829486E-2</v>
      </c>
      <c r="Q34" s="12" t="s">
        <v>199</v>
      </c>
      <c r="R34" s="12" t="s">
        <v>194</v>
      </c>
      <c r="S34" s="9">
        <v>208032000</v>
      </c>
      <c r="T34" t="s">
        <v>241</v>
      </c>
    </row>
    <row r="35" spans="1:20" hidden="1">
      <c r="A35" t="s">
        <v>242</v>
      </c>
      <c r="B35">
        <v>2023</v>
      </c>
      <c r="C35" s="1" t="s">
        <v>243</v>
      </c>
      <c r="D35" t="s">
        <v>191</v>
      </c>
      <c r="E35" t="s">
        <v>192</v>
      </c>
      <c r="F35">
        <v>2024</v>
      </c>
      <c r="G35" t="s">
        <v>4</v>
      </c>
      <c r="H35" s="75">
        <v>2879.4702235250661</v>
      </c>
      <c r="I35" s="75">
        <v>2389.2886187401759</v>
      </c>
      <c r="J35" s="75">
        <v>5490.974145021808</v>
      </c>
      <c r="K35" s="75">
        <v>5101.9876947217817</v>
      </c>
      <c r="L35" s="75"/>
      <c r="M35" s="12">
        <v>0.28620652613279013</v>
      </c>
      <c r="N35" s="12">
        <v>0.47089020808174514</v>
      </c>
      <c r="O35" s="12">
        <v>2.5500913984063858E-2</v>
      </c>
      <c r="P35" s="12">
        <v>0.21740235180140077</v>
      </c>
      <c r="Q35" s="12" t="s">
        <v>199</v>
      </c>
      <c r="R35" s="12" t="s">
        <v>235</v>
      </c>
      <c r="S35" s="9">
        <v>25105853.051058531</v>
      </c>
      <c r="T35" t="s">
        <v>244</v>
      </c>
    </row>
    <row r="36" spans="1:20" hidden="1">
      <c r="A36" t="s">
        <v>245</v>
      </c>
      <c r="B36">
        <v>2024</v>
      </c>
      <c r="C36" s="1" t="s">
        <v>246</v>
      </c>
      <c r="D36" t="s">
        <v>191</v>
      </c>
      <c r="E36" t="s">
        <v>198</v>
      </c>
      <c r="F36">
        <v>2024</v>
      </c>
      <c r="G36" t="s">
        <v>247</v>
      </c>
      <c r="H36" s="75">
        <v>6201.6746704843536</v>
      </c>
      <c r="I36" s="75">
        <v>3818.5620604832807</v>
      </c>
      <c r="J36" s="75">
        <v>3865.4180894995325</v>
      </c>
      <c r="K36" s="75">
        <v>3949.4052401580666</v>
      </c>
      <c r="L36" s="75"/>
      <c r="M36" s="12">
        <v>0.18840661595310274</v>
      </c>
      <c r="N36" s="12">
        <v>0.68456138294840485</v>
      </c>
      <c r="O36" s="12">
        <v>0.11897366506350344</v>
      </c>
      <c r="P36" s="12">
        <v>8.0583360349887213E-3</v>
      </c>
      <c r="Q36" s="12" t="s">
        <v>199</v>
      </c>
      <c r="R36" s="12" t="s">
        <v>194</v>
      </c>
      <c r="S36" s="84">
        <v>1250000000</v>
      </c>
      <c r="T36" t="s">
        <v>248</v>
      </c>
    </row>
    <row r="37" spans="1:20" hidden="1">
      <c r="A37" t="s">
        <v>245</v>
      </c>
      <c r="B37">
        <v>2024</v>
      </c>
      <c r="C37" s="1" t="s">
        <v>246</v>
      </c>
      <c r="D37" t="s">
        <v>191</v>
      </c>
      <c r="E37" t="s">
        <v>198</v>
      </c>
      <c r="F37">
        <v>2024</v>
      </c>
      <c r="G37" t="s">
        <v>249</v>
      </c>
      <c r="H37" s="75">
        <v>5186.3474368779916</v>
      </c>
      <c r="I37" s="75">
        <v>3438.5192545251684</v>
      </c>
      <c r="J37" s="75">
        <v>5951.2256810399012</v>
      </c>
      <c r="K37" s="75">
        <v>6013.8337548512636</v>
      </c>
      <c r="L37" s="75"/>
      <c r="M37" s="12">
        <v>0.10119430449322714</v>
      </c>
      <c r="N37" s="12">
        <v>0.61193522966613301</v>
      </c>
      <c r="O37" s="12">
        <v>0.27234050130799337</v>
      </c>
      <c r="P37" s="12">
        <v>1.4529964532646183E-2</v>
      </c>
      <c r="Q37" s="12" t="s">
        <v>199</v>
      </c>
      <c r="R37" s="12" t="s">
        <v>194</v>
      </c>
      <c r="S37" s="84">
        <v>1250000000</v>
      </c>
    </row>
    <row r="38" spans="1:20">
      <c r="A38" t="s">
        <v>250</v>
      </c>
      <c r="B38">
        <v>2024</v>
      </c>
      <c r="C38" s="2" t="s">
        <v>251</v>
      </c>
      <c r="D38" t="s">
        <v>191</v>
      </c>
      <c r="E38" t="s">
        <v>192</v>
      </c>
      <c r="F38">
        <v>2050</v>
      </c>
      <c r="G38" t="s">
        <v>252</v>
      </c>
      <c r="H38" s="75">
        <v>832.71052901141434</v>
      </c>
      <c r="I38" s="75">
        <v>712.36778311330647</v>
      </c>
      <c r="J38" s="75">
        <v>1058.3493614649294</v>
      </c>
      <c r="K38" s="75">
        <v>982.68413015446674</v>
      </c>
      <c r="L38" s="75">
        <v>110.7220404859698</v>
      </c>
      <c r="M38" s="12">
        <v>0.34069422410164746</v>
      </c>
      <c r="N38" s="12">
        <v>0.4871997492010629</v>
      </c>
      <c r="O38" s="12">
        <v>0.14196149194633767</v>
      </c>
      <c r="P38" s="12">
        <v>3.0144534750951312E-2</v>
      </c>
      <c r="Q38" s="12" t="s">
        <v>193</v>
      </c>
      <c r="R38" s="12" t="s">
        <v>194</v>
      </c>
      <c r="S38" s="9">
        <v>1000000</v>
      </c>
    </row>
    <row r="39" spans="1:20">
      <c r="A39" t="s">
        <v>250</v>
      </c>
      <c r="B39">
        <v>2024</v>
      </c>
      <c r="C39" s="2" t="s">
        <v>251</v>
      </c>
      <c r="D39" t="s">
        <v>191</v>
      </c>
      <c r="E39" t="s">
        <v>192</v>
      </c>
      <c r="F39">
        <v>2050</v>
      </c>
      <c r="G39" t="s">
        <v>253</v>
      </c>
      <c r="H39" s="75">
        <v>1651.2877075211616</v>
      </c>
      <c r="I39" s="75">
        <v>1201.2151219946848</v>
      </c>
      <c r="J39" s="75">
        <v>1780.1869624410879</v>
      </c>
      <c r="K39" s="75">
        <v>1652.4150743239927</v>
      </c>
      <c r="L39" s="75">
        <v>126.07288739834831</v>
      </c>
      <c r="M39" s="12"/>
      <c r="N39" s="12"/>
      <c r="O39" s="12"/>
      <c r="P39" s="12"/>
      <c r="Q39" s="12" t="s">
        <v>193</v>
      </c>
      <c r="R39" s="12" t="s">
        <v>194</v>
      </c>
      <c r="S39" s="9">
        <v>1000000</v>
      </c>
    </row>
    <row r="40" spans="1:20">
      <c r="A40" t="s">
        <v>250</v>
      </c>
      <c r="B40">
        <v>2024</v>
      </c>
      <c r="C40" s="2" t="s">
        <v>251</v>
      </c>
      <c r="D40" t="s">
        <v>191</v>
      </c>
      <c r="E40" t="s">
        <v>192</v>
      </c>
      <c r="F40">
        <v>2050</v>
      </c>
      <c r="G40" t="s">
        <v>254</v>
      </c>
      <c r="H40" s="75">
        <v>832.16393601308198</v>
      </c>
      <c r="I40" s="75">
        <v>711.82119011497434</v>
      </c>
      <c r="J40" s="75">
        <v>1057.8027684665976</v>
      </c>
      <c r="K40" s="75">
        <v>982.31981421228977</v>
      </c>
      <c r="L40" s="75">
        <v>110.66757856129041</v>
      </c>
      <c r="M40" s="12"/>
      <c r="N40" s="12"/>
      <c r="O40" s="12"/>
      <c r="P40" s="12"/>
      <c r="Q40" s="12" t="s">
        <v>193</v>
      </c>
      <c r="R40" s="12" t="s">
        <v>194</v>
      </c>
      <c r="S40" s="9">
        <v>1000000</v>
      </c>
    </row>
    <row r="41" spans="1:20" hidden="1">
      <c r="A41" t="s">
        <v>250</v>
      </c>
      <c r="B41">
        <v>2024</v>
      </c>
      <c r="C41" s="2" t="s">
        <v>251</v>
      </c>
      <c r="D41" t="s">
        <v>191</v>
      </c>
      <c r="E41" t="s">
        <v>192</v>
      </c>
      <c r="F41">
        <v>2024</v>
      </c>
      <c r="G41" t="s">
        <v>253</v>
      </c>
      <c r="H41" s="75">
        <v>1309.1063656583035</v>
      </c>
      <c r="I41" s="75">
        <v>1104.4864616319737</v>
      </c>
      <c r="J41" s="75">
        <v>2295.4822375775925</v>
      </c>
      <c r="K41" s="75">
        <v>2195.1083386550417</v>
      </c>
      <c r="L41" s="75">
        <v>204.66864000000004</v>
      </c>
      <c r="M41" s="12"/>
      <c r="N41" s="12"/>
      <c r="O41" s="12"/>
      <c r="P41" s="12"/>
      <c r="Q41" s="12" t="s">
        <v>193</v>
      </c>
      <c r="R41" s="12" t="s">
        <v>194</v>
      </c>
      <c r="S41" s="9">
        <v>1000000</v>
      </c>
    </row>
    <row r="42" spans="1:20" hidden="1">
      <c r="A42" t="s">
        <v>250</v>
      </c>
      <c r="B42">
        <v>2024</v>
      </c>
      <c r="C42" s="2" t="s">
        <v>251</v>
      </c>
      <c r="D42" t="s">
        <v>191</v>
      </c>
      <c r="E42" t="s">
        <v>192</v>
      </c>
      <c r="F42">
        <v>2024</v>
      </c>
      <c r="G42" t="s">
        <v>252</v>
      </c>
      <c r="H42" s="75">
        <v>1540.712673931587</v>
      </c>
      <c r="I42" s="75">
        <v>1280.3735130161419</v>
      </c>
      <c r="J42" s="75">
        <v>2495.1892044806732</v>
      </c>
      <c r="K42" s="75">
        <v>2366.2828703680307</v>
      </c>
      <c r="L42" s="75">
        <v>204.66864000000004</v>
      </c>
      <c r="M42" s="12">
        <v>0.21688816575410674</v>
      </c>
      <c r="N42" s="12">
        <v>0.50584246583653325</v>
      </c>
      <c r="O42" s="12">
        <v>0.24511639654309289</v>
      </c>
      <c r="P42" s="12">
        <v>3.2152971866267976E-2</v>
      </c>
      <c r="Q42" s="12" t="s">
        <v>193</v>
      </c>
      <c r="R42" s="12" t="s">
        <v>194</v>
      </c>
      <c r="S42" s="9">
        <v>1000000</v>
      </c>
      <c r="T42" t="s">
        <v>255</v>
      </c>
    </row>
    <row r="43" spans="1:20" hidden="1">
      <c r="A43" t="s">
        <v>250</v>
      </c>
      <c r="B43">
        <v>2024</v>
      </c>
      <c r="C43" s="2" t="s">
        <v>251</v>
      </c>
      <c r="D43" t="s">
        <v>191</v>
      </c>
      <c r="E43" t="s">
        <v>192</v>
      </c>
      <c r="F43">
        <v>2024</v>
      </c>
      <c r="G43" t="s">
        <v>254</v>
      </c>
      <c r="H43" s="75">
        <v>1286.1593005235322</v>
      </c>
      <c r="I43" s="75">
        <v>1276.9021662236783</v>
      </c>
      <c r="J43" s="75">
        <v>2467.8979421692966</v>
      </c>
      <c r="K43" s="75">
        <v>2338.1976902120696</v>
      </c>
      <c r="L43" s="75">
        <v>204.66864000000004</v>
      </c>
      <c r="M43" s="12"/>
      <c r="N43" s="12"/>
      <c r="O43" s="12"/>
      <c r="P43" s="12"/>
      <c r="Q43" s="12" t="s">
        <v>193</v>
      </c>
      <c r="R43" s="12" t="s">
        <v>194</v>
      </c>
      <c r="S43" s="9">
        <v>1000000</v>
      </c>
    </row>
    <row r="44" spans="1:20">
      <c r="A44" t="s">
        <v>256</v>
      </c>
      <c r="B44">
        <v>2024</v>
      </c>
      <c r="C44" s="1" t="s">
        <v>257</v>
      </c>
      <c r="D44" t="s">
        <v>191</v>
      </c>
      <c r="E44" t="s">
        <v>192</v>
      </c>
      <c r="F44">
        <v>2050</v>
      </c>
      <c r="G44" t="s">
        <v>4</v>
      </c>
      <c r="H44" s="75">
        <v>722.87277193760519</v>
      </c>
      <c r="I44" s="75">
        <v>896.60784313426257</v>
      </c>
      <c r="J44" s="75">
        <v>1407.4091242435286</v>
      </c>
      <c r="K44" s="75">
        <v>1420.9722568883299</v>
      </c>
      <c r="L44" s="75">
        <v>305.14000000000004</v>
      </c>
      <c r="M44" s="12">
        <v>0.389752695947086</v>
      </c>
      <c r="N44" s="12">
        <v>0.44140834070224289</v>
      </c>
      <c r="O44" s="12">
        <v>0.11054018441217189</v>
      </c>
      <c r="P44" s="12">
        <v>5.8298778938499392E-2</v>
      </c>
      <c r="Q44" s="80" t="s">
        <v>199</v>
      </c>
      <c r="R44" s="80" t="s">
        <v>258</v>
      </c>
      <c r="S44" s="9">
        <v>2110761</v>
      </c>
    </row>
    <row r="45" spans="1:20" hidden="1">
      <c r="A45" t="s">
        <v>256</v>
      </c>
      <c r="B45">
        <v>2024</v>
      </c>
      <c r="C45" s="1" t="s">
        <v>257</v>
      </c>
      <c r="D45" t="s">
        <v>191</v>
      </c>
      <c r="E45" t="s">
        <v>192</v>
      </c>
      <c r="F45">
        <v>2024</v>
      </c>
      <c r="G45" t="s">
        <v>4</v>
      </c>
      <c r="H45" s="75">
        <v>1703.2941883028598</v>
      </c>
      <c r="I45" s="75">
        <v>1744.0992896145076</v>
      </c>
      <c r="J45" s="75">
        <v>2280.457070487606</v>
      </c>
      <c r="K45" s="75">
        <v>2309.3767515621366</v>
      </c>
      <c r="L45" s="75">
        <v>305.14000000000004</v>
      </c>
      <c r="M45" s="12">
        <v>0.28040033702919182</v>
      </c>
      <c r="N45" s="12">
        <v>0.517925248839749</v>
      </c>
      <c r="O45" s="12">
        <v>0.13234850038900139</v>
      </c>
      <c r="P45" s="80">
        <v>6.9325913742057751E-2</v>
      </c>
      <c r="Q45" s="80" t="s">
        <v>199</v>
      </c>
      <c r="R45" s="80" t="s">
        <v>258</v>
      </c>
      <c r="S45" s="9">
        <v>2110761</v>
      </c>
      <c r="T45" t="s">
        <v>259</v>
      </c>
    </row>
    <row r="46" spans="1:20" hidden="1">
      <c r="A46" t="s">
        <v>260</v>
      </c>
      <c r="B46">
        <v>2021</v>
      </c>
      <c r="C46" s="1" t="s">
        <v>261</v>
      </c>
      <c r="D46" t="s">
        <v>191</v>
      </c>
      <c r="E46" t="s">
        <v>192</v>
      </c>
      <c r="F46">
        <v>2024</v>
      </c>
      <c r="G46" t="s">
        <v>4</v>
      </c>
      <c r="H46" s="75">
        <v>1330.2315443355733</v>
      </c>
      <c r="I46" s="75">
        <v>1583.3702130006432</v>
      </c>
      <c r="J46" s="75">
        <v>2179.1656431870497</v>
      </c>
      <c r="K46" s="75">
        <v>1905.3569763087373</v>
      </c>
      <c r="L46" s="75">
        <v>0</v>
      </c>
      <c r="M46" s="12"/>
      <c r="N46" s="12"/>
      <c r="O46" s="12"/>
      <c r="P46" s="12"/>
      <c r="Q46" s="12" t="s">
        <v>199</v>
      </c>
      <c r="R46" s="12" t="s">
        <v>258</v>
      </c>
      <c r="S46" s="13" t="s">
        <v>85</v>
      </c>
    </row>
    <row r="47" spans="1:20">
      <c r="A47" t="s">
        <v>260</v>
      </c>
      <c r="B47">
        <v>2021</v>
      </c>
      <c r="C47" s="1" t="s">
        <v>261</v>
      </c>
      <c r="D47" t="s">
        <v>191</v>
      </c>
      <c r="E47" t="s">
        <v>192</v>
      </c>
      <c r="F47">
        <v>2050</v>
      </c>
      <c r="G47" t="s">
        <v>4</v>
      </c>
      <c r="H47" s="75">
        <v>84.263501033570734</v>
      </c>
      <c r="I47" s="75">
        <v>400.61384985537984</v>
      </c>
      <c r="J47" s="75">
        <v>886.33757125069531</v>
      </c>
      <c r="K47" s="75">
        <v>946.35054438026202</v>
      </c>
      <c r="L47" s="75">
        <v>0</v>
      </c>
      <c r="M47" s="12"/>
      <c r="N47" s="12"/>
      <c r="O47" s="12"/>
      <c r="P47" s="12"/>
      <c r="Q47" s="12" t="s">
        <v>199</v>
      </c>
      <c r="R47" s="12" t="s">
        <v>258</v>
      </c>
      <c r="S47" s="13" t="s">
        <v>85</v>
      </c>
    </row>
    <row r="48" spans="1:20" hidden="1">
      <c r="A48" t="s">
        <v>262</v>
      </c>
      <c r="B48">
        <v>2021</v>
      </c>
      <c r="C48" s="1" t="s">
        <v>263</v>
      </c>
      <c r="D48" t="s">
        <v>191</v>
      </c>
      <c r="E48" t="s">
        <v>192</v>
      </c>
      <c r="F48">
        <v>2030</v>
      </c>
      <c r="G48" t="s">
        <v>4</v>
      </c>
      <c r="H48" s="75">
        <v>2544.8085055775191</v>
      </c>
      <c r="I48" s="75">
        <v>1510.2027290244303</v>
      </c>
      <c r="J48" s="75"/>
      <c r="K48" s="75"/>
      <c r="L48" s="75"/>
      <c r="M48" s="12"/>
      <c r="N48" s="12"/>
      <c r="O48" s="12"/>
      <c r="P48" s="12"/>
      <c r="Q48" s="12" t="s">
        <v>199</v>
      </c>
      <c r="R48" s="12" t="s">
        <v>258</v>
      </c>
      <c r="S48" s="13" t="s">
        <v>85</v>
      </c>
    </row>
    <row r="49" spans="8:12" hidden="1">
      <c r="H49" s="75"/>
      <c r="I49" s="75"/>
      <c r="J49" s="75"/>
      <c r="K49" s="75"/>
      <c r="L49" s="75"/>
    </row>
    <row r="50" spans="8:12" hidden="1"/>
    <row r="51" spans="8:12" hidden="1">
      <c r="H51" s="75"/>
      <c r="I51" s="75"/>
      <c r="K51" s="75"/>
      <c r="L51" s="75"/>
    </row>
    <row r="52" spans="8:12" hidden="1"/>
    <row r="53" spans="8:12" hidden="1"/>
    <row r="56" spans="8:12">
      <c r="K56" s="75">
        <f>MEDIAN(K5:K47)</f>
        <v>2059.5322450038975</v>
      </c>
    </row>
  </sheetData>
  <autoFilter ref="A1:T53" xr:uid="{2144F8DC-159B-4F66-B175-7947C46506AD}">
    <filterColumn colId="0">
      <filters>
        <filter val="Brazzola et al."/>
        <filter val="Gray et al."/>
        <filter val="Marchese et.al."/>
        <filter val="Martin et. al."/>
        <filter val="Moretti et al."/>
        <filter val="Peacock et. al."/>
        <filter val="Schmidt et. al."/>
        <filter val="Seymour et al."/>
        <filter val="Sherwin"/>
      </filters>
    </filterColumn>
    <filterColumn colId="5">
      <filters>
        <filter val="2050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42CF-98A9-1F42-9B54-2E233A2C74A3}">
  <dimension ref="A1:S47"/>
  <sheetViews>
    <sheetView workbookViewId="0">
      <selection activeCell="G14" sqref="G14"/>
    </sheetView>
  </sheetViews>
  <sheetFormatPr defaultColWidth="11.25" defaultRowHeight="15.6"/>
  <sheetData>
    <row r="1" spans="1:19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s="80" t="s">
        <v>185</v>
      </c>
      <c r="P1" s="80" t="s">
        <v>186</v>
      </c>
      <c r="Q1" s="80" t="s">
        <v>187</v>
      </c>
      <c r="R1" s="80" t="s">
        <v>188</v>
      </c>
    </row>
    <row r="2" spans="1:19">
      <c r="A2" t="s">
        <v>229</v>
      </c>
      <c r="B2">
        <v>2023</v>
      </c>
      <c r="C2" t="s">
        <v>230</v>
      </c>
      <c r="D2" t="s">
        <v>207</v>
      </c>
      <c r="E2" t="s">
        <v>192</v>
      </c>
      <c r="F2">
        <v>2024</v>
      </c>
      <c r="G2" t="s">
        <v>178</v>
      </c>
      <c r="H2" s="75">
        <v>838.68815198564619</v>
      </c>
      <c r="I2" s="75">
        <v>793.08715685043853</v>
      </c>
      <c r="J2" s="75">
        <v>1421.7741200409919</v>
      </c>
      <c r="K2" s="75">
        <v>1486.7545886765904</v>
      </c>
      <c r="L2" s="80">
        <v>-5.9549308921026486E-2</v>
      </c>
      <c r="M2" s="80">
        <v>0.68508807041620634</v>
      </c>
      <c r="N2" s="80">
        <v>0.23309418080865046</v>
      </c>
      <c r="O2" s="80">
        <v>0.14136705769616995</v>
      </c>
      <c r="P2" s="80" t="s">
        <v>193</v>
      </c>
      <c r="Q2" s="80" t="s">
        <v>208</v>
      </c>
      <c r="R2" s="112">
        <v>31354838</v>
      </c>
      <c r="S2" t="s">
        <v>231</v>
      </c>
    </row>
    <row r="3" spans="1:19">
      <c r="A3" t="s">
        <v>256</v>
      </c>
      <c r="B3">
        <v>2024</v>
      </c>
      <c r="C3" t="s">
        <v>257</v>
      </c>
      <c r="D3" t="s">
        <v>191</v>
      </c>
      <c r="E3" t="s">
        <v>192</v>
      </c>
      <c r="F3">
        <v>2050</v>
      </c>
      <c r="G3" t="s">
        <v>178</v>
      </c>
      <c r="H3" s="75">
        <v>722.87277193760519</v>
      </c>
      <c r="I3" s="75">
        <v>698.76814470374268</v>
      </c>
      <c r="J3" s="75">
        <v>996.12746400731635</v>
      </c>
      <c r="K3" s="75">
        <v>1015.603356230797</v>
      </c>
      <c r="L3" s="80">
        <v>0.36581603108678235</v>
      </c>
      <c r="M3" s="80">
        <v>0.42106952177855445</v>
      </c>
      <c r="N3" s="80">
        <v>0.13952768851248726</v>
      </c>
      <c r="O3" s="80">
        <v>7.3586758622175827E-2</v>
      </c>
      <c r="P3" s="80" t="s">
        <v>199</v>
      </c>
      <c r="Q3" s="80" t="s">
        <v>258</v>
      </c>
      <c r="R3" s="112">
        <v>2110761</v>
      </c>
    </row>
    <row r="4" spans="1:19">
      <c r="A4" t="s">
        <v>227</v>
      </c>
      <c r="B4">
        <v>2024</v>
      </c>
      <c r="C4" t="s">
        <v>228</v>
      </c>
      <c r="D4" t="s">
        <v>191</v>
      </c>
      <c r="E4" t="s">
        <v>192</v>
      </c>
      <c r="F4">
        <v>2024</v>
      </c>
      <c r="H4" s="75">
        <v>1678.5512402252382</v>
      </c>
      <c r="I4" s="75">
        <v>1330.6141668859134</v>
      </c>
      <c r="J4" s="75">
        <v>3382.6071697921725</v>
      </c>
      <c r="K4" s="75">
        <v>3347.2914258856558</v>
      </c>
      <c r="L4" s="80"/>
      <c r="M4" s="80"/>
      <c r="N4" s="80"/>
      <c r="O4" s="80"/>
      <c r="P4" s="80" t="s">
        <v>199</v>
      </c>
      <c r="Q4" s="80" t="s">
        <v>194</v>
      </c>
      <c r="R4" s="112">
        <v>3650000</v>
      </c>
    </row>
    <row r="5" spans="1:19">
      <c r="A5" t="s">
        <v>218</v>
      </c>
      <c r="B5">
        <v>2021</v>
      </c>
      <c r="C5" t="s">
        <v>219</v>
      </c>
      <c r="D5" t="s">
        <v>191</v>
      </c>
      <c r="E5" t="s">
        <v>192</v>
      </c>
      <c r="F5">
        <v>2024</v>
      </c>
      <c r="G5" t="s">
        <v>220</v>
      </c>
      <c r="H5" s="75">
        <v>1458.3489394680287</v>
      </c>
      <c r="I5" s="75">
        <v>751.42718779625204</v>
      </c>
      <c r="J5" s="75">
        <v>1910.0714142687632</v>
      </c>
      <c r="K5" s="75">
        <v>1895.1917211544001</v>
      </c>
      <c r="P5" s="80" t="s">
        <v>199</v>
      </c>
      <c r="Q5" s="80" t="s">
        <v>194</v>
      </c>
      <c r="R5" s="7">
        <v>69000000</v>
      </c>
    </row>
    <row r="6" spans="1:19">
      <c r="A6" t="s">
        <v>218</v>
      </c>
      <c r="B6">
        <v>2021</v>
      </c>
      <c r="C6" t="s">
        <v>219</v>
      </c>
      <c r="D6" t="s">
        <v>191</v>
      </c>
      <c r="E6" t="s">
        <v>192</v>
      </c>
      <c r="F6">
        <v>2024</v>
      </c>
      <c r="G6" t="s">
        <v>221</v>
      </c>
      <c r="H6" s="75">
        <v>1892.306418410411</v>
      </c>
      <c r="I6" s="75">
        <v>1097.7096127003431</v>
      </c>
      <c r="J6" s="75">
        <v>1959.8017581903209</v>
      </c>
      <c r="K6" s="75">
        <v>1943.924445229954</v>
      </c>
      <c r="L6" s="80">
        <v>0.19014910760138215</v>
      </c>
      <c r="M6" s="80">
        <v>0.42429751790767684</v>
      </c>
      <c r="N6" s="80">
        <v>0.21340218339560768</v>
      </c>
      <c r="O6" s="80">
        <v>0.1721511910953335</v>
      </c>
      <c r="P6" s="80" t="s">
        <v>199</v>
      </c>
      <c r="Q6" s="80" t="s">
        <v>194</v>
      </c>
      <c r="R6" s="7">
        <v>87000000</v>
      </c>
    </row>
    <row r="7" spans="1:19">
      <c r="A7" t="s">
        <v>203</v>
      </c>
      <c r="B7">
        <v>2018</v>
      </c>
      <c r="C7" t="s">
        <v>204</v>
      </c>
      <c r="D7" t="s">
        <v>191</v>
      </c>
      <c r="E7" t="s">
        <v>192</v>
      </c>
      <c r="F7">
        <v>2024</v>
      </c>
      <c r="H7" s="75">
        <v>1144.7870679308462</v>
      </c>
      <c r="I7" s="75">
        <v>717.33157452286355</v>
      </c>
      <c r="J7" s="75">
        <v>2278.5389057854431</v>
      </c>
      <c r="K7" s="75">
        <v>2313.9915105121499</v>
      </c>
      <c r="L7" s="80">
        <v>0.11002478551214247</v>
      </c>
      <c r="M7" s="80">
        <v>0.32309926188801724</v>
      </c>
      <c r="N7" s="80">
        <v>0.51966602210730239</v>
      </c>
      <c r="O7" s="80">
        <v>4.7209930492537917E-2</v>
      </c>
      <c r="P7" s="80" t="s">
        <v>199</v>
      </c>
      <c r="Q7" s="80" t="s">
        <v>194</v>
      </c>
    </row>
    <row r="8" spans="1:19">
      <c r="A8" t="s">
        <v>250</v>
      </c>
      <c r="B8">
        <v>2024</v>
      </c>
      <c r="C8" t="s">
        <v>251</v>
      </c>
      <c r="D8" t="s">
        <v>191</v>
      </c>
      <c r="E8" t="s">
        <v>192</v>
      </c>
      <c r="F8">
        <v>2050</v>
      </c>
      <c r="G8" t="s">
        <v>252</v>
      </c>
      <c r="H8" s="75">
        <v>1393.4728832610231</v>
      </c>
      <c r="I8" s="75">
        <v>1037.1785901001817</v>
      </c>
      <c r="J8" s="75">
        <v>1405.1233111315405</v>
      </c>
      <c r="K8" s="75">
        <v>1278.503742429825</v>
      </c>
      <c r="L8" s="80">
        <v>0.31920876469830645</v>
      </c>
      <c r="M8" s="80">
        <v>0.46393459545237714</v>
      </c>
      <c r="N8" s="80">
        <v>0.17887399251640163</v>
      </c>
      <c r="O8" s="80">
        <v>3.7982647332914135E-2</v>
      </c>
      <c r="P8" s="80" t="s">
        <v>193</v>
      </c>
      <c r="Q8" s="80" t="s">
        <v>194</v>
      </c>
      <c r="R8" s="112">
        <v>1000000</v>
      </c>
    </row>
    <row r="9" spans="1:19">
      <c r="A9" t="s">
        <v>250</v>
      </c>
      <c r="B9">
        <v>2024</v>
      </c>
      <c r="C9" t="s">
        <v>251</v>
      </c>
      <c r="D9" t="s">
        <v>191</v>
      </c>
      <c r="E9" t="s">
        <v>192</v>
      </c>
      <c r="F9">
        <v>2050</v>
      </c>
      <c r="G9" t="s">
        <v>253</v>
      </c>
      <c r="H9" s="75">
        <v>1651.2877075211616</v>
      </c>
      <c r="I9" s="75">
        <v>1046.3045597508415</v>
      </c>
      <c r="J9" s="75">
        <v>1414.2492807822002</v>
      </c>
      <c r="K9" s="75">
        <v>1286.4773926651051</v>
      </c>
      <c r="L9" s="80"/>
      <c r="M9" s="80"/>
      <c r="N9" s="80"/>
      <c r="O9" s="80"/>
      <c r="P9" s="80" t="s">
        <v>193</v>
      </c>
      <c r="Q9" s="80" t="s">
        <v>194</v>
      </c>
      <c r="R9" s="112">
        <v>1000000</v>
      </c>
    </row>
    <row r="10" spans="1:19">
      <c r="A10" t="s">
        <v>250</v>
      </c>
      <c r="B10">
        <v>2024</v>
      </c>
      <c r="C10" t="s">
        <v>251</v>
      </c>
      <c r="D10" t="s">
        <v>191</v>
      </c>
      <c r="E10" t="s">
        <v>192</v>
      </c>
      <c r="F10">
        <v>2050</v>
      </c>
      <c r="G10" t="s">
        <v>254</v>
      </c>
      <c r="H10" s="75">
        <v>1392.5582046364345</v>
      </c>
      <c r="I10" s="75">
        <v>1036.2639114755937</v>
      </c>
      <c r="J10" s="75">
        <v>1404.2086325069524</v>
      </c>
      <c r="K10" s="75">
        <v>1277.8940895328378</v>
      </c>
      <c r="L10" s="80"/>
      <c r="M10" s="80"/>
      <c r="N10" s="80"/>
      <c r="O10" s="80"/>
      <c r="P10" s="80" t="s">
        <v>193</v>
      </c>
      <c r="Q10" s="80" t="s">
        <v>194</v>
      </c>
      <c r="R10" s="112">
        <v>1000000</v>
      </c>
    </row>
    <row r="11" spans="1:19">
      <c r="A11" t="s">
        <v>218</v>
      </c>
      <c r="B11">
        <v>2021</v>
      </c>
      <c r="C11" t="s">
        <v>219</v>
      </c>
      <c r="D11" t="s">
        <v>191</v>
      </c>
      <c r="E11" t="s">
        <v>192</v>
      </c>
      <c r="F11">
        <v>2024</v>
      </c>
      <c r="G11" t="s">
        <v>222</v>
      </c>
      <c r="H11" s="75">
        <v>1730.510800708724</v>
      </c>
      <c r="I11" s="75">
        <v>823.96435988709356</v>
      </c>
      <c r="J11" s="75">
        <v>2024.309689168186</v>
      </c>
      <c r="K11" s="75">
        <v>2007.3752385624166</v>
      </c>
      <c r="P11" s="80" t="s">
        <v>199</v>
      </c>
      <c r="Q11" s="80" t="s">
        <v>194</v>
      </c>
      <c r="R11" s="7">
        <v>68000000</v>
      </c>
    </row>
    <row r="12" spans="1:19">
      <c r="A12" t="s">
        <v>260</v>
      </c>
      <c r="B12">
        <v>2021</v>
      </c>
      <c r="C12" t="s">
        <v>261</v>
      </c>
      <c r="D12" t="s">
        <v>191</v>
      </c>
      <c r="E12" t="s">
        <v>192</v>
      </c>
      <c r="F12">
        <v>2024</v>
      </c>
      <c r="G12" t="s">
        <v>178</v>
      </c>
      <c r="H12" s="75">
        <v>1330.2315443355733</v>
      </c>
      <c r="I12" s="75">
        <v>1583.3702130006432</v>
      </c>
      <c r="J12" s="75">
        <v>2350.1001092278216</v>
      </c>
      <c r="K12" s="75">
        <v>2076.2914423495099</v>
      </c>
      <c r="L12" s="80"/>
      <c r="M12" s="80"/>
      <c r="N12" s="80"/>
      <c r="O12" s="80"/>
      <c r="P12" s="80" t="s">
        <v>199</v>
      </c>
      <c r="Q12" s="80" t="s">
        <v>258</v>
      </c>
      <c r="R12" t="s">
        <v>85</v>
      </c>
    </row>
    <row r="13" spans="1:19">
      <c r="A13" t="s">
        <v>262</v>
      </c>
      <c r="B13">
        <v>2021</v>
      </c>
      <c r="C13" t="s">
        <v>263</v>
      </c>
      <c r="D13" t="s">
        <v>191</v>
      </c>
      <c r="E13" t="s">
        <v>192</v>
      </c>
      <c r="H13" s="75"/>
      <c r="I13" s="75"/>
      <c r="J13" s="75"/>
      <c r="K13" s="75"/>
      <c r="L13" s="80"/>
      <c r="M13" s="80"/>
      <c r="N13" s="80"/>
      <c r="O13" s="80"/>
      <c r="P13" s="80" t="s">
        <v>199</v>
      </c>
      <c r="Q13" s="80" t="s">
        <v>258</v>
      </c>
      <c r="R13" t="s">
        <v>85</v>
      </c>
    </row>
    <row r="14" spans="1:19">
      <c r="A14" t="s">
        <v>196</v>
      </c>
      <c r="B14">
        <v>2024</v>
      </c>
      <c r="C14" t="s">
        <v>197</v>
      </c>
      <c r="D14" t="s">
        <v>191</v>
      </c>
      <c r="E14" t="s">
        <v>198</v>
      </c>
      <c r="F14">
        <v>2024</v>
      </c>
      <c r="H14" s="75">
        <v>2404.7474592934755</v>
      </c>
      <c r="I14" s="75">
        <v>2435.2345642939222</v>
      </c>
      <c r="J14" s="75">
        <v>2575.7824042780635</v>
      </c>
      <c r="K14" s="75">
        <v>2555.1300501431251</v>
      </c>
      <c r="L14" s="80">
        <v>5.445168642647661E-2</v>
      </c>
      <c r="M14" s="80">
        <v>0.62743119451311191</v>
      </c>
      <c r="N14" s="80">
        <v>0.30588184525039563</v>
      </c>
      <c r="O14" s="80">
        <v>1.2235273810015825E-2</v>
      </c>
      <c r="P14" s="80" t="s">
        <v>199</v>
      </c>
      <c r="Q14" s="80" t="s">
        <v>194</v>
      </c>
      <c r="R14" t="s">
        <v>85</v>
      </c>
      <c r="S14" t="s">
        <v>200</v>
      </c>
    </row>
    <row r="15" spans="1:19">
      <c r="A15" t="s">
        <v>229</v>
      </c>
      <c r="B15">
        <v>2023</v>
      </c>
      <c r="C15" t="s">
        <v>230</v>
      </c>
      <c r="D15" t="s">
        <v>207</v>
      </c>
      <c r="E15" t="s">
        <v>192</v>
      </c>
      <c r="F15">
        <v>2050</v>
      </c>
      <c r="G15" t="s">
        <v>178</v>
      </c>
      <c r="H15" s="75">
        <v>982.35140207674465</v>
      </c>
      <c r="I15" s="75">
        <v>982.37550473360909</v>
      </c>
      <c r="J15" s="75">
        <v>1321.1923142021794</v>
      </c>
      <c r="K15" s="75">
        <v>1420.6839583899553</v>
      </c>
      <c r="L15" s="80">
        <v>-3.0173340952621544E-5</v>
      </c>
      <c r="M15" s="80">
        <v>0.5159068314201406</v>
      </c>
      <c r="N15" s="80">
        <v>0.34032940955934426</v>
      </c>
      <c r="O15" s="80">
        <v>0.14379393236146765</v>
      </c>
      <c r="P15" s="80" t="s">
        <v>193</v>
      </c>
      <c r="Q15" s="80" t="s">
        <v>208</v>
      </c>
      <c r="R15" s="112">
        <v>31354838</v>
      </c>
    </row>
    <row r="16" spans="1:19">
      <c r="A16" t="s">
        <v>229</v>
      </c>
      <c r="B16">
        <v>2023</v>
      </c>
      <c r="C16" t="s">
        <v>230</v>
      </c>
      <c r="D16" t="s">
        <v>207</v>
      </c>
      <c r="E16" t="s">
        <v>192</v>
      </c>
      <c r="F16">
        <v>2050</v>
      </c>
      <c r="G16" t="s">
        <v>232</v>
      </c>
      <c r="H16" s="75">
        <v>825.36875772083386</v>
      </c>
      <c r="I16" s="75">
        <v>825.39286037769887</v>
      </c>
      <c r="J16" s="75">
        <v>1164.2096698462692</v>
      </c>
      <c r="K16" s="75">
        <v>1237.7413227939242</v>
      </c>
      <c r="L16" s="80"/>
      <c r="M16" s="80"/>
      <c r="N16" s="80"/>
      <c r="O16" s="80"/>
      <c r="P16" s="80" t="s">
        <v>193</v>
      </c>
      <c r="Q16" s="80" t="s">
        <v>208</v>
      </c>
      <c r="R16" s="112">
        <v>31354838</v>
      </c>
    </row>
    <row r="17" spans="1:19">
      <c r="A17" t="s">
        <v>225</v>
      </c>
      <c r="B17">
        <v>2023</v>
      </c>
      <c r="C17" t="s">
        <v>226</v>
      </c>
      <c r="D17" t="s">
        <v>191</v>
      </c>
      <c r="E17" t="s">
        <v>192</v>
      </c>
      <c r="F17">
        <v>2024</v>
      </c>
      <c r="G17" t="s">
        <v>178</v>
      </c>
      <c r="H17" s="75">
        <v>1148.3867432450918</v>
      </c>
      <c r="I17" s="75">
        <v>1137.4782320272921</v>
      </c>
      <c r="J17" s="75">
        <v>2381.032548560092</v>
      </c>
      <c r="K17" s="75">
        <v>2384.2031890387366</v>
      </c>
      <c r="L17" s="80"/>
      <c r="M17" s="80"/>
      <c r="N17" s="80"/>
      <c r="O17" s="80"/>
      <c r="P17" s="80" t="s">
        <v>199</v>
      </c>
      <c r="Q17" s="80" t="s">
        <v>194</v>
      </c>
      <c r="R17" t="s">
        <v>85</v>
      </c>
    </row>
    <row r="18" spans="1:19">
      <c r="A18" t="s">
        <v>250</v>
      </c>
      <c r="B18">
        <v>2024</v>
      </c>
      <c r="C18" t="s">
        <v>251</v>
      </c>
      <c r="D18" t="s">
        <v>191</v>
      </c>
      <c r="E18" t="s">
        <v>192</v>
      </c>
      <c r="F18">
        <v>2024</v>
      </c>
      <c r="G18" t="s">
        <v>253</v>
      </c>
      <c r="H18" s="75">
        <v>1309.1063656583035</v>
      </c>
      <c r="I18" s="75">
        <v>1104.4864616319737</v>
      </c>
      <c r="J18" s="75">
        <v>2506.3765122322175</v>
      </c>
      <c r="K18" s="75">
        <v>2406.0026133096653</v>
      </c>
      <c r="L18" s="80"/>
      <c r="M18" s="80"/>
      <c r="N18" s="80"/>
      <c r="O18" s="80"/>
      <c r="P18" s="80" t="s">
        <v>193</v>
      </c>
      <c r="Q18" s="80" t="s">
        <v>194</v>
      </c>
      <c r="R18" s="112">
        <v>1000000</v>
      </c>
    </row>
    <row r="19" spans="1:19">
      <c r="A19" t="s">
        <v>189</v>
      </c>
      <c r="B19">
        <v>2016</v>
      </c>
      <c r="C19" t="s">
        <v>190</v>
      </c>
      <c r="D19" t="s">
        <v>191</v>
      </c>
      <c r="E19" t="s">
        <v>192</v>
      </c>
      <c r="F19">
        <v>2024</v>
      </c>
      <c r="G19" t="s">
        <v>178</v>
      </c>
      <c r="H19" s="75">
        <v>642.29670473893407</v>
      </c>
      <c r="I19" s="75">
        <v>768.83260727969991</v>
      </c>
      <c r="J19" s="75">
        <v>2386.5584758631594</v>
      </c>
      <c r="K19" s="75">
        <v>2466.5878362464205</v>
      </c>
      <c r="L19" s="80"/>
      <c r="M19" s="80"/>
      <c r="N19" s="80"/>
      <c r="O19" s="80"/>
      <c r="P19" s="80" t="s">
        <v>193</v>
      </c>
      <c r="Q19" s="80" t="s">
        <v>194</v>
      </c>
      <c r="R19" s="7">
        <v>144778221.668742</v>
      </c>
      <c r="S19" t="s">
        <v>195</v>
      </c>
    </row>
    <row r="20" spans="1:19">
      <c r="A20" t="s">
        <v>225</v>
      </c>
      <c r="B20">
        <v>2023</v>
      </c>
      <c r="C20" t="s">
        <v>226</v>
      </c>
      <c r="D20" t="s">
        <v>191</v>
      </c>
      <c r="E20" t="s">
        <v>192</v>
      </c>
      <c r="F20">
        <v>2050</v>
      </c>
      <c r="G20" t="s">
        <v>178</v>
      </c>
      <c r="H20" s="75">
        <v>350.60606175775007</v>
      </c>
      <c r="I20" s="75">
        <v>217.99063683860547</v>
      </c>
      <c r="J20" s="75">
        <v>804.40001710277022</v>
      </c>
      <c r="K20" s="75">
        <v>807.05292070830433</v>
      </c>
      <c r="L20" s="80"/>
      <c r="M20" s="80"/>
      <c r="N20" s="80"/>
      <c r="O20" s="80"/>
      <c r="P20" s="80" t="s">
        <v>199</v>
      </c>
      <c r="Q20" s="80" t="s">
        <v>194</v>
      </c>
      <c r="R20" t="s">
        <v>85</v>
      </c>
      <c r="S20" s="20"/>
    </row>
    <row r="21" spans="1:19">
      <c r="A21" t="s">
        <v>250</v>
      </c>
      <c r="B21">
        <v>2024</v>
      </c>
      <c r="C21" t="s">
        <v>251</v>
      </c>
      <c r="D21" t="s">
        <v>191</v>
      </c>
      <c r="E21" t="s">
        <v>192</v>
      </c>
      <c r="F21">
        <v>2024</v>
      </c>
      <c r="G21" t="s">
        <v>252</v>
      </c>
      <c r="H21" s="75">
        <v>1510.502621501556</v>
      </c>
      <c r="I21" s="75">
        <v>1255.2681500158253</v>
      </c>
      <c r="J21" s="75">
        <v>2657.1582006160684</v>
      </c>
      <c r="K21" s="75">
        <v>2530.7794416821052</v>
      </c>
      <c r="L21" s="80">
        <v>0.20134348894042559</v>
      </c>
      <c r="M21" s="80">
        <v>0.54125942432713947</v>
      </c>
      <c r="N21" s="80">
        <v>0.22754856312650942</v>
      </c>
      <c r="O21" s="80">
        <v>2.9848523605927362E-2</v>
      </c>
      <c r="P21" s="80" t="s">
        <v>193</v>
      </c>
      <c r="Q21" s="80" t="s">
        <v>194</v>
      </c>
      <c r="R21" s="112">
        <v>1000000</v>
      </c>
      <c r="S21" t="s">
        <v>255</v>
      </c>
    </row>
    <row r="22" spans="1:19">
      <c r="A22" t="s">
        <v>250</v>
      </c>
      <c r="B22">
        <v>2024</v>
      </c>
      <c r="C22" t="s">
        <v>251</v>
      </c>
      <c r="D22" t="s">
        <v>191</v>
      </c>
      <c r="E22" t="s">
        <v>192</v>
      </c>
      <c r="F22">
        <v>2024</v>
      </c>
      <c r="G22" t="s">
        <v>254</v>
      </c>
      <c r="H22" s="75">
        <v>1286.1593005235322</v>
      </c>
      <c r="I22" s="75">
        <v>1276.9021662236783</v>
      </c>
      <c r="J22" s="75">
        <v>2678.7922168239206</v>
      </c>
      <c r="K22" s="75">
        <v>2549.0919648666936</v>
      </c>
      <c r="L22" s="80"/>
      <c r="M22" s="80"/>
      <c r="N22" s="80"/>
      <c r="O22" s="80"/>
      <c r="P22" s="80" t="s">
        <v>193</v>
      </c>
      <c r="Q22" s="80" t="s">
        <v>194</v>
      </c>
      <c r="R22" s="112">
        <v>1000000</v>
      </c>
    </row>
    <row r="23" spans="1:19">
      <c r="A23" t="s">
        <v>256</v>
      </c>
      <c r="B23">
        <v>2024</v>
      </c>
      <c r="C23" t="s">
        <v>257</v>
      </c>
      <c r="D23" t="s">
        <v>191</v>
      </c>
      <c r="E23" t="s">
        <v>192</v>
      </c>
      <c r="F23">
        <v>2024</v>
      </c>
      <c r="G23" t="s">
        <v>178</v>
      </c>
      <c r="H23" s="75">
        <v>1703.2941883028598</v>
      </c>
      <c r="I23" s="75">
        <v>1744.0992896145076</v>
      </c>
      <c r="J23" s="75">
        <v>2493.7646673531035</v>
      </c>
      <c r="K23" s="75">
        <v>2519.6177479479361</v>
      </c>
      <c r="L23" s="80">
        <v>0.25985878261692258</v>
      </c>
      <c r="M23" s="80">
        <v>0.55324105778868227</v>
      </c>
      <c r="N23" s="80">
        <v>0.1226529203090107</v>
      </c>
      <c r="O23" s="80">
        <v>6.4247239285384367E-2</v>
      </c>
      <c r="P23" s="80" t="s">
        <v>199</v>
      </c>
      <c r="Q23" s="80" t="s">
        <v>258</v>
      </c>
      <c r="R23" s="112">
        <v>2110761</v>
      </c>
      <c r="S23" t="s">
        <v>259</v>
      </c>
    </row>
    <row r="24" spans="1:19">
      <c r="A24" t="s">
        <v>212</v>
      </c>
      <c r="B24">
        <v>2024</v>
      </c>
      <c r="C24" t="s">
        <v>213</v>
      </c>
      <c r="D24" t="s">
        <v>191</v>
      </c>
      <c r="E24" t="s">
        <v>192</v>
      </c>
      <c r="F24">
        <v>2024</v>
      </c>
      <c r="G24" t="s">
        <v>214</v>
      </c>
      <c r="H24" s="75">
        <v>2727.5773261727436</v>
      </c>
      <c r="I24" s="75">
        <v>2805.9551585007839</v>
      </c>
      <c r="J24" s="75">
        <v>2849.8756786120139</v>
      </c>
      <c r="K24" s="75">
        <v>2927.777967986257</v>
      </c>
      <c r="L24" s="80">
        <v>0.19629913386788772</v>
      </c>
      <c r="M24" s="80">
        <v>0.65374157606915917</v>
      </c>
      <c r="N24" s="80">
        <v>0.10228146681708518</v>
      </c>
      <c r="O24" s="80">
        <v>4.7677823245867994E-2</v>
      </c>
      <c r="P24" s="80" t="s">
        <v>199</v>
      </c>
      <c r="Q24" s="80" t="s">
        <v>194</v>
      </c>
      <c r="R24" s="7">
        <v>39140033.75</v>
      </c>
    </row>
    <row r="25" spans="1:19">
      <c r="A25" t="s">
        <v>260</v>
      </c>
      <c r="B25">
        <v>2021</v>
      </c>
      <c r="C25" t="s">
        <v>261</v>
      </c>
      <c r="D25" t="s">
        <v>191</v>
      </c>
      <c r="E25" t="s">
        <v>192</v>
      </c>
      <c r="F25">
        <v>2050</v>
      </c>
      <c r="G25" t="s">
        <v>178</v>
      </c>
      <c r="H25" s="75">
        <v>87.667746475327007</v>
      </c>
      <c r="I25" s="75">
        <v>295.79464096519524</v>
      </c>
      <c r="J25" s="75">
        <v>645.13739413616565</v>
      </c>
      <c r="K25" s="75">
        <v>707.57489138016672</v>
      </c>
      <c r="L25" s="80"/>
      <c r="M25" s="80"/>
      <c r="N25" s="80"/>
      <c r="O25" s="80"/>
      <c r="P25" s="80" t="s">
        <v>199</v>
      </c>
      <c r="Q25" s="80" t="s">
        <v>258</v>
      </c>
      <c r="R25" t="s">
        <v>85</v>
      </c>
    </row>
    <row r="26" spans="1:19">
      <c r="A26" t="s">
        <v>201</v>
      </c>
      <c r="B26">
        <v>2024</v>
      </c>
      <c r="D26" t="s">
        <v>191</v>
      </c>
      <c r="E26" t="s">
        <v>192</v>
      </c>
      <c r="L26" s="80"/>
      <c r="M26" s="80"/>
      <c r="N26" s="80"/>
      <c r="O26" s="80"/>
      <c r="P26" s="80" t="s">
        <v>199</v>
      </c>
      <c r="Q26" s="80" t="s">
        <v>202</v>
      </c>
      <c r="R26" t="s">
        <v>85</v>
      </c>
    </row>
    <row r="27" spans="1:19">
      <c r="A27" t="s">
        <v>218</v>
      </c>
      <c r="B27">
        <v>2021</v>
      </c>
      <c r="C27" t="s">
        <v>219</v>
      </c>
      <c r="D27" t="s">
        <v>191</v>
      </c>
      <c r="E27" t="s">
        <v>192</v>
      </c>
      <c r="F27">
        <v>2024</v>
      </c>
      <c r="G27" t="s">
        <v>223</v>
      </c>
      <c r="H27" s="75">
        <v>2708.6121435384971</v>
      </c>
      <c r="I27" s="75">
        <v>1804.7168921979044</v>
      </c>
      <c r="J27" s="75">
        <v>3396.6119441043925</v>
      </c>
      <c r="K27" s="75">
        <v>3374.1563502157419</v>
      </c>
      <c r="P27" s="80" t="s">
        <v>199</v>
      </c>
      <c r="Q27" s="80" t="s">
        <v>194</v>
      </c>
      <c r="R27" s="7">
        <v>48000000</v>
      </c>
    </row>
    <row r="28" spans="1:19">
      <c r="A28" t="s">
        <v>242</v>
      </c>
      <c r="B28">
        <v>2023</v>
      </c>
      <c r="C28" t="s">
        <v>243</v>
      </c>
      <c r="D28" t="s">
        <v>191</v>
      </c>
      <c r="E28" t="s">
        <v>192</v>
      </c>
      <c r="F28">
        <v>2024</v>
      </c>
      <c r="H28" s="75">
        <v>1755.1259920054924</v>
      </c>
      <c r="I28" s="75">
        <v>1456.3451717240093</v>
      </c>
      <c r="J28" s="75">
        <v>3092.0351171600601</v>
      </c>
      <c r="K28" s="75">
        <v>3109.819000988336</v>
      </c>
      <c r="L28" s="80">
        <v>0.28620652613279013</v>
      </c>
      <c r="M28" s="80">
        <v>0.47089020808174514</v>
      </c>
      <c r="N28" s="80">
        <v>2.5500913984063858E-2</v>
      </c>
      <c r="O28" s="80">
        <v>0.21740235180140077</v>
      </c>
      <c r="P28" s="80" t="s">
        <v>199</v>
      </c>
      <c r="Q28" s="80" t="s">
        <v>235</v>
      </c>
      <c r="R28" s="112">
        <v>25105853.051058531</v>
      </c>
      <c r="S28" t="s">
        <v>244</v>
      </c>
    </row>
    <row r="29" spans="1:19">
      <c r="A29" t="s">
        <v>218</v>
      </c>
      <c r="B29">
        <v>2021</v>
      </c>
      <c r="C29" t="s">
        <v>219</v>
      </c>
      <c r="D29" t="s">
        <v>191</v>
      </c>
      <c r="E29" t="s">
        <v>192</v>
      </c>
      <c r="F29">
        <v>2024</v>
      </c>
      <c r="G29" t="s">
        <v>224</v>
      </c>
      <c r="H29" s="75">
        <v>2761.7003080324448</v>
      </c>
      <c r="I29" s="75">
        <v>1368.7084844811829</v>
      </c>
      <c r="J29" s="75">
        <v>3557.2857569304938</v>
      </c>
      <c r="K29" s="75">
        <v>3528.5632426152797</v>
      </c>
      <c r="P29" s="80" t="s">
        <v>199</v>
      </c>
      <c r="Q29" s="80" t="s">
        <v>194</v>
      </c>
      <c r="R29" s="7">
        <v>35000000</v>
      </c>
    </row>
    <row r="30" spans="1:19">
      <c r="A30" t="s">
        <v>212</v>
      </c>
      <c r="B30">
        <v>2024</v>
      </c>
      <c r="C30" t="s">
        <v>213</v>
      </c>
      <c r="D30" t="s">
        <v>191</v>
      </c>
      <c r="E30" t="s">
        <v>192</v>
      </c>
      <c r="F30">
        <v>2050</v>
      </c>
      <c r="G30" t="s">
        <v>216</v>
      </c>
      <c r="H30" s="75">
        <v>1053.0156898248665</v>
      </c>
      <c r="I30" s="75">
        <v>1131.3935221529064</v>
      </c>
      <c r="J30" s="75">
        <v>1374.9394162813965</v>
      </c>
      <c r="K30" s="75">
        <v>1452.8417056556398</v>
      </c>
      <c r="L30" s="80">
        <v>0.38762689468117906</v>
      </c>
      <c r="M30" s="80">
        <v>0.31625231868907483</v>
      </c>
      <c r="N30" s="80">
        <v>0.2019726046902777</v>
      </c>
      <c r="O30" s="80">
        <v>9.4148181939468348E-2</v>
      </c>
      <c r="P30" s="80" t="s">
        <v>199</v>
      </c>
      <c r="Q30" s="80" t="s">
        <v>194</v>
      </c>
      <c r="R30" s="7">
        <v>39140033.75</v>
      </c>
      <c r="S30" t="s">
        <v>217</v>
      </c>
    </row>
    <row r="31" spans="1:19">
      <c r="A31" t="s">
        <v>239</v>
      </c>
      <c r="B31">
        <v>2022</v>
      </c>
      <c r="C31" t="s">
        <v>240</v>
      </c>
      <c r="D31" t="s">
        <v>191</v>
      </c>
      <c r="E31" t="s">
        <v>192</v>
      </c>
      <c r="F31">
        <v>2024</v>
      </c>
      <c r="G31" t="s">
        <v>178</v>
      </c>
      <c r="H31" s="75">
        <v>668.37766094951314</v>
      </c>
      <c r="I31" s="75">
        <v>1052.7567009161639</v>
      </c>
      <c r="J31" s="75">
        <v>3733.7236867549955</v>
      </c>
      <c r="K31" s="75">
        <v>3772.74856237323</v>
      </c>
      <c r="L31" s="80">
        <v>6.6800203467038397E-2</v>
      </c>
      <c r="M31" s="80">
        <v>0.46591806920061163</v>
      </c>
      <c r="N31" s="80">
        <v>0.43493529419052063</v>
      </c>
      <c r="O31" s="80">
        <v>3.2346433141829486E-2</v>
      </c>
      <c r="P31" s="80" t="s">
        <v>199</v>
      </c>
      <c r="Q31" s="80" t="s">
        <v>194</v>
      </c>
      <c r="R31" s="112">
        <v>208032000</v>
      </c>
      <c r="S31" t="s">
        <v>241</v>
      </c>
    </row>
    <row r="32" spans="1:19">
      <c r="A32" t="s">
        <v>245</v>
      </c>
      <c r="B32">
        <v>2024</v>
      </c>
      <c r="C32" t="s">
        <v>246</v>
      </c>
      <c r="D32" t="s">
        <v>191</v>
      </c>
      <c r="E32" t="s">
        <v>198</v>
      </c>
      <c r="F32">
        <v>2024</v>
      </c>
      <c r="G32" t="s">
        <v>247</v>
      </c>
      <c r="H32" s="75">
        <v>6201.6746704843536</v>
      </c>
      <c r="I32" s="75">
        <v>3818.5620604832807</v>
      </c>
      <c r="J32" s="75">
        <v>3865.4180894995325</v>
      </c>
      <c r="K32" s="75">
        <v>3949.4052401580666</v>
      </c>
      <c r="L32" s="80">
        <v>0.18840661595310274</v>
      </c>
      <c r="M32" s="80">
        <v>0.68456138294840485</v>
      </c>
      <c r="N32" s="80">
        <v>0.11897366506350344</v>
      </c>
      <c r="O32" s="80">
        <v>8.0583360349887213E-3</v>
      </c>
      <c r="P32" s="80" t="s">
        <v>199</v>
      </c>
      <c r="Q32" s="80" t="s">
        <v>194</v>
      </c>
      <c r="R32" s="7">
        <v>1250000000</v>
      </c>
      <c r="S32" t="s">
        <v>248</v>
      </c>
    </row>
    <row r="33" spans="1:19">
      <c r="A33" t="s">
        <v>233</v>
      </c>
      <c r="B33">
        <v>2024</v>
      </c>
      <c r="D33" t="s">
        <v>191</v>
      </c>
      <c r="E33" t="s">
        <v>192</v>
      </c>
      <c r="F33">
        <v>2024</v>
      </c>
      <c r="G33" t="s">
        <v>234</v>
      </c>
      <c r="H33" s="75">
        <v>2681.2487830302389</v>
      </c>
      <c r="I33" s="75">
        <v>2495.6577011733561</v>
      </c>
      <c r="J33" s="75">
        <v>4573.4253820398362</v>
      </c>
      <c r="K33" s="75">
        <v>4548.0843198991461</v>
      </c>
      <c r="L33" s="80"/>
      <c r="M33" s="80"/>
      <c r="N33" s="80"/>
      <c r="O33" s="80"/>
      <c r="P33" s="80" t="s">
        <v>199</v>
      </c>
      <c r="Q33" s="80" t="s">
        <v>235</v>
      </c>
      <c r="R33" s="112">
        <v>157410000</v>
      </c>
    </row>
    <row r="34" spans="1:19">
      <c r="A34" t="s">
        <v>233</v>
      </c>
      <c r="B34">
        <v>2024</v>
      </c>
      <c r="D34" t="s">
        <v>191</v>
      </c>
      <c r="E34" t="s">
        <v>192</v>
      </c>
      <c r="F34">
        <v>2024</v>
      </c>
      <c r="G34" t="s">
        <v>236</v>
      </c>
      <c r="H34" s="75">
        <v>3266.1214388486155</v>
      </c>
      <c r="I34" s="75">
        <v>2576.9841253415252</v>
      </c>
      <c r="J34" s="75">
        <v>4528.7896922505452</v>
      </c>
      <c r="K34" s="75">
        <v>4507.1223664184608</v>
      </c>
      <c r="L34" s="80"/>
      <c r="M34" s="80"/>
      <c r="N34" s="80"/>
      <c r="O34" s="80"/>
      <c r="P34" s="80" t="s">
        <v>199</v>
      </c>
      <c r="Q34" s="80" t="s">
        <v>235</v>
      </c>
      <c r="R34" s="112">
        <v>157410000</v>
      </c>
      <c r="S34" t="s">
        <v>237</v>
      </c>
    </row>
    <row r="35" spans="1:19">
      <c r="A35" t="s">
        <v>233</v>
      </c>
      <c r="B35">
        <v>2024</v>
      </c>
      <c r="D35" t="s">
        <v>191</v>
      </c>
      <c r="E35" t="s">
        <v>192</v>
      </c>
      <c r="F35">
        <v>2050</v>
      </c>
      <c r="G35" t="s">
        <v>236</v>
      </c>
      <c r="H35" s="75">
        <v>1875.4224770053406</v>
      </c>
      <c r="I35" s="75">
        <v>1436.797267614457</v>
      </c>
      <c r="J35" s="75">
        <v>2556.8251023695411</v>
      </c>
      <c r="K35" s="75">
        <v>2528.5896319794779</v>
      </c>
      <c r="L35" s="80"/>
      <c r="M35" s="80"/>
      <c r="N35" s="80"/>
      <c r="O35" s="80"/>
      <c r="P35" s="80" t="s">
        <v>199</v>
      </c>
      <c r="Q35" s="80" t="s">
        <v>235</v>
      </c>
      <c r="R35" s="112">
        <v>157410000</v>
      </c>
    </row>
    <row r="36" spans="1:19">
      <c r="A36" t="s">
        <v>233</v>
      </c>
      <c r="B36">
        <v>2024</v>
      </c>
      <c r="D36" t="s">
        <v>191</v>
      </c>
      <c r="E36" t="s">
        <v>192</v>
      </c>
      <c r="F36">
        <v>2050</v>
      </c>
      <c r="G36" t="s">
        <v>238</v>
      </c>
      <c r="H36" s="75">
        <v>1594.7287612272498</v>
      </c>
      <c r="I36" s="75">
        <v>1414.8414573075418</v>
      </c>
      <c r="J36" s="75">
        <v>2451.1799827419513</v>
      </c>
      <c r="K36" s="75">
        <v>2422.9445123518885</v>
      </c>
      <c r="L36" s="80">
        <v>0.34291277923676844</v>
      </c>
      <c r="M36" s="80">
        <v>0.41621386171084307</v>
      </c>
      <c r="N36" s="80">
        <v>7.8756910153965909E-2</v>
      </c>
      <c r="O36" s="80">
        <v>0.16211644889842231</v>
      </c>
      <c r="P36" s="80" t="s">
        <v>199</v>
      </c>
      <c r="Q36" s="80" t="s">
        <v>235</v>
      </c>
      <c r="R36" s="112">
        <v>157410000</v>
      </c>
    </row>
    <row r="37" spans="1:19">
      <c r="A37" t="s">
        <v>233</v>
      </c>
      <c r="B37">
        <v>2024</v>
      </c>
      <c r="D37" t="s">
        <v>191</v>
      </c>
      <c r="E37" t="s">
        <v>192</v>
      </c>
      <c r="F37">
        <v>2050</v>
      </c>
      <c r="G37" t="s">
        <v>234</v>
      </c>
      <c r="H37" s="75">
        <v>1383.9118225223065</v>
      </c>
      <c r="I37" s="75">
        <v>1232.3763219377704</v>
      </c>
      <c r="J37" s="75">
        <v>2232.7591121080382</v>
      </c>
      <c r="K37" s="75">
        <v>2206.174174063492</v>
      </c>
      <c r="L37" s="80"/>
      <c r="M37" s="80"/>
      <c r="N37" s="80"/>
      <c r="O37" s="80"/>
      <c r="P37" s="80" t="s">
        <v>199</v>
      </c>
      <c r="Q37" s="80" t="s">
        <v>235</v>
      </c>
      <c r="R37" s="112">
        <v>157410000</v>
      </c>
    </row>
    <row r="38" spans="1:19">
      <c r="A38" t="s">
        <v>233</v>
      </c>
      <c r="B38">
        <v>2024</v>
      </c>
      <c r="D38" t="s">
        <v>191</v>
      </c>
      <c r="E38" t="s">
        <v>192</v>
      </c>
      <c r="F38">
        <v>2024</v>
      </c>
      <c r="G38" t="s">
        <v>238</v>
      </c>
      <c r="H38" s="75">
        <v>2797.4452258049691</v>
      </c>
      <c r="I38" s="75">
        <v>2548.3624580496798</v>
      </c>
      <c r="J38" s="75">
        <v>4640.6837686896215</v>
      </c>
      <c r="K38" s="75">
        <v>4619.0164428575381</v>
      </c>
      <c r="L38" s="80">
        <v>0.18972820066329413</v>
      </c>
      <c r="M38" s="80">
        <v>0.68542683885337585</v>
      </c>
      <c r="N38" s="80">
        <v>4.1118672813784257E-2</v>
      </c>
      <c r="O38" s="80">
        <v>8.3726287669547289E-2</v>
      </c>
      <c r="P38" s="80" t="s">
        <v>199</v>
      </c>
      <c r="Q38" s="80" t="s">
        <v>235</v>
      </c>
      <c r="R38" s="112">
        <v>157410000</v>
      </c>
    </row>
    <row r="39" spans="1:19">
      <c r="A39" t="s">
        <v>205</v>
      </c>
      <c r="B39">
        <v>2020</v>
      </c>
      <c r="C39" t="s">
        <v>206</v>
      </c>
      <c r="D39" t="s">
        <v>207</v>
      </c>
      <c r="E39" t="s">
        <v>192</v>
      </c>
      <c r="F39">
        <v>2024</v>
      </c>
      <c r="H39" s="75">
        <v>1312.9984811577319</v>
      </c>
      <c r="I39" s="75">
        <v>1349.9394398959996</v>
      </c>
      <c r="J39" s="75">
        <v>5188.919680711776</v>
      </c>
      <c r="K39" s="75">
        <v>5172.0010379136593</v>
      </c>
      <c r="L39" s="80"/>
      <c r="M39" s="80"/>
      <c r="N39" s="80"/>
      <c r="O39" s="80"/>
      <c r="P39" s="80" t="s">
        <v>199</v>
      </c>
      <c r="Q39" s="80" t="s">
        <v>208</v>
      </c>
      <c r="R39" s="112">
        <v>45872966</v>
      </c>
      <c r="S39" t="s">
        <v>209</v>
      </c>
    </row>
    <row r="40" spans="1:19">
      <c r="A40" t="s">
        <v>205</v>
      </c>
      <c r="B40">
        <v>2015</v>
      </c>
      <c r="C40" t="s">
        <v>210</v>
      </c>
      <c r="D40" t="s">
        <v>207</v>
      </c>
      <c r="E40" t="s">
        <v>192</v>
      </c>
      <c r="F40">
        <v>2024</v>
      </c>
      <c r="H40" s="75">
        <v>563.6763071198169</v>
      </c>
      <c r="I40" s="75">
        <v>592.92830102216521</v>
      </c>
      <c r="J40" s="75">
        <v>5581.9039972601649</v>
      </c>
      <c r="K40" s="75">
        <v>5983.7230862237793</v>
      </c>
      <c r="L40" s="80"/>
      <c r="M40" s="80"/>
      <c r="N40" s="80"/>
      <c r="O40" s="80"/>
      <c r="P40" s="80" t="s">
        <v>199</v>
      </c>
      <c r="Q40" s="80" t="s">
        <v>208</v>
      </c>
      <c r="R40" s="112">
        <v>58035000</v>
      </c>
    </row>
    <row r="41" spans="1:19">
      <c r="A41" t="s">
        <v>205</v>
      </c>
      <c r="B41">
        <v>2015</v>
      </c>
      <c r="C41" t="s">
        <v>210</v>
      </c>
      <c r="D41" t="s">
        <v>207</v>
      </c>
      <c r="E41" t="s">
        <v>192</v>
      </c>
      <c r="F41">
        <v>2024</v>
      </c>
      <c r="H41" s="75">
        <v>798.16358341599573</v>
      </c>
      <c r="I41" s="75">
        <v>827.41557731834428</v>
      </c>
      <c r="J41" s="75">
        <v>5816.3912735563426</v>
      </c>
      <c r="K41" s="75">
        <v>6234.1340273190181</v>
      </c>
      <c r="L41" s="80">
        <v>5.8359446730100857E-2</v>
      </c>
      <c r="M41" s="80">
        <v>0.66723592814540433</v>
      </c>
      <c r="N41" s="80">
        <v>0.10459442543324093</v>
      </c>
      <c r="O41" s="80">
        <v>0.16981019969125349</v>
      </c>
      <c r="P41" s="80" t="s">
        <v>199</v>
      </c>
      <c r="Q41" s="80" t="s">
        <v>208</v>
      </c>
      <c r="R41" s="112">
        <v>58035000</v>
      </c>
      <c r="S41" t="s">
        <v>211</v>
      </c>
    </row>
    <row r="42" spans="1:19">
      <c r="A42" t="s">
        <v>245</v>
      </c>
      <c r="B42">
        <v>2024</v>
      </c>
      <c r="C42" t="s">
        <v>246</v>
      </c>
      <c r="D42" t="s">
        <v>191</v>
      </c>
      <c r="E42" t="s">
        <v>198</v>
      </c>
      <c r="F42">
        <v>2024</v>
      </c>
      <c r="G42" t="s">
        <v>249</v>
      </c>
      <c r="H42" s="75">
        <v>5186.3474368779916</v>
      </c>
      <c r="I42" s="75">
        <v>3438.5192545251684</v>
      </c>
      <c r="J42" s="75">
        <v>5951.2256810399012</v>
      </c>
      <c r="K42" s="75">
        <v>6013.8337548512636</v>
      </c>
      <c r="L42" s="80">
        <v>0.10119430449322714</v>
      </c>
      <c r="M42" s="80">
        <v>0.61193522966613301</v>
      </c>
      <c r="N42" s="80">
        <v>0.27234050130799337</v>
      </c>
      <c r="O42" s="80">
        <v>1.4529964532646183E-2</v>
      </c>
      <c r="P42" s="80" t="s">
        <v>199</v>
      </c>
      <c r="Q42" s="80" t="s">
        <v>194</v>
      </c>
      <c r="R42" s="7">
        <v>1250000000</v>
      </c>
    </row>
    <row r="43" spans="1:19">
      <c r="A43" t="s">
        <v>218</v>
      </c>
      <c r="B43">
        <v>2021</v>
      </c>
      <c r="C43" t="s">
        <v>219</v>
      </c>
      <c r="D43" t="s">
        <v>191</v>
      </c>
      <c r="E43" t="s">
        <v>192</v>
      </c>
      <c r="F43">
        <v>2050</v>
      </c>
      <c r="G43" t="s">
        <v>221</v>
      </c>
      <c r="H43" s="75">
        <v>597.79761883839126</v>
      </c>
      <c r="I43" s="75">
        <v>154.73998374014388</v>
      </c>
      <c r="J43" s="75">
        <v>529.30575524337712</v>
      </c>
      <c r="K43" s="75">
        <v>519.29747746275018</v>
      </c>
      <c r="L43" s="80">
        <v>0.21202578729926874</v>
      </c>
      <c r="M43" s="80">
        <v>0.23970956366229598</v>
      </c>
      <c r="N43" s="80">
        <v>0.15126254531596553</v>
      </c>
      <c r="O43" s="80">
        <v>0.39700210372246958</v>
      </c>
      <c r="P43" s="80" t="s">
        <v>199</v>
      </c>
      <c r="Q43" s="80" t="s">
        <v>194</v>
      </c>
      <c r="R43" s="7">
        <v>87000000</v>
      </c>
    </row>
    <row r="44" spans="1:19">
      <c r="A44" t="s">
        <v>218</v>
      </c>
      <c r="B44">
        <v>2021</v>
      </c>
      <c r="C44" t="s">
        <v>219</v>
      </c>
      <c r="D44" t="s">
        <v>191</v>
      </c>
      <c r="E44" t="s">
        <v>192</v>
      </c>
      <c r="F44">
        <v>2050</v>
      </c>
      <c r="G44" t="s">
        <v>224</v>
      </c>
      <c r="H44" s="75">
        <v>1954.9192922932341</v>
      </c>
      <c r="I44" s="75">
        <v>1192.8985751082232</v>
      </c>
      <c r="J44" s="75">
        <v>2139.2445588182595</v>
      </c>
      <c r="K44" s="75">
        <v>2121.2689252929808</v>
      </c>
      <c r="P44" s="80" t="s">
        <v>199</v>
      </c>
      <c r="Q44" s="80" t="s">
        <v>194</v>
      </c>
      <c r="R44" s="7">
        <v>35000000</v>
      </c>
    </row>
    <row r="45" spans="1:19">
      <c r="A45" t="s">
        <v>218</v>
      </c>
      <c r="B45">
        <v>2021</v>
      </c>
      <c r="C45" t="s">
        <v>219</v>
      </c>
      <c r="D45" t="s">
        <v>191</v>
      </c>
      <c r="E45" t="s">
        <v>192</v>
      </c>
      <c r="F45">
        <v>2050</v>
      </c>
      <c r="G45" t="s">
        <v>223</v>
      </c>
      <c r="H45" s="75">
        <v>1692.7912975423517</v>
      </c>
      <c r="I45" s="75">
        <v>832.37400938742894</v>
      </c>
      <c r="J45" s="75">
        <v>1521.0984514060563</v>
      </c>
      <c r="K45" s="75">
        <v>1507.4743852726435</v>
      </c>
      <c r="P45" s="80" t="s">
        <v>199</v>
      </c>
      <c r="Q45" s="80" t="s">
        <v>194</v>
      </c>
      <c r="R45" s="7">
        <v>48000000</v>
      </c>
    </row>
    <row r="46" spans="1:19">
      <c r="A46" t="s">
        <v>218</v>
      </c>
      <c r="B46">
        <v>2021</v>
      </c>
      <c r="C46" t="s">
        <v>219</v>
      </c>
      <c r="D46" t="s">
        <v>191</v>
      </c>
      <c r="E46" t="s">
        <v>192</v>
      </c>
      <c r="F46">
        <v>2050</v>
      </c>
      <c r="G46" t="s">
        <v>220</v>
      </c>
      <c r="H46" s="75">
        <v>310.79679657966193</v>
      </c>
      <c r="I46" s="75">
        <v>-101.10917719816401</v>
      </c>
      <c r="J46" s="75">
        <v>395.15232322570546</v>
      </c>
      <c r="K46" s="75">
        <v>385.16193079821875</v>
      </c>
      <c r="P46" s="80" t="s">
        <v>199</v>
      </c>
      <c r="Q46" s="80" t="s">
        <v>194</v>
      </c>
      <c r="R46" s="7">
        <v>69000000</v>
      </c>
    </row>
    <row r="47" spans="1:19">
      <c r="A47" t="s">
        <v>218</v>
      </c>
      <c r="B47">
        <v>2021</v>
      </c>
      <c r="C47" t="s">
        <v>219</v>
      </c>
      <c r="D47" t="s">
        <v>191</v>
      </c>
      <c r="E47" t="s">
        <v>192</v>
      </c>
      <c r="F47">
        <v>2050</v>
      </c>
      <c r="G47" t="s">
        <v>222</v>
      </c>
      <c r="H47" s="75">
        <v>628.73238316672519</v>
      </c>
      <c r="I47" s="75">
        <v>100.46811775340927</v>
      </c>
      <c r="J47" s="75">
        <v>612.28162159428246</v>
      </c>
      <c r="K47" s="75">
        <v>601.90508307739435</v>
      </c>
      <c r="P47" s="80" t="s">
        <v>199</v>
      </c>
      <c r="Q47" s="80" t="s">
        <v>194</v>
      </c>
      <c r="R47" s="7">
        <v>68000000</v>
      </c>
    </row>
  </sheetData>
  <sortState xmlns:xlrd2="http://schemas.microsoft.com/office/spreadsheetml/2017/richdata2" ref="A2:R47">
    <sortCondition ref="K2:K47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2AFC-A479-4947-AC17-22830BE4F6C8}">
  <dimension ref="A1:S50"/>
  <sheetViews>
    <sheetView workbookViewId="0">
      <selection activeCell="G14" sqref="G14"/>
    </sheetView>
  </sheetViews>
  <sheetFormatPr defaultColWidth="11.25" defaultRowHeight="15.6"/>
  <sheetData>
    <row r="1" spans="1:19">
      <c r="A1" s="76" t="s">
        <v>4</v>
      </c>
      <c r="B1" s="76" t="s">
        <v>172</v>
      </c>
      <c r="C1" s="76" t="s">
        <v>173</v>
      </c>
      <c r="D1" s="76" t="s">
        <v>174</v>
      </c>
      <c r="E1" s="76" t="s">
        <v>175</v>
      </c>
      <c r="F1" s="76" t="s">
        <v>176</v>
      </c>
      <c r="G1" s="76" t="s">
        <v>177</v>
      </c>
      <c r="H1" s="76" t="s">
        <v>178</v>
      </c>
      <c r="I1" s="76" t="s">
        <v>179</v>
      </c>
      <c r="J1" s="76" t="s">
        <v>180</v>
      </c>
      <c r="K1" s="76" t="s">
        <v>181</v>
      </c>
      <c r="L1" s="76" t="s">
        <v>182</v>
      </c>
      <c r="M1" s="76" t="s">
        <v>183</v>
      </c>
      <c r="N1" s="76" t="s">
        <v>184</v>
      </c>
      <c r="O1" s="81" t="s">
        <v>185</v>
      </c>
      <c r="P1" s="81" t="s">
        <v>186</v>
      </c>
      <c r="Q1" s="81" t="s">
        <v>187</v>
      </c>
      <c r="R1" s="81" t="s">
        <v>188</v>
      </c>
      <c r="S1" s="76"/>
    </row>
    <row r="2" spans="1:19">
      <c r="A2" s="76" t="s">
        <v>229</v>
      </c>
      <c r="B2" s="76">
        <v>2023</v>
      </c>
      <c r="C2" s="76" t="s">
        <v>230</v>
      </c>
      <c r="D2" s="76" t="s">
        <v>207</v>
      </c>
      <c r="E2" s="76" t="s">
        <v>192</v>
      </c>
      <c r="F2" s="76">
        <v>2024</v>
      </c>
      <c r="G2" s="76" t="s">
        <v>4</v>
      </c>
      <c r="H2" s="83">
        <v>838.68815198564619</v>
      </c>
      <c r="I2" s="83">
        <v>634.68370006497901</v>
      </c>
      <c r="J2" s="83">
        <v>1467.1403566302686</v>
      </c>
      <c r="K2" s="83">
        <v>1532.1208252658671</v>
      </c>
      <c r="L2" s="81">
        <v>-5.3534562249441212E-2</v>
      </c>
      <c r="M2" s="81">
        <v>0.71689558446844392</v>
      </c>
      <c r="N2" s="81">
        <v>0.20955062549982154</v>
      </c>
      <c r="O2" s="81">
        <v>0.12708835228117543</v>
      </c>
      <c r="P2" s="81" t="s">
        <v>193</v>
      </c>
      <c r="Q2" s="81" t="s">
        <v>208</v>
      </c>
      <c r="R2" s="110">
        <v>31354838</v>
      </c>
      <c r="S2" s="76" t="s">
        <v>231</v>
      </c>
    </row>
    <row r="3" spans="1:19">
      <c r="A3" s="76" t="s">
        <v>256</v>
      </c>
      <c r="B3" s="76">
        <v>2024</v>
      </c>
      <c r="C3" s="1" t="s">
        <v>257</v>
      </c>
      <c r="D3" s="76" t="s">
        <v>191</v>
      </c>
      <c r="E3" s="76" t="s">
        <v>192</v>
      </c>
      <c r="F3" s="76">
        <v>2050</v>
      </c>
      <c r="G3" s="76" t="s">
        <v>4</v>
      </c>
      <c r="H3" s="83">
        <v>722.87277193760519</v>
      </c>
      <c r="I3" s="83">
        <v>1410.9910590536131</v>
      </c>
      <c r="J3" s="83">
        <v>2238.6107507063716</v>
      </c>
      <c r="K3" s="83">
        <v>2240.2241762432527</v>
      </c>
      <c r="L3" s="81">
        <v>0.4574972837501971</v>
      </c>
      <c r="M3" s="81">
        <v>0.42359136359870869</v>
      </c>
      <c r="N3" s="81">
        <v>7.7852188795143523E-2</v>
      </c>
      <c r="O3" s="81">
        <v>4.1059163855950868E-2</v>
      </c>
      <c r="P3" s="81" t="s">
        <v>199</v>
      </c>
      <c r="Q3" s="81" t="s">
        <v>258</v>
      </c>
      <c r="R3" s="110">
        <v>2110761</v>
      </c>
      <c r="S3" s="76"/>
    </row>
    <row r="4" spans="1:19">
      <c r="A4" s="76" t="s">
        <v>227</v>
      </c>
      <c r="B4" s="76">
        <v>2024</v>
      </c>
      <c r="C4" s="1" t="s">
        <v>228</v>
      </c>
      <c r="D4" s="76" t="s">
        <v>191</v>
      </c>
      <c r="E4" s="76" t="s">
        <v>192</v>
      </c>
      <c r="F4" s="76">
        <v>2024</v>
      </c>
      <c r="G4" s="76" t="s">
        <v>4</v>
      </c>
      <c r="H4" s="83">
        <v>1678.5512402252382</v>
      </c>
      <c r="I4" s="83">
        <v>1968.4988013413436</v>
      </c>
      <c r="J4" s="83">
        <v>4360.7066630880454</v>
      </c>
      <c r="K4" s="83">
        <v>4325.3909191815274</v>
      </c>
      <c r="L4" s="81"/>
      <c r="M4" s="81"/>
      <c r="N4" s="81"/>
      <c r="O4" s="81"/>
      <c r="P4" s="81" t="s">
        <v>199</v>
      </c>
      <c r="Q4" s="81" t="s">
        <v>194</v>
      </c>
      <c r="R4" s="110">
        <v>3650000</v>
      </c>
      <c r="S4" s="76"/>
    </row>
    <row r="5" spans="1:19">
      <c r="A5" s="76" t="s">
        <v>218</v>
      </c>
      <c r="B5" s="76">
        <v>2021</v>
      </c>
      <c r="C5" s="76" t="s">
        <v>219</v>
      </c>
      <c r="D5" s="76" t="s">
        <v>191</v>
      </c>
      <c r="E5" s="76" t="s">
        <v>192</v>
      </c>
      <c r="F5" s="76">
        <v>2024</v>
      </c>
      <c r="G5" s="76" t="s">
        <v>220</v>
      </c>
      <c r="H5" s="83">
        <v>1458.3489394680287</v>
      </c>
      <c r="I5" s="83">
        <v>1275.4809780236831</v>
      </c>
      <c r="J5" s="83">
        <v>2670.4794935016362</v>
      </c>
      <c r="K5" s="83">
        <v>2655.5998003872728</v>
      </c>
      <c r="L5" s="76"/>
      <c r="M5" s="76"/>
      <c r="N5" s="76"/>
      <c r="O5" s="76"/>
      <c r="P5" s="81" t="s">
        <v>199</v>
      </c>
      <c r="Q5" s="81" t="s">
        <v>194</v>
      </c>
      <c r="R5" s="85">
        <v>69000000</v>
      </c>
      <c r="S5" s="76"/>
    </row>
    <row r="6" spans="1:19">
      <c r="A6" s="76" t="s">
        <v>218</v>
      </c>
      <c r="B6" s="76">
        <v>2021</v>
      </c>
      <c r="C6" s="76" t="s">
        <v>219</v>
      </c>
      <c r="D6" s="76" t="s">
        <v>191</v>
      </c>
      <c r="E6" s="76" t="s">
        <v>192</v>
      </c>
      <c r="F6" s="76">
        <v>2024</v>
      </c>
      <c r="G6" s="76" t="s">
        <v>221</v>
      </c>
      <c r="H6" s="83">
        <v>1892.306418410411</v>
      </c>
      <c r="I6" s="83">
        <v>1625.965575690369</v>
      </c>
      <c r="J6" s="83">
        <v>2675.511122805352</v>
      </c>
      <c r="K6" s="83">
        <v>2659.6338098449842</v>
      </c>
      <c r="L6" s="81">
        <v>0.30516554549549524</v>
      </c>
      <c r="M6" s="81">
        <v>0.39021170267433003</v>
      </c>
      <c r="N6" s="81">
        <v>0.16860742157520656</v>
      </c>
      <c r="O6" s="81">
        <v>0.13601533025496806</v>
      </c>
      <c r="P6" s="81" t="s">
        <v>199</v>
      </c>
      <c r="Q6" s="81" t="s">
        <v>194</v>
      </c>
      <c r="R6" s="85">
        <v>87000000</v>
      </c>
      <c r="S6" s="76"/>
    </row>
    <row r="7" spans="1:19">
      <c r="A7" s="76" t="s">
        <v>203</v>
      </c>
      <c r="B7" s="76">
        <v>2018</v>
      </c>
      <c r="C7" s="1" t="s">
        <v>204</v>
      </c>
      <c r="D7" s="76" t="s">
        <v>191</v>
      </c>
      <c r="E7" s="76" t="s">
        <v>192</v>
      </c>
      <c r="F7" s="76">
        <v>2024</v>
      </c>
      <c r="G7" s="76" t="s">
        <v>4</v>
      </c>
      <c r="H7" s="83">
        <v>1144.7870679308462</v>
      </c>
      <c r="I7" s="83">
        <v>717.33157452286355</v>
      </c>
      <c r="J7" s="83">
        <v>2278.5389057854431</v>
      </c>
      <c r="K7" s="83">
        <v>2313.9915105121499</v>
      </c>
      <c r="L7" s="81">
        <v>0.11002478551214247</v>
      </c>
      <c r="M7" s="81">
        <v>0.32309926188801724</v>
      </c>
      <c r="N7" s="81">
        <v>0.51966602210730239</v>
      </c>
      <c r="O7" s="81">
        <v>4.7209930492537917E-2</v>
      </c>
      <c r="P7" s="81" t="s">
        <v>199</v>
      </c>
      <c r="Q7" s="81" t="s">
        <v>194</v>
      </c>
      <c r="R7" s="76"/>
      <c r="S7" s="76"/>
    </row>
    <row r="8" spans="1:19">
      <c r="A8" s="76" t="s">
        <v>250</v>
      </c>
      <c r="B8" s="76">
        <v>2024</v>
      </c>
      <c r="C8" s="2" t="s">
        <v>251</v>
      </c>
      <c r="D8" s="76" t="s">
        <v>191</v>
      </c>
      <c r="E8" s="76" t="s">
        <v>192</v>
      </c>
      <c r="F8" s="76">
        <v>2050</v>
      </c>
      <c r="G8" s="76" t="s">
        <v>252</v>
      </c>
      <c r="H8" s="83">
        <v>1393.4728832610231</v>
      </c>
      <c r="I8" s="83">
        <v>1594.8566141780193</v>
      </c>
      <c r="J8" s="83">
        <v>2487.0624409926204</v>
      </c>
      <c r="K8" s="83">
        <v>2360.4428722909047</v>
      </c>
      <c r="L8" s="81">
        <v>0.40449937522911456</v>
      </c>
      <c r="M8" s="81">
        <v>0.47289781788893143</v>
      </c>
      <c r="N8" s="81">
        <v>0.10112880830363727</v>
      </c>
      <c r="O8" s="81">
        <v>2.1473998578316097E-2</v>
      </c>
      <c r="P8" s="81" t="s">
        <v>193</v>
      </c>
      <c r="Q8" s="81" t="s">
        <v>194</v>
      </c>
      <c r="R8" s="110">
        <v>1000000</v>
      </c>
      <c r="S8" s="76"/>
    </row>
    <row r="9" spans="1:19">
      <c r="A9" s="76" t="s">
        <v>250</v>
      </c>
      <c r="B9" s="76">
        <v>2024</v>
      </c>
      <c r="C9" s="2" t="s">
        <v>251</v>
      </c>
      <c r="D9" s="76" t="s">
        <v>191</v>
      </c>
      <c r="E9" s="76" t="s">
        <v>192</v>
      </c>
      <c r="F9" s="76">
        <v>2050</v>
      </c>
      <c r="G9" s="76" t="s">
        <v>253</v>
      </c>
      <c r="H9" s="83">
        <v>1651.2877075211616</v>
      </c>
      <c r="I9" s="83">
        <v>1603.982583828679</v>
      </c>
      <c r="J9" s="83">
        <v>2496.1884106432803</v>
      </c>
      <c r="K9" s="83">
        <v>2368.4165225261854</v>
      </c>
      <c r="L9" s="81"/>
      <c r="M9" s="81"/>
      <c r="N9" s="81"/>
      <c r="O9" s="81"/>
      <c r="P9" s="81" t="s">
        <v>193</v>
      </c>
      <c r="Q9" s="81" t="s">
        <v>194</v>
      </c>
      <c r="R9" s="110">
        <v>1000000</v>
      </c>
      <c r="S9" s="76"/>
    </row>
    <row r="10" spans="1:19">
      <c r="A10" s="76" t="s">
        <v>250</v>
      </c>
      <c r="B10" s="76">
        <v>2024</v>
      </c>
      <c r="C10" s="2" t="s">
        <v>251</v>
      </c>
      <c r="D10" s="76" t="s">
        <v>191</v>
      </c>
      <c r="E10" s="76" t="s">
        <v>192</v>
      </c>
      <c r="F10" s="76">
        <v>2050</v>
      </c>
      <c r="G10" s="76" t="s">
        <v>254</v>
      </c>
      <c r="H10" s="83">
        <v>1392.5582046364345</v>
      </c>
      <c r="I10" s="83">
        <v>1593.9419355534305</v>
      </c>
      <c r="J10" s="83">
        <v>2486.1477623680325</v>
      </c>
      <c r="K10" s="83">
        <v>2359.8332193939177</v>
      </c>
      <c r="L10" s="81"/>
      <c r="M10" s="81"/>
      <c r="N10" s="81"/>
      <c r="O10" s="81"/>
      <c r="P10" s="81" t="s">
        <v>193</v>
      </c>
      <c r="Q10" s="81" t="s">
        <v>194</v>
      </c>
      <c r="R10" s="110">
        <v>1000000</v>
      </c>
      <c r="S10" s="76"/>
    </row>
    <row r="11" spans="1:19">
      <c r="A11" s="76" t="s">
        <v>218</v>
      </c>
      <c r="B11" s="76">
        <v>2021</v>
      </c>
      <c r="C11" s="76" t="s">
        <v>219</v>
      </c>
      <c r="D11" s="76" t="s">
        <v>191</v>
      </c>
      <c r="E11" s="76" t="s">
        <v>192</v>
      </c>
      <c r="F11" s="76">
        <v>2024</v>
      </c>
      <c r="G11" s="76" t="s">
        <v>222</v>
      </c>
      <c r="H11" s="83">
        <v>1730.510800708724</v>
      </c>
      <c r="I11" s="83">
        <v>1496.0567988301614</v>
      </c>
      <c r="J11" s="83">
        <v>2936.2322154844205</v>
      </c>
      <c r="K11" s="83">
        <v>2919.2977648786505</v>
      </c>
      <c r="L11" s="76"/>
      <c r="M11" s="76"/>
      <c r="N11" s="76"/>
      <c r="O11" s="76"/>
      <c r="P11" s="81" t="s">
        <v>199</v>
      </c>
      <c r="Q11" s="81" t="s">
        <v>194</v>
      </c>
      <c r="R11" s="85">
        <v>68000000</v>
      </c>
      <c r="S11" s="76"/>
    </row>
    <row r="12" spans="1:19">
      <c r="A12" s="76" t="s">
        <v>260</v>
      </c>
      <c r="B12" s="76">
        <v>2021</v>
      </c>
      <c r="C12" s="1" t="s">
        <v>261</v>
      </c>
      <c r="D12" s="76" t="s">
        <v>191</v>
      </c>
      <c r="E12" s="76" t="s">
        <v>192</v>
      </c>
      <c r="F12" s="76">
        <v>2024</v>
      </c>
      <c r="G12" s="76" t="s">
        <v>4</v>
      </c>
      <c r="H12" s="83">
        <v>1330.2315443355733</v>
      </c>
      <c r="I12" s="83">
        <v>2251.6562982764272</v>
      </c>
      <c r="J12" s="83">
        <v>3230.0886762951591</v>
      </c>
      <c r="K12" s="83">
        <v>2956.2800094168465</v>
      </c>
      <c r="L12" s="81"/>
      <c r="M12" s="81"/>
      <c r="N12" s="81"/>
      <c r="O12" s="81"/>
      <c r="P12" s="81" t="s">
        <v>199</v>
      </c>
      <c r="Q12" s="81" t="s">
        <v>258</v>
      </c>
      <c r="R12" s="76" t="s">
        <v>85</v>
      </c>
      <c r="S12" s="76"/>
    </row>
    <row r="13" spans="1:19">
      <c r="A13" s="76" t="s">
        <v>262</v>
      </c>
      <c r="B13" s="76">
        <v>2021</v>
      </c>
      <c r="C13" s="1" t="s">
        <v>263</v>
      </c>
      <c r="D13" s="76" t="s">
        <v>191</v>
      </c>
      <c r="E13" s="76" t="s">
        <v>192</v>
      </c>
      <c r="F13" s="76"/>
      <c r="G13" s="76" t="s">
        <v>4</v>
      </c>
      <c r="H13" s="83"/>
      <c r="I13" s="83"/>
      <c r="J13" s="83"/>
      <c r="K13" s="83"/>
      <c r="L13" s="81"/>
      <c r="M13" s="81"/>
      <c r="N13" s="81"/>
      <c r="O13" s="81"/>
      <c r="P13" s="81" t="s">
        <v>199</v>
      </c>
      <c r="Q13" s="81" t="s">
        <v>258</v>
      </c>
      <c r="R13" s="76" t="s">
        <v>85</v>
      </c>
      <c r="S13" s="76"/>
    </row>
    <row r="14" spans="1:19">
      <c r="A14" s="76" t="s">
        <v>196</v>
      </c>
      <c r="B14" s="76">
        <v>2024</v>
      </c>
      <c r="C14" s="76" t="s">
        <v>197</v>
      </c>
      <c r="D14" s="76" t="s">
        <v>191</v>
      </c>
      <c r="E14" s="76" t="s">
        <v>198</v>
      </c>
      <c r="F14" s="76">
        <v>2024</v>
      </c>
      <c r="G14" s="76" t="s">
        <v>4</v>
      </c>
      <c r="H14" s="83">
        <v>2404.7474592934755</v>
      </c>
      <c r="I14" s="83">
        <v>2538.128543670427</v>
      </c>
      <c r="J14" s="83">
        <v>2914.6539348519627</v>
      </c>
      <c r="K14" s="83">
        <v>2894.001580717023</v>
      </c>
      <c r="L14" s="81">
        <v>9.5427092480182288E-2</v>
      </c>
      <c r="M14" s="81">
        <v>0.63010977277090163</v>
      </c>
      <c r="N14" s="81">
        <v>0.26390686033549632</v>
      </c>
      <c r="O14" s="81">
        <v>1.0556274413419851E-2</v>
      </c>
      <c r="P14" s="81" t="s">
        <v>199</v>
      </c>
      <c r="Q14" s="81" t="s">
        <v>194</v>
      </c>
      <c r="R14" s="76" t="s">
        <v>85</v>
      </c>
      <c r="S14" s="76" t="s">
        <v>200</v>
      </c>
    </row>
    <row r="15" spans="1:19">
      <c r="A15" s="76" t="s">
        <v>229</v>
      </c>
      <c r="B15" s="76">
        <v>2023</v>
      </c>
      <c r="C15" s="76" t="s">
        <v>230</v>
      </c>
      <c r="D15" s="76" t="s">
        <v>207</v>
      </c>
      <c r="E15" s="76" t="s">
        <v>192</v>
      </c>
      <c r="F15" s="76">
        <v>2050</v>
      </c>
      <c r="G15" s="76" t="s">
        <v>4</v>
      </c>
      <c r="H15" s="83">
        <v>982.35140207674465</v>
      </c>
      <c r="I15" s="83">
        <v>982.33418589326914</v>
      </c>
      <c r="J15" s="83">
        <v>2109.013016312756</v>
      </c>
      <c r="K15" s="83">
        <v>2208.5046605005305</v>
      </c>
      <c r="L15" s="81">
        <v>-2.1335290176751464E-5</v>
      </c>
      <c r="M15" s="81">
        <v>0.65770220008278502</v>
      </c>
      <c r="N15" s="81">
        <v>0.24064377624050426</v>
      </c>
      <c r="O15" s="81">
        <v>0.10167535896688758</v>
      </c>
      <c r="P15" s="81" t="s">
        <v>193</v>
      </c>
      <c r="Q15" s="81" t="s">
        <v>208</v>
      </c>
      <c r="R15" s="110">
        <v>31354838</v>
      </c>
      <c r="S15" s="76"/>
    </row>
    <row r="16" spans="1:19">
      <c r="A16" s="76" t="s">
        <v>229</v>
      </c>
      <c r="B16" s="76">
        <v>2023</v>
      </c>
      <c r="C16" s="76" t="s">
        <v>230</v>
      </c>
      <c r="D16" s="76" t="s">
        <v>207</v>
      </c>
      <c r="E16" s="76" t="s">
        <v>192</v>
      </c>
      <c r="F16" s="76">
        <v>2050</v>
      </c>
      <c r="G16" s="76" t="s">
        <v>232</v>
      </c>
      <c r="H16" s="83">
        <v>825.36875772083386</v>
      </c>
      <c r="I16" s="83">
        <v>825.35154153735812</v>
      </c>
      <c r="J16" s="83">
        <v>1952.0303719568451</v>
      </c>
      <c r="K16" s="83">
        <v>2025.5620249044996</v>
      </c>
      <c r="L16" s="81"/>
      <c r="M16" s="81"/>
      <c r="N16" s="81"/>
      <c r="O16" s="81"/>
      <c r="P16" s="81" t="s">
        <v>193</v>
      </c>
      <c r="Q16" s="81" t="s">
        <v>208</v>
      </c>
      <c r="R16" s="110">
        <v>31354838</v>
      </c>
      <c r="S16" s="76"/>
    </row>
    <row r="17" spans="1:19">
      <c r="A17" s="76" t="s">
        <v>225</v>
      </c>
      <c r="B17" s="76">
        <v>2023</v>
      </c>
      <c r="C17" s="82" t="s">
        <v>226</v>
      </c>
      <c r="D17" s="76" t="s">
        <v>191</v>
      </c>
      <c r="E17" s="76" t="s">
        <v>192</v>
      </c>
      <c r="F17" s="76">
        <v>2024</v>
      </c>
      <c r="G17" s="76" t="s">
        <v>4</v>
      </c>
      <c r="H17" s="83">
        <v>1148.3867432450918</v>
      </c>
      <c r="I17" s="83">
        <v>1624.2856926766244</v>
      </c>
      <c r="J17" s="83">
        <v>3181.987262993996</v>
      </c>
      <c r="K17" s="83">
        <v>3185.157903472641</v>
      </c>
      <c r="L17" s="81"/>
      <c r="M17" s="81"/>
      <c r="N17" s="81"/>
      <c r="O17" s="81"/>
      <c r="P17" s="81" t="s">
        <v>199</v>
      </c>
      <c r="Q17" s="81" t="s">
        <v>194</v>
      </c>
      <c r="R17" s="76" t="s">
        <v>85</v>
      </c>
      <c r="S17" s="76"/>
    </row>
    <row r="18" spans="1:19">
      <c r="A18" s="76" t="s">
        <v>250</v>
      </c>
      <c r="B18" s="76">
        <v>2024</v>
      </c>
      <c r="C18" s="2" t="s">
        <v>251</v>
      </c>
      <c r="D18" s="76" t="s">
        <v>191</v>
      </c>
      <c r="E18" s="76" t="s">
        <v>192</v>
      </c>
      <c r="F18" s="76">
        <v>2024</v>
      </c>
      <c r="G18" s="76" t="s">
        <v>253</v>
      </c>
      <c r="H18" s="83">
        <v>1309.1063656583035</v>
      </c>
      <c r="I18" s="83">
        <v>1715.4573254223667</v>
      </c>
      <c r="J18" s="83">
        <v>3378.540114819732</v>
      </c>
      <c r="K18" s="83">
        <v>3278.1662158971817</v>
      </c>
      <c r="L18" s="81"/>
      <c r="M18" s="81"/>
      <c r="N18" s="81"/>
      <c r="O18" s="81"/>
      <c r="P18" s="81" t="s">
        <v>193</v>
      </c>
      <c r="Q18" s="81" t="s">
        <v>194</v>
      </c>
      <c r="R18" s="110">
        <v>1000000</v>
      </c>
      <c r="S18" s="76"/>
    </row>
    <row r="19" spans="1:19">
      <c r="A19" s="76" t="s">
        <v>189</v>
      </c>
      <c r="B19" s="76">
        <v>2016</v>
      </c>
      <c r="C19" s="1" t="s">
        <v>190</v>
      </c>
      <c r="D19" s="76" t="s">
        <v>191</v>
      </c>
      <c r="E19" s="76" t="s">
        <v>192</v>
      </c>
      <c r="F19" s="76">
        <v>2024</v>
      </c>
      <c r="G19" s="76" t="s">
        <v>4</v>
      </c>
      <c r="H19" s="83">
        <v>642.29670473893407</v>
      </c>
      <c r="I19" s="83">
        <v>1361.1283213003062</v>
      </c>
      <c r="J19" s="83">
        <v>3247.2732274428645</v>
      </c>
      <c r="K19" s="83">
        <v>3327.3025878261251</v>
      </c>
      <c r="L19" s="81"/>
      <c r="M19" s="81"/>
      <c r="N19" s="81"/>
      <c r="O19" s="81"/>
      <c r="P19" s="81" t="s">
        <v>193</v>
      </c>
      <c r="Q19" s="81" t="s">
        <v>194</v>
      </c>
      <c r="R19" s="85">
        <v>144778221.668742</v>
      </c>
      <c r="S19" s="76" t="s">
        <v>195</v>
      </c>
    </row>
    <row r="20" spans="1:19">
      <c r="A20" s="76" t="s">
        <v>225</v>
      </c>
      <c r="B20" s="76">
        <v>2023</v>
      </c>
      <c r="C20" s="82" t="s">
        <v>226</v>
      </c>
      <c r="D20" s="76" t="s">
        <v>191</v>
      </c>
      <c r="E20" s="76" t="s">
        <v>192</v>
      </c>
      <c r="F20" s="76">
        <v>2050</v>
      </c>
      <c r="G20" s="76" t="s">
        <v>4</v>
      </c>
      <c r="H20" s="83">
        <v>350.60606175775007</v>
      </c>
      <c r="I20" s="83">
        <v>618.36066377408838</v>
      </c>
      <c r="J20" s="83">
        <v>1828.8737620085763</v>
      </c>
      <c r="K20" s="83">
        <v>1831.5266656141109</v>
      </c>
      <c r="L20" s="81"/>
      <c r="M20" s="81"/>
      <c r="N20" s="81"/>
      <c r="O20" s="81"/>
      <c r="P20" s="81" t="s">
        <v>199</v>
      </c>
      <c r="Q20" s="81" t="s">
        <v>194</v>
      </c>
      <c r="R20" s="76" t="s">
        <v>85</v>
      </c>
      <c r="S20" s="111"/>
    </row>
    <row r="21" spans="1:19">
      <c r="A21" s="76" t="s">
        <v>250</v>
      </c>
      <c r="B21" s="76">
        <v>2024</v>
      </c>
      <c r="C21" s="2" t="s">
        <v>251</v>
      </c>
      <c r="D21" s="76" t="s">
        <v>191</v>
      </c>
      <c r="E21" s="76" t="s">
        <v>192</v>
      </c>
      <c r="F21" s="76">
        <v>2024</v>
      </c>
      <c r="G21" s="76" t="s">
        <v>252</v>
      </c>
      <c r="H21" s="83">
        <v>1510.502621501556</v>
      </c>
      <c r="I21" s="83">
        <v>1866.2390138062178</v>
      </c>
      <c r="J21" s="83">
        <v>3529.3218032035857</v>
      </c>
      <c r="K21" s="83">
        <v>3402.9430442696221</v>
      </c>
      <c r="L21" s="81">
        <v>0.31547268384141497</v>
      </c>
      <c r="M21" s="81">
        <v>0.4859798178100892</v>
      </c>
      <c r="N21" s="81">
        <v>0.17552334618506032</v>
      </c>
      <c r="O21" s="81">
        <v>2.3024152163436697E-2</v>
      </c>
      <c r="P21" s="81" t="s">
        <v>193</v>
      </c>
      <c r="Q21" s="81" t="s">
        <v>194</v>
      </c>
      <c r="R21" s="110">
        <v>1000000</v>
      </c>
      <c r="S21" s="76" t="s">
        <v>255</v>
      </c>
    </row>
    <row r="22" spans="1:19">
      <c r="A22" s="76" t="s">
        <v>250</v>
      </c>
      <c r="B22" s="76">
        <v>2024</v>
      </c>
      <c r="C22" s="2" t="s">
        <v>251</v>
      </c>
      <c r="D22" s="76" t="s">
        <v>191</v>
      </c>
      <c r="E22" s="76" t="s">
        <v>192</v>
      </c>
      <c r="F22" s="76">
        <v>2024</v>
      </c>
      <c r="G22" s="76" t="s">
        <v>254</v>
      </c>
      <c r="H22" s="83">
        <v>1286.1593005235322</v>
      </c>
      <c r="I22" s="83">
        <v>1887.8730300140714</v>
      </c>
      <c r="J22" s="83">
        <v>3550.9558194114375</v>
      </c>
      <c r="K22" s="83">
        <v>3421.2555674542109</v>
      </c>
      <c r="L22" s="81"/>
      <c r="M22" s="81"/>
      <c r="N22" s="81"/>
      <c r="O22" s="81"/>
      <c r="P22" s="81" t="s">
        <v>193</v>
      </c>
      <c r="Q22" s="81" t="s">
        <v>194</v>
      </c>
      <c r="R22" s="110">
        <v>1000000</v>
      </c>
      <c r="S22" s="76"/>
    </row>
    <row r="23" spans="1:19">
      <c r="A23" s="76" t="s">
        <v>256</v>
      </c>
      <c r="B23" s="76">
        <v>2024</v>
      </c>
      <c r="C23" s="1" t="s">
        <v>257</v>
      </c>
      <c r="D23" s="76" t="s">
        <v>191</v>
      </c>
      <c r="E23" s="76" t="s">
        <v>192</v>
      </c>
      <c r="F23" s="76">
        <v>2024</v>
      </c>
      <c r="G23" s="76" t="s">
        <v>4</v>
      </c>
      <c r="H23" s="83">
        <v>1703.2941883028598</v>
      </c>
      <c r="I23" s="83">
        <v>2524.3836659106678</v>
      </c>
      <c r="J23" s="83">
        <v>3538.2306840601977</v>
      </c>
      <c r="K23" s="83">
        <v>3549.0680782241234</v>
      </c>
      <c r="L23" s="81">
        <v>0.38848494760967262</v>
      </c>
      <c r="M23" s="81">
        <v>0.47395792733801273</v>
      </c>
      <c r="N23" s="81">
        <v>9.0271635581225321E-2</v>
      </c>
      <c r="O23" s="81">
        <v>4.7285489471088654E-2</v>
      </c>
      <c r="P23" s="81" t="s">
        <v>199</v>
      </c>
      <c r="Q23" s="81" t="s">
        <v>258</v>
      </c>
      <c r="R23" s="110">
        <v>2110761</v>
      </c>
      <c r="S23" s="76" t="s">
        <v>259</v>
      </c>
    </row>
    <row r="24" spans="1:19">
      <c r="A24" s="76" t="s">
        <v>212</v>
      </c>
      <c r="B24" s="76">
        <v>2024</v>
      </c>
      <c r="C24" s="1" t="s">
        <v>213</v>
      </c>
      <c r="D24" s="76" t="s">
        <v>191</v>
      </c>
      <c r="E24" s="76" t="s">
        <v>192</v>
      </c>
      <c r="F24" s="76">
        <v>2024</v>
      </c>
      <c r="G24" s="76" t="s">
        <v>214</v>
      </c>
      <c r="H24" s="83">
        <v>2727.5773261727436</v>
      </c>
      <c r="I24" s="83">
        <v>3070.4803426079184</v>
      </c>
      <c r="J24" s="83">
        <v>3434.7709441993879</v>
      </c>
      <c r="K24" s="83">
        <v>3512.673233573631</v>
      </c>
      <c r="L24" s="81">
        <v>0.23824943614830321</v>
      </c>
      <c r="M24" s="81">
        <v>0.63634713947778776</v>
      </c>
      <c r="N24" s="81">
        <v>8.5532854839898698E-2</v>
      </c>
      <c r="O24" s="81">
        <v>3.9870569534010435E-2</v>
      </c>
      <c r="P24" s="81" t="s">
        <v>199</v>
      </c>
      <c r="Q24" s="81" t="s">
        <v>194</v>
      </c>
      <c r="R24" s="85">
        <v>39140033.75</v>
      </c>
      <c r="S24" s="76"/>
    </row>
    <row r="25" spans="1:19">
      <c r="A25" s="76" t="s">
        <v>260</v>
      </c>
      <c r="B25" s="76">
        <v>2021</v>
      </c>
      <c r="C25" s="1" t="s">
        <v>261</v>
      </c>
      <c r="D25" s="76" t="s">
        <v>191</v>
      </c>
      <c r="E25" s="76" t="s">
        <v>192</v>
      </c>
      <c r="F25" s="76">
        <v>2050</v>
      </c>
      <c r="G25" s="76" t="s">
        <v>4</v>
      </c>
      <c r="H25" s="83">
        <v>87.667746475327007</v>
      </c>
      <c r="I25" s="83">
        <v>731.40907129282664</v>
      </c>
      <c r="J25" s="83">
        <v>1468.3178305262477</v>
      </c>
      <c r="K25" s="83">
        <v>1530.7553277702486</v>
      </c>
      <c r="L25" s="81"/>
      <c r="M25" s="81"/>
      <c r="N25" s="81"/>
      <c r="O25" s="81"/>
      <c r="P25" s="81" t="s">
        <v>199</v>
      </c>
      <c r="Q25" s="81" t="s">
        <v>258</v>
      </c>
      <c r="R25" s="76" t="s">
        <v>85</v>
      </c>
      <c r="S25" s="76"/>
    </row>
    <row r="26" spans="1:19">
      <c r="A26" s="76" t="s">
        <v>201</v>
      </c>
      <c r="B26" s="76">
        <v>2024</v>
      </c>
      <c r="C26" s="76"/>
      <c r="D26" s="76" t="s">
        <v>191</v>
      </c>
      <c r="E26" s="76" t="s">
        <v>192</v>
      </c>
      <c r="F26" s="76"/>
      <c r="G26" s="76" t="s">
        <v>4</v>
      </c>
      <c r="H26" s="76"/>
      <c r="I26" s="76"/>
      <c r="J26" s="76"/>
      <c r="K26" s="76"/>
      <c r="L26" s="81"/>
      <c r="M26" s="81"/>
      <c r="N26" s="81"/>
      <c r="O26" s="81"/>
      <c r="P26" s="81" t="s">
        <v>199</v>
      </c>
      <c r="Q26" s="81" t="s">
        <v>202</v>
      </c>
      <c r="R26" s="76" t="s">
        <v>85</v>
      </c>
      <c r="S26" s="76"/>
    </row>
    <row r="27" spans="1:19">
      <c r="A27" s="76" t="s">
        <v>218</v>
      </c>
      <c r="B27" s="76">
        <v>2021</v>
      </c>
      <c r="C27" s="76" t="s">
        <v>219</v>
      </c>
      <c r="D27" s="76" t="s">
        <v>191</v>
      </c>
      <c r="E27" s="76" t="s">
        <v>192</v>
      </c>
      <c r="F27" s="76">
        <v>2024</v>
      </c>
      <c r="G27" s="76" t="s">
        <v>223</v>
      </c>
      <c r="H27" s="83">
        <v>2708.6121435384971</v>
      </c>
      <c r="I27" s="83">
        <v>2835.1774753348636</v>
      </c>
      <c r="J27" s="83">
        <v>4766.8318176866733</v>
      </c>
      <c r="K27" s="83">
        <v>4744.3762237980254</v>
      </c>
      <c r="L27" s="76"/>
      <c r="M27" s="76"/>
      <c r="N27" s="76"/>
      <c r="O27" s="76"/>
      <c r="P27" s="81" t="s">
        <v>199</v>
      </c>
      <c r="Q27" s="81" t="s">
        <v>194</v>
      </c>
      <c r="R27" s="85">
        <v>48000000</v>
      </c>
      <c r="S27" s="76"/>
    </row>
    <row r="28" spans="1:19">
      <c r="A28" s="76" t="s">
        <v>242</v>
      </c>
      <c r="B28" s="76">
        <v>2023</v>
      </c>
      <c r="C28" s="1" t="s">
        <v>243</v>
      </c>
      <c r="D28" s="76" t="s">
        <v>191</v>
      </c>
      <c r="E28" s="76" t="s">
        <v>192</v>
      </c>
      <c r="F28" s="76">
        <v>2024</v>
      </c>
      <c r="G28" s="76" t="s">
        <v>4</v>
      </c>
      <c r="H28" s="83">
        <v>1755.1259920054924</v>
      </c>
      <c r="I28" s="83">
        <v>2989.7459601048781</v>
      </c>
      <c r="J28" s="83">
        <v>4988.7094427852508</v>
      </c>
      <c r="K28" s="83">
        <v>5044.4268131260296</v>
      </c>
      <c r="L28" s="81">
        <v>0.42361375111785754</v>
      </c>
      <c r="M28" s="81">
        <v>0.39939145484076832</v>
      </c>
      <c r="N28" s="81">
        <v>1.8581590510448678E-2</v>
      </c>
      <c r="O28" s="81">
        <v>0.15841320353092556</v>
      </c>
      <c r="P28" s="81" t="s">
        <v>199</v>
      </c>
      <c r="Q28" s="81" t="s">
        <v>235</v>
      </c>
      <c r="R28" s="110">
        <v>25105853.051058531</v>
      </c>
      <c r="S28" s="76" t="s">
        <v>244</v>
      </c>
    </row>
    <row r="29" spans="1:19">
      <c r="A29" s="76" t="s">
        <v>218</v>
      </c>
      <c r="B29" s="76">
        <v>2021</v>
      </c>
      <c r="C29" s="76" t="s">
        <v>219</v>
      </c>
      <c r="D29" s="76" t="s">
        <v>191</v>
      </c>
      <c r="E29" s="76" t="s">
        <v>192</v>
      </c>
      <c r="F29" s="76">
        <v>2024</v>
      </c>
      <c r="G29" s="76" t="s">
        <v>224</v>
      </c>
      <c r="H29" s="83">
        <v>2761.7003080324448</v>
      </c>
      <c r="I29" s="83">
        <v>2250.1298333035388</v>
      </c>
      <c r="J29" s="83">
        <v>4904.6627040778621</v>
      </c>
      <c r="K29" s="83">
        <v>4875.9401897626476</v>
      </c>
      <c r="L29" s="76"/>
      <c r="M29" s="76"/>
      <c r="N29" s="76"/>
      <c r="O29" s="76"/>
      <c r="P29" s="81" t="s">
        <v>199</v>
      </c>
      <c r="Q29" s="81" t="s">
        <v>194</v>
      </c>
      <c r="R29" s="85">
        <v>35000000</v>
      </c>
      <c r="S29" s="76"/>
    </row>
    <row r="30" spans="1:19">
      <c r="A30" s="76" t="s">
        <v>212</v>
      </c>
      <c r="B30" s="76">
        <v>2024</v>
      </c>
      <c r="C30" s="1" t="s">
        <v>213</v>
      </c>
      <c r="D30" s="76" t="s">
        <v>191</v>
      </c>
      <c r="E30" s="76" t="s">
        <v>192</v>
      </c>
      <c r="F30" s="76">
        <v>2050</v>
      </c>
      <c r="G30" s="76" t="s">
        <v>216</v>
      </c>
      <c r="H30" s="83">
        <v>1053.0156898248665</v>
      </c>
      <c r="I30" s="83">
        <v>1395.918706260042</v>
      </c>
      <c r="J30" s="83">
        <v>2023.7324285188861</v>
      </c>
      <c r="K30" s="83">
        <v>2101.6347178931305</v>
      </c>
      <c r="L30" s="81">
        <v>0.39372297274034335</v>
      </c>
      <c r="M30" s="81">
        <v>0.39903956288395781</v>
      </c>
      <c r="N30" s="81">
        <v>0.1413487075519067</v>
      </c>
      <c r="O30" s="81">
        <v>6.588875682379218E-2</v>
      </c>
      <c r="P30" s="81" t="s">
        <v>199</v>
      </c>
      <c r="Q30" s="81" t="s">
        <v>194</v>
      </c>
      <c r="R30" s="85">
        <v>39140033.75</v>
      </c>
      <c r="S30" s="76" t="s">
        <v>217</v>
      </c>
    </row>
    <row r="31" spans="1:19">
      <c r="A31" s="76" t="s">
        <v>239</v>
      </c>
      <c r="B31" s="76">
        <v>2022</v>
      </c>
      <c r="C31" s="76" t="s">
        <v>240</v>
      </c>
      <c r="D31" s="76" t="s">
        <v>191</v>
      </c>
      <c r="E31" s="76" t="s">
        <v>192</v>
      </c>
      <c r="F31" s="76">
        <v>2024</v>
      </c>
      <c r="G31" s="76" t="s">
        <v>4</v>
      </c>
      <c r="H31" s="83">
        <v>668.37766094951314</v>
      </c>
      <c r="I31" s="83">
        <v>2109.7990608244536</v>
      </c>
      <c r="J31" s="83">
        <v>5254.8654986923721</v>
      </c>
      <c r="K31" s="83">
        <v>5293.8903743106066</v>
      </c>
      <c r="L31" s="81">
        <v>0.19812531396494115</v>
      </c>
      <c r="M31" s="81">
        <v>0.43229362037863711</v>
      </c>
      <c r="N31" s="81">
        <v>0.34399772153768421</v>
      </c>
      <c r="O31" s="81">
        <v>2.5583344118737413E-2</v>
      </c>
      <c r="P31" s="81" t="s">
        <v>199</v>
      </c>
      <c r="Q31" s="81" t="s">
        <v>194</v>
      </c>
      <c r="R31" s="110">
        <v>208032000</v>
      </c>
      <c r="S31" s="76" t="s">
        <v>241</v>
      </c>
    </row>
    <row r="32" spans="1:19">
      <c r="A32" s="76" t="s">
        <v>245</v>
      </c>
      <c r="B32" s="76">
        <v>2024</v>
      </c>
      <c r="C32" s="1" t="s">
        <v>246</v>
      </c>
      <c r="D32" s="76" t="s">
        <v>191</v>
      </c>
      <c r="E32" s="76" t="s">
        <v>198</v>
      </c>
      <c r="F32" s="76">
        <v>2024</v>
      </c>
      <c r="G32" s="76" t="s">
        <v>247</v>
      </c>
      <c r="H32" s="83">
        <v>6201.6746704843536</v>
      </c>
      <c r="I32" s="83">
        <v>5012.288777696931</v>
      </c>
      <c r="J32" s="83">
        <v>5371.6467767188378</v>
      </c>
      <c r="K32" s="83">
        <v>5455.6339273773701</v>
      </c>
      <c r="L32" s="81">
        <v>0.31370248513602073</v>
      </c>
      <c r="M32" s="81">
        <v>0.59193063609452956</v>
      </c>
      <c r="N32" s="81">
        <v>8.838067046664802E-2</v>
      </c>
      <c r="O32" s="81">
        <v>5.9862083028013663E-3</v>
      </c>
      <c r="P32" s="81" t="s">
        <v>199</v>
      </c>
      <c r="Q32" s="81" t="s">
        <v>194</v>
      </c>
      <c r="R32" s="85">
        <v>1250000000</v>
      </c>
      <c r="S32" s="76" t="s">
        <v>248</v>
      </c>
    </row>
    <row r="33" spans="1:19">
      <c r="A33" s="76" t="s">
        <v>233</v>
      </c>
      <c r="B33" s="76">
        <v>2024</v>
      </c>
      <c r="C33" s="76"/>
      <c r="D33" s="76" t="s">
        <v>191</v>
      </c>
      <c r="E33" s="76" t="s">
        <v>192</v>
      </c>
      <c r="F33" s="76">
        <v>2024</v>
      </c>
      <c r="G33" s="76" t="s">
        <v>234</v>
      </c>
      <c r="H33" s="83">
        <v>2681.2487830302389</v>
      </c>
      <c r="I33" s="83">
        <v>3270.9115874109648</v>
      </c>
      <c r="J33" s="83">
        <v>5946.4469996506614</v>
      </c>
      <c r="K33" s="83">
        <v>5921.1059375099676</v>
      </c>
      <c r="L33" s="81"/>
      <c r="M33" s="81"/>
      <c r="N33" s="81"/>
      <c r="O33" s="81"/>
      <c r="P33" s="81" t="s">
        <v>199</v>
      </c>
      <c r="Q33" s="81" t="s">
        <v>235</v>
      </c>
      <c r="R33" s="110">
        <v>157410000</v>
      </c>
      <c r="S33" s="76"/>
    </row>
    <row r="34" spans="1:19">
      <c r="A34" s="76" t="s">
        <v>233</v>
      </c>
      <c r="B34" s="76">
        <v>2024</v>
      </c>
      <c r="C34" s="76"/>
      <c r="D34" s="76" t="s">
        <v>191</v>
      </c>
      <c r="E34" s="76" t="s">
        <v>192</v>
      </c>
      <c r="F34" s="76">
        <v>2024</v>
      </c>
      <c r="G34" s="76" t="s">
        <v>236</v>
      </c>
      <c r="H34" s="83">
        <v>3266.1214388486155</v>
      </c>
      <c r="I34" s="83">
        <v>3419.2630640724146</v>
      </c>
      <c r="J34" s="83">
        <v>6051.6389782990682</v>
      </c>
      <c r="K34" s="83">
        <v>6029.9716524669839</v>
      </c>
      <c r="L34" s="81"/>
      <c r="M34" s="81"/>
      <c r="N34" s="81"/>
      <c r="O34" s="81"/>
      <c r="P34" s="81" t="s">
        <v>199</v>
      </c>
      <c r="Q34" s="81" t="s">
        <v>235</v>
      </c>
      <c r="R34" s="110">
        <v>157410000</v>
      </c>
      <c r="S34" s="76" t="s">
        <v>237</v>
      </c>
    </row>
    <row r="35" spans="1:19">
      <c r="A35" s="76" t="s">
        <v>233</v>
      </c>
      <c r="B35" s="76">
        <v>2024</v>
      </c>
      <c r="C35" s="76"/>
      <c r="D35" s="76" t="s">
        <v>191</v>
      </c>
      <c r="E35" s="76" t="s">
        <v>192</v>
      </c>
      <c r="F35" s="76">
        <v>2050</v>
      </c>
      <c r="G35" s="76" t="s">
        <v>236</v>
      </c>
      <c r="H35" s="83">
        <v>1875.4224770053406</v>
      </c>
      <c r="I35" s="83">
        <v>2188.7261979988298</v>
      </c>
      <c r="J35" s="83">
        <v>5135.1895147335226</v>
      </c>
      <c r="K35" s="83">
        <v>5106.9540443434589</v>
      </c>
      <c r="L35" s="81"/>
      <c r="M35" s="81"/>
      <c r="N35" s="81"/>
      <c r="O35" s="81"/>
      <c r="P35" s="81" t="s">
        <v>199</v>
      </c>
      <c r="Q35" s="81" t="s">
        <v>235</v>
      </c>
      <c r="R35" s="110">
        <v>157410000</v>
      </c>
      <c r="S35" s="76"/>
    </row>
    <row r="36" spans="1:19">
      <c r="A36" s="76" t="s">
        <v>233</v>
      </c>
      <c r="B36" s="76">
        <v>2024</v>
      </c>
      <c r="C36" s="76"/>
      <c r="D36" s="76" t="s">
        <v>191</v>
      </c>
      <c r="E36" s="76" t="s">
        <v>192</v>
      </c>
      <c r="F36" s="76">
        <v>2050</v>
      </c>
      <c r="G36" s="76" t="s">
        <v>238</v>
      </c>
      <c r="H36" s="83">
        <v>1594.7287612272498</v>
      </c>
      <c r="I36" s="83">
        <v>2134.3906729863675</v>
      </c>
      <c r="J36" s="83">
        <v>4920.5978654899845</v>
      </c>
      <c r="K36" s="83">
        <v>4892.3623950999199</v>
      </c>
      <c r="L36" s="81">
        <v>0.4126855828869872</v>
      </c>
      <c r="M36" s="81">
        <v>0.44460224452546349</v>
      </c>
      <c r="N36" s="81">
        <v>4.6661738760036035E-2</v>
      </c>
      <c r="O36" s="81">
        <v>9.6050433827513299E-2</v>
      </c>
      <c r="P36" s="81" t="s">
        <v>199</v>
      </c>
      <c r="Q36" s="81" t="s">
        <v>235</v>
      </c>
      <c r="R36" s="110">
        <v>157410000</v>
      </c>
      <c r="S36" s="76"/>
    </row>
    <row r="37" spans="1:19">
      <c r="A37" s="76" t="s">
        <v>233</v>
      </c>
      <c r="B37" s="76">
        <v>2024</v>
      </c>
      <c r="C37" s="76"/>
      <c r="D37" s="76" t="s">
        <v>191</v>
      </c>
      <c r="E37" s="76" t="s">
        <v>192</v>
      </c>
      <c r="F37" s="76">
        <v>2050</v>
      </c>
      <c r="G37" s="76" t="s">
        <v>234</v>
      </c>
      <c r="H37" s="83">
        <v>1383.9118225223065</v>
      </c>
      <c r="I37" s="83">
        <v>1838.5183242759128</v>
      </c>
      <c r="J37" s="83">
        <v>4494.2637703981491</v>
      </c>
      <c r="K37" s="83">
        <v>4467.678832353603</v>
      </c>
      <c r="L37" s="81"/>
      <c r="M37" s="81"/>
      <c r="N37" s="81"/>
      <c r="O37" s="81"/>
      <c r="P37" s="81" t="s">
        <v>199</v>
      </c>
      <c r="Q37" s="81" t="s">
        <v>235</v>
      </c>
      <c r="R37" s="110">
        <v>157410000</v>
      </c>
      <c r="S37" s="76"/>
    </row>
    <row r="38" spans="1:19">
      <c r="A38" s="76" t="s">
        <v>233</v>
      </c>
      <c r="B38" s="76">
        <v>2024</v>
      </c>
      <c r="C38" s="76"/>
      <c r="D38" s="76" t="s">
        <v>191</v>
      </c>
      <c r="E38" s="76" t="s">
        <v>192</v>
      </c>
      <c r="F38" s="76">
        <v>2024</v>
      </c>
      <c r="G38" s="76" t="s">
        <v>238</v>
      </c>
      <c r="H38" s="83">
        <v>2797.4452258049691</v>
      </c>
      <c r="I38" s="83">
        <v>3588.8347790527855</v>
      </c>
      <c r="J38" s="83">
        <v>6278.9238210659441</v>
      </c>
      <c r="K38" s="83">
        <v>6257.256495233858</v>
      </c>
      <c r="L38" s="81">
        <v>0.29462244121910458</v>
      </c>
      <c r="M38" s="81">
        <v>0.60993510998445599</v>
      </c>
      <c r="N38" s="81">
        <v>3.1434723591675283E-2</v>
      </c>
      <c r="O38" s="81">
        <v>6.4007725204764165E-2</v>
      </c>
      <c r="P38" s="81" t="s">
        <v>199</v>
      </c>
      <c r="Q38" s="81" t="s">
        <v>235</v>
      </c>
      <c r="R38" s="110">
        <v>157410000</v>
      </c>
      <c r="S38" s="76"/>
    </row>
    <row r="39" spans="1:19">
      <c r="A39" s="76" t="s">
        <v>205</v>
      </c>
      <c r="B39" s="76">
        <v>2020</v>
      </c>
      <c r="C39" s="76" t="s">
        <v>206</v>
      </c>
      <c r="D39" s="76" t="s">
        <v>207</v>
      </c>
      <c r="E39" s="76" t="s">
        <v>192</v>
      </c>
      <c r="F39" s="76">
        <v>2024</v>
      </c>
      <c r="G39" s="76" t="s">
        <v>4</v>
      </c>
      <c r="H39" s="83">
        <v>1312.9984811577319</v>
      </c>
      <c r="I39" s="83">
        <v>1474.6151756376551</v>
      </c>
      <c r="J39" s="83">
        <v>5994.3675040393464</v>
      </c>
      <c r="K39" s="83">
        <v>6012.4473159728113</v>
      </c>
      <c r="L39" s="81"/>
      <c r="M39" s="81"/>
      <c r="N39" s="81"/>
      <c r="O39" s="81"/>
      <c r="P39" s="81" t="s">
        <v>199</v>
      </c>
      <c r="Q39" s="81" t="s">
        <v>208</v>
      </c>
      <c r="R39" s="110">
        <v>45872966</v>
      </c>
      <c r="S39" s="76" t="s">
        <v>209</v>
      </c>
    </row>
    <row r="40" spans="1:19">
      <c r="A40" s="76" t="s">
        <v>205</v>
      </c>
      <c r="B40" s="76">
        <v>2015</v>
      </c>
      <c r="C40" s="76" t="s">
        <v>210</v>
      </c>
      <c r="D40" s="76" t="s">
        <v>207</v>
      </c>
      <c r="E40" s="76" t="s">
        <v>192</v>
      </c>
      <c r="F40" s="76">
        <v>2024</v>
      </c>
      <c r="G40" s="76" t="s">
        <v>4</v>
      </c>
      <c r="H40" s="83">
        <v>563.6763071198169</v>
      </c>
      <c r="I40" s="83">
        <v>1075.5862004109119</v>
      </c>
      <c r="J40" s="83">
        <v>6942.1291192874351</v>
      </c>
      <c r="K40" s="83">
        <v>7436.3189723988889</v>
      </c>
      <c r="L40" s="81"/>
      <c r="M40" s="81"/>
      <c r="N40" s="81"/>
      <c r="O40" s="81"/>
      <c r="P40" s="81" t="s">
        <v>199</v>
      </c>
      <c r="Q40" s="81" t="s">
        <v>208</v>
      </c>
      <c r="R40" s="110">
        <v>58035000</v>
      </c>
      <c r="S40" s="76"/>
    </row>
    <row r="41" spans="1:19">
      <c r="A41" s="76" t="s">
        <v>205</v>
      </c>
      <c r="B41" s="76">
        <v>2015</v>
      </c>
      <c r="C41" s="76" t="s">
        <v>210</v>
      </c>
      <c r="D41" s="76" t="s">
        <v>207</v>
      </c>
      <c r="E41" s="76" t="s">
        <v>192</v>
      </c>
      <c r="F41" s="76">
        <v>2024</v>
      </c>
      <c r="G41" s="76" t="s">
        <v>4</v>
      </c>
      <c r="H41" s="83">
        <v>798.16358341599573</v>
      </c>
      <c r="I41" s="83">
        <v>1310.0734767070901</v>
      </c>
      <c r="J41" s="83">
        <v>7176.6163955836128</v>
      </c>
      <c r="K41" s="83">
        <v>7686.7299134941259</v>
      </c>
      <c r="L41" s="81">
        <v>0.10135243563240288</v>
      </c>
      <c r="M41" s="81">
        <v>0.66403510466758631</v>
      </c>
      <c r="N41" s="81">
        <v>8.9426901644492615E-2</v>
      </c>
      <c r="O41" s="81">
        <v>0.14518555805551825</v>
      </c>
      <c r="P41" s="81" t="s">
        <v>199</v>
      </c>
      <c r="Q41" s="81" t="s">
        <v>208</v>
      </c>
      <c r="R41" s="110">
        <v>58035000</v>
      </c>
      <c r="S41" s="76" t="s">
        <v>211</v>
      </c>
    </row>
    <row r="42" spans="1:19">
      <c r="A42" s="76" t="s">
        <v>245</v>
      </c>
      <c r="B42" s="76">
        <v>2024</v>
      </c>
      <c r="C42" s="1" t="s">
        <v>246</v>
      </c>
      <c r="D42" s="76" t="s">
        <v>191</v>
      </c>
      <c r="E42" s="76" t="s">
        <v>198</v>
      </c>
      <c r="F42" s="76">
        <v>2024</v>
      </c>
      <c r="G42" s="76" t="s">
        <v>249</v>
      </c>
      <c r="H42" s="83">
        <v>5186.3474368779916</v>
      </c>
      <c r="I42" s="83">
        <v>4314.0251746472577</v>
      </c>
      <c r="J42" s="83">
        <v>7208.1931440761591</v>
      </c>
      <c r="K42" s="83">
        <v>7270.8012178875197</v>
      </c>
      <c r="L42" s="81">
        <v>0.18500751772552898</v>
      </c>
      <c r="M42" s="81">
        <v>0.58099898618530132</v>
      </c>
      <c r="N42" s="81">
        <v>0.22214174554704805</v>
      </c>
      <c r="O42" s="81">
        <v>1.1851750542121757E-2</v>
      </c>
      <c r="P42" s="81" t="s">
        <v>199</v>
      </c>
      <c r="Q42" s="81" t="s">
        <v>194</v>
      </c>
      <c r="R42" s="85">
        <v>1250000000</v>
      </c>
      <c r="S42" s="76"/>
    </row>
    <row r="43" spans="1:19">
      <c r="A43" s="76" t="s">
        <v>218</v>
      </c>
      <c r="B43" s="76">
        <v>2021</v>
      </c>
      <c r="C43" s="76" t="s">
        <v>219</v>
      </c>
      <c r="D43" s="76" t="s">
        <v>191</v>
      </c>
      <c r="E43" s="76" t="s">
        <v>192</v>
      </c>
      <c r="F43" s="76">
        <v>2050</v>
      </c>
      <c r="G43" s="76" t="s">
        <v>221</v>
      </c>
      <c r="H43" s="83">
        <v>597.79761883839126</v>
      </c>
      <c r="I43" s="83">
        <v>669.25852772520614</v>
      </c>
      <c r="J43" s="83">
        <v>1420.0772076030787</v>
      </c>
      <c r="K43" s="83">
        <v>1410.0689298224515</v>
      </c>
      <c r="L43" s="81">
        <v>0.32646648594317018</v>
      </c>
      <c r="M43" s="81">
        <v>0.29689493242790993</v>
      </c>
      <c r="N43" s="81">
        <v>0.10391206258018583</v>
      </c>
      <c r="O43" s="81">
        <v>0.27272651904873413</v>
      </c>
      <c r="P43" s="81" t="s">
        <v>199</v>
      </c>
      <c r="Q43" s="81" t="s">
        <v>194</v>
      </c>
      <c r="R43" s="85">
        <v>87000000</v>
      </c>
      <c r="S43" s="76"/>
    </row>
    <row r="44" spans="1:19">
      <c r="A44" s="76" t="s">
        <v>218</v>
      </c>
      <c r="B44" s="76">
        <v>2021</v>
      </c>
      <c r="C44" s="76" t="s">
        <v>219</v>
      </c>
      <c r="D44" s="76" t="s">
        <v>191</v>
      </c>
      <c r="E44" s="76" t="s">
        <v>192</v>
      </c>
      <c r="F44" s="76">
        <v>2050</v>
      </c>
      <c r="G44" s="76" t="s">
        <v>224</v>
      </c>
      <c r="H44" s="83">
        <v>1954.9192922932341</v>
      </c>
      <c r="I44" s="83">
        <v>2077.8258595811394</v>
      </c>
      <c r="J44" s="83">
        <v>3959.4290726795662</v>
      </c>
      <c r="K44" s="83">
        <v>3941.4534391542884</v>
      </c>
      <c r="L44" s="76"/>
      <c r="M44" s="76"/>
      <c r="N44" s="76"/>
      <c r="O44" s="76"/>
      <c r="P44" s="81" t="s">
        <v>199</v>
      </c>
      <c r="Q44" s="81" t="s">
        <v>194</v>
      </c>
      <c r="R44" s="85">
        <v>35000000</v>
      </c>
      <c r="S44" s="76"/>
    </row>
    <row r="45" spans="1:19">
      <c r="A45" s="76" t="s">
        <v>218</v>
      </c>
      <c r="B45" s="76">
        <v>2021</v>
      </c>
      <c r="C45" s="76" t="s">
        <v>219</v>
      </c>
      <c r="D45" s="76" t="s">
        <v>191</v>
      </c>
      <c r="E45" s="76" t="s">
        <v>192</v>
      </c>
      <c r="F45" s="76">
        <v>2050</v>
      </c>
      <c r="G45" s="76" t="s">
        <v>223</v>
      </c>
      <c r="H45" s="83">
        <v>1692.7912975423517</v>
      </c>
      <c r="I45" s="83">
        <v>1831.5682795028217</v>
      </c>
      <c r="J45" s="83">
        <v>3202.2511179504836</v>
      </c>
      <c r="K45" s="83">
        <v>3188.6270518170718</v>
      </c>
      <c r="L45" s="76"/>
      <c r="M45" s="76"/>
      <c r="N45" s="76"/>
      <c r="O45" s="76"/>
      <c r="P45" s="81" t="s">
        <v>199</v>
      </c>
      <c r="Q45" s="81" t="s">
        <v>194</v>
      </c>
      <c r="R45" s="85">
        <v>48000000</v>
      </c>
      <c r="S45" s="76"/>
    </row>
    <row r="46" spans="1:19">
      <c r="A46" s="76" t="s">
        <v>218</v>
      </c>
      <c r="B46" s="76">
        <v>2021</v>
      </c>
      <c r="C46" s="76" t="s">
        <v>219</v>
      </c>
      <c r="D46" s="76" t="s">
        <v>191</v>
      </c>
      <c r="E46" s="76" t="s">
        <v>192</v>
      </c>
      <c r="F46" s="76">
        <v>2050</v>
      </c>
      <c r="G46" s="76" t="s">
        <v>220</v>
      </c>
      <c r="H46" s="83">
        <v>310.79679657966193</v>
      </c>
      <c r="I46" s="83">
        <v>377.23324396318196</v>
      </c>
      <c r="J46" s="83">
        <v>1347.9005853811625</v>
      </c>
      <c r="K46" s="83">
        <v>1337.910192953676</v>
      </c>
      <c r="L46" s="76"/>
      <c r="M46" s="76"/>
      <c r="N46" s="76"/>
      <c r="O46" s="76"/>
      <c r="P46" s="81" t="s">
        <v>199</v>
      </c>
      <c r="Q46" s="81" t="s">
        <v>194</v>
      </c>
      <c r="R46" s="85">
        <v>69000000</v>
      </c>
      <c r="S46" s="76"/>
    </row>
    <row r="47" spans="1:19">
      <c r="A47" s="76" t="s">
        <v>218</v>
      </c>
      <c r="B47" s="76">
        <v>2021</v>
      </c>
      <c r="C47" s="76" t="s">
        <v>219</v>
      </c>
      <c r="D47" s="76" t="s">
        <v>191</v>
      </c>
      <c r="E47" s="76" t="s">
        <v>192</v>
      </c>
      <c r="F47" s="76">
        <v>2050</v>
      </c>
      <c r="G47" s="76" t="s">
        <v>222</v>
      </c>
      <c r="H47" s="83">
        <v>628.73238316672519</v>
      </c>
      <c r="I47" s="83">
        <v>713.93629694306628</v>
      </c>
      <c r="J47" s="83">
        <v>1707.1321982632585</v>
      </c>
      <c r="K47" s="83">
        <v>1696.7556597463704</v>
      </c>
      <c r="L47" s="76"/>
      <c r="M47" s="76"/>
      <c r="N47" s="76"/>
      <c r="O47" s="76"/>
      <c r="P47" s="81" t="s">
        <v>199</v>
      </c>
      <c r="Q47" s="81" t="s">
        <v>194</v>
      </c>
      <c r="R47" s="85">
        <v>68000000</v>
      </c>
      <c r="S47" s="76"/>
    </row>
    <row r="48" spans="1:19">
      <c r="A48" s="76"/>
      <c r="B48" s="76"/>
      <c r="C48" s="76"/>
      <c r="D48" s="76"/>
      <c r="E48" s="76"/>
      <c r="F48" s="76"/>
      <c r="G48" s="76"/>
      <c r="H48" s="83"/>
      <c r="I48" s="83"/>
      <c r="J48" s="83"/>
      <c r="K48" s="83"/>
      <c r="L48" s="76"/>
      <c r="M48" s="76"/>
      <c r="N48" s="76"/>
      <c r="O48" s="76"/>
      <c r="P48" s="76"/>
      <c r="Q48" s="76"/>
      <c r="R48" s="76"/>
      <c r="S48" s="76"/>
    </row>
    <row r="49" spans="1:1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83"/>
      <c r="L49" s="76"/>
      <c r="M49" s="76"/>
      <c r="N49" s="76"/>
      <c r="O49" s="76"/>
      <c r="P49" s="76"/>
      <c r="Q49" s="76"/>
      <c r="R49" s="76"/>
      <c r="S49" s="76"/>
    </row>
    <row r="50" spans="1:19">
      <c r="A50" s="76"/>
      <c r="B50" s="76"/>
      <c r="C50" s="76"/>
      <c r="D50" s="76"/>
      <c r="E50" s="76"/>
      <c r="F50" s="76"/>
      <c r="G50" s="76"/>
      <c r="H50" s="83"/>
      <c r="I50" s="83"/>
      <c r="J50" s="76"/>
      <c r="K50" s="76"/>
      <c r="L50" s="76"/>
      <c r="M50" s="76"/>
      <c r="N50" s="76"/>
      <c r="O50" s="76"/>
      <c r="P50" s="76"/>
      <c r="Q50" s="76"/>
      <c r="R50" s="76"/>
      <c r="S50" s="76"/>
    </row>
  </sheetData>
  <autoFilter ref="A1:S50" xr:uid="{FE362AFC-A479-4947-AC17-22830BE4F6C8}"/>
  <hyperlinks>
    <hyperlink ref="C3" r:id="rId1" xr:uid="{89764846-FBBA-594C-BDD4-680407DE074D}"/>
    <hyperlink ref="C4" r:id="rId2" xr:uid="{835DFB43-2CD1-E248-A8AB-1889C01EE87E}"/>
    <hyperlink ref="C7" r:id="rId3" tooltip="Persistent link using digital object identifier" xr:uid="{2819607F-0B38-B74A-8347-08DB92DFE26A}"/>
    <hyperlink ref="C8" r:id="rId4" display="https://onlinelibrary.wiley.com/doi/full/10.1002/cite.201700129?saml_referrer" xr:uid="{2201D7CE-E300-714E-A691-956386AD8F20}"/>
    <hyperlink ref="C9" r:id="rId5" display="https://onlinelibrary.wiley.com/doi/full/10.1002/cite.201700129?saml_referrer" xr:uid="{5FCE2FDB-C6BF-7E40-8F79-AEF545C6EE8E}"/>
    <hyperlink ref="C10" r:id="rId6" display="https://onlinelibrary.wiley.com/doi/full/10.1002/cite.201700129?saml_referrer" xr:uid="{D579CED6-B7D7-0140-8E7A-3E19B8D92E51}"/>
    <hyperlink ref="C12" r:id="rId7" xr:uid="{909F40D0-06B3-5645-ABD0-FF1D49B752D3}"/>
    <hyperlink ref="C13" r:id="rId8" xr:uid="{B94FB909-E780-9A4D-A859-03ECF813F360}"/>
    <hyperlink ref="C18" r:id="rId9" display="https://onlinelibrary.wiley.com/doi/full/10.1002/cite.201700129?saml_referrer" xr:uid="{94E0359C-0CC2-8445-9167-EDAFD99B15FC}"/>
    <hyperlink ref="C19" r:id="rId10" xr:uid="{3DE92A18-B135-F141-A9E1-3471F06AE1A9}"/>
    <hyperlink ref="C21" r:id="rId11" display="https://onlinelibrary.wiley.com/doi/full/10.1002/cite.201700129?saml_referrer" xr:uid="{CA81E477-79CC-4D40-8F71-3052FEED0982}"/>
    <hyperlink ref="C22" r:id="rId12" display="https://onlinelibrary.wiley.com/doi/full/10.1002/cite.201700129?saml_referrer" xr:uid="{D9888DAE-B1C8-094E-9A49-956600F360DF}"/>
    <hyperlink ref="C23" r:id="rId13" xr:uid="{8EDB4065-35EC-BC4E-87A1-9D3CF9909965}"/>
    <hyperlink ref="C24" r:id="rId14" tooltip="Persistent link using digital object identifier" xr:uid="{BCDB016D-85AF-B549-B464-A94F71D4E324}"/>
    <hyperlink ref="C25" r:id="rId15" xr:uid="{6C5BD784-891D-8943-9461-E63D62E13586}"/>
    <hyperlink ref="C28" r:id="rId16" location="s0005" display="https://www.sciencedirect.com/science/article/pii/S0196890423007732?via%3Dihub - s0005" xr:uid="{D2A18343-70BD-3443-993C-D37C5949922A}"/>
    <hyperlink ref="C30" r:id="rId17" tooltip="Persistent link using digital object identifier" xr:uid="{20E46CCC-E46F-EF47-ADF6-09EC1B783473}"/>
    <hyperlink ref="C32" r:id="rId18" tooltip="DOI URL" xr:uid="{29305B1B-EFA7-8242-B972-ADF4A7403AF2}"/>
    <hyperlink ref="C42" r:id="rId19" tooltip="DOI URL" xr:uid="{221BBDD3-36F4-5D4A-B207-A28BCB0702F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20A3-E459-2846-B7BA-29FFD1AF0E4E}">
  <dimension ref="A1:S50"/>
  <sheetViews>
    <sheetView workbookViewId="0">
      <selection activeCell="G14" sqref="G14"/>
    </sheetView>
  </sheetViews>
  <sheetFormatPr defaultColWidth="11.25" defaultRowHeight="15.6"/>
  <sheetData>
    <row r="1" spans="1:19">
      <c r="A1" s="76" t="s">
        <v>4</v>
      </c>
      <c r="B1" s="76" t="s">
        <v>172</v>
      </c>
      <c r="C1" s="76" t="s">
        <v>173</v>
      </c>
      <c r="D1" s="76" t="s">
        <v>174</v>
      </c>
      <c r="E1" s="76" t="s">
        <v>175</v>
      </c>
      <c r="F1" s="76" t="s">
        <v>176</v>
      </c>
      <c r="G1" s="76" t="s">
        <v>177</v>
      </c>
      <c r="H1" s="76" t="s">
        <v>178</v>
      </c>
      <c r="I1" s="76" t="s">
        <v>179</v>
      </c>
      <c r="J1" s="76" t="s">
        <v>180</v>
      </c>
      <c r="K1" s="76" t="s">
        <v>181</v>
      </c>
      <c r="L1" s="76" t="s">
        <v>182</v>
      </c>
      <c r="M1" s="76" t="s">
        <v>183</v>
      </c>
      <c r="N1" s="76" t="s">
        <v>184</v>
      </c>
      <c r="O1" s="81" t="s">
        <v>185</v>
      </c>
      <c r="P1" s="81" t="s">
        <v>186</v>
      </c>
      <c r="Q1" s="81" t="s">
        <v>187</v>
      </c>
      <c r="R1" s="81" t="s">
        <v>188</v>
      </c>
      <c r="S1" s="76"/>
    </row>
    <row r="2" spans="1:19">
      <c r="A2" s="76" t="s">
        <v>229</v>
      </c>
      <c r="B2" s="76">
        <v>2023</v>
      </c>
      <c r="C2" s="76" t="s">
        <v>230</v>
      </c>
      <c r="D2" s="76" t="s">
        <v>207</v>
      </c>
      <c r="E2" s="76" t="s">
        <v>192</v>
      </c>
      <c r="F2" s="76">
        <v>2024</v>
      </c>
      <c r="G2" s="76" t="s">
        <v>4</v>
      </c>
      <c r="H2" s="83">
        <v>838.68815198564619</v>
      </c>
      <c r="I2" s="83">
        <v>841.08820436118356</v>
      </c>
      <c r="J2" s="83">
        <v>1307.4881627869886</v>
      </c>
      <c r="K2" s="83">
        <v>1372.4686314225885</v>
      </c>
      <c r="L2" s="81">
        <v>-6.5401447445657943E-2</v>
      </c>
      <c r="M2" s="81">
        <v>0.65414046970723105</v>
      </c>
      <c r="N2" s="81">
        <v>0.25600123817159592</v>
      </c>
      <c r="O2" s="81">
        <v>0.1552597395668312</v>
      </c>
      <c r="P2" s="81" t="s">
        <v>193</v>
      </c>
      <c r="Q2" s="81" t="s">
        <v>208</v>
      </c>
      <c r="R2" s="110">
        <v>31354838</v>
      </c>
      <c r="S2" s="76" t="s">
        <v>231</v>
      </c>
    </row>
    <row r="3" spans="1:19">
      <c r="A3" s="76" t="s">
        <v>256</v>
      </c>
      <c r="B3" s="76">
        <v>2024</v>
      </c>
      <c r="C3" s="1" t="s">
        <v>257</v>
      </c>
      <c r="D3" s="76" t="s">
        <v>191</v>
      </c>
      <c r="E3" s="76" t="s">
        <v>192</v>
      </c>
      <c r="F3" s="76">
        <v>2050</v>
      </c>
      <c r="G3" s="76" t="s">
        <v>4</v>
      </c>
      <c r="H3" s="83">
        <v>722.87277193760519</v>
      </c>
      <c r="I3" s="83">
        <v>481.14447643017155</v>
      </c>
      <c r="J3" s="83">
        <v>566.27802744261442</v>
      </c>
      <c r="K3" s="83">
        <v>591.93361747216363</v>
      </c>
      <c r="L3" s="81">
        <v>0.31278420975737831</v>
      </c>
      <c r="M3" s="81">
        <v>0.39363984255337364</v>
      </c>
      <c r="N3" s="81">
        <v>0.19220645964963867</v>
      </c>
      <c r="O3" s="81">
        <v>0.10136948803960952</v>
      </c>
      <c r="P3" s="81" t="s">
        <v>199</v>
      </c>
      <c r="Q3" s="81" t="s">
        <v>258</v>
      </c>
      <c r="R3" s="110">
        <v>2110761</v>
      </c>
      <c r="S3" s="76"/>
    </row>
    <row r="4" spans="1:19">
      <c r="A4" s="76" t="s">
        <v>227</v>
      </c>
      <c r="B4" s="76">
        <v>2024</v>
      </c>
      <c r="C4" s="1" t="s">
        <v>228</v>
      </c>
      <c r="D4" s="76" t="s">
        <v>191</v>
      </c>
      <c r="E4" s="76" t="s">
        <v>192</v>
      </c>
      <c r="F4" s="76">
        <v>2024</v>
      </c>
      <c r="G4" s="76" t="s">
        <v>4</v>
      </c>
      <c r="H4" s="83">
        <v>1678.5512402252382</v>
      </c>
      <c r="I4" s="83">
        <v>1137.3157928085111</v>
      </c>
      <c r="J4" s="83">
        <v>2918.3536330344182</v>
      </c>
      <c r="K4" s="83">
        <v>2883.0378891279015</v>
      </c>
      <c r="L4" s="81"/>
      <c r="M4" s="81"/>
      <c r="N4" s="81"/>
      <c r="O4" s="81"/>
      <c r="P4" s="81" t="s">
        <v>199</v>
      </c>
      <c r="Q4" s="81" t="s">
        <v>194</v>
      </c>
      <c r="R4" s="110">
        <v>3650000</v>
      </c>
      <c r="S4" s="76"/>
    </row>
    <row r="5" spans="1:19">
      <c r="A5" s="76" t="s">
        <v>218</v>
      </c>
      <c r="B5" s="76">
        <v>2021</v>
      </c>
      <c r="C5" s="76" t="s">
        <v>219</v>
      </c>
      <c r="D5" s="76" t="s">
        <v>191</v>
      </c>
      <c r="E5" s="76" t="s">
        <v>192</v>
      </c>
      <c r="F5" s="76">
        <v>2024</v>
      </c>
      <c r="G5" s="76" t="s">
        <v>220</v>
      </c>
      <c r="H5" s="83">
        <v>1458.3489394680287</v>
      </c>
      <c r="I5" s="83">
        <v>592.62300893945417</v>
      </c>
      <c r="J5" s="83">
        <v>1563.0290877721441</v>
      </c>
      <c r="K5" s="83">
        <v>1548.14939465778</v>
      </c>
      <c r="L5" s="76"/>
      <c r="M5" s="76"/>
      <c r="N5" s="76"/>
      <c r="O5" s="76"/>
      <c r="P5" s="81" t="s">
        <v>199</v>
      </c>
      <c r="Q5" s="81" t="s">
        <v>194</v>
      </c>
      <c r="R5" s="85">
        <v>69000000</v>
      </c>
      <c r="S5" s="76"/>
    </row>
    <row r="6" spans="1:19">
      <c r="A6" s="76" t="s">
        <v>218</v>
      </c>
      <c r="B6" s="76">
        <v>2021</v>
      </c>
      <c r="C6" s="76" t="s">
        <v>219</v>
      </c>
      <c r="D6" s="76" t="s">
        <v>191</v>
      </c>
      <c r="E6" s="76" t="s">
        <v>192</v>
      </c>
      <c r="F6" s="76">
        <v>2024</v>
      </c>
      <c r="G6" s="76" t="s">
        <v>221</v>
      </c>
      <c r="H6" s="83">
        <v>1892.306418410411</v>
      </c>
      <c r="I6" s="83">
        <v>937.63204815791119</v>
      </c>
      <c r="J6" s="83">
        <v>1650.4318696576856</v>
      </c>
      <c r="K6" s="83">
        <v>1634.5545566973183</v>
      </c>
      <c r="L6" s="81">
        <v>0.14768794431069598</v>
      </c>
      <c r="M6" s="81">
        <v>0.41673744206947305</v>
      </c>
      <c r="N6" s="81">
        <v>0.24108873045372373</v>
      </c>
      <c r="O6" s="81">
        <v>0.19448588316610724</v>
      </c>
      <c r="P6" s="81" t="s">
        <v>199</v>
      </c>
      <c r="Q6" s="81" t="s">
        <v>194</v>
      </c>
      <c r="R6" s="85">
        <v>87000000</v>
      </c>
      <c r="S6" s="76"/>
    </row>
    <row r="7" spans="1:19">
      <c r="A7" s="76" t="s">
        <v>203</v>
      </c>
      <c r="B7" s="76">
        <v>2018</v>
      </c>
      <c r="C7" s="1" t="s">
        <v>204</v>
      </c>
      <c r="D7" s="76" t="s">
        <v>191</v>
      </c>
      <c r="E7" s="76" t="s">
        <v>192</v>
      </c>
      <c r="F7" s="76">
        <v>2024</v>
      </c>
      <c r="G7" s="76" t="s">
        <v>4</v>
      </c>
      <c r="H7" s="83">
        <v>1144.7870679308462</v>
      </c>
      <c r="I7" s="83">
        <v>717.33157452286355</v>
      </c>
      <c r="J7" s="83">
        <v>2278.5389057854431</v>
      </c>
      <c r="K7" s="83">
        <v>2313.9915105121499</v>
      </c>
      <c r="L7" s="81">
        <v>0.11002478551214247</v>
      </c>
      <c r="M7" s="81">
        <v>0.32309926188801724</v>
      </c>
      <c r="N7" s="81">
        <v>0.51966602210730239</v>
      </c>
      <c r="O7" s="81">
        <v>4.7209930492537917E-2</v>
      </c>
      <c r="P7" s="81" t="s">
        <v>199</v>
      </c>
      <c r="Q7" s="81" t="s">
        <v>194</v>
      </c>
      <c r="R7" s="76"/>
      <c r="S7" s="76"/>
    </row>
    <row r="8" spans="1:19">
      <c r="A8" s="76" t="s">
        <v>250</v>
      </c>
      <c r="B8" s="76">
        <v>2024</v>
      </c>
      <c r="C8" s="2" t="s">
        <v>251</v>
      </c>
      <c r="D8" s="76" t="s">
        <v>191</v>
      </c>
      <c r="E8" s="76" t="s">
        <v>192</v>
      </c>
      <c r="F8" s="76">
        <v>2050</v>
      </c>
      <c r="G8" s="76" t="s">
        <v>252</v>
      </c>
      <c r="H8" s="83">
        <v>1393.4728832610231</v>
      </c>
      <c r="I8" s="83">
        <v>866.77697163195364</v>
      </c>
      <c r="J8" s="83">
        <v>1024.8970069771285</v>
      </c>
      <c r="K8" s="83">
        <v>898.27743827541349</v>
      </c>
      <c r="L8" s="81">
        <v>0.27147378936611521</v>
      </c>
      <c r="M8" s="81">
        <v>0.43139291868910407</v>
      </c>
      <c r="N8" s="81">
        <v>0.24509011242005344</v>
      </c>
      <c r="O8" s="81">
        <v>5.2043179524723669E-2</v>
      </c>
      <c r="P8" s="81" t="s">
        <v>193</v>
      </c>
      <c r="Q8" s="81" t="s">
        <v>194</v>
      </c>
      <c r="R8" s="110">
        <v>1000000</v>
      </c>
      <c r="S8" s="76"/>
    </row>
    <row r="9" spans="1:19">
      <c r="A9" s="76" t="s">
        <v>250</v>
      </c>
      <c r="B9" s="76">
        <v>2024</v>
      </c>
      <c r="C9" s="2" t="s">
        <v>251</v>
      </c>
      <c r="D9" s="76" t="s">
        <v>191</v>
      </c>
      <c r="E9" s="76" t="s">
        <v>192</v>
      </c>
      <c r="F9" s="76">
        <v>2050</v>
      </c>
      <c r="G9" s="76" t="s">
        <v>253</v>
      </c>
      <c r="H9" s="83">
        <v>1651.2877075211616</v>
      </c>
      <c r="I9" s="83">
        <v>875.90294128261326</v>
      </c>
      <c r="J9" s="83">
        <v>1034.0229766277887</v>
      </c>
      <c r="K9" s="83">
        <v>906.25108851069353</v>
      </c>
      <c r="L9" s="81"/>
      <c r="M9" s="81"/>
      <c r="N9" s="81"/>
      <c r="O9" s="81"/>
      <c r="P9" s="81" t="s">
        <v>193</v>
      </c>
      <c r="Q9" s="81" t="s">
        <v>194</v>
      </c>
      <c r="R9" s="110">
        <v>1000000</v>
      </c>
      <c r="S9" s="76"/>
    </row>
    <row r="10" spans="1:19">
      <c r="A10" s="76" t="s">
        <v>250</v>
      </c>
      <c r="B10" s="76">
        <v>2024</v>
      </c>
      <c r="C10" s="2" t="s">
        <v>251</v>
      </c>
      <c r="D10" s="76" t="s">
        <v>191</v>
      </c>
      <c r="E10" s="76" t="s">
        <v>192</v>
      </c>
      <c r="F10" s="76">
        <v>2050</v>
      </c>
      <c r="G10" s="76" t="s">
        <v>254</v>
      </c>
      <c r="H10" s="83">
        <v>1392.5582046364345</v>
      </c>
      <c r="I10" s="83">
        <v>865.86229300736557</v>
      </c>
      <c r="J10" s="83">
        <v>1023.9823283525417</v>
      </c>
      <c r="K10" s="83">
        <v>897.6677853784264</v>
      </c>
      <c r="L10" s="81"/>
      <c r="M10" s="81"/>
      <c r="N10" s="81"/>
      <c r="O10" s="81"/>
      <c r="P10" s="81" t="s">
        <v>193</v>
      </c>
      <c r="Q10" s="81" t="s">
        <v>194</v>
      </c>
      <c r="R10" s="110">
        <v>1000000</v>
      </c>
      <c r="S10" s="76"/>
    </row>
    <row r="11" spans="1:19">
      <c r="A11" s="76" t="s">
        <v>218</v>
      </c>
      <c r="B11" s="76">
        <v>2021</v>
      </c>
      <c r="C11" s="76" t="s">
        <v>219</v>
      </c>
      <c r="D11" s="76" t="s">
        <v>191</v>
      </c>
      <c r="E11" s="76" t="s">
        <v>192</v>
      </c>
      <c r="F11" s="76">
        <v>2024</v>
      </c>
      <c r="G11" s="76" t="s">
        <v>222</v>
      </c>
      <c r="H11" s="83">
        <v>1730.510800708724</v>
      </c>
      <c r="I11" s="83">
        <v>620.2999844498006</v>
      </c>
      <c r="J11" s="83">
        <v>1629.6389580375451</v>
      </c>
      <c r="K11" s="83">
        <v>1612.7045074317748</v>
      </c>
      <c r="L11" s="76"/>
      <c r="M11" s="76"/>
      <c r="N11" s="76"/>
      <c r="O11" s="76"/>
      <c r="P11" s="81" t="s">
        <v>199</v>
      </c>
      <c r="Q11" s="81" t="s">
        <v>194</v>
      </c>
      <c r="R11" s="85">
        <v>68000000</v>
      </c>
      <c r="S11" s="76"/>
    </row>
    <row r="12" spans="1:19">
      <c r="A12" s="76" t="s">
        <v>260</v>
      </c>
      <c r="B12" s="76">
        <v>2021</v>
      </c>
      <c r="C12" s="1" t="s">
        <v>261</v>
      </c>
      <c r="D12" s="76" t="s">
        <v>191</v>
      </c>
      <c r="E12" s="76" t="s">
        <v>192</v>
      </c>
      <c r="F12" s="76">
        <v>2024</v>
      </c>
      <c r="G12" s="76" t="s">
        <v>4</v>
      </c>
      <c r="H12" s="83">
        <v>1330.2315443355733</v>
      </c>
      <c r="I12" s="83">
        <v>1380.8592780685874</v>
      </c>
      <c r="J12" s="83">
        <v>1978.9843091550383</v>
      </c>
      <c r="K12" s="83">
        <v>1705.1756422767262</v>
      </c>
      <c r="L12" s="81"/>
      <c r="M12" s="81"/>
      <c r="N12" s="81"/>
      <c r="O12" s="81"/>
      <c r="P12" s="81" t="s">
        <v>199</v>
      </c>
      <c r="Q12" s="81" t="s">
        <v>258</v>
      </c>
      <c r="R12" s="76" t="s">
        <v>85</v>
      </c>
      <c r="S12" s="76"/>
    </row>
    <row r="13" spans="1:19">
      <c r="A13" s="76" t="s">
        <v>262</v>
      </c>
      <c r="B13" s="76">
        <v>2021</v>
      </c>
      <c r="C13" s="1" t="s">
        <v>263</v>
      </c>
      <c r="D13" s="76" t="s">
        <v>191</v>
      </c>
      <c r="E13" s="76" t="s">
        <v>192</v>
      </c>
      <c r="F13" s="76"/>
      <c r="G13" s="76" t="s">
        <v>4</v>
      </c>
      <c r="H13" s="83"/>
      <c r="I13" s="83"/>
      <c r="J13" s="83"/>
      <c r="K13" s="83"/>
      <c r="L13" s="81"/>
      <c r="M13" s="81"/>
      <c r="N13" s="81"/>
      <c r="O13" s="81"/>
      <c r="P13" s="81" t="s">
        <v>199</v>
      </c>
      <c r="Q13" s="81" t="s">
        <v>258</v>
      </c>
      <c r="R13" s="76" t="s">
        <v>85</v>
      </c>
      <c r="S13" s="76"/>
    </row>
    <row r="14" spans="1:19">
      <c r="A14" s="76" t="s">
        <v>196</v>
      </c>
      <c r="B14" s="76">
        <v>2024</v>
      </c>
      <c r="C14" s="76" t="s">
        <v>197</v>
      </c>
      <c r="D14" s="76" t="s">
        <v>191</v>
      </c>
      <c r="E14" s="76" t="s">
        <v>198</v>
      </c>
      <c r="F14" s="76">
        <v>2024</v>
      </c>
      <c r="G14" s="76" t="s">
        <v>4</v>
      </c>
      <c r="H14" s="83">
        <v>2404.7474592934755</v>
      </c>
      <c r="I14" s="83">
        <v>2404.0545705434656</v>
      </c>
      <c r="J14" s="83">
        <v>2356.6643057913079</v>
      </c>
      <c r="K14" s="83">
        <v>2336.0119516563682</v>
      </c>
      <c r="L14" s="81">
        <v>4.1547366056870115E-2</v>
      </c>
      <c r="M14" s="81">
        <v>0.60539427375225097</v>
      </c>
      <c r="N14" s="81">
        <v>0.33947919249122993</v>
      </c>
      <c r="O14" s="81">
        <v>1.3579167699649198E-2</v>
      </c>
      <c r="P14" s="81" t="s">
        <v>199</v>
      </c>
      <c r="Q14" s="81" t="s">
        <v>194</v>
      </c>
      <c r="R14" s="76" t="s">
        <v>85</v>
      </c>
      <c r="S14" s="76" t="s">
        <v>200</v>
      </c>
    </row>
    <row r="15" spans="1:19">
      <c r="A15" s="76" t="s">
        <v>229</v>
      </c>
      <c r="B15" s="76">
        <v>2023</v>
      </c>
      <c r="C15" s="76" t="s">
        <v>230</v>
      </c>
      <c r="D15" s="76" t="s">
        <v>207</v>
      </c>
      <c r="E15" s="76" t="s">
        <v>192</v>
      </c>
      <c r="F15" s="76">
        <v>2050</v>
      </c>
      <c r="G15" s="76" t="s">
        <v>4</v>
      </c>
      <c r="H15" s="83">
        <v>982.35140207674465</v>
      </c>
      <c r="I15" s="83">
        <v>982.38812993482463</v>
      </c>
      <c r="J15" s="83">
        <v>1005.8794287246455</v>
      </c>
      <c r="K15" s="83">
        <v>1105.3710729124205</v>
      </c>
      <c r="L15" s="81">
        <v>-3.6170099847636182E-5</v>
      </c>
      <c r="M15" s="81">
        <v>0.41969640449872719</v>
      </c>
      <c r="N15" s="81">
        <v>0.40796770712853536</v>
      </c>
      <c r="O15" s="81">
        <v>0.17237205847258513</v>
      </c>
      <c r="P15" s="81" t="s">
        <v>193</v>
      </c>
      <c r="Q15" s="81" t="s">
        <v>208</v>
      </c>
      <c r="R15" s="110">
        <v>31354838</v>
      </c>
      <c r="S15" s="76"/>
    </row>
    <row r="16" spans="1:19">
      <c r="A16" s="76" t="s">
        <v>229</v>
      </c>
      <c r="B16" s="76">
        <v>2023</v>
      </c>
      <c r="C16" s="76" t="s">
        <v>230</v>
      </c>
      <c r="D16" s="76" t="s">
        <v>207</v>
      </c>
      <c r="E16" s="76" t="s">
        <v>192</v>
      </c>
      <c r="F16" s="76">
        <v>2050</v>
      </c>
      <c r="G16" s="76" t="s">
        <v>232</v>
      </c>
      <c r="H16" s="83">
        <v>825.36875772083386</v>
      </c>
      <c r="I16" s="83">
        <v>825.40548557891373</v>
      </c>
      <c r="J16" s="83">
        <v>848.89678436873419</v>
      </c>
      <c r="K16" s="83">
        <v>922.42843731639027</v>
      </c>
      <c r="L16" s="81"/>
      <c r="M16" s="81"/>
      <c r="N16" s="81"/>
      <c r="O16" s="81"/>
      <c r="P16" s="81" t="s">
        <v>193</v>
      </c>
      <c r="Q16" s="81" t="s">
        <v>208</v>
      </c>
      <c r="R16" s="110">
        <v>31354838</v>
      </c>
      <c r="S16" s="76"/>
    </row>
    <row r="17" spans="1:19">
      <c r="A17" s="76" t="s">
        <v>225</v>
      </c>
      <c r="B17" s="76">
        <v>2023</v>
      </c>
      <c r="C17" s="82" t="s">
        <v>226</v>
      </c>
      <c r="D17" s="76" t="s">
        <v>191</v>
      </c>
      <c r="E17" s="76" t="s">
        <v>192</v>
      </c>
      <c r="F17" s="76">
        <v>2024</v>
      </c>
      <c r="G17" s="76" t="s">
        <v>4</v>
      </c>
      <c r="H17" s="83">
        <v>1148.3867432450918</v>
      </c>
      <c r="I17" s="83">
        <v>989.96081970931289</v>
      </c>
      <c r="J17" s="83">
        <v>1984.9055168566665</v>
      </c>
      <c r="K17" s="83">
        <v>1988.0761573353113</v>
      </c>
      <c r="L17" s="81"/>
      <c r="M17" s="81"/>
      <c r="N17" s="81"/>
      <c r="O17" s="81"/>
      <c r="P17" s="81" t="s">
        <v>199</v>
      </c>
      <c r="Q17" s="81" t="s">
        <v>194</v>
      </c>
      <c r="R17" s="76" t="s">
        <v>85</v>
      </c>
      <c r="S17" s="76"/>
    </row>
    <row r="18" spans="1:19">
      <c r="A18" s="76" t="s">
        <v>250</v>
      </c>
      <c r="B18" s="76">
        <v>2024</v>
      </c>
      <c r="C18" s="2" t="s">
        <v>251</v>
      </c>
      <c r="D18" s="76" t="s">
        <v>191</v>
      </c>
      <c r="E18" s="76" t="s">
        <v>192</v>
      </c>
      <c r="F18" s="76">
        <v>2024</v>
      </c>
      <c r="G18" s="76" t="s">
        <v>253</v>
      </c>
      <c r="H18" s="83">
        <v>1309.1063656583035</v>
      </c>
      <c r="I18" s="83">
        <v>919.34377563488488</v>
      </c>
      <c r="J18" s="83">
        <v>2113.2137495315042</v>
      </c>
      <c r="K18" s="83">
        <v>2012.8398506089529</v>
      </c>
      <c r="L18" s="81"/>
      <c r="M18" s="81"/>
      <c r="N18" s="81"/>
      <c r="O18" s="81"/>
      <c r="P18" s="81" t="s">
        <v>193</v>
      </c>
      <c r="Q18" s="81" t="s">
        <v>194</v>
      </c>
      <c r="R18" s="110">
        <v>1000000</v>
      </c>
      <c r="S18" s="76"/>
    </row>
    <row r="19" spans="1:19">
      <c r="A19" s="76" t="s">
        <v>189</v>
      </c>
      <c r="B19" s="76">
        <v>2016</v>
      </c>
      <c r="C19" s="1" t="s">
        <v>190</v>
      </c>
      <c r="D19" s="76" t="s">
        <v>191</v>
      </c>
      <c r="E19" s="76" t="s">
        <v>192</v>
      </c>
      <c r="F19" s="76">
        <v>2024</v>
      </c>
      <c r="G19" s="76" t="s">
        <v>4</v>
      </c>
      <c r="H19" s="83">
        <v>642.29670473893407</v>
      </c>
      <c r="I19" s="83">
        <v>589.34905757648596</v>
      </c>
      <c r="J19" s="83">
        <v>1993.2996541562072</v>
      </c>
      <c r="K19" s="83">
        <v>2073.3290145394676</v>
      </c>
      <c r="L19" s="81"/>
      <c r="M19" s="81"/>
      <c r="N19" s="81"/>
      <c r="O19" s="81"/>
      <c r="P19" s="81" t="s">
        <v>193</v>
      </c>
      <c r="Q19" s="81" t="s">
        <v>194</v>
      </c>
      <c r="R19" s="85">
        <v>144778221.668742</v>
      </c>
      <c r="S19" s="76" t="s">
        <v>195</v>
      </c>
    </row>
    <row r="20" spans="1:19">
      <c r="A20" s="76" t="s">
        <v>225</v>
      </c>
      <c r="B20" s="76">
        <v>2023</v>
      </c>
      <c r="C20" s="82" t="s">
        <v>226</v>
      </c>
      <c r="D20" s="76" t="s">
        <v>191</v>
      </c>
      <c r="E20" s="76" t="s">
        <v>192</v>
      </c>
      <c r="F20" s="76">
        <v>2050</v>
      </c>
      <c r="G20" s="76" t="s">
        <v>4</v>
      </c>
      <c r="H20" s="83">
        <v>350.60606175775007</v>
      </c>
      <c r="I20" s="83">
        <v>95.655350830540982</v>
      </c>
      <c r="J20" s="83">
        <v>432.28010085199617</v>
      </c>
      <c r="K20" s="83">
        <v>434.93300445753016</v>
      </c>
      <c r="L20" s="81"/>
      <c r="M20" s="81"/>
      <c r="N20" s="81"/>
      <c r="O20" s="81"/>
      <c r="P20" s="81" t="s">
        <v>199</v>
      </c>
      <c r="Q20" s="81" t="s">
        <v>194</v>
      </c>
      <c r="R20" s="76" t="s">
        <v>85</v>
      </c>
      <c r="S20" s="111"/>
    </row>
    <row r="21" spans="1:19">
      <c r="A21" s="76" t="s">
        <v>250</v>
      </c>
      <c r="B21" s="76">
        <v>2024</v>
      </c>
      <c r="C21" s="2" t="s">
        <v>251</v>
      </c>
      <c r="D21" s="76" t="s">
        <v>191</v>
      </c>
      <c r="E21" s="76" t="s">
        <v>192</v>
      </c>
      <c r="F21" s="76">
        <v>2024</v>
      </c>
      <c r="G21" s="76" t="s">
        <v>252</v>
      </c>
      <c r="H21" s="83">
        <v>1510.502621501556</v>
      </c>
      <c r="I21" s="83">
        <v>1070.125464018736</v>
      </c>
      <c r="J21" s="83">
        <v>2263.995437915356</v>
      </c>
      <c r="K21" s="83">
        <v>2137.6166789813924</v>
      </c>
      <c r="L21" s="81">
        <v>0.15977141898720965</v>
      </c>
      <c r="M21" s="81">
        <v>0.54313557564471771</v>
      </c>
      <c r="N21" s="81">
        <v>0.26264122622613106</v>
      </c>
      <c r="O21" s="81">
        <v>3.4451779141940385E-2</v>
      </c>
      <c r="P21" s="81" t="s">
        <v>193</v>
      </c>
      <c r="Q21" s="81" t="s">
        <v>194</v>
      </c>
      <c r="R21" s="110">
        <v>1000000</v>
      </c>
      <c r="S21" s="76" t="s">
        <v>255</v>
      </c>
    </row>
    <row r="22" spans="1:19">
      <c r="A22" s="76" t="s">
        <v>250</v>
      </c>
      <c r="B22" s="76">
        <v>2024</v>
      </c>
      <c r="C22" s="2" t="s">
        <v>251</v>
      </c>
      <c r="D22" s="76" t="s">
        <v>191</v>
      </c>
      <c r="E22" s="76" t="s">
        <v>192</v>
      </c>
      <c r="F22" s="76">
        <v>2024</v>
      </c>
      <c r="G22" s="76" t="s">
        <v>254</v>
      </c>
      <c r="H22" s="83">
        <v>1286.1593005235322</v>
      </c>
      <c r="I22" s="83">
        <v>1091.7594802265899</v>
      </c>
      <c r="J22" s="83">
        <v>2285.6294541232087</v>
      </c>
      <c r="K22" s="83">
        <v>2155.9292021659812</v>
      </c>
      <c r="L22" s="81"/>
      <c r="M22" s="81"/>
      <c r="N22" s="81"/>
      <c r="O22" s="81"/>
      <c r="P22" s="81" t="s">
        <v>193</v>
      </c>
      <c r="Q22" s="81" t="s">
        <v>194</v>
      </c>
      <c r="R22" s="110">
        <v>1000000</v>
      </c>
      <c r="S22" s="76"/>
    </row>
    <row r="23" spans="1:19">
      <c r="A23" s="76" t="s">
        <v>256</v>
      </c>
      <c r="B23" s="76">
        <v>2024</v>
      </c>
      <c r="C23" s="1" t="s">
        <v>257</v>
      </c>
      <c r="D23" s="76" t="s">
        <v>191</v>
      </c>
      <c r="E23" s="76" t="s">
        <v>192</v>
      </c>
      <c r="F23" s="76">
        <v>2024</v>
      </c>
      <c r="G23" s="76" t="s">
        <v>4</v>
      </c>
      <c r="H23" s="83">
        <v>1703.2941883028598</v>
      </c>
      <c r="I23" s="83">
        <v>1507.6494786156698</v>
      </c>
      <c r="J23" s="83">
        <v>2046.9143476913653</v>
      </c>
      <c r="K23" s="83">
        <v>2079.1915379980155</v>
      </c>
      <c r="L23" s="81">
        <v>0.21104030074444802</v>
      </c>
      <c r="M23" s="81">
        <v>0.56817703628750715</v>
      </c>
      <c r="N23" s="81">
        <v>0.14488825705338179</v>
      </c>
      <c r="O23" s="81">
        <v>7.5894405914663232E-2</v>
      </c>
      <c r="P23" s="81" t="s">
        <v>199</v>
      </c>
      <c r="Q23" s="81" t="s">
        <v>258</v>
      </c>
      <c r="R23" s="110">
        <v>2110761</v>
      </c>
      <c r="S23" s="76" t="s">
        <v>259</v>
      </c>
    </row>
    <row r="24" spans="1:19">
      <c r="A24" s="76" t="s">
        <v>212</v>
      </c>
      <c r="B24" s="76">
        <v>2024</v>
      </c>
      <c r="C24" s="1" t="s">
        <v>213</v>
      </c>
      <c r="D24" s="76" t="s">
        <v>191</v>
      </c>
      <c r="E24" s="76" t="s">
        <v>192</v>
      </c>
      <c r="F24" s="76">
        <v>2024</v>
      </c>
      <c r="G24" s="76" t="s">
        <v>214</v>
      </c>
      <c r="H24" s="83">
        <v>2727.5773261727436</v>
      </c>
      <c r="I24" s="83">
        <v>2725.7960118016522</v>
      </c>
      <c r="J24" s="83">
        <v>2514.5662194272445</v>
      </c>
      <c r="K24" s="83">
        <v>2592.4685088014885</v>
      </c>
      <c r="L24" s="81">
        <v>0.19087235878626915</v>
      </c>
      <c r="M24" s="81">
        <v>0.6402097734306309</v>
      </c>
      <c r="N24" s="81">
        <v>0.11521238384908948</v>
      </c>
      <c r="O24" s="81">
        <v>5.3705483934010388E-2</v>
      </c>
      <c r="P24" s="81" t="s">
        <v>199</v>
      </c>
      <c r="Q24" s="81" t="s">
        <v>194</v>
      </c>
      <c r="R24" s="85">
        <v>39140033.75</v>
      </c>
      <c r="S24" s="76"/>
    </row>
    <row r="25" spans="1:19">
      <c r="A25" s="76" t="s">
        <v>260</v>
      </c>
      <c r="B25" s="76">
        <v>2021</v>
      </c>
      <c r="C25" s="1" t="s">
        <v>261</v>
      </c>
      <c r="D25" s="76" t="s">
        <v>191</v>
      </c>
      <c r="E25" s="76" t="s">
        <v>192</v>
      </c>
      <c r="F25" s="76">
        <v>2050</v>
      </c>
      <c r="G25" s="76" t="s">
        <v>4</v>
      </c>
      <c r="H25" s="83">
        <v>87.667746475327007</v>
      </c>
      <c r="I25" s="83">
        <v>162.69023169841907</v>
      </c>
      <c r="J25" s="83">
        <v>356.91769115861501</v>
      </c>
      <c r="K25" s="83">
        <v>419.35518840261619</v>
      </c>
      <c r="L25" s="81"/>
      <c r="M25" s="81"/>
      <c r="N25" s="81"/>
      <c r="O25" s="81"/>
      <c r="P25" s="81" t="s">
        <v>199</v>
      </c>
      <c r="Q25" s="81" t="s">
        <v>258</v>
      </c>
      <c r="R25" s="76" t="s">
        <v>85</v>
      </c>
      <c r="S25" s="76"/>
    </row>
    <row r="26" spans="1:19">
      <c r="A26" s="76" t="s">
        <v>201</v>
      </c>
      <c r="B26" s="76">
        <v>2024</v>
      </c>
      <c r="C26" s="76"/>
      <c r="D26" s="76" t="s">
        <v>191</v>
      </c>
      <c r="E26" s="76" t="s">
        <v>192</v>
      </c>
      <c r="F26" s="76"/>
      <c r="G26" s="76" t="s">
        <v>4</v>
      </c>
      <c r="H26" s="76"/>
      <c r="I26" s="76"/>
      <c r="J26" s="76"/>
      <c r="K26" s="76"/>
      <c r="L26" s="81"/>
      <c r="M26" s="81"/>
      <c r="N26" s="81"/>
      <c r="O26" s="81"/>
      <c r="P26" s="81" t="s">
        <v>199</v>
      </c>
      <c r="Q26" s="81" t="s">
        <v>202</v>
      </c>
      <c r="R26" s="76" t="s">
        <v>85</v>
      </c>
      <c r="S26" s="76"/>
    </row>
    <row r="27" spans="1:19">
      <c r="A27" s="76" t="s">
        <v>218</v>
      </c>
      <c r="B27" s="76">
        <v>2021</v>
      </c>
      <c r="C27" s="76" t="s">
        <v>219</v>
      </c>
      <c r="D27" s="76" t="s">
        <v>191</v>
      </c>
      <c r="E27" s="76" t="s">
        <v>192</v>
      </c>
      <c r="F27" s="76">
        <v>2024</v>
      </c>
      <c r="G27" s="76" t="s">
        <v>223</v>
      </c>
      <c r="H27" s="83">
        <v>2708.6121435384971</v>
      </c>
      <c r="I27" s="83">
        <v>1492.4561094291282</v>
      </c>
      <c r="J27" s="83">
        <v>2813.7588241033741</v>
      </c>
      <c r="K27" s="83">
        <v>2791.3032302147244</v>
      </c>
      <c r="L27" s="76"/>
      <c r="M27" s="76"/>
      <c r="N27" s="76"/>
      <c r="O27" s="76"/>
      <c r="P27" s="81" t="s">
        <v>199</v>
      </c>
      <c r="Q27" s="81" t="s">
        <v>194</v>
      </c>
      <c r="R27" s="85">
        <v>48000000</v>
      </c>
      <c r="S27" s="76"/>
    </row>
    <row r="28" spans="1:19">
      <c r="A28" s="76" t="s">
        <v>242</v>
      </c>
      <c r="B28" s="76">
        <v>2023</v>
      </c>
      <c r="C28" s="1" t="s">
        <v>243</v>
      </c>
      <c r="D28" s="76" t="s">
        <v>191</v>
      </c>
      <c r="E28" s="76" t="s">
        <v>192</v>
      </c>
      <c r="F28" s="76">
        <v>2024</v>
      </c>
      <c r="G28" s="76" t="s">
        <v>4</v>
      </c>
      <c r="H28" s="83">
        <v>1755.1259920054924</v>
      </c>
      <c r="I28" s="83">
        <v>991.67826615404829</v>
      </c>
      <c r="J28" s="83">
        <v>2323.2138706938381</v>
      </c>
      <c r="K28" s="83">
        <v>2325.6213295927896</v>
      </c>
      <c r="L28" s="81">
        <v>0.23174771251541862</v>
      </c>
      <c r="M28" s="81">
        <v>0.48216630757642387</v>
      </c>
      <c r="N28" s="81">
        <v>3.0034400493108186E-2</v>
      </c>
      <c r="O28" s="81">
        <v>0.25605157941504941</v>
      </c>
      <c r="P28" s="81" t="s">
        <v>199</v>
      </c>
      <c r="Q28" s="81" t="s">
        <v>235</v>
      </c>
      <c r="R28" s="110">
        <v>25105853.051058531</v>
      </c>
      <c r="S28" s="76" t="s">
        <v>244</v>
      </c>
    </row>
    <row r="29" spans="1:19">
      <c r="A29" s="76" t="s">
        <v>218</v>
      </c>
      <c r="B29" s="76">
        <v>2021</v>
      </c>
      <c r="C29" s="76" t="s">
        <v>219</v>
      </c>
      <c r="D29" s="76" t="s">
        <v>191</v>
      </c>
      <c r="E29" s="76" t="s">
        <v>192</v>
      </c>
      <c r="F29" s="76">
        <v>2024</v>
      </c>
      <c r="G29" s="76" t="s">
        <v>224</v>
      </c>
      <c r="H29" s="83">
        <v>2761.7003080324448</v>
      </c>
      <c r="I29" s="83">
        <v>1101.6111060501651</v>
      </c>
      <c r="J29" s="83">
        <v>2919.0903160095431</v>
      </c>
      <c r="K29" s="83">
        <v>2890.3678016943277</v>
      </c>
      <c r="L29" s="76"/>
      <c r="M29" s="76"/>
      <c r="N29" s="76"/>
      <c r="O29" s="76"/>
      <c r="P29" s="81" t="s">
        <v>199</v>
      </c>
      <c r="Q29" s="81" t="s">
        <v>194</v>
      </c>
      <c r="R29" s="85">
        <v>35000000</v>
      </c>
      <c r="S29" s="76"/>
    </row>
    <row r="30" spans="1:19">
      <c r="A30" s="76" t="s">
        <v>212</v>
      </c>
      <c r="B30" s="76">
        <v>2024</v>
      </c>
      <c r="C30" s="1" t="s">
        <v>213</v>
      </c>
      <c r="D30" s="76" t="s">
        <v>191</v>
      </c>
      <c r="E30" s="76" t="s">
        <v>192</v>
      </c>
      <c r="F30" s="76">
        <v>2050</v>
      </c>
      <c r="G30" s="76" t="s">
        <v>216</v>
      </c>
      <c r="H30" s="83">
        <v>1053.0156898248665</v>
      </c>
      <c r="I30" s="83">
        <v>1051.2343754537746</v>
      </c>
      <c r="J30" s="83">
        <v>1140.9850035071565</v>
      </c>
      <c r="K30" s="83">
        <v>1218.8872928814005</v>
      </c>
      <c r="L30" s="81">
        <v>0.39582215485496336</v>
      </c>
      <c r="M30" s="81">
        <v>0.25388388511554372</v>
      </c>
      <c r="N30" s="81">
        <v>0.2389220436689253</v>
      </c>
      <c r="O30" s="81">
        <v>0.11137191636056755</v>
      </c>
      <c r="P30" s="81" t="s">
        <v>199</v>
      </c>
      <c r="Q30" s="81" t="s">
        <v>194</v>
      </c>
      <c r="R30" s="85">
        <v>39140033.75</v>
      </c>
      <c r="S30" s="76" t="s">
        <v>217</v>
      </c>
    </row>
    <row r="31" spans="1:19">
      <c r="A31" s="76" t="s">
        <v>239</v>
      </c>
      <c r="B31" s="76">
        <v>2022</v>
      </c>
      <c r="C31" s="76" t="s">
        <v>240</v>
      </c>
      <c r="D31" s="76" t="s">
        <v>191</v>
      </c>
      <c r="E31" s="76" t="s">
        <v>192</v>
      </c>
      <c r="F31" s="76">
        <v>2024</v>
      </c>
      <c r="G31" s="76" t="s">
        <v>4</v>
      </c>
      <c r="H31" s="83">
        <v>668.37766094951314</v>
      </c>
      <c r="I31" s="83">
        <v>732.4408342772881</v>
      </c>
      <c r="J31" s="83">
        <v>3043.7880364505872</v>
      </c>
      <c r="K31" s="83">
        <v>3082.8129120688209</v>
      </c>
      <c r="L31" s="81">
        <v>1.2650145899385819E-2</v>
      </c>
      <c r="M31" s="81">
        <v>0.45640697787527046</v>
      </c>
      <c r="N31" s="81">
        <v>0.49418965596569775</v>
      </c>
      <c r="O31" s="81">
        <v>3.6753220259646051E-2</v>
      </c>
      <c r="P31" s="81" t="s">
        <v>199</v>
      </c>
      <c r="Q31" s="81" t="s">
        <v>194</v>
      </c>
      <c r="R31" s="110">
        <v>208032000</v>
      </c>
      <c r="S31" s="76" t="s">
        <v>241</v>
      </c>
    </row>
    <row r="32" spans="1:19">
      <c r="A32" s="76" t="s">
        <v>245</v>
      </c>
      <c r="B32" s="76">
        <v>2024</v>
      </c>
      <c r="C32" s="1" t="s">
        <v>246</v>
      </c>
      <c r="D32" s="76" t="s">
        <v>191</v>
      </c>
      <c r="E32" s="76" t="s">
        <v>198</v>
      </c>
      <c r="F32" s="76">
        <v>2024</v>
      </c>
      <c r="G32" s="76" t="s">
        <v>247</v>
      </c>
      <c r="H32" s="83">
        <v>6201.6746704843536</v>
      </c>
      <c r="I32" s="83">
        <v>3456.8266916306552</v>
      </c>
      <c r="J32" s="83">
        <v>3254.7777592124357</v>
      </c>
      <c r="K32" s="83">
        <v>3338.7649098709689</v>
      </c>
      <c r="L32" s="81">
        <v>0.13936205383294004</v>
      </c>
      <c r="M32" s="81">
        <v>0.70925149048476777</v>
      </c>
      <c r="N32" s="81">
        <v>0.14178318311723206</v>
      </c>
      <c r="O32" s="81">
        <v>9.6032725650601301E-3</v>
      </c>
      <c r="P32" s="81" t="s">
        <v>199</v>
      </c>
      <c r="Q32" s="81" t="s">
        <v>194</v>
      </c>
      <c r="R32" s="85">
        <v>1250000000</v>
      </c>
      <c r="S32" s="76" t="s">
        <v>248</v>
      </c>
    </row>
    <row r="33" spans="1:19">
      <c r="A33" s="76" t="s">
        <v>233</v>
      </c>
      <c r="B33" s="76">
        <v>2024</v>
      </c>
      <c r="C33" s="76"/>
      <c r="D33" s="76" t="s">
        <v>191</v>
      </c>
      <c r="E33" s="76" t="s">
        <v>192</v>
      </c>
      <c r="F33" s="76">
        <v>2024</v>
      </c>
      <c r="G33" s="76" t="s">
        <v>234</v>
      </c>
      <c r="H33" s="83">
        <v>2681.2487830302389</v>
      </c>
      <c r="I33" s="83">
        <v>2260.7322811013532</v>
      </c>
      <c r="J33" s="83">
        <v>3862.4235981919205</v>
      </c>
      <c r="K33" s="83">
        <v>3837.0825360512299</v>
      </c>
      <c r="L33" s="81"/>
      <c r="M33" s="81"/>
      <c r="N33" s="81"/>
      <c r="O33" s="81"/>
      <c r="P33" s="81" t="s">
        <v>199</v>
      </c>
      <c r="Q33" s="81" t="s">
        <v>235</v>
      </c>
      <c r="R33" s="110">
        <v>157410000</v>
      </c>
      <c r="S33" s="76"/>
    </row>
    <row r="34" spans="1:19">
      <c r="A34" s="76" t="s">
        <v>233</v>
      </c>
      <c r="B34" s="76">
        <v>2024</v>
      </c>
      <c r="C34" s="76"/>
      <c r="D34" s="76" t="s">
        <v>191</v>
      </c>
      <c r="E34" s="76" t="s">
        <v>192</v>
      </c>
      <c r="F34" s="76">
        <v>2024</v>
      </c>
      <c r="G34" s="76" t="s">
        <v>236</v>
      </c>
      <c r="H34" s="83">
        <v>3266.1214388486155</v>
      </c>
      <c r="I34" s="83">
        <v>2321.7480833018608</v>
      </c>
      <c r="J34" s="83">
        <v>3772.3855846336273</v>
      </c>
      <c r="K34" s="83">
        <v>3750.7182588015467</v>
      </c>
      <c r="L34" s="81"/>
      <c r="M34" s="81"/>
      <c r="N34" s="81"/>
      <c r="O34" s="81"/>
      <c r="P34" s="81" t="s">
        <v>199</v>
      </c>
      <c r="Q34" s="81" t="s">
        <v>235</v>
      </c>
      <c r="R34" s="110">
        <v>157410000</v>
      </c>
      <c r="S34" s="76" t="s">
        <v>237</v>
      </c>
    </row>
    <row r="35" spans="1:19">
      <c r="A35" s="76" t="s">
        <v>233</v>
      </c>
      <c r="B35" s="76">
        <v>2024</v>
      </c>
      <c r="C35" s="76"/>
      <c r="D35" s="76" t="s">
        <v>191</v>
      </c>
      <c r="E35" s="76" t="s">
        <v>192</v>
      </c>
      <c r="F35" s="76">
        <v>2050</v>
      </c>
      <c r="G35" s="76" t="s">
        <v>236</v>
      </c>
      <c r="H35" s="83">
        <v>1875.4224770053406</v>
      </c>
      <c r="I35" s="83">
        <v>1207.0412055525637</v>
      </c>
      <c r="J35" s="83">
        <v>1658.8804017970735</v>
      </c>
      <c r="K35" s="83">
        <v>1630.6449314070101</v>
      </c>
      <c r="L35" s="81"/>
      <c r="M35" s="81"/>
      <c r="N35" s="81"/>
      <c r="O35" s="81"/>
      <c r="P35" s="81" t="s">
        <v>199</v>
      </c>
      <c r="Q35" s="81" t="s">
        <v>235</v>
      </c>
      <c r="R35" s="110">
        <v>157410000</v>
      </c>
      <c r="S35" s="76"/>
    </row>
    <row r="36" spans="1:19">
      <c r="A36" s="76" t="s">
        <v>233</v>
      </c>
      <c r="B36" s="76">
        <v>2024</v>
      </c>
      <c r="C36" s="76"/>
      <c r="D36" s="76" t="s">
        <v>191</v>
      </c>
      <c r="E36" s="76" t="s">
        <v>192</v>
      </c>
      <c r="F36" s="76">
        <v>2050</v>
      </c>
      <c r="G36" s="76" t="s">
        <v>238</v>
      </c>
      <c r="H36" s="83">
        <v>1594.7287612272498</v>
      </c>
      <c r="I36" s="83">
        <v>1194.9791969612336</v>
      </c>
      <c r="J36" s="83">
        <v>1586.2493820531047</v>
      </c>
      <c r="K36" s="83">
        <v>1558.0139116630426</v>
      </c>
      <c r="L36" s="81">
        <v>0.31057498666548278</v>
      </c>
      <c r="M36" s="81">
        <v>0.372103971396964</v>
      </c>
      <c r="N36" s="81">
        <v>0.10375254817783028</v>
      </c>
      <c r="O36" s="81">
        <v>0.21356849375972281</v>
      </c>
      <c r="P36" s="81" t="s">
        <v>199</v>
      </c>
      <c r="Q36" s="81" t="s">
        <v>235</v>
      </c>
      <c r="R36" s="110">
        <v>157410000</v>
      </c>
      <c r="S36" s="76"/>
    </row>
    <row r="37" spans="1:19">
      <c r="A37" s="76" t="s">
        <v>233</v>
      </c>
      <c r="B37" s="76">
        <v>2024</v>
      </c>
      <c r="C37" s="76"/>
      <c r="D37" s="76" t="s">
        <v>191</v>
      </c>
      <c r="E37" s="76" t="s">
        <v>192</v>
      </c>
      <c r="F37" s="76">
        <v>2050</v>
      </c>
      <c r="G37" s="76" t="s">
        <v>234</v>
      </c>
      <c r="H37" s="83">
        <v>1383.9118225223065</v>
      </c>
      <c r="I37" s="83">
        <v>1047.1662656677825</v>
      </c>
      <c r="J37" s="83">
        <v>1430.8325188306819</v>
      </c>
      <c r="K37" s="83">
        <v>1404.2475807861374</v>
      </c>
      <c r="L37" s="81"/>
      <c r="M37" s="81"/>
      <c r="N37" s="81"/>
      <c r="O37" s="81"/>
      <c r="P37" s="81" t="s">
        <v>199</v>
      </c>
      <c r="Q37" s="81" t="s">
        <v>235</v>
      </c>
      <c r="R37" s="110">
        <v>157410000</v>
      </c>
      <c r="S37" s="76"/>
    </row>
    <row r="38" spans="1:19">
      <c r="A38" s="76" t="s">
        <v>233</v>
      </c>
      <c r="B38" s="76">
        <v>2024</v>
      </c>
      <c r="C38" s="76"/>
      <c r="D38" s="76" t="s">
        <v>191</v>
      </c>
      <c r="E38" s="76" t="s">
        <v>192</v>
      </c>
      <c r="F38" s="76">
        <v>2024</v>
      </c>
      <c r="G38" s="76" t="s">
        <v>238</v>
      </c>
      <c r="H38" s="83">
        <v>2797.4452258049691</v>
      </c>
      <c r="I38" s="83">
        <v>2233.0678153214653</v>
      </c>
      <c r="J38" s="83">
        <v>3849.3127621854924</v>
      </c>
      <c r="K38" s="83">
        <v>3827.6454363534103</v>
      </c>
      <c r="L38" s="81">
        <v>0.15324291666607193</v>
      </c>
      <c r="M38" s="81">
        <v>0.70008521132378365</v>
      </c>
      <c r="N38" s="81">
        <v>4.8307538348539146E-2</v>
      </c>
      <c r="O38" s="81">
        <v>9.8364333661605852E-2</v>
      </c>
      <c r="P38" s="81" t="s">
        <v>199</v>
      </c>
      <c r="Q38" s="81" t="s">
        <v>235</v>
      </c>
      <c r="R38" s="110">
        <v>157410000</v>
      </c>
      <c r="S38" s="76"/>
    </row>
    <row r="39" spans="1:19">
      <c r="A39" s="76" t="s">
        <v>205</v>
      </c>
      <c r="B39" s="76">
        <v>2020</v>
      </c>
      <c r="C39" s="76" t="s">
        <v>206</v>
      </c>
      <c r="D39" s="76" t="s">
        <v>207</v>
      </c>
      <c r="E39" s="76" t="s">
        <v>192</v>
      </c>
      <c r="F39" s="76">
        <v>2024</v>
      </c>
      <c r="G39" s="76" t="s">
        <v>4</v>
      </c>
      <c r="H39" s="83">
        <v>1312.9984811577319</v>
      </c>
      <c r="I39" s="83">
        <v>1312.1589139136804</v>
      </c>
      <c r="J39" s="83">
        <v>4608.9561578762987</v>
      </c>
      <c r="K39" s="83">
        <v>4566.8368422201083</v>
      </c>
      <c r="L39" s="81"/>
      <c r="M39" s="81"/>
      <c r="N39" s="81"/>
      <c r="O39" s="81"/>
      <c r="P39" s="81" t="s">
        <v>199</v>
      </c>
      <c r="Q39" s="81" t="s">
        <v>208</v>
      </c>
      <c r="R39" s="110">
        <v>45872966</v>
      </c>
      <c r="S39" s="76" t="s">
        <v>209</v>
      </c>
    </row>
    <row r="40" spans="1:19">
      <c r="A40" s="76" t="s">
        <v>205</v>
      </c>
      <c r="B40" s="76">
        <v>2015</v>
      </c>
      <c r="C40" s="76" t="s">
        <v>210</v>
      </c>
      <c r="D40" s="76" t="s">
        <v>207</v>
      </c>
      <c r="E40" s="76" t="s">
        <v>192</v>
      </c>
      <c r="F40" s="76">
        <v>2024</v>
      </c>
      <c r="G40" s="76" t="s">
        <v>4</v>
      </c>
      <c r="H40" s="83">
        <v>563.6763071198169</v>
      </c>
      <c r="I40" s="83">
        <v>446.66833151042374</v>
      </c>
      <c r="J40" s="83">
        <v>4736.728729388441</v>
      </c>
      <c r="K40" s="83">
        <v>5081.1532855883843</v>
      </c>
      <c r="L40" s="81"/>
      <c r="M40" s="81"/>
      <c r="N40" s="81"/>
      <c r="O40" s="81"/>
      <c r="P40" s="81" t="s">
        <v>199</v>
      </c>
      <c r="Q40" s="81" t="s">
        <v>208</v>
      </c>
      <c r="R40" s="110">
        <v>58035000</v>
      </c>
      <c r="S40" s="76"/>
    </row>
    <row r="41" spans="1:19">
      <c r="A41" s="76" t="s">
        <v>205</v>
      </c>
      <c r="B41" s="76">
        <v>2015</v>
      </c>
      <c r="C41" s="76" t="s">
        <v>210</v>
      </c>
      <c r="D41" s="76" t="s">
        <v>207</v>
      </c>
      <c r="E41" s="76" t="s">
        <v>192</v>
      </c>
      <c r="F41" s="76">
        <v>2024</v>
      </c>
      <c r="G41" s="76" t="s">
        <v>4</v>
      </c>
      <c r="H41" s="83">
        <v>798.16358341599573</v>
      </c>
      <c r="I41" s="83">
        <v>681.15560780660269</v>
      </c>
      <c r="J41" s="83">
        <v>4971.2160056846187</v>
      </c>
      <c r="K41" s="83">
        <v>5331.5642266836239</v>
      </c>
      <c r="L41" s="81">
        <v>4.4848521180141189E-2</v>
      </c>
      <c r="M41" s="81">
        <v>0.64842188037760773</v>
      </c>
      <c r="N41" s="81">
        <v>0.11691569009771825</v>
      </c>
      <c r="O41" s="81">
        <v>0.1898139083445326</v>
      </c>
      <c r="P41" s="81" t="s">
        <v>199</v>
      </c>
      <c r="Q41" s="81" t="s">
        <v>208</v>
      </c>
      <c r="R41" s="110">
        <v>58035000</v>
      </c>
      <c r="S41" s="76" t="s">
        <v>211</v>
      </c>
    </row>
    <row r="42" spans="1:19">
      <c r="A42" s="76" t="s">
        <v>245</v>
      </c>
      <c r="B42" s="76">
        <v>2024</v>
      </c>
      <c r="C42" s="1" t="s">
        <v>246</v>
      </c>
      <c r="D42" s="76" t="s">
        <v>191</v>
      </c>
      <c r="E42" s="76" t="s">
        <v>198</v>
      </c>
      <c r="F42" s="76">
        <v>2024</v>
      </c>
      <c r="G42" s="76" t="s">
        <v>249</v>
      </c>
      <c r="H42" s="83">
        <v>5186.3474368779916</v>
      </c>
      <c r="I42" s="83">
        <v>3173.2144302457482</v>
      </c>
      <c r="J42" s="83">
        <v>5382.0948589779318</v>
      </c>
      <c r="K42" s="83">
        <v>5444.7029327892942</v>
      </c>
      <c r="L42" s="81">
        <v>7.1238460018318572E-2</v>
      </c>
      <c r="M42" s="81">
        <v>0.60339732600548546</v>
      </c>
      <c r="N42" s="81">
        <v>0.30888454439636298</v>
      </c>
      <c r="O42" s="81">
        <v>1.6479669579832712E-2</v>
      </c>
      <c r="P42" s="81" t="s">
        <v>199</v>
      </c>
      <c r="Q42" s="81" t="s">
        <v>194</v>
      </c>
      <c r="R42" s="85">
        <v>1250000000</v>
      </c>
      <c r="S42" s="76"/>
    </row>
    <row r="43" spans="1:19">
      <c r="A43" s="76" t="s">
        <v>218</v>
      </c>
      <c r="B43" s="76">
        <v>2021</v>
      </c>
      <c r="C43" s="76" t="s">
        <v>219</v>
      </c>
      <c r="D43" s="76" t="s">
        <v>191</v>
      </c>
      <c r="E43" s="76" t="s">
        <v>192</v>
      </c>
      <c r="F43" s="76">
        <v>2050</v>
      </c>
      <c r="G43" s="76" t="s">
        <v>221</v>
      </c>
      <c r="H43" s="83">
        <v>597.79761883839126</v>
      </c>
      <c r="I43" s="83">
        <v>-2.4740158108472485</v>
      </c>
      <c r="J43" s="83">
        <v>221.50429580391224</v>
      </c>
      <c r="K43" s="83">
        <v>211.49601802328516</v>
      </c>
      <c r="L43" s="81">
        <v>0.15619649248174697</v>
      </c>
      <c r="M43" s="81">
        <v>0.19307725219690519</v>
      </c>
      <c r="N43" s="81">
        <v>0.17953101637405333</v>
      </c>
      <c r="O43" s="81">
        <v>0.4711952389472942</v>
      </c>
      <c r="P43" s="81" t="s">
        <v>199</v>
      </c>
      <c r="Q43" s="81" t="s">
        <v>194</v>
      </c>
      <c r="R43" s="85">
        <v>87000000</v>
      </c>
      <c r="S43" s="76"/>
    </row>
    <row r="44" spans="1:19">
      <c r="A44" s="76" t="s">
        <v>218</v>
      </c>
      <c r="B44" s="76">
        <v>2021</v>
      </c>
      <c r="C44" s="76" t="s">
        <v>219</v>
      </c>
      <c r="D44" s="76" t="s">
        <v>191</v>
      </c>
      <c r="E44" s="76" t="s">
        <v>192</v>
      </c>
      <c r="F44" s="76">
        <v>2050</v>
      </c>
      <c r="G44" s="76" t="s">
        <v>224</v>
      </c>
      <c r="H44" s="83">
        <v>1954.9192922932341</v>
      </c>
      <c r="I44" s="83">
        <v>922.50412707483281</v>
      </c>
      <c r="J44" s="83">
        <v>1494.5327104906623</v>
      </c>
      <c r="K44" s="83">
        <v>1476.5570769653843</v>
      </c>
      <c r="L44" s="76"/>
      <c r="M44" s="76"/>
      <c r="N44" s="76"/>
      <c r="O44" s="76"/>
      <c r="P44" s="81" t="s">
        <v>199</v>
      </c>
      <c r="Q44" s="81" t="s">
        <v>194</v>
      </c>
      <c r="R44" s="85">
        <v>35000000</v>
      </c>
      <c r="S44" s="76"/>
    </row>
    <row r="45" spans="1:19">
      <c r="A45" s="76" t="s">
        <v>218</v>
      </c>
      <c r="B45" s="76">
        <v>2021</v>
      </c>
      <c r="C45" s="76" t="s">
        <v>219</v>
      </c>
      <c r="D45" s="76" t="s">
        <v>191</v>
      </c>
      <c r="E45" s="76" t="s">
        <v>192</v>
      </c>
      <c r="F45" s="76">
        <v>2050</v>
      </c>
      <c r="G45" s="76" t="s">
        <v>223</v>
      </c>
      <c r="H45" s="83">
        <v>1692.7912975423517</v>
      </c>
      <c r="I45" s="83">
        <v>527.06464907439192</v>
      </c>
      <c r="J45" s="83">
        <v>942.84932004516065</v>
      </c>
      <c r="K45" s="83">
        <v>929.2252539117469</v>
      </c>
      <c r="L45" s="76"/>
      <c r="M45" s="76"/>
      <c r="N45" s="76"/>
      <c r="O45" s="76"/>
      <c r="P45" s="81" t="s">
        <v>199</v>
      </c>
      <c r="Q45" s="81" t="s">
        <v>194</v>
      </c>
      <c r="R45" s="85">
        <v>48000000</v>
      </c>
      <c r="S45" s="76"/>
    </row>
    <row r="46" spans="1:19">
      <c r="A46" s="76" t="s">
        <v>218</v>
      </c>
      <c r="B46" s="76">
        <v>2021</v>
      </c>
      <c r="C46" s="76" t="s">
        <v>219</v>
      </c>
      <c r="D46" s="76" t="s">
        <v>191</v>
      </c>
      <c r="E46" s="76" t="s">
        <v>192</v>
      </c>
      <c r="F46" s="76">
        <v>2050</v>
      </c>
      <c r="G46" s="76" t="s">
        <v>220</v>
      </c>
      <c r="H46" s="83">
        <v>310.79679657966193</v>
      </c>
      <c r="I46" s="83">
        <v>-247.26936144190873</v>
      </c>
      <c r="J46" s="83">
        <v>59.120993905189529</v>
      </c>
      <c r="K46" s="83">
        <v>49.130601477702783</v>
      </c>
      <c r="L46" s="76"/>
      <c r="M46" s="76"/>
      <c r="N46" s="76"/>
      <c r="O46" s="76"/>
      <c r="P46" s="81" t="s">
        <v>199</v>
      </c>
      <c r="Q46" s="81" t="s">
        <v>194</v>
      </c>
      <c r="R46" s="85">
        <v>69000000</v>
      </c>
      <c r="S46" s="76"/>
    </row>
    <row r="47" spans="1:19">
      <c r="A47" s="76" t="s">
        <v>218</v>
      </c>
      <c r="B47" s="76">
        <v>2021</v>
      </c>
      <c r="C47" s="76" t="s">
        <v>219</v>
      </c>
      <c r="D47" s="76" t="s">
        <v>191</v>
      </c>
      <c r="E47" s="76" t="s">
        <v>192</v>
      </c>
      <c r="F47" s="76">
        <v>2050</v>
      </c>
      <c r="G47" s="76" t="s">
        <v>222</v>
      </c>
      <c r="H47" s="83">
        <v>628.73238316672519</v>
      </c>
      <c r="I47" s="83">
        <v>-86.9804925545412</v>
      </c>
      <c r="J47" s="83">
        <v>232.16964348784285</v>
      </c>
      <c r="K47" s="83">
        <v>221.79310497095491</v>
      </c>
      <c r="L47" s="76"/>
      <c r="M47" s="76"/>
      <c r="N47" s="76"/>
      <c r="O47" s="76"/>
      <c r="P47" s="81" t="s">
        <v>199</v>
      </c>
      <c r="Q47" s="81" t="s">
        <v>194</v>
      </c>
      <c r="R47" s="85">
        <v>68000000</v>
      </c>
      <c r="S47" s="76"/>
    </row>
    <row r="48" spans="1:19">
      <c r="A48" s="76"/>
      <c r="B48" s="76"/>
      <c r="C48" s="76"/>
      <c r="D48" s="76"/>
      <c r="E48" s="76"/>
      <c r="F48" s="76"/>
      <c r="G48" s="76"/>
      <c r="H48" s="83"/>
      <c r="I48" s="83"/>
      <c r="J48" s="83"/>
      <c r="K48" s="83"/>
      <c r="L48" s="76"/>
      <c r="M48" s="76"/>
      <c r="N48" s="76"/>
      <c r="O48" s="76"/>
      <c r="P48" s="76"/>
      <c r="Q48" s="76"/>
      <c r="R48" s="76"/>
      <c r="S48" s="76"/>
    </row>
    <row r="49" spans="1:1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83"/>
      <c r="L49" s="76"/>
      <c r="M49" s="76"/>
      <c r="N49" s="76"/>
      <c r="O49" s="76"/>
      <c r="P49" s="76"/>
      <c r="Q49" s="76"/>
      <c r="R49" s="76"/>
      <c r="S49" s="76"/>
    </row>
    <row r="50" spans="1:19">
      <c r="A50" s="76"/>
      <c r="B50" s="76"/>
      <c r="C50" s="76"/>
      <c r="D50" s="76"/>
      <c r="E50" s="76"/>
      <c r="F50" s="76"/>
      <c r="G50" s="76"/>
      <c r="H50" s="83"/>
      <c r="I50" s="83"/>
      <c r="J50" s="76"/>
      <c r="K50" s="76"/>
      <c r="L50" s="76"/>
      <c r="M50" s="76"/>
      <c r="N50" s="76"/>
      <c r="O50" s="76"/>
      <c r="P50" s="76"/>
      <c r="Q50" s="76"/>
      <c r="R50" s="76"/>
      <c r="S50" s="76"/>
    </row>
  </sheetData>
  <hyperlinks>
    <hyperlink ref="C3" r:id="rId1" xr:uid="{301E88D5-6B4E-E042-9065-E949A22E30A8}"/>
    <hyperlink ref="C4" r:id="rId2" xr:uid="{C6ADE62C-D4E1-7446-BED9-E166130DC48A}"/>
    <hyperlink ref="C7" r:id="rId3" tooltip="Persistent link using digital object identifier" xr:uid="{AF282AA2-1918-1343-90D9-F13AC925F1AC}"/>
    <hyperlink ref="C8" r:id="rId4" display="https://onlinelibrary.wiley.com/doi/full/10.1002/cite.201700129?saml_referrer" xr:uid="{39DC688D-39B9-1941-B762-01D43EA12284}"/>
    <hyperlink ref="C9" r:id="rId5" display="https://onlinelibrary.wiley.com/doi/full/10.1002/cite.201700129?saml_referrer" xr:uid="{78DA0909-9087-4440-83D9-74B12C805905}"/>
    <hyperlink ref="C10" r:id="rId6" display="https://onlinelibrary.wiley.com/doi/full/10.1002/cite.201700129?saml_referrer" xr:uid="{DEE5A8B0-C7B7-D643-80FB-B5330CE53A43}"/>
    <hyperlink ref="C12" r:id="rId7" xr:uid="{CB71C3CA-6EFC-FD48-BAA9-6FE7F7B2CD1A}"/>
    <hyperlink ref="C13" r:id="rId8" xr:uid="{450725B4-5BDC-E54B-87FC-845142B23D2C}"/>
    <hyperlink ref="C18" r:id="rId9" display="https://onlinelibrary.wiley.com/doi/full/10.1002/cite.201700129?saml_referrer" xr:uid="{1CB0B31A-AC51-7E41-909B-8F1D2C99A000}"/>
    <hyperlink ref="C19" r:id="rId10" xr:uid="{B408422C-2953-3944-AB11-E85E0185154C}"/>
    <hyperlink ref="C21" r:id="rId11" display="https://onlinelibrary.wiley.com/doi/full/10.1002/cite.201700129?saml_referrer" xr:uid="{58B6249B-D71C-6449-8A03-8F8C4FBCFF76}"/>
    <hyperlink ref="C22" r:id="rId12" display="https://onlinelibrary.wiley.com/doi/full/10.1002/cite.201700129?saml_referrer" xr:uid="{6E09594B-6EDD-654C-A3FA-036C8D1D9D43}"/>
    <hyperlink ref="C23" r:id="rId13" xr:uid="{F0343DD4-3090-BF4B-B6A9-17265D57C89C}"/>
    <hyperlink ref="C24" r:id="rId14" tooltip="Persistent link using digital object identifier" xr:uid="{6E89BF25-0E9F-A54F-ABF2-1F10225D09B3}"/>
    <hyperlink ref="C25" r:id="rId15" xr:uid="{FC24E791-A9C8-D74D-AE83-454AD40F15AD}"/>
    <hyperlink ref="C28" r:id="rId16" location="s0005" display="https://www.sciencedirect.com/science/article/pii/S0196890423007732?via%3Dihub - s0005" xr:uid="{B3ADE5C5-D85C-7E44-B2C8-1F0CAD28BA41}"/>
    <hyperlink ref="C30" r:id="rId17" tooltip="Persistent link using digital object identifier" xr:uid="{9850EB79-C408-924F-99DE-9D146E455692}"/>
    <hyperlink ref="C32" r:id="rId18" tooltip="DOI URL" xr:uid="{F4608C23-A556-E643-9976-41A6B462F1C3}"/>
    <hyperlink ref="C42" r:id="rId19" tooltip="DOI URL" xr:uid="{957CC29E-DBAD-8640-94E6-BE756330307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6484-BAD8-A64B-B5F1-8D51E77CF113}">
  <dimension ref="A1:S48"/>
  <sheetViews>
    <sheetView topLeftCell="I1" workbookViewId="0">
      <selection activeCell="G14" sqref="G14"/>
    </sheetView>
  </sheetViews>
  <sheetFormatPr defaultColWidth="11.25" defaultRowHeight="15.6"/>
  <cols>
    <col min="1" max="1" width="18.25" bestFit="1" customWidth="1"/>
  </cols>
  <sheetData>
    <row r="1" spans="1:19">
      <c r="A1" t="s">
        <v>459</v>
      </c>
      <c r="B1" t="s">
        <v>2</v>
      </c>
      <c r="H1" t="s">
        <v>460</v>
      </c>
      <c r="L1" t="s">
        <v>461</v>
      </c>
      <c r="S1" t="s">
        <v>291</v>
      </c>
    </row>
    <row r="2" spans="1:19">
      <c r="A2" t="s">
        <v>4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 t="s">
        <v>177</v>
      </c>
      <c r="H2" t="s">
        <v>178</v>
      </c>
      <c r="I2" t="s">
        <v>179</v>
      </c>
      <c r="J2" t="s">
        <v>180</v>
      </c>
      <c r="K2" t="s">
        <v>181</v>
      </c>
      <c r="L2" t="s">
        <v>182</v>
      </c>
      <c r="M2" t="s">
        <v>183</v>
      </c>
      <c r="N2" t="s">
        <v>184</v>
      </c>
      <c r="O2" t="s">
        <v>185</v>
      </c>
      <c r="P2" s="80" t="s">
        <v>186</v>
      </c>
      <c r="Q2" t="s">
        <v>187</v>
      </c>
      <c r="R2" t="s">
        <v>188</v>
      </c>
    </row>
    <row r="3" spans="1:19">
      <c r="A3" t="s">
        <v>229</v>
      </c>
      <c r="B3">
        <v>2023</v>
      </c>
      <c r="C3" t="s">
        <v>230</v>
      </c>
      <c r="D3" t="s">
        <v>207</v>
      </c>
      <c r="E3" t="s">
        <v>192</v>
      </c>
      <c r="F3">
        <v>2024</v>
      </c>
      <c r="G3" t="s">
        <v>178</v>
      </c>
      <c r="H3">
        <v>838.67848132376116</v>
      </c>
      <c r="I3" s="75">
        <v>793.0780119999705</v>
      </c>
      <c r="J3" s="75">
        <v>1421.7577259894495</v>
      </c>
      <c r="K3" s="75">
        <v>1486.7374453547263</v>
      </c>
      <c r="L3" s="75">
        <v>-5.9549308921026486E-2</v>
      </c>
      <c r="M3" s="80">
        <v>0.68508807041620634</v>
      </c>
      <c r="N3" s="80">
        <v>0.23309418080865046</v>
      </c>
      <c r="O3" s="80">
        <v>0.14136705769616995</v>
      </c>
      <c r="P3" s="80" t="s">
        <v>193</v>
      </c>
      <c r="Q3" t="s">
        <v>208</v>
      </c>
      <c r="R3">
        <v>31354838</v>
      </c>
      <c r="S3" t="s">
        <v>231</v>
      </c>
    </row>
    <row r="4" spans="1:19">
      <c r="A4" t="s">
        <v>256</v>
      </c>
      <c r="B4">
        <v>2024</v>
      </c>
      <c r="C4" t="s">
        <v>257</v>
      </c>
      <c r="D4" t="s">
        <v>191</v>
      </c>
      <c r="E4" t="s">
        <v>192</v>
      </c>
      <c r="F4">
        <v>2050</v>
      </c>
      <c r="G4" t="s">
        <v>178</v>
      </c>
      <c r="H4">
        <v>722.87277193760519</v>
      </c>
      <c r="I4" s="75">
        <v>698.76814470374268</v>
      </c>
      <c r="J4" s="75">
        <v>996.12746400731635</v>
      </c>
      <c r="K4" s="75">
        <v>1015.603356230797</v>
      </c>
      <c r="L4" s="75">
        <v>0.36581603108678235</v>
      </c>
      <c r="M4" s="80">
        <v>0.42106952177855445</v>
      </c>
      <c r="N4" s="80">
        <v>0.13952768851248726</v>
      </c>
      <c r="O4" s="80">
        <v>7.3586758622175827E-2</v>
      </c>
      <c r="P4" s="80" t="s">
        <v>199</v>
      </c>
      <c r="Q4" t="s">
        <v>258</v>
      </c>
      <c r="R4">
        <v>2110761</v>
      </c>
    </row>
    <row r="5" spans="1:19">
      <c r="A5" t="s">
        <v>227</v>
      </c>
      <c r="B5">
        <v>2024</v>
      </c>
      <c r="C5" t="s">
        <v>228</v>
      </c>
      <c r="D5" t="s">
        <v>191</v>
      </c>
      <c r="E5" t="s">
        <v>192</v>
      </c>
      <c r="H5">
        <v>1678.5512402252382</v>
      </c>
      <c r="I5" s="75">
        <v>1330.6141668859134</v>
      </c>
      <c r="J5" s="75">
        <v>3382.6071697921725</v>
      </c>
      <c r="K5" s="75">
        <v>3347.2914258856558</v>
      </c>
      <c r="L5" s="75"/>
      <c r="M5" s="80"/>
      <c r="N5" s="80"/>
      <c r="O5" s="80"/>
      <c r="P5" s="80" t="s">
        <v>199</v>
      </c>
      <c r="Q5" t="s">
        <v>194</v>
      </c>
      <c r="R5">
        <v>3650000</v>
      </c>
    </row>
    <row r="6" spans="1:19">
      <c r="A6" t="s">
        <v>218</v>
      </c>
      <c r="B6">
        <v>2021</v>
      </c>
      <c r="C6" t="s">
        <v>219</v>
      </c>
      <c r="D6" t="s">
        <v>191</v>
      </c>
      <c r="E6" t="s">
        <v>192</v>
      </c>
      <c r="F6">
        <v>2024</v>
      </c>
      <c r="G6" t="s">
        <v>220</v>
      </c>
      <c r="H6">
        <v>1401.7194727681938</v>
      </c>
      <c r="I6" s="75">
        <v>722.24835428321046</v>
      </c>
      <c r="J6" s="75">
        <v>1835.9010133302224</v>
      </c>
      <c r="K6" s="75">
        <v>1821.5991168342946</v>
      </c>
      <c r="L6" s="75"/>
      <c r="M6" s="80"/>
      <c r="N6" s="80"/>
      <c r="O6" s="80"/>
      <c r="P6" s="80" t="s">
        <v>199</v>
      </c>
      <c r="Q6" t="s">
        <v>194</v>
      </c>
      <c r="R6">
        <v>69000000</v>
      </c>
    </row>
    <row r="7" spans="1:19">
      <c r="A7" t="s">
        <v>218</v>
      </c>
      <c r="B7">
        <v>2021</v>
      </c>
      <c r="C7" t="s">
        <v>219</v>
      </c>
      <c r="D7" t="s">
        <v>191</v>
      </c>
      <c r="E7" t="s">
        <v>192</v>
      </c>
      <c r="F7">
        <v>2024</v>
      </c>
      <c r="G7" t="s">
        <v>221</v>
      </c>
      <c r="H7">
        <v>1892.306418410411</v>
      </c>
      <c r="I7" s="75">
        <v>1097.7096127003431</v>
      </c>
      <c r="J7" s="75">
        <v>1959.8017581903209</v>
      </c>
      <c r="K7" s="75">
        <v>1943.924445229954</v>
      </c>
      <c r="L7" s="75">
        <v>0.19014910760138215</v>
      </c>
      <c r="M7" s="80">
        <v>0.42429751790767684</v>
      </c>
      <c r="N7" s="80">
        <v>0.21340218339560768</v>
      </c>
      <c r="O7" s="80">
        <v>0.1721511910953335</v>
      </c>
      <c r="P7" s="80" t="s">
        <v>199</v>
      </c>
      <c r="Q7" t="s">
        <v>194</v>
      </c>
      <c r="R7">
        <v>87000000</v>
      </c>
    </row>
    <row r="8" spans="1:19">
      <c r="A8" t="s">
        <v>203</v>
      </c>
      <c r="B8">
        <v>2018</v>
      </c>
      <c r="C8" t="s">
        <v>204</v>
      </c>
      <c r="D8" t="s">
        <v>191</v>
      </c>
      <c r="E8" t="s">
        <v>192</v>
      </c>
      <c r="F8">
        <v>2024</v>
      </c>
      <c r="H8">
        <v>1144.7870679308462</v>
      </c>
      <c r="I8" s="75">
        <v>717.33157452286355</v>
      </c>
      <c r="J8" s="75">
        <v>2278.5389057854431</v>
      </c>
      <c r="K8" s="75">
        <v>2313.9915105121499</v>
      </c>
      <c r="L8" s="75">
        <v>0.11002478551214247</v>
      </c>
      <c r="M8" s="80">
        <v>0.32309926188801724</v>
      </c>
      <c r="N8" s="80">
        <v>0.51966602210730239</v>
      </c>
      <c r="O8" s="80">
        <v>4.7209930492537917E-2</v>
      </c>
      <c r="P8" s="80" t="s">
        <v>199</v>
      </c>
      <c r="Q8" t="s">
        <v>194</v>
      </c>
    </row>
    <row r="9" spans="1:19">
      <c r="A9" t="s">
        <v>250</v>
      </c>
      <c r="B9">
        <v>2024</v>
      </c>
      <c r="C9" t="s">
        <v>251</v>
      </c>
      <c r="D9" t="s">
        <v>191</v>
      </c>
      <c r="E9" t="s">
        <v>192</v>
      </c>
      <c r="F9">
        <v>2050</v>
      </c>
      <c r="G9" t="s">
        <v>252</v>
      </c>
      <c r="H9">
        <v>1393.4728832610231</v>
      </c>
      <c r="I9" s="75">
        <v>1037.1785901001817</v>
      </c>
      <c r="J9" s="75">
        <v>1405.1233111315405</v>
      </c>
      <c r="K9" s="75">
        <v>1278.503742429825</v>
      </c>
      <c r="L9" s="75">
        <v>0.31920876469830645</v>
      </c>
      <c r="M9" s="80">
        <v>0.46393459545237714</v>
      </c>
      <c r="N9" s="80">
        <v>0.17887399251640163</v>
      </c>
      <c r="O9" s="80">
        <v>3.7982647332914135E-2</v>
      </c>
      <c r="P9" s="80" t="s">
        <v>193</v>
      </c>
      <c r="Q9" t="s">
        <v>194</v>
      </c>
      <c r="R9">
        <v>1000000</v>
      </c>
    </row>
    <row r="10" spans="1:19">
      <c r="A10" t="s">
        <v>250</v>
      </c>
      <c r="B10">
        <v>2024</v>
      </c>
      <c r="C10" t="s">
        <v>251</v>
      </c>
      <c r="D10" t="s">
        <v>191</v>
      </c>
      <c r="E10" t="s">
        <v>192</v>
      </c>
      <c r="F10">
        <v>2050</v>
      </c>
      <c r="G10" t="s">
        <v>253</v>
      </c>
      <c r="H10">
        <v>1651.2877075211616</v>
      </c>
      <c r="I10" s="75">
        <v>1046.3045597508415</v>
      </c>
      <c r="J10" s="75">
        <v>1414.2492807822002</v>
      </c>
      <c r="K10" s="75">
        <v>1286.4773926651051</v>
      </c>
      <c r="L10" s="75"/>
      <c r="M10" s="80"/>
      <c r="N10" s="80"/>
      <c r="O10" s="80"/>
      <c r="P10" s="80" t="s">
        <v>193</v>
      </c>
      <c r="Q10" t="s">
        <v>194</v>
      </c>
      <c r="R10">
        <v>1000000</v>
      </c>
    </row>
    <row r="11" spans="1:19">
      <c r="A11" t="s">
        <v>250</v>
      </c>
      <c r="B11">
        <v>2024</v>
      </c>
      <c r="C11" t="s">
        <v>251</v>
      </c>
      <c r="D11" t="s">
        <v>191</v>
      </c>
      <c r="E11" t="s">
        <v>192</v>
      </c>
      <c r="F11">
        <v>2050</v>
      </c>
      <c r="G11" t="s">
        <v>254</v>
      </c>
      <c r="H11">
        <v>1392.5582046364345</v>
      </c>
      <c r="I11" s="75">
        <v>1036.2639114755937</v>
      </c>
      <c r="J11" s="75">
        <v>1404.2086325069524</v>
      </c>
      <c r="K11" s="75">
        <v>1277.8940895328378</v>
      </c>
      <c r="L11" s="75"/>
      <c r="M11" s="80"/>
      <c r="N11" s="80"/>
      <c r="O11" s="80"/>
      <c r="P11" s="80" t="s">
        <v>193</v>
      </c>
      <c r="Q11" t="s">
        <v>194</v>
      </c>
      <c r="R11">
        <v>1000000</v>
      </c>
    </row>
    <row r="12" spans="1:19">
      <c r="A12" t="s">
        <v>218</v>
      </c>
      <c r="B12">
        <v>2021</v>
      </c>
      <c r="C12" t="s">
        <v>219</v>
      </c>
      <c r="D12" t="s">
        <v>191</v>
      </c>
      <c r="E12" t="s">
        <v>192</v>
      </c>
      <c r="F12">
        <v>2024</v>
      </c>
      <c r="G12" t="s">
        <v>222</v>
      </c>
      <c r="H12">
        <v>1836.4319057985037</v>
      </c>
      <c r="I12" s="75">
        <v>874.39757042706287</v>
      </c>
      <c r="J12" s="75">
        <v>2148.2136366227928</v>
      </c>
      <c r="K12" s="75">
        <v>2130.2426621643453</v>
      </c>
      <c r="L12" s="75"/>
      <c r="M12" s="80"/>
      <c r="N12" s="80"/>
      <c r="O12" s="80"/>
      <c r="P12" s="80" t="s">
        <v>199</v>
      </c>
      <c r="Q12" t="s">
        <v>194</v>
      </c>
      <c r="R12">
        <v>68000000</v>
      </c>
    </row>
    <row r="13" spans="1:19">
      <c r="A13" t="s">
        <v>260</v>
      </c>
      <c r="B13">
        <v>2021</v>
      </c>
      <c r="C13" t="s">
        <v>261</v>
      </c>
      <c r="D13" t="s">
        <v>191</v>
      </c>
      <c r="E13" t="s">
        <v>192</v>
      </c>
      <c r="F13">
        <v>2024</v>
      </c>
      <c r="G13" t="s">
        <v>178</v>
      </c>
      <c r="H13">
        <v>1253.5068943464178</v>
      </c>
      <c r="I13" s="75">
        <v>1492.0451155670173</v>
      </c>
      <c r="J13" s="75">
        <v>2214.5518213468254</v>
      </c>
      <c r="K13" s="75">
        <v>1956.5357991548406</v>
      </c>
      <c r="L13" s="75"/>
      <c r="M13" s="80"/>
      <c r="N13" s="80"/>
      <c r="O13" s="80"/>
      <c r="P13" s="80" t="s">
        <v>199</v>
      </c>
      <c r="Q13" t="s">
        <v>258</v>
      </c>
      <c r="R13" t="s">
        <v>85</v>
      </c>
    </row>
    <row r="14" spans="1:19">
      <c r="A14" t="s">
        <v>262</v>
      </c>
      <c r="B14">
        <v>2021</v>
      </c>
      <c r="C14" t="s">
        <v>263</v>
      </c>
      <c r="D14" t="s">
        <v>191</v>
      </c>
      <c r="E14" t="s">
        <v>192</v>
      </c>
      <c r="I14" s="75"/>
      <c r="J14" s="75"/>
      <c r="K14" s="75"/>
      <c r="L14" s="75"/>
      <c r="M14" s="80"/>
      <c r="N14" s="80"/>
      <c r="O14" s="80"/>
      <c r="P14" s="80" t="s">
        <v>199</v>
      </c>
      <c r="Q14" t="s">
        <v>258</v>
      </c>
      <c r="R14" t="s">
        <v>85</v>
      </c>
    </row>
    <row r="15" spans="1:19">
      <c r="A15" t="s">
        <v>196</v>
      </c>
      <c r="B15">
        <v>2024</v>
      </c>
      <c r="C15" t="s">
        <v>197</v>
      </c>
      <c r="D15" t="s">
        <v>191</v>
      </c>
      <c r="E15" t="s">
        <v>198</v>
      </c>
      <c r="F15">
        <v>2024</v>
      </c>
      <c r="H15">
        <v>2404.7474592934755</v>
      </c>
      <c r="I15" s="75">
        <v>2435.2345642939222</v>
      </c>
      <c r="J15" s="75">
        <v>2575.7824042780635</v>
      </c>
      <c r="K15" s="75">
        <v>2555.1300501431251</v>
      </c>
      <c r="L15" s="75">
        <v>5.445168642647661E-2</v>
      </c>
      <c r="M15" s="80">
        <v>0.62743119451311191</v>
      </c>
      <c r="N15" s="80">
        <v>0.30588184525039563</v>
      </c>
      <c r="O15" s="80">
        <v>1.2235273810015825E-2</v>
      </c>
      <c r="P15" s="80" t="s">
        <v>199</v>
      </c>
      <c r="Q15" t="s">
        <v>194</v>
      </c>
      <c r="R15" t="s">
        <v>85</v>
      </c>
      <c r="S15" t="s">
        <v>200</v>
      </c>
    </row>
    <row r="16" spans="1:19">
      <c r="A16" t="s">
        <v>229</v>
      </c>
      <c r="B16">
        <v>2023</v>
      </c>
      <c r="C16" t="s">
        <v>230</v>
      </c>
      <c r="D16" t="s">
        <v>207</v>
      </c>
      <c r="E16" t="s">
        <v>192</v>
      </c>
      <c r="F16">
        <v>2050</v>
      </c>
      <c r="G16" t="s">
        <v>178</v>
      </c>
      <c r="H16">
        <v>982.34007487695158</v>
      </c>
      <c r="I16" s="75">
        <v>982.36417725589536</v>
      </c>
      <c r="J16" s="75">
        <v>1321.1770799293151</v>
      </c>
      <c r="K16" s="75">
        <v>1420.6675769087401</v>
      </c>
      <c r="L16" s="75">
        <v>-3.0173340952621544E-5</v>
      </c>
      <c r="M16" s="80">
        <v>0.5159068314201406</v>
      </c>
      <c r="N16" s="80">
        <v>0.34032940955934426</v>
      </c>
      <c r="O16" s="80">
        <v>0.14379393236146765</v>
      </c>
      <c r="P16" s="80" t="s">
        <v>193</v>
      </c>
      <c r="Q16" t="s">
        <v>208</v>
      </c>
      <c r="R16">
        <v>31354838</v>
      </c>
    </row>
    <row r="17" spans="1:19">
      <c r="A17" t="s">
        <v>229</v>
      </c>
      <c r="B17">
        <v>2023</v>
      </c>
      <c r="C17" t="s">
        <v>230</v>
      </c>
      <c r="D17" t="s">
        <v>207</v>
      </c>
      <c r="E17" t="s">
        <v>192</v>
      </c>
      <c r="F17">
        <v>2050</v>
      </c>
      <c r="G17" t="s">
        <v>232</v>
      </c>
      <c r="H17">
        <v>825.35924064089488</v>
      </c>
      <c r="I17" s="75">
        <v>825.38334301983934</v>
      </c>
      <c r="J17" s="75">
        <v>1164.1962456932588</v>
      </c>
      <c r="K17" s="75">
        <v>1237.727050769447</v>
      </c>
      <c r="L17" s="75"/>
      <c r="M17" s="80"/>
      <c r="N17" s="80"/>
      <c r="O17" s="80"/>
      <c r="P17" s="80" t="s">
        <v>193</v>
      </c>
      <c r="Q17" t="s">
        <v>208</v>
      </c>
      <c r="R17">
        <v>31354838</v>
      </c>
    </row>
    <row r="18" spans="1:19">
      <c r="A18" t="s">
        <v>225</v>
      </c>
      <c r="B18">
        <v>2023</v>
      </c>
      <c r="C18" t="s">
        <v>226</v>
      </c>
      <c r="D18" t="s">
        <v>191</v>
      </c>
      <c r="E18" t="s">
        <v>192</v>
      </c>
      <c r="F18">
        <v>2024</v>
      </c>
      <c r="G18" t="s">
        <v>178</v>
      </c>
      <c r="H18">
        <v>1319.1353928840704</v>
      </c>
      <c r="I18" s="75">
        <v>1306.6049423927925</v>
      </c>
      <c r="J18" s="75">
        <v>2735.0579627374154</v>
      </c>
      <c r="K18" s="75">
        <v>2738.7000320125035</v>
      </c>
      <c r="L18" s="75"/>
      <c r="M18" s="80"/>
      <c r="N18" s="80"/>
      <c r="O18" s="80"/>
      <c r="P18" s="80" t="s">
        <v>199</v>
      </c>
      <c r="Q18" t="s">
        <v>194</v>
      </c>
      <c r="R18" t="s">
        <v>85</v>
      </c>
    </row>
    <row r="19" spans="1:19">
      <c r="A19" t="s">
        <v>250</v>
      </c>
      <c r="B19">
        <v>2024</v>
      </c>
      <c r="C19" t="s">
        <v>251</v>
      </c>
      <c r="D19" t="s">
        <v>191</v>
      </c>
      <c r="E19" t="s">
        <v>192</v>
      </c>
      <c r="F19">
        <v>2024</v>
      </c>
      <c r="G19" t="s">
        <v>253</v>
      </c>
      <c r="H19">
        <v>1389.2341480875168</v>
      </c>
      <c r="I19" s="75">
        <v>1172.0898689755436</v>
      </c>
      <c r="J19" s="75">
        <v>2659.7868057929268</v>
      </c>
      <c r="K19" s="75">
        <v>2553.2692212651232</v>
      </c>
      <c r="L19" s="75"/>
      <c r="M19" s="80"/>
      <c r="N19" s="80"/>
      <c r="O19" s="80"/>
      <c r="P19" s="80" t="s">
        <v>193</v>
      </c>
      <c r="Q19" t="s">
        <v>194</v>
      </c>
      <c r="R19">
        <v>1000000</v>
      </c>
    </row>
    <row r="20" spans="1:19">
      <c r="A20" t="s">
        <v>189</v>
      </c>
      <c r="B20">
        <v>2016</v>
      </c>
      <c r="C20" t="s">
        <v>190</v>
      </c>
      <c r="D20" t="s">
        <v>191</v>
      </c>
      <c r="E20" t="s">
        <v>192</v>
      </c>
      <c r="F20">
        <v>2024</v>
      </c>
      <c r="G20" t="s">
        <v>178</v>
      </c>
      <c r="H20">
        <v>548.19405294181831</v>
      </c>
      <c r="I20" s="75">
        <v>656.19122737021235</v>
      </c>
      <c r="J20" s="75">
        <v>2386.5584758631594</v>
      </c>
      <c r="K20" s="75">
        <v>2466.5878362464205</v>
      </c>
      <c r="L20" s="75"/>
      <c r="M20" s="80"/>
      <c r="N20" s="80"/>
      <c r="O20" s="80"/>
      <c r="P20" s="80" t="s">
        <v>193</v>
      </c>
      <c r="Q20" t="s">
        <v>194</v>
      </c>
      <c r="R20">
        <v>144778221.668742</v>
      </c>
      <c r="S20" t="s">
        <v>195</v>
      </c>
    </row>
    <row r="21" spans="1:19">
      <c r="A21" t="s">
        <v>225</v>
      </c>
      <c r="B21">
        <v>2023</v>
      </c>
      <c r="C21" t="s">
        <v>226</v>
      </c>
      <c r="D21" t="s">
        <v>191</v>
      </c>
      <c r="E21" t="s">
        <v>192</v>
      </c>
      <c r="F21">
        <v>2050</v>
      </c>
      <c r="G21" t="s">
        <v>178</v>
      </c>
      <c r="H21">
        <v>350.60606175775007</v>
      </c>
      <c r="I21" s="75">
        <v>217.99063683860547</v>
      </c>
      <c r="J21" s="75">
        <v>804.40001710277022</v>
      </c>
      <c r="K21" s="75">
        <v>807.05292070830433</v>
      </c>
      <c r="L21" s="75"/>
      <c r="M21" s="80"/>
      <c r="N21" s="80"/>
      <c r="O21" s="80"/>
      <c r="P21" s="80" t="s">
        <v>199</v>
      </c>
      <c r="Q21" t="s">
        <v>194</v>
      </c>
      <c r="R21" t="s">
        <v>85</v>
      </c>
    </row>
    <row r="22" spans="1:19">
      <c r="A22" t="s">
        <v>250</v>
      </c>
      <c r="B22">
        <v>2024</v>
      </c>
      <c r="C22" t="s">
        <v>251</v>
      </c>
      <c r="D22" t="s">
        <v>191</v>
      </c>
      <c r="E22" t="s">
        <v>192</v>
      </c>
      <c r="F22">
        <v>2024</v>
      </c>
      <c r="G22" t="s">
        <v>252</v>
      </c>
      <c r="H22">
        <v>1510.502621501556</v>
      </c>
      <c r="I22" s="75">
        <v>1255.2681500158253</v>
      </c>
      <c r="J22" s="75">
        <v>2657.1582006160684</v>
      </c>
      <c r="K22" s="75">
        <v>2530.7794416821052</v>
      </c>
      <c r="L22" s="75">
        <v>0.20134348894042559</v>
      </c>
      <c r="M22" s="80">
        <v>0.54125942432713947</v>
      </c>
      <c r="N22" s="80">
        <v>0.22754856312650942</v>
      </c>
      <c r="O22" s="80">
        <v>2.9848523605927362E-2</v>
      </c>
      <c r="P22" s="80" t="s">
        <v>193</v>
      </c>
      <c r="Q22" t="s">
        <v>194</v>
      </c>
      <c r="R22">
        <v>1000000</v>
      </c>
      <c r="S22" t="s">
        <v>255</v>
      </c>
    </row>
    <row r="23" spans="1:19">
      <c r="A23" t="s">
        <v>250</v>
      </c>
      <c r="B23">
        <v>2024</v>
      </c>
      <c r="C23" t="s">
        <v>251</v>
      </c>
      <c r="D23" t="s">
        <v>191</v>
      </c>
      <c r="E23" t="s">
        <v>192</v>
      </c>
      <c r="F23">
        <v>2024</v>
      </c>
      <c r="G23" t="s">
        <v>254</v>
      </c>
      <c r="H23">
        <v>1286.1593005235322</v>
      </c>
      <c r="I23" s="75">
        <v>1276.9021662236783</v>
      </c>
      <c r="J23" s="75">
        <v>2064.8890036279522</v>
      </c>
      <c r="K23" s="75">
        <v>2705.116785852254</v>
      </c>
      <c r="L23" s="75"/>
      <c r="M23" s="80"/>
      <c r="N23" s="80"/>
      <c r="O23" s="80"/>
      <c r="P23" s="80" t="s">
        <v>193</v>
      </c>
      <c r="Q23" t="s">
        <v>194</v>
      </c>
      <c r="R23">
        <v>1000000</v>
      </c>
    </row>
    <row r="24" spans="1:19">
      <c r="A24" t="s">
        <v>256</v>
      </c>
      <c r="B24">
        <v>2024</v>
      </c>
      <c r="C24" t="s">
        <v>257</v>
      </c>
      <c r="D24" t="s">
        <v>191</v>
      </c>
      <c r="E24" t="s">
        <v>192</v>
      </c>
      <c r="F24">
        <v>2024</v>
      </c>
      <c r="G24" t="s">
        <v>178</v>
      </c>
      <c r="H24">
        <v>1703.2941883028598</v>
      </c>
      <c r="I24" s="75">
        <v>1744.0992896145076</v>
      </c>
      <c r="J24" s="75">
        <v>2493.7646673531035</v>
      </c>
      <c r="K24" s="75">
        <v>2519.6177479479361</v>
      </c>
      <c r="L24" s="75">
        <v>0.25985878261692258</v>
      </c>
      <c r="M24" s="80">
        <v>0.55324105778868227</v>
      </c>
      <c r="N24" s="80">
        <v>0.1226529203090107</v>
      </c>
      <c r="O24" s="80">
        <v>6.4247239285384367E-2</v>
      </c>
      <c r="P24" s="80" t="s">
        <v>199</v>
      </c>
      <c r="Q24" t="s">
        <v>258</v>
      </c>
      <c r="R24">
        <v>2110761</v>
      </c>
      <c r="S24" t="s">
        <v>259</v>
      </c>
    </row>
    <row r="25" spans="1:19">
      <c r="A25" t="s">
        <v>212</v>
      </c>
      <c r="B25">
        <v>2024</v>
      </c>
      <c r="C25" t="s">
        <v>213</v>
      </c>
      <c r="D25" t="s">
        <v>191</v>
      </c>
      <c r="E25" t="s">
        <v>192</v>
      </c>
      <c r="F25">
        <v>2024</v>
      </c>
      <c r="G25" t="s">
        <v>214</v>
      </c>
      <c r="H25">
        <v>2727.5773261727436</v>
      </c>
      <c r="I25" s="75">
        <v>2805.9551585007839</v>
      </c>
      <c r="J25" s="75">
        <v>2849.8756786120139</v>
      </c>
      <c r="K25" s="75">
        <v>2927.777967986257</v>
      </c>
      <c r="L25" s="75">
        <v>0.19629913386788772</v>
      </c>
      <c r="M25" s="80">
        <v>0.65374157606915917</v>
      </c>
      <c r="N25" s="80">
        <v>0.10228146681708518</v>
      </c>
      <c r="O25" s="80">
        <v>4.7677823245867994E-2</v>
      </c>
      <c r="P25" s="80" t="s">
        <v>199</v>
      </c>
      <c r="Q25" t="s">
        <v>194</v>
      </c>
      <c r="R25">
        <v>39140033.75</v>
      </c>
    </row>
    <row r="26" spans="1:19">
      <c r="A26" t="s">
        <v>260</v>
      </c>
      <c r="B26">
        <v>2021</v>
      </c>
      <c r="C26" t="s">
        <v>261</v>
      </c>
      <c r="D26" t="s">
        <v>191</v>
      </c>
      <c r="E26" t="s">
        <v>192</v>
      </c>
      <c r="F26">
        <v>2050</v>
      </c>
      <c r="G26" t="s">
        <v>178</v>
      </c>
      <c r="H26">
        <v>87.667746475327007</v>
      </c>
      <c r="I26" s="75">
        <v>295.79464096519524</v>
      </c>
      <c r="J26" s="75">
        <v>645.13739413616565</v>
      </c>
      <c r="K26" s="75">
        <v>707.57489138016672</v>
      </c>
      <c r="L26" s="75"/>
      <c r="M26" s="80"/>
      <c r="N26" s="80"/>
      <c r="O26" s="80"/>
      <c r="P26" s="80" t="s">
        <v>199</v>
      </c>
      <c r="Q26" t="s">
        <v>258</v>
      </c>
      <c r="R26" t="s">
        <v>85</v>
      </c>
    </row>
    <row r="27" spans="1:19">
      <c r="A27" t="s">
        <v>201</v>
      </c>
      <c r="B27">
        <v>2024</v>
      </c>
      <c r="D27" t="s">
        <v>191</v>
      </c>
      <c r="E27" t="s">
        <v>192</v>
      </c>
      <c r="M27" s="80"/>
      <c r="N27" s="80"/>
      <c r="O27" s="80"/>
      <c r="P27" s="80" t="s">
        <v>199</v>
      </c>
      <c r="Q27" t="s">
        <v>202</v>
      </c>
      <c r="R27" t="s">
        <v>85</v>
      </c>
    </row>
    <row r="28" spans="1:19">
      <c r="A28" t="s">
        <v>218</v>
      </c>
      <c r="B28">
        <v>2021</v>
      </c>
      <c r="C28" t="s">
        <v>219</v>
      </c>
      <c r="D28" t="s">
        <v>191</v>
      </c>
      <c r="E28" t="s">
        <v>192</v>
      </c>
      <c r="F28">
        <v>2024</v>
      </c>
      <c r="G28" t="s">
        <v>223</v>
      </c>
      <c r="H28">
        <v>4532.6406257566032</v>
      </c>
      <c r="I28">
        <v>3020.0459386846719</v>
      </c>
      <c r="J28">
        <v>5683.951954695528</v>
      </c>
      <c r="K28">
        <v>5646.3743571136838</v>
      </c>
      <c r="M28" s="80"/>
      <c r="N28" s="80"/>
      <c r="O28" s="80"/>
      <c r="P28" s="80" t="s">
        <v>199</v>
      </c>
      <c r="Q28" t="s">
        <v>194</v>
      </c>
      <c r="R28">
        <v>48000000</v>
      </c>
    </row>
    <row r="29" spans="1:19">
      <c r="A29" t="s">
        <v>242</v>
      </c>
      <c r="B29">
        <v>2023</v>
      </c>
      <c r="C29" t="s">
        <v>243</v>
      </c>
      <c r="D29" t="s">
        <v>191</v>
      </c>
      <c r="E29" t="s">
        <v>192</v>
      </c>
      <c r="F29">
        <v>2024</v>
      </c>
      <c r="H29">
        <v>1755.1259920054924</v>
      </c>
      <c r="I29">
        <v>1456.3451717240093</v>
      </c>
      <c r="J29">
        <v>3092.0351171600601</v>
      </c>
      <c r="K29">
        <v>3109.819000988336</v>
      </c>
      <c r="L29">
        <v>0.28620652613279013</v>
      </c>
      <c r="M29" s="80">
        <v>0.47089020808174514</v>
      </c>
      <c r="N29" s="80">
        <v>2.5500913984063858E-2</v>
      </c>
      <c r="O29" s="80">
        <v>0.21740235180140077</v>
      </c>
      <c r="P29" s="80" t="s">
        <v>199</v>
      </c>
      <c r="Q29" t="s">
        <v>235</v>
      </c>
      <c r="R29">
        <v>25105853.051058531</v>
      </c>
      <c r="S29" t="s">
        <v>244</v>
      </c>
    </row>
    <row r="30" spans="1:19">
      <c r="A30" t="s">
        <v>218</v>
      </c>
      <c r="B30">
        <v>2021</v>
      </c>
      <c r="C30" t="s">
        <v>219</v>
      </c>
      <c r="D30" t="s">
        <v>191</v>
      </c>
      <c r="E30" t="s">
        <v>192</v>
      </c>
      <c r="F30">
        <v>2024</v>
      </c>
      <c r="G30" t="s">
        <v>224</v>
      </c>
      <c r="H30">
        <v>2654.460119216114</v>
      </c>
      <c r="I30">
        <v>1315.5598658988686</v>
      </c>
      <c r="J30">
        <v>3419.1520155041271</v>
      </c>
      <c r="K30">
        <v>3391.5448314256828</v>
      </c>
      <c r="M30" s="80"/>
      <c r="N30" s="80"/>
      <c r="O30" s="80"/>
      <c r="P30" s="80" t="s">
        <v>199</v>
      </c>
      <c r="Q30" t="s">
        <v>194</v>
      </c>
      <c r="R30">
        <v>35000000</v>
      </c>
    </row>
    <row r="31" spans="1:19">
      <c r="A31" t="s">
        <v>212</v>
      </c>
      <c r="B31">
        <v>2024</v>
      </c>
      <c r="C31" t="s">
        <v>213</v>
      </c>
      <c r="D31" t="s">
        <v>191</v>
      </c>
      <c r="E31" t="s">
        <v>192</v>
      </c>
      <c r="F31">
        <v>2050</v>
      </c>
      <c r="G31" t="s">
        <v>216</v>
      </c>
      <c r="H31">
        <v>1053.0156898248665</v>
      </c>
      <c r="I31">
        <v>1131.3935221529064</v>
      </c>
      <c r="J31">
        <v>1374.9394162813965</v>
      </c>
      <c r="K31">
        <v>1452.8417056556398</v>
      </c>
      <c r="L31">
        <v>0.38762689468117906</v>
      </c>
      <c r="M31" s="80">
        <v>0.31625231868907483</v>
      </c>
      <c r="N31" s="80">
        <v>0.2019726046902777</v>
      </c>
      <c r="O31" s="80">
        <v>9.4148181939468348E-2</v>
      </c>
      <c r="P31" s="80" t="s">
        <v>199</v>
      </c>
      <c r="Q31" t="s">
        <v>194</v>
      </c>
      <c r="R31">
        <v>39140033.75</v>
      </c>
      <c r="S31" t="s">
        <v>217</v>
      </c>
    </row>
    <row r="32" spans="1:19">
      <c r="A32" t="s">
        <v>239</v>
      </c>
      <c r="B32">
        <v>2022</v>
      </c>
      <c r="C32" t="s">
        <v>240</v>
      </c>
      <c r="D32" t="s">
        <v>191</v>
      </c>
      <c r="E32" t="s">
        <v>192</v>
      </c>
      <c r="F32">
        <v>2024</v>
      </c>
      <c r="G32" t="s">
        <v>178</v>
      </c>
      <c r="H32">
        <v>668.37766094951314</v>
      </c>
      <c r="I32">
        <v>1052.7567009161639</v>
      </c>
      <c r="J32">
        <v>3733.7236867549955</v>
      </c>
      <c r="K32">
        <v>3772.74856237323</v>
      </c>
      <c r="L32">
        <v>6.6800203467038397E-2</v>
      </c>
      <c r="M32" s="80">
        <v>0.46591806920061163</v>
      </c>
      <c r="N32" s="80">
        <v>0.43493529419052063</v>
      </c>
      <c r="O32" s="80">
        <v>3.2346433141829486E-2</v>
      </c>
      <c r="P32" s="80" t="s">
        <v>199</v>
      </c>
      <c r="Q32" t="s">
        <v>194</v>
      </c>
      <c r="R32">
        <v>208032000</v>
      </c>
      <c r="S32" t="s">
        <v>241</v>
      </c>
    </row>
    <row r="33" spans="1:19">
      <c r="A33" t="s">
        <v>245</v>
      </c>
      <c r="B33">
        <v>2024</v>
      </c>
      <c r="C33" t="s">
        <v>246</v>
      </c>
      <c r="D33" t="s">
        <v>191</v>
      </c>
      <c r="E33" t="s">
        <v>198</v>
      </c>
      <c r="F33">
        <v>2024</v>
      </c>
      <c r="G33" t="s">
        <v>247</v>
      </c>
      <c r="H33">
        <v>6201.6746704843536</v>
      </c>
      <c r="I33" s="75">
        <v>3818.5620604832807</v>
      </c>
      <c r="J33" s="75">
        <v>3865.4180894995325</v>
      </c>
      <c r="K33" s="75">
        <v>3949.4052401580666</v>
      </c>
      <c r="L33" s="75">
        <v>0.18840661595310274</v>
      </c>
      <c r="M33" s="80">
        <v>0.68456138294840485</v>
      </c>
      <c r="N33" s="80">
        <v>0.11897366506350344</v>
      </c>
      <c r="O33" s="80">
        <v>8.0583360349887213E-3</v>
      </c>
      <c r="P33" s="80" t="s">
        <v>199</v>
      </c>
      <c r="Q33" t="s">
        <v>194</v>
      </c>
      <c r="R33">
        <v>1250000000</v>
      </c>
      <c r="S33" t="s">
        <v>248</v>
      </c>
    </row>
    <row r="34" spans="1:19">
      <c r="A34" t="s">
        <v>233</v>
      </c>
      <c r="B34">
        <v>2024</v>
      </c>
      <c r="D34" t="s">
        <v>191</v>
      </c>
      <c r="E34" t="s">
        <v>192</v>
      </c>
      <c r="F34">
        <v>2024</v>
      </c>
      <c r="G34" t="s">
        <v>234</v>
      </c>
      <c r="H34">
        <v>1388.6891217940793</v>
      </c>
      <c r="I34" s="75">
        <v>1203.0980399371967</v>
      </c>
      <c r="J34" s="75">
        <v>4573.4253820398362</v>
      </c>
      <c r="K34" s="75">
        <v>4548.0843198991461</v>
      </c>
      <c r="L34" s="75"/>
      <c r="M34" s="80"/>
      <c r="N34" s="80"/>
      <c r="O34" s="80"/>
      <c r="P34" s="80" t="s">
        <v>199</v>
      </c>
      <c r="Q34" t="s">
        <v>235</v>
      </c>
      <c r="R34">
        <v>157410000</v>
      </c>
    </row>
    <row r="35" spans="1:19">
      <c r="A35" t="s">
        <v>233</v>
      </c>
      <c r="B35">
        <v>2024</v>
      </c>
      <c r="D35" t="s">
        <v>191</v>
      </c>
      <c r="E35" t="s">
        <v>192</v>
      </c>
      <c r="F35">
        <v>2024</v>
      </c>
      <c r="G35" t="s">
        <v>236</v>
      </c>
      <c r="H35">
        <v>1973.5617776124557</v>
      </c>
      <c r="I35" s="75">
        <v>1284.4244641053645</v>
      </c>
      <c r="J35" s="75">
        <v>4528.7896922505452</v>
      </c>
      <c r="K35" s="75">
        <v>4507.1223664184608</v>
      </c>
      <c r="L35" s="75"/>
      <c r="M35" s="80"/>
      <c r="N35" s="80"/>
      <c r="O35" s="80"/>
      <c r="P35" s="80" t="s">
        <v>199</v>
      </c>
      <c r="Q35" t="s">
        <v>235</v>
      </c>
      <c r="R35">
        <v>157410000</v>
      </c>
      <c r="S35" t="s">
        <v>237</v>
      </c>
    </row>
    <row r="36" spans="1:19">
      <c r="A36" t="s">
        <v>233</v>
      </c>
      <c r="B36">
        <v>2024</v>
      </c>
      <c r="D36" t="s">
        <v>191</v>
      </c>
      <c r="E36" t="s">
        <v>192</v>
      </c>
      <c r="F36">
        <v>2050</v>
      </c>
      <c r="G36" t="s">
        <v>236</v>
      </c>
      <c r="H36">
        <v>627.37024041483971</v>
      </c>
      <c r="I36" s="75">
        <v>365.25690147790408</v>
      </c>
      <c r="J36" s="75">
        <v>1527.9057161135913</v>
      </c>
      <c r="K36" s="75">
        <v>1511.0327839110121</v>
      </c>
      <c r="L36" s="75"/>
      <c r="M36" s="80"/>
      <c r="N36" s="80"/>
      <c r="O36" s="80"/>
      <c r="P36" s="80" t="s">
        <v>199</v>
      </c>
      <c r="Q36" t="s">
        <v>235</v>
      </c>
      <c r="R36">
        <v>157410000</v>
      </c>
    </row>
    <row r="37" spans="1:19">
      <c r="A37" t="s">
        <v>233</v>
      </c>
      <c r="B37">
        <v>2024</v>
      </c>
      <c r="D37" t="s">
        <v>191</v>
      </c>
      <c r="E37" t="s">
        <v>192</v>
      </c>
      <c r="F37">
        <v>2050</v>
      </c>
      <c r="G37" t="s">
        <v>238</v>
      </c>
      <c r="H37">
        <v>459.63349048343008</v>
      </c>
      <c r="I37" s="75">
        <v>352.13656405679865</v>
      </c>
      <c r="J37" s="75">
        <v>1464.7743810805825</v>
      </c>
      <c r="K37" s="75">
        <v>1447.9014488780035</v>
      </c>
      <c r="L37" s="75">
        <v>0.34291277923676844</v>
      </c>
      <c r="M37" s="80">
        <v>0.41621386171084307</v>
      </c>
      <c r="N37" s="80">
        <v>7.8756910153965909E-2</v>
      </c>
      <c r="O37" s="80">
        <v>0.16211644889842231</v>
      </c>
      <c r="P37" s="80" t="s">
        <v>199</v>
      </c>
      <c r="Q37" t="s">
        <v>235</v>
      </c>
      <c r="R37">
        <v>157410000</v>
      </c>
    </row>
    <row r="38" spans="1:19">
      <c r="A38" t="s">
        <v>233</v>
      </c>
      <c r="B38">
        <v>2024</v>
      </c>
      <c r="D38" t="s">
        <v>191</v>
      </c>
      <c r="E38" t="s">
        <v>192</v>
      </c>
      <c r="F38">
        <v>2050</v>
      </c>
      <c r="G38" t="s">
        <v>234</v>
      </c>
      <c r="H38">
        <v>333.65365502173381</v>
      </c>
      <c r="I38" s="75">
        <v>243.09917895582163</v>
      </c>
      <c r="J38" s="75">
        <v>1334.250593414863</v>
      </c>
      <c r="K38" s="75">
        <v>1318.3639851509095</v>
      </c>
      <c r="L38" s="75"/>
      <c r="M38" s="80"/>
      <c r="N38" s="80"/>
      <c r="O38" s="80"/>
      <c r="P38" s="80" t="s">
        <v>199</v>
      </c>
      <c r="Q38" t="s">
        <v>235</v>
      </c>
      <c r="R38">
        <v>157410000</v>
      </c>
    </row>
    <row r="39" spans="1:19">
      <c r="A39" t="s">
        <v>233</v>
      </c>
      <c r="B39">
        <v>2024</v>
      </c>
      <c r="D39" t="s">
        <v>191</v>
      </c>
      <c r="E39" t="s">
        <v>192</v>
      </c>
      <c r="F39">
        <v>2024</v>
      </c>
      <c r="G39" t="s">
        <v>238</v>
      </c>
      <c r="H39">
        <v>1504.8855645688088</v>
      </c>
      <c r="I39" s="75">
        <v>1255.80279681352</v>
      </c>
      <c r="J39" s="75">
        <v>4640.6837686896215</v>
      </c>
      <c r="K39" s="75">
        <v>4619.0164428575381</v>
      </c>
      <c r="L39" s="75">
        <v>0.18972820066329413</v>
      </c>
      <c r="M39" s="80">
        <v>0.68542683885337585</v>
      </c>
      <c r="N39" s="80">
        <v>4.1118672813784257E-2</v>
      </c>
      <c r="O39" s="80">
        <v>8.3726287669547289E-2</v>
      </c>
      <c r="P39" s="80" t="s">
        <v>199</v>
      </c>
      <c r="Q39" t="s">
        <v>235</v>
      </c>
      <c r="R39">
        <v>157410000</v>
      </c>
    </row>
    <row r="40" spans="1:19">
      <c r="A40" t="s">
        <v>205</v>
      </c>
      <c r="B40">
        <v>2020</v>
      </c>
      <c r="C40" t="s">
        <v>206</v>
      </c>
      <c r="D40" t="s">
        <v>207</v>
      </c>
      <c r="E40" t="s">
        <v>192</v>
      </c>
      <c r="F40">
        <v>2024</v>
      </c>
      <c r="H40">
        <v>1237.2677940212775</v>
      </c>
      <c r="I40" s="75">
        <v>1272.0780844999281</v>
      </c>
      <c r="J40" s="75">
        <v>4889.6349073054253</v>
      </c>
      <c r="K40" s="75">
        <v>4873.692092326537</v>
      </c>
      <c r="L40" s="75"/>
      <c r="M40" s="80"/>
      <c r="N40" s="80"/>
      <c r="O40" s="80"/>
      <c r="P40" s="80" t="s">
        <v>199</v>
      </c>
      <c r="Q40" t="s">
        <v>208</v>
      </c>
      <c r="R40">
        <v>45872966</v>
      </c>
      <c r="S40" t="s">
        <v>209</v>
      </c>
    </row>
    <row r="41" spans="1:19">
      <c r="A41" t="s">
        <v>205</v>
      </c>
      <c r="B41">
        <v>2015</v>
      </c>
      <c r="C41" t="s">
        <v>210</v>
      </c>
      <c r="D41" t="s">
        <v>207</v>
      </c>
      <c r="E41" t="s">
        <v>192</v>
      </c>
      <c r="F41">
        <v>2024</v>
      </c>
      <c r="H41">
        <v>471.65911823016069</v>
      </c>
      <c r="I41" s="75">
        <v>496.13587816522551</v>
      </c>
      <c r="J41" s="75">
        <v>4670.6875633030841</v>
      </c>
      <c r="K41" s="75">
        <v>5006.911801921543</v>
      </c>
      <c r="L41" s="75"/>
      <c r="M41" s="80"/>
      <c r="N41" s="80"/>
      <c r="O41" s="80"/>
      <c r="P41" s="80" t="s">
        <v>199</v>
      </c>
      <c r="Q41" t="s">
        <v>208</v>
      </c>
      <c r="R41">
        <v>58035000</v>
      </c>
    </row>
    <row r="42" spans="1:19">
      <c r="A42" t="s">
        <v>205</v>
      </c>
      <c r="B42">
        <v>2015</v>
      </c>
      <c r="C42" t="s">
        <v>210</v>
      </c>
      <c r="D42" t="s">
        <v>207</v>
      </c>
      <c r="E42" t="s">
        <v>192</v>
      </c>
      <c r="F42">
        <v>2024</v>
      </c>
      <c r="H42">
        <v>667.86758145112526</v>
      </c>
      <c r="I42">
        <v>692.34434138619031</v>
      </c>
      <c r="J42">
        <v>4866.8960265240476</v>
      </c>
      <c r="K42">
        <v>5216.4444755151117</v>
      </c>
      <c r="L42">
        <v>5.8359446730100857E-2</v>
      </c>
      <c r="M42">
        <v>0.66723592814540433</v>
      </c>
      <c r="N42">
        <v>0.10459442543324093</v>
      </c>
      <c r="O42">
        <v>0.16981019969125349</v>
      </c>
      <c r="P42" t="s">
        <v>199</v>
      </c>
      <c r="Q42" t="s">
        <v>208</v>
      </c>
      <c r="R42">
        <v>58035000</v>
      </c>
      <c r="S42" t="s">
        <v>211</v>
      </c>
    </row>
    <row r="43" spans="1:19">
      <c r="A43" s="76" t="s">
        <v>245</v>
      </c>
      <c r="B43">
        <v>2024</v>
      </c>
      <c r="C43" t="s">
        <v>246</v>
      </c>
      <c r="D43" t="s">
        <v>191</v>
      </c>
      <c r="E43" t="s">
        <v>198</v>
      </c>
      <c r="F43">
        <v>2024</v>
      </c>
      <c r="G43" t="s">
        <v>249</v>
      </c>
      <c r="H43">
        <v>5186.3474368779916</v>
      </c>
      <c r="I43">
        <v>3438.5192545251684</v>
      </c>
      <c r="J43">
        <v>5951.2256810399012</v>
      </c>
      <c r="K43">
        <v>6013.8337548512636</v>
      </c>
      <c r="L43">
        <v>0.10119430449322714</v>
      </c>
      <c r="M43">
        <v>0.61193522966613301</v>
      </c>
      <c r="N43">
        <v>0.27234050130799337</v>
      </c>
      <c r="O43">
        <v>1.4529964532646183E-2</v>
      </c>
      <c r="P43" t="s">
        <v>199</v>
      </c>
      <c r="Q43" t="s">
        <v>194</v>
      </c>
      <c r="R43">
        <v>1250000000</v>
      </c>
    </row>
    <row r="44" spans="1:19">
      <c r="A44" t="s">
        <v>218</v>
      </c>
      <c r="B44">
        <v>2021</v>
      </c>
      <c r="C44" t="s">
        <v>219</v>
      </c>
      <c r="D44" t="s">
        <v>191</v>
      </c>
      <c r="E44" t="s">
        <v>192</v>
      </c>
      <c r="F44">
        <v>2050</v>
      </c>
      <c r="G44" t="s">
        <v>221</v>
      </c>
      <c r="H44">
        <v>563.31804777045716</v>
      </c>
      <c r="I44">
        <v>145.81494272578411</v>
      </c>
      <c r="J44">
        <v>498.77663497012577</v>
      </c>
      <c r="K44">
        <v>489.34561128709004</v>
      </c>
      <c r="L44">
        <v>0.21202578729926874</v>
      </c>
      <c r="M44">
        <v>0.23970956366229598</v>
      </c>
      <c r="N44">
        <v>0.15126254531596553</v>
      </c>
      <c r="O44">
        <v>0.39700210372246958</v>
      </c>
      <c r="P44" t="s">
        <v>199</v>
      </c>
      <c r="Q44" t="s">
        <v>194</v>
      </c>
      <c r="R44">
        <v>87000000</v>
      </c>
    </row>
    <row r="45" spans="1:19">
      <c r="A45" t="s">
        <v>218</v>
      </c>
      <c r="B45">
        <v>2021</v>
      </c>
      <c r="C45" t="s">
        <v>219</v>
      </c>
      <c r="D45" t="s">
        <v>191</v>
      </c>
      <c r="E45" t="s">
        <v>192</v>
      </c>
      <c r="F45">
        <v>2050</v>
      </c>
      <c r="G45" t="s">
        <v>224</v>
      </c>
      <c r="H45">
        <v>1100.8391122119124</v>
      </c>
      <c r="I45">
        <v>671.73586835932451</v>
      </c>
      <c r="J45">
        <v>1204.634938238881</v>
      </c>
      <c r="K45">
        <v>1194.5126377789977</v>
      </c>
      <c r="P45" t="s">
        <v>199</v>
      </c>
      <c r="Q45" t="s">
        <v>194</v>
      </c>
      <c r="R45">
        <v>35000000</v>
      </c>
    </row>
    <row r="46" spans="1:19">
      <c r="A46" t="s">
        <v>218</v>
      </c>
      <c r="B46">
        <v>2021</v>
      </c>
      <c r="C46" t="s">
        <v>219</v>
      </c>
      <c r="D46" t="s">
        <v>191</v>
      </c>
      <c r="E46" t="s">
        <v>192</v>
      </c>
      <c r="F46">
        <v>2050</v>
      </c>
      <c r="G46" t="s">
        <v>223</v>
      </c>
      <c r="H46">
        <v>1595.1550474010296</v>
      </c>
      <c r="I46">
        <v>784.36461974224562</v>
      </c>
      <c r="J46">
        <v>1433.3650438048492</v>
      </c>
      <c r="K46">
        <v>1420.5267819999883</v>
      </c>
      <c r="P46" t="s">
        <v>199</v>
      </c>
      <c r="Q46" t="s">
        <v>194</v>
      </c>
      <c r="R46">
        <v>48000000</v>
      </c>
    </row>
    <row r="47" spans="1:19">
      <c r="A47" t="s">
        <v>218</v>
      </c>
      <c r="B47">
        <v>2021</v>
      </c>
      <c r="C47" t="s">
        <v>219</v>
      </c>
      <c r="D47" t="s">
        <v>191</v>
      </c>
      <c r="E47" t="s">
        <v>192</v>
      </c>
      <c r="F47">
        <v>2050</v>
      </c>
      <c r="G47" t="s">
        <v>220</v>
      </c>
      <c r="H47">
        <v>292.87076292269001</v>
      </c>
      <c r="I47">
        <v>-95.277435901504717</v>
      </c>
      <c r="J47">
        <v>372.36085972373513</v>
      </c>
      <c r="K47">
        <v>362.94668980842476</v>
      </c>
      <c r="P47" t="s">
        <v>199</v>
      </c>
      <c r="Q47" t="s">
        <v>194</v>
      </c>
      <c r="R47">
        <v>69000000</v>
      </c>
    </row>
    <row r="48" spans="1:19">
      <c r="A48" t="s">
        <v>218</v>
      </c>
      <c r="B48">
        <v>2021</v>
      </c>
      <c r="C48" t="s">
        <v>219</v>
      </c>
      <c r="D48" t="s">
        <v>191</v>
      </c>
      <c r="E48" t="s">
        <v>192</v>
      </c>
      <c r="F48">
        <v>2050</v>
      </c>
      <c r="G48" t="s">
        <v>222</v>
      </c>
      <c r="H48">
        <v>592.46856711099542</v>
      </c>
      <c r="I48">
        <v>94.67335126894001</v>
      </c>
      <c r="J48">
        <v>576.96664706097442</v>
      </c>
      <c r="K48">
        <v>567.18860306122303</v>
      </c>
      <c r="P48" t="s">
        <v>199</v>
      </c>
      <c r="Q48" t="s">
        <v>194</v>
      </c>
      <c r="R48">
        <v>68000000</v>
      </c>
    </row>
  </sheetData>
  <autoFilter ref="F1:F48" xr:uid="{A1996484-BAD8-A64B-B5F1-8D51E77CF113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9D0D-2E00-C947-B5B6-B50788BBBD42}">
  <dimension ref="A1:S51"/>
  <sheetViews>
    <sheetView workbookViewId="0">
      <selection activeCell="G14" sqref="G14"/>
    </sheetView>
  </sheetViews>
  <sheetFormatPr defaultColWidth="11.25" defaultRowHeight="15.6"/>
  <cols>
    <col min="1" max="1" width="19.25" bestFit="1" customWidth="1"/>
    <col min="2" max="2" width="11.5" bestFit="1" customWidth="1"/>
    <col min="5" max="5" width="13.75" bestFit="1" customWidth="1"/>
    <col min="7" max="7" width="24" bestFit="1" customWidth="1"/>
    <col min="8" max="9" width="14.5" bestFit="1" customWidth="1"/>
    <col min="10" max="10" width="17.75" bestFit="1" customWidth="1"/>
    <col min="11" max="11" width="18.25" bestFit="1" customWidth="1"/>
    <col min="12" max="18" width="18.25" customWidth="1"/>
  </cols>
  <sheetData>
    <row r="1" spans="1:19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s="12" t="s">
        <v>185</v>
      </c>
      <c r="P1" s="12" t="s">
        <v>186</v>
      </c>
      <c r="Q1" s="12" t="s">
        <v>187</v>
      </c>
      <c r="R1" s="12" t="s">
        <v>188</v>
      </c>
    </row>
    <row r="2" spans="1:19">
      <c r="A2" t="s">
        <v>229</v>
      </c>
      <c r="B2">
        <v>2023</v>
      </c>
      <c r="C2" t="s">
        <v>230</v>
      </c>
      <c r="D2" t="s">
        <v>207</v>
      </c>
      <c r="E2" t="s">
        <v>192</v>
      </c>
      <c r="F2">
        <v>2024</v>
      </c>
      <c r="G2" s="76" t="s">
        <v>4</v>
      </c>
      <c r="H2" s="75">
        <v>838.68815198564619</v>
      </c>
      <c r="I2" s="75">
        <v>793.08715685043853</v>
      </c>
      <c r="J2" s="75">
        <v>1421.7741200409919</v>
      </c>
      <c r="K2" s="75">
        <v>1486.7545886765904</v>
      </c>
      <c r="L2" s="12">
        <v>-5.9549308921026486E-2</v>
      </c>
      <c r="M2" s="12">
        <v>0.68508807041620634</v>
      </c>
      <c r="N2" s="12">
        <v>0.23309418080865046</v>
      </c>
      <c r="O2" s="12">
        <v>0.14136705769616995</v>
      </c>
      <c r="P2" s="12" t="s">
        <v>193</v>
      </c>
      <c r="Q2" s="12" t="s">
        <v>208</v>
      </c>
      <c r="R2" s="9">
        <v>31354838</v>
      </c>
      <c r="S2" t="s">
        <v>231</v>
      </c>
    </row>
    <row r="3" spans="1:19">
      <c r="A3" t="s">
        <v>256</v>
      </c>
      <c r="B3">
        <v>2024</v>
      </c>
      <c r="C3" s="1" t="s">
        <v>257</v>
      </c>
      <c r="D3" t="s">
        <v>191</v>
      </c>
      <c r="E3" t="s">
        <v>192</v>
      </c>
      <c r="F3">
        <v>2050</v>
      </c>
      <c r="G3" s="76" t="s">
        <v>4</v>
      </c>
      <c r="H3" s="75">
        <v>1079.5341893739337</v>
      </c>
      <c r="I3" s="75">
        <v>1055.4295621400711</v>
      </c>
      <c r="J3" s="75">
        <v>1352.7888814436451</v>
      </c>
      <c r="K3" s="75">
        <v>1372.2647736671256</v>
      </c>
      <c r="L3" s="12">
        <v>0.36581603108678235</v>
      </c>
      <c r="M3" s="12">
        <v>0.42106952177855445</v>
      </c>
      <c r="N3" s="12">
        <v>0.13952768851248726</v>
      </c>
      <c r="O3" s="12">
        <v>7.3586758622175827E-2</v>
      </c>
      <c r="P3" s="80" t="s">
        <v>199</v>
      </c>
      <c r="Q3" s="80" t="s">
        <v>258</v>
      </c>
      <c r="R3" s="9">
        <v>2110761</v>
      </c>
    </row>
    <row r="4" spans="1:19">
      <c r="A4" t="s">
        <v>227</v>
      </c>
      <c r="B4">
        <v>2024</v>
      </c>
      <c r="C4" s="2" t="s">
        <v>228</v>
      </c>
      <c r="D4" t="s">
        <v>191</v>
      </c>
      <c r="E4" t="s">
        <v>192</v>
      </c>
      <c r="F4">
        <v>2024</v>
      </c>
      <c r="G4" s="76" t="s">
        <v>4</v>
      </c>
      <c r="H4" s="75">
        <v>1678.5512402252382</v>
      </c>
      <c r="I4" s="75">
        <v>1330.6141668859134</v>
      </c>
      <c r="J4" s="75">
        <v>3382.6071697921725</v>
      </c>
      <c r="K4" s="75">
        <v>3347.2914258856558</v>
      </c>
      <c r="L4" s="12"/>
      <c r="M4" s="12"/>
      <c r="N4" s="12"/>
      <c r="O4" s="12"/>
      <c r="P4" s="12" t="s">
        <v>199</v>
      </c>
      <c r="Q4" s="12" t="s">
        <v>194</v>
      </c>
      <c r="R4" s="9">
        <v>3650000</v>
      </c>
    </row>
    <row r="5" spans="1:19">
      <c r="A5" t="s">
        <v>218</v>
      </c>
      <c r="B5">
        <v>2021</v>
      </c>
      <c r="C5" t="s">
        <v>219</v>
      </c>
      <c r="D5" t="s">
        <v>191</v>
      </c>
      <c r="E5" t="s">
        <v>192</v>
      </c>
      <c r="F5">
        <v>2024</v>
      </c>
      <c r="G5" s="76" t="s">
        <v>220</v>
      </c>
      <c r="H5" s="75">
        <v>1458.3489394680287</v>
      </c>
      <c r="I5" s="75">
        <v>751.42718779625204</v>
      </c>
      <c r="J5" s="75">
        <v>1910.0714142687632</v>
      </c>
      <c r="K5" s="75">
        <v>1895.1917211544001</v>
      </c>
      <c r="P5" s="12" t="s">
        <v>199</v>
      </c>
      <c r="Q5" s="12" t="s">
        <v>194</v>
      </c>
      <c r="R5" s="84">
        <v>69000000</v>
      </c>
    </row>
    <row r="6" spans="1:19">
      <c r="A6" t="s">
        <v>218</v>
      </c>
      <c r="B6">
        <v>2021</v>
      </c>
      <c r="C6" t="s">
        <v>219</v>
      </c>
      <c r="D6" t="s">
        <v>191</v>
      </c>
      <c r="E6" t="s">
        <v>192</v>
      </c>
      <c r="F6">
        <v>2024</v>
      </c>
      <c r="G6" s="76" t="s">
        <v>221</v>
      </c>
      <c r="H6" s="75">
        <v>1892.306418410411</v>
      </c>
      <c r="I6" s="75">
        <v>1097.7096127003431</v>
      </c>
      <c r="J6" s="75">
        <v>1959.8017581903209</v>
      </c>
      <c r="K6" s="75">
        <v>1943.924445229954</v>
      </c>
      <c r="L6" s="80">
        <v>0.19014910760138215</v>
      </c>
      <c r="M6" s="80">
        <v>0.42429751790767684</v>
      </c>
      <c r="N6" s="80">
        <v>0.21340218339560768</v>
      </c>
      <c r="O6" s="80">
        <v>0.1721511910953335</v>
      </c>
      <c r="P6" s="12" t="s">
        <v>199</v>
      </c>
      <c r="Q6" s="12" t="s">
        <v>194</v>
      </c>
      <c r="R6" s="84">
        <v>87000000</v>
      </c>
    </row>
    <row r="7" spans="1:19">
      <c r="A7" t="s">
        <v>203</v>
      </c>
      <c r="B7">
        <v>2018</v>
      </c>
      <c r="C7" s="1" t="s">
        <v>204</v>
      </c>
      <c r="D7" t="s">
        <v>191</v>
      </c>
      <c r="E7" t="s">
        <v>192</v>
      </c>
      <c r="F7">
        <v>2024</v>
      </c>
      <c r="G7" s="76" t="s">
        <v>4</v>
      </c>
      <c r="H7" s="75">
        <v>1144.7870679308462</v>
      </c>
      <c r="I7" s="75">
        <v>717.33157452286355</v>
      </c>
      <c r="J7" s="75">
        <v>2278.5389057854431</v>
      </c>
      <c r="K7" s="75">
        <v>2313.9915105121499</v>
      </c>
      <c r="L7" s="12">
        <v>0.11002478551214247</v>
      </c>
      <c r="M7" s="12">
        <v>0.32309926188801724</v>
      </c>
      <c r="N7" s="12">
        <v>0.51966602210730239</v>
      </c>
      <c r="O7" s="12">
        <v>4.7209930492537917E-2</v>
      </c>
      <c r="P7" s="12" t="s">
        <v>199</v>
      </c>
      <c r="Q7" s="12" t="s">
        <v>194</v>
      </c>
      <c r="R7" s="13"/>
    </row>
    <row r="8" spans="1:19">
      <c r="A8" t="s">
        <v>250</v>
      </c>
      <c r="B8">
        <v>2024</v>
      </c>
      <c r="C8" s="2" t="s">
        <v>251</v>
      </c>
      <c r="D8" t="s">
        <v>191</v>
      </c>
      <c r="E8" t="s">
        <v>192</v>
      </c>
      <c r="F8">
        <v>2050</v>
      </c>
      <c r="G8" s="76" t="s">
        <v>252</v>
      </c>
      <c r="H8" s="75">
        <v>1737.6584897993728</v>
      </c>
      <c r="I8" s="75">
        <v>1381.3641966385319</v>
      </c>
      <c r="J8" s="75">
        <v>1749.3089176698902</v>
      </c>
      <c r="K8" s="75">
        <v>1622.689348968175</v>
      </c>
      <c r="L8" s="12">
        <v>0.31920876469830645</v>
      </c>
      <c r="M8" s="12">
        <v>0.46393459545237714</v>
      </c>
      <c r="N8" s="12">
        <v>0.17887399251640163</v>
      </c>
      <c r="O8" s="12">
        <v>3.7982647332914135E-2</v>
      </c>
      <c r="P8" s="12" t="s">
        <v>193</v>
      </c>
      <c r="Q8" s="12" t="s">
        <v>194</v>
      </c>
      <c r="R8" s="9">
        <v>1000000</v>
      </c>
    </row>
    <row r="9" spans="1:19">
      <c r="A9" t="s">
        <v>250</v>
      </c>
      <c r="B9">
        <v>2024</v>
      </c>
      <c r="C9" s="2" t="s">
        <v>251</v>
      </c>
      <c r="D9" t="s">
        <v>191</v>
      </c>
      <c r="E9" t="s">
        <v>192</v>
      </c>
      <c r="F9">
        <v>2050</v>
      </c>
      <c r="G9" s="76" t="s">
        <v>253</v>
      </c>
      <c r="H9" s="75">
        <v>1995.4733140595119</v>
      </c>
      <c r="I9" s="75">
        <v>1390.4901662891914</v>
      </c>
      <c r="J9" s="75">
        <v>1758.4348873205502</v>
      </c>
      <c r="K9" s="75">
        <v>1630.6629992034552</v>
      </c>
      <c r="L9" s="12"/>
      <c r="M9" s="12"/>
      <c r="N9" s="12"/>
      <c r="O9" s="12"/>
      <c r="P9" s="12" t="s">
        <v>193</v>
      </c>
      <c r="Q9" s="12" t="s">
        <v>194</v>
      </c>
      <c r="R9" s="9">
        <v>1000000</v>
      </c>
    </row>
    <row r="10" spans="1:19">
      <c r="A10" t="s">
        <v>250</v>
      </c>
      <c r="B10">
        <v>2024</v>
      </c>
      <c r="C10" s="2" t="s">
        <v>251</v>
      </c>
      <c r="D10" t="s">
        <v>191</v>
      </c>
      <c r="E10" t="s">
        <v>192</v>
      </c>
      <c r="F10">
        <v>2050</v>
      </c>
      <c r="G10" s="76" t="s">
        <v>254</v>
      </c>
      <c r="H10" s="75">
        <v>1736.7438111747842</v>
      </c>
      <c r="I10" s="75">
        <v>1380.4495180139438</v>
      </c>
      <c r="J10" s="75">
        <v>1748.3942390453024</v>
      </c>
      <c r="K10" s="75">
        <v>1622.079696071188</v>
      </c>
      <c r="L10" s="12"/>
      <c r="M10" s="12"/>
      <c r="N10" s="12"/>
      <c r="O10" s="12"/>
      <c r="P10" s="12" t="s">
        <v>193</v>
      </c>
      <c r="Q10" s="12" t="s">
        <v>194</v>
      </c>
      <c r="R10" s="9">
        <v>1000000</v>
      </c>
    </row>
    <row r="11" spans="1:19">
      <c r="A11" t="s">
        <v>218</v>
      </c>
      <c r="B11">
        <v>2021</v>
      </c>
      <c r="C11" t="s">
        <v>219</v>
      </c>
      <c r="D11" t="s">
        <v>191</v>
      </c>
      <c r="E11" t="s">
        <v>192</v>
      </c>
      <c r="F11">
        <v>2024</v>
      </c>
      <c r="G11" s="76" t="s">
        <v>222</v>
      </c>
      <c r="H11" s="75">
        <v>1730.510800708724</v>
      </c>
      <c r="I11" s="75">
        <v>823.96435988709356</v>
      </c>
      <c r="J11" s="75">
        <v>2024.309689168186</v>
      </c>
      <c r="K11" s="75">
        <v>2007.3752385624166</v>
      </c>
      <c r="P11" s="12" t="s">
        <v>199</v>
      </c>
      <c r="Q11" s="12" t="s">
        <v>194</v>
      </c>
      <c r="R11" s="84">
        <v>68000000</v>
      </c>
    </row>
    <row r="12" spans="1:19">
      <c r="A12" t="s">
        <v>260</v>
      </c>
      <c r="B12">
        <v>2021</v>
      </c>
      <c r="C12" s="1" t="s">
        <v>261</v>
      </c>
      <c r="D12" t="s">
        <v>191</v>
      </c>
      <c r="E12" t="s">
        <v>192</v>
      </c>
      <c r="F12">
        <v>2024</v>
      </c>
      <c r="G12" s="76" t="s">
        <v>4</v>
      </c>
      <c r="H12" s="75">
        <v>1330.2315443355733</v>
      </c>
      <c r="I12" s="75">
        <v>1583.3702130006432</v>
      </c>
      <c r="J12" s="75">
        <v>2350.1001092278216</v>
      </c>
      <c r="K12" s="75">
        <v>2076.2914423495099</v>
      </c>
      <c r="L12" s="12"/>
      <c r="M12" s="12"/>
      <c r="N12" s="12"/>
      <c r="O12" s="12"/>
      <c r="P12" s="12" t="s">
        <v>199</v>
      </c>
      <c r="Q12" s="12" t="s">
        <v>258</v>
      </c>
      <c r="R12" s="13" t="s">
        <v>85</v>
      </c>
    </row>
    <row r="13" spans="1:19">
      <c r="A13" t="s">
        <v>262</v>
      </c>
      <c r="B13">
        <v>2021</v>
      </c>
      <c r="C13" s="1" t="s">
        <v>263</v>
      </c>
      <c r="D13" t="s">
        <v>191</v>
      </c>
      <c r="E13" t="s">
        <v>192</v>
      </c>
      <c r="G13" s="76" t="s">
        <v>4</v>
      </c>
      <c r="H13" s="75"/>
      <c r="I13" s="75"/>
      <c r="J13" s="75"/>
      <c r="K13" s="75"/>
      <c r="L13" s="12"/>
      <c r="M13" s="12"/>
      <c r="N13" s="12"/>
      <c r="O13" s="12"/>
      <c r="P13" s="12" t="s">
        <v>199</v>
      </c>
      <c r="Q13" s="12" t="s">
        <v>258</v>
      </c>
      <c r="R13" s="13" t="s">
        <v>85</v>
      </c>
    </row>
    <row r="14" spans="1:19">
      <c r="A14" t="s">
        <v>196</v>
      </c>
      <c r="B14">
        <v>2024</v>
      </c>
      <c r="C14" t="s">
        <v>197</v>
      </c>
      <c r="D14" t="s">
        <v>191</v>
      </c>
      <c r="E14" t="s">
        <v>198</v>
      </c>
      <c r="F14">
        <v>2024</v>
      </c>
      <c r="G14" s="76" t="s">
        <v>4</v>
      </c>
      <c r="H14" s="75">
        <v>2404.7474592934755</v>
      </c>
      <c r="I14" s="75">
        <v>2435.2345642939222</v>
      </c>
      <c r="J14" s="75">
        <v>2575.7824042780635</v>
      </c>
      <c r="K14" s="75">
        <v>2555.1300501431251</v>
      </c>
      <c r="L14" s="12">
        <v>5.445168642647661E-2</v>
      </c>
      <c r="M14" s="12">
        <v>0.62743119451311191</v>
      </c>
      <c r="N14" s="12">
        <v>0.30588184525039563</v>
      </c>
      <c r="O14" s="12">
        <v>1.2235273810015825E-2</v>
      </c>
      <c r="P14" s="12" t="s">
        <v>199</v>
      </c>
      <c r="Q14" s="12" t="s">
        <v>194</v>
      </c>
      <c r="R14" s="13" t="s">
        <v>85</v>
      </c>
      <c r="S14" t="s">
        <v>200</v>
      </c>
    </row>
    <row r="15" spans="1:19">
      <c r="A15" t="s">
        <v>229</v>
      </c>
      <c r="B15">
        <v>2023</v>
      </c>
      <c r="C15" t="s">
        <v>230</v>
      </c>
      <c r="D15" t="s">
        <v>207</v>
      </c>
      <c r="E15" t="s">
        <v>192</v>
      </c>
      <c r="F15">
        <v>2050</v>
      </c>
      <c r="G15" s="76" t="s">
        <v>4</v>
      </c>
      <c r="H15" s="75">
        <v>1368.9011306113575</v>
      </c>
      <c r="I15" s="75">
        <v>1368.925233268222</v>
      </c>
      <c r="J15" s="75">
        <v>1707.7420427367924</v>
      </c>
      <c r="K15" s="75">
        <v>1807.233686924568</v>
      </c>
      <c r="L15" s="12">
        <v>-3.0173340952621544E-5</v>
      </c>
      <c r="M15" s="12">
        <v>0.5159068314201406</v>
      </c>
      <c r="N15" s="12">
        <v>0.34032940955934426</v>
      </c>
      <c r="O15" s="12">
        <v>0.14379393236146765</v>
      </c>
      <c r="P15" s="12" t="s">
        <v>193</v>
      </c>
      <c r="Q15" s="12" t="s">
        <v>208</v>
      </c>
      <c r="R15" s="9">
        <v>31354838</v>
      </c>
    </row>
    <row r="16" spans="1:19">
      <c r="A16" t="s">
        <v>229</v>
      </c>
      <c r="B16">
        <v>2023</v>
      </c>
      <c r="C16" t="s">
        <v>230</v>
      </c>
      <c r="D16" t="s">
        <v>207</v>
      </c>
      <c r="E16" t="s">
        <v>192</v>
      </c>
      <c r="F16">
        <v>2050</v>
      </c>
      <c r="G16" s="76" t="s">
        <v>232</v>
      </c>
      <c r="H16" s="75">
        <v>1211.9184862554466</v>
      </c>
      <c r="I16" s="75">
        <v>1211.9425889123115</v>
      </c>
      <c r="J16" s="75">
        <v>1550.759398380882</v>
      </c>
      <c r="K16" s="75">
        <v>1624.2910513285372</v>
      </c>
      <c r="L16" s="12"/>
      <c r="M16" s="12"/>
      <c r="N16" s="12"/>
      <c r="O16" s="12"/>
      <c r="P16" s="12" t="s">
        <v>193</v>
      </c>
      <c r="Q16" s="12" t="s">
        <v>208</v>
      </c>
      <c r="R16" s="9">
        <v>31354838</v>
      </c>
    </row>
    <row r="17" spans="1:19">
      <c r="A17" t="s">
        <v>225</v>
      </c>
      <c r="B17">
        <v>2023</v>
      </c>
      <c r="C17" s="2" t="s">
        <v>226</v>
      </c>
      <c r="D17" t="s">
        <v>191</v>
      </c>
      <c r="E17" t="s">
        <v>192</v>
      </c>
      <c r="F17">
        <v>2024</v>
      </c>
      <c r="G17" s="76" t="s">
        <v>4</v>
      </c>
      <c r="H17" s="75">
        <v>1148.3867432450918</v>
      </c>
      <c r="I17" s="75">
        <v>1137.4782320272921</v>
      </c>
      <c r="J17" s="75">
        <v>2381.032548560092</v>
      </c>
      <c r="K17" s="75">
        <v>2384.2031890387366</v>
      </c>
      <c r="L17" s="12"/>
      <c r="M17" s="12"/>
      <c r="N17" s="12"/>
      <c r="O17" s="12"/>
      <c r="P17" s="12" t="s">
        <v>199</v>
      </c>
      <c r="Q17" s="12" t="s">
        <v>194</v>
      </c>
      <c r="R17" s="13" t="s">
        <v>85</v>
      </c>
    </row>
    <row r="18" spans="1:19">
      <c r="A18" t="s">
        <v>250</v>
      </c>
      <c r="B18">
        <v>2024</v>
      </c>
      <c r="C18" s="2" t="s">
        <v>251</v>
      </c>
      <c r="D18" t="s">
        <v>191</v>
      </c>
      <c r="E18" t="s">
        <v>192</v>
      </c>
      <c r="F18">
        <v>2024</v>
      </c>
      <c r="G18" s="76" t="s">
        <v>253</v>
      </c>
      <c r="H18" s="75">
        <v>1309.1063656583035</v>
      </c>
      <c r="I18" s="75">
        <v>1104.4864616319737</v>
      </c>
      <c r="J18" s="75">
        <v>2506.3765122322175</v>
      </c>
      <c r="K18" s="75">
        <v>2406.0026133096653</v>
      </c>
      <c r="L18" s="12"/>
      <c r="M18" s="12"/>
      <c r="N18" s="12"/>
      <c r="O18" s="12"/>
      <c r="P18" s="12" t="s">
        <v>193</v>
      </c>
      <c r="Q18" s="12" t="s">
        <v>194</v>
      </c>
      <c r="R18" s="9">
        <v>1000000</v>
      </c>
    </row>
    <row r="19" spans="1:19">
      <c r="A19" t="s">
        <v>189</v>
      </c>
      <c r="B19">
        <v>2016</v>
      </c>
      <c r="C19" s="2" t="s">
        <v>190</v>
      </c>
      <c r="D19" t="s">
        <v>191</v>
      </c>
      <c r="E19" t="s">
        <v>192</v>
      </c>
      <c r="F19">
        <v>2024</v>
      </c>
      <c r="G19" s="76" t="s">
        <v>4</v>
      </c>
      <c r="H19" s="75">
        <v>642.29670473893407</v>
      </c>
      <c r="I19" s="75">
        <v>768.83260727969991</v>
      </c>
      <c r="J19" s="75">
        <v>2386.5584758631594</v>
      </c>
      <c r="K19" s="75">
        <v>2466.5878362464205</v>
      </c>
      <c r="L19" s="12"/>
      <c r="M19" s="12"/>
      <c r="N19" s="12"/>
      <c r="O19" s="12"/>
      <c r="P19" s="12" t="s">
        <v>193</v>
      </c>
      <c r="Q19" s="12" t="s">
        <v>194</v>
      </c>
      <c r="R19" s="84">
        <v>144778221.668742</v>
      </c>
      <c r="S19" t="s">
        <v>195</v>
      </c>
    </row>
    <row r="20" spans="1:19">
      <c r="A20" t="s">
        <v>225</v>
      </c>
      <c r="B20">
        <v>2023</v>
      </c>
      <c r="C20" s="2" t="s">
        <v>226</v>
      </c>
      <c r="D20" t="s">
        <v>191</v>
      </c>
      <c r="E20" t="s">
        <v>192</v>
      </c>
      <c r="F20">
        <v>2050</v>
      </c>
      <c r="G20" s="76" t="s">
        <v>4</v>
      </c>
      <c r="H20" s="75">
        <v>736.64244403932901</v>
      </c>
      <c r="I20" s="75">
        <v>604.02701912018438</v>
      </c>
      <c r="J20" s="75">
        <v>1190.436399384349</v>
      </c>
      <c r="K20" s="75">
        <v>1193.0893029898832</v>
      </c>
      <c r="L20" s="12"/>
      <c r="M20" s="12"/>
      <c r="N20" s="12"/>
      <c r="O20" s="12"/>
      <c r="P20" s="12" t="s">
        <v>199</v>
      </c>
      <c r="Q20" s="12" t="s">
        <v>194</v>
      </c>
      <c r="R20" s="13" t="s">
        <v>85</v>
      </c>
      <c r="S20" s="20"/>
    </row>
    <row r="21" spans="1:19">
      <c r="A21" t="s">
        <v>250</v>
      </c>
      <c r="B21">
        <v>2024</v>
      </c>
      <c r="C21" s="2" t="s">
        <v>251</v>
      </c>
      <c r="D21" t="s">
        <v>191</v>
      </c>
      <c r="E21" t="s">
        <v>192</v>
      </c>
      <c r="F21">
        <v>2024</v>
      </c>
      <c r="G21" s="76" t="s">
        <v>252</v>
      </c>
      <c r="H21" s="75">
        <v>1510.502621501556</v>
      </c>
      <c r="I21" s="75">
        <v>1255.2681500158253</v>
      </c>
      <c r="J21" s="75">
        <v>2657.1582006160684</v>
      </c>
      <c r="K21" s="75">
        <v>2530.7794416821052</v>
      </c>
      <c r="L21" s="12">
        <v>0.20134348894042559</v>
      </c>
      <c r="M21" s="12">
        <v>0.54125942432713947</v>
      </c>
      <c r="N21" s="12">
        <v>0.22754856312650942</v>
      </c>
      <c r="O21" s="12">
        <v>2.9848523605927362E-2</v>
      </c>
      <c r="P21" s="12" t="s">
        <v>193</v>
      </c>
      <c r="Q21" s="12" t="s">
        <v>194</v>
      </c>
      <c r="R21" s="9">
        <v>1000000</v>
      </c>
      <c r="S21" t="s">
        <v>255</v>
      </c>
    </row>
    <row r="22" spans="1:19">
      <c r="A22" t="s">
        <v>250</v>
      </c>
      <c r="B22">
        <v>2024</v>
      </c>
      <c r="C22" s="2" t="s">
        <v>251</v>
      </c>
      <c r="D22" t="s">
        <v>191</v>
      </c>
      <c r="E22" t="s">
        <v>192</v>
      </c>
      <c r="F22">
        <v>2024</v>
      </c>
      <c r="G22" s="76" t="s">
        <v>254</v>
      </c>
      <c r="H22" s="75">
        <v>1286.1593005235322</v>
      </c>
      <c r="I22" s="75">
        <v>1276.9021662236783</v>
      </c>
      <c r="J22" s="75">
        <v>2678.7922168239206</v>
      </c>
      <c r="K22" s="75">
        <v>2549.0919648666936</v>
      </c>
      <c r="L22" s="12"/>
      <c r="M22" s="12"/>
      <c r="N22" s="12"/>
      <c r="O22" s="12"/>
      <c r="P22" s="12" t="s">
        <v>193</v>
      </c>
      <c r="Q22" s="12" t="s">
        <v>194</v>
      </c>
      <c r="R22" s="9">
        <v>1000000</v>
      </c>
    </row>
    <row r="23" spans="1:19">
      <c r="A23" t="s">
        <v>256</v>
      </c>
      <c r="B23">
        <v>2024</v>
      </c>
      <c r="C23" s="1" t="s">
        <v>257</v>
      </c>
      <c r="D23" t="s">
        <v>191</v>
      </c>
      <c r="E23" t="s">
        <v>192</v>
      </c>
      <c r="F23">
        <v>2024</v>
      </c>
      <c r="G23" s="76" t="s">
        <v>4</v>
      </c>
      <c r="H23" s="75">
        <v>1703.2941883028598</v>
      </c>
      <c r="I23" s="75">
        <v>1744.0992896145076</v>
      </c>
      <c r="J23" s="75">
        <v>2493.7646673531035</v>
      </c>
      <c r="K23" s="75">
        <v>2519.6177479479361</v>
      </c>
      <c r="L23" s="12">
        <v>0.25985878261692258</v>
      </c>
      <c r="M23" s="12">
        <v>0.55324105778868227</v>
      </c>
      <c r="N23" s="12">
        <v>0.1226529203090107</v>
      </c>
      <c r="O23" s="80">
        <v>6.4247239285384367E-2</v>
      </c>
      <c r="P23" s="80" t="s">
        <v>199</v>
      </c>
      <c r="Q23" s="80" t="s">
        <v>258</v>
      </c>
      <c r="R23" s="9">
        <v>2110761</v>
      </c>
      <c r="S23" t="s">
        <v>259</v>
      </c>
    </row>
    <row r="24" spans="1:19">
      <c r="A24" t="s">
        <v>212</v>
      </c>
      <c r="B24">
        <v>2024</v>
      </c>
      <c r="C24" s="1" t="s">
        <v>213</v>
      </c>
      <c r="D24" t="s">
        <v>191</v>
      </c>
      <c r="E24" t="s">
        <v>192</v>
      </c>
      <c r="F24">
        <v>2024</v>
      </c>
      <c r="G24" s="76" t="s">
        <v>214</v>
      </c>
      <c r="H24" s="75">
        <v>2727.5773261727436</v>
      </c>
      <c r="I24" s="75">
        <v>2805.9551585007839</v>
      </c>
      <c r="J24" s="75">
        <v>2849.8756786120139</v>
      </c>
      <c r="K24" s="75">
        <v>2927.777967986257</v>
      </c>
      <c r="L24" s="12">
        <v>0.19629913386788772</v>
      </c>
      <c r="M24" s="12">
        <v>0.65374157606915917</v>
      </c>
      <c r="N24" s="12">
        <v>0.10228146681708518</v>
      </c>
      <c r="O24" s="12">
        <v>4.7677823245867994E-2</v>
      </c>
      <c r="P24" s="12" t="s">
        <v>199</v>
      </c>
      <c r="Q24" s="12" t="s">
        <v>194</v>
      </c>
      <c r="R24" s="84">
        <v>39140033.75</v>
      </c>
    </row>
    <row r="25" spans="1:19">
      <c r="A25" t="s">
        <v>260</v>
      </c>
      <c r="B25">
        <v>2021</v>
      </c>
      <c r="C25" s="1" t="s">
        <v>261</v>
      </c>
      <c r="D25" t="s">
        <v>191</v>
      </c>
      <c r="E25" t="s">
        <v>192</v>
      </c>
      <c r="F25">
        <v>2050</v>
      </c>
      <c r="G25" s="76" t="s">
        <v>4</v>
      </c>
      <c r="H25" s="75">
        <v>428.62500222582673</v>
      </c>
      <c r="I25" s="75">
        <v>636.7518967156949</v>
      </c>
      <c r="J25" s="75">
        <v>986.09464988666514</v>
      </c>
      <c r="K25" s="75">
        <v>1048.5321471306663</v>
      </c>
      <c r="L25" s="12"/>
      <c r="M25" s="12"/>
      <c r="N25" s="12"/>
      <c r="O25" s="12"/>
      <c r="P25" s="12" t="s">
        <v>199</v>
      </c>
      <c r="Q25" s="12" t="s">
        <v>258</v>
      </c>
      <c r="R25" s="13" t="s">
        <v>85</v>
      </c>
    </row>
    <row r="26" spans="1:19">
      <c r="A26" t="s">
        <v>201</v>
      </c>
      <c r="B26">
        <v>2024</v>
      </c>
      <c r="D26" t="s">
        <v>191</v>
      </c>
      <c r="E26" t="s">
        <v>192</v>
      </c>
      <c r="G26" s="76" t="s">
        <v>4</v>
      </c>
      <c r="L26" s="12"/>
      <c r="M26" s="12"/>
      <c r="N26" s="12"/>
      <c r="O26" s="12"/>
      <c r="P26" s="12" t="s">
        <v>199</v>
      </c>
      <c r="Q26" s="12" t="s">
        <v>202</v>
      </c>
      <c r="R26" s="13" t="s">
        <v>85</v>
      </c>
    </row>
    <row r="27" spans="1:19" ht="16.899999999999999" customHeight="1">
      <c r="A27" t="s">
        <v>218</v>
      </c>
      <c r="B27">
        <v>2021</v>
      </c>
      <c r="C27" t="s">
        <v>219</v>
      </c>
      <c r="D27" t="s">
        <v>191</v>
      </c>
      <c r="E27" t="s">
        <v>192</v>
      </c>
      <c r="F27">
        <v>2024</v>
      </c>
      <c r="G27" s="76" t="s">
        <v>223</v>
      </c>
      <c r="H27" s="75">
        <v>2708.6121435384971</v>
      </c>
      <c r="I27" s="75">
        <v>1804.7168921979044</v>
      </c>
      <c r="J27" s="75">
        <v>3396.6119441043925</v>
      </c>
      <c r="K27" s="75">
        <v>3374.1563502157419</v>
      </c>
      <c r="P27" s="12" t="s">
        <v>199</v>
      </c>
      <c r="Q27" s="12" t="s">
        <v>194</v>
      </c>
      <c r="R27" s="84">
        <v>48000000</v>
      </c>
    </row>
    <row r="28" spans="1:19" ht="16.899999999999999" customHeight="1">
      <c r="A28" t="s">
        <v>242</v>
      </c>
      <c r="B28">
        <v>2023</v>
      </c>
      <c r="C28" s="1" t="s">
        <v>243</v>
      </c>
      <c r="D28" t="s">
        <v>191</v>
      </c>
      <c r="E28" t="s">
        <v>192</v>
      </c>
      <c r="F28">
        <v>2024</v>
      </c>
      <c r="G28" s="76" t="s">
        <v>4</v>
      </c>
      <c r="H28" s="75">
        <v>1755.1259920054924</v>
      </c>
      <c r="I28" s="75">
        <v>1456.3451717240093</v>
      </c>
      <c r="J28" s="75">
        <v>3092.0351171600601</v>
      </c>
      <c r="K28" s="75">
        <v>3109.819000988336</v>
      </c>
      <c r="L28" s="12">
        <v>0.28620652613279013</v>
      </c>
      <c r="M28" s="12">
        <v>0.47089020808174514</v>
      </c>
      <c r="N28" s="12">
        <v>2.5500913984063858E-2</v>
      </c>
      <c r="O28" s="12">
        <v>0.21740235180140077</v>
      </c>
      <c r="P28" s="12" t="s">
        <v>199</v>
      </c>
      <c r="Q28" s="12" t="s">
        <v>235</v>
      </c>
      <c r="R28" s="9">
        <v>25105853.051058531</v>
      </c>
      <c r="S28" t="s">
        <v>244</v>
      </c>
    </row>
    <row r="29" spans="1:19">
      <c r="A29" t="s">
        <v>218</v>
      </c>
      <c r="B29">
        <v>2021</v>
      </c>
      <c r="C29" t="s">
        <v>219</v>
      </c>
      <c r="D29" t="s">
        <v>191</v>
      </c>
      <c r="E29" t="s">
        <v>192</v>
      </c>
      <c r="F29">
        <v>2024</v>
      </c>
      <c r="G29" s="76" t="s">
        <v>224</v>
      </c>
      <c r="H29" s="75">
        <v>2761.7003080324448</v>
      </c>
      <c r="I29" s="75">
        <v>1368.7084844811829</v>
      </c>
      <c r="J29" s="75">
        <v>3557.2857569304938</v>
      </c>
      <c r="K29" s="75">
        <v>3528.5632426152797</v>
      </c>
      <c r="P29" s="12" t="s">
        <v>199</v>
      </c>
      <c r="Q29" s="12" t="s">
        <v>194</v>
      </c>
      <c r="R29" s="84">
        <v>35000000</v>
      </c>
    </row>
    <row r="30" spans="1:19">
      <c r="A30" t="s">
        <v>212</v>
      </c>
      <c r="B30">
        <v>2024</v>
      </c>
      <c r="C30" s="1" t="s">
        <v>213</v>
      </c>
      <c r="D30" t="s">
        <v>191</v>
      </c>
      <c r="E30" t="s">
        <v>192</v>
      </c>
      <c r="F30">
        <v>2050</v>
      </c>
      <c r="G30" s="76" t="s">
        <v>216</v>
      </c>
      <c r="H30" s="75">
        <v>1264.0016533326204</v>
      </c>
      <c r="I30" s="75">
        <v>1342.3794856606603</v>
      </c>
      <c r="J30" s="75">
        <v>1585.9253797891504</v>
      </c>
      <c r="K30" s="75">
        <v>1663.8276691633935</v>
      </c>
      <c r="L30" s="12">
        <v>0.38762689468117906</v>
      </c>
      <c r="M30" s="12">
        <v>0.31625231868907483</v>
      </c>
      <c r="N30" s="12">
        <v>0.2019726046902777</v>
      </c>
      <c r="O30" s="12">
        <v>9.4148181939468348E-2</v>
      </c>
      <c r="P30" s="12" t="s">
        <v>199</v>
      </c>
      <c r="Q30" s="12" t="s">
        <v>194</v>
      </c>
      <c r="R30" s="84">
        <v>39140033.75</v>
      </c>
      <c r="S30" t="s">
        <v>217</v>
      </c>
    </row>
    <row r="31" spans="1:19">
      <c r="A31" t="s">
        <v>239</v>
      </c>
      <c r="B31">
        <v>2022</v>
      </c>
      <c r="C31" t="s">
        <v>240</v>
      </c>
      <c r="D31" t="s">
        <v>191</v>
      </c>
      <c r="E31" t="s">
        <v>192</v>
      </c>
      <c r="F31">
        <v>2024</v>
      </c>
      <c r="G31" s="76" t="s">
        <v>4</v>
      </c>
      <c r="H31" s="75">
        <v>953.7403963130206</v>
      </c>
      <c r="I31" s="75">
        <v>1338.1194362796712</v>
      </c>
      <c r="J31" s="75">
        <v>4019.0864221185029</v>
      </c>
      <c r="K31" s="75">
        <v>4058.111297736737</v>
      </c>
      <c r="L31" s="12">
        <v>6.6800203467038397E-2</v>
      </c>
      <c r="M31" s="12">
        <v>0.46591806920061163</v>
      </c>
      <c r="N31" s="12">
        <v>0.43493529419052063</v>
      </c>
      <c r="O31" s="12">
        <v>3.2346433141829486E-2</v>
      </c>
      <c r="P31" s="12" t="s">
        <v>199</v>
      </c>
      <c r="Q31" s="12" t="s">
        <v>194</v>
      </c>
      <c r="R31" s="9">
        <v>208032000</v>
      </c>
      <c r="S31" t="s">
        <v>241</v>
      </c>
    </row>
    <row r="32" spans="1:19">
      <c r="A32" t="s">
        <v>245</v>
      </c>
      <c r="B32">
        <v>2024</v>
      </c>
      <c r="C32" s="1" t="s">
        <v>246</v>
      </c>
      <c r="D32" t="s">
        <v>191</v>
      </c>
      <c r="E32" t="s">
        <v>198</v>
      </c>
      <c r="F32">
        <v>2024</v>
      </c>
      <c r="G32" s="76" t="s">
        <v>247</v>
      </c>
      <c r="H32" s="75">
        <v>6201.6746704843536</v>
      </c>
      <c r="I32" s="75">
        <v>3818.5620604832807</v>
      </c>
      <c r="J32" s="75">
        <v>3865.4180894995325</v>
      </c>
      <c r="K32" s="75">
        <v>3949.4052401580666</v>
      </c>
      <c r="L32" s="12">
        <v>0.18840661595310274</v>
      </c>
      <c r="M32" s="12">
        <v>0.68456138294840485</v>
      </c>
      <c r="N32" s="12">
        <v>0.11897366506350344</v>
      </c>
      <c r="O32" s="12">
        <v>8.0583360349887213E-3</v>
      </c>
      <c r="P32" s="12" t="s">
        <v>199</v>
      </c>
      <c r="Q32" s="12" t="s">
        <v>194</v>
      </c>
      <c r="R32" s="84">
        <v>1250000000</v>
      </c>
      <c r="S32" t="s">
        <v>248</v>
      </c>
    </row>
    <row r="33" spans="1:19">
      <c r="A33" t="s">
        <v>233</v>
      </c>
      <c r="B33">
        <v>2024</v>
      </c>
      <c r="D33" t="s">
        <v>191</v>
      </c>
      <c r="E33" t="s">
        <v>192</v>
      </c>
      <c r="F33">
        <v>2024</v>
      </c>
      <c r="G33" s="76" t="s">
        <v>234</v>
      </c>
      <c r="H33" s="75">
        <v>2681.2487830302389</v>
      </c>
      <c r="I33" s="75">
        <v>2495.6577011733561</v>
      </c>
      <c r="J33" s="75">
        <v>4573.4253820398362</v>
      </c>
      <c r="K33" s="75">
        <v>4548.0843198991461</v>
      </c>
      <c r="L33" s="12"/>
      <c r="M33" s="12"/>
      <c r="N33" s="12"/>
      <c r="O33" s="12"/>
      <c r="P33" s="12" t="s">
        <v>199</v>
      </c>
      <c r="Q33" s="12" t="s">
        <v>235</v>
      </c>
      <c r="R33" s="9">
        <v>157410000</v>
      </c>
    </row>
    <row r="34" spans="1:19">
      <c r="A34" t="s">
        <v>233</v>
      </c>
      <c r="B34">
        <v>2024</v>
      </c>
      <c r="D34" t="s">
        <v>191</v>
      </c>
      <c r="E34" t="s">
        <v>192</v>
      </c>
      <c r="F34">
        <v>2024</v>
      </c>
      <c r="G34" s="76" t="s">
        <v>236</v>
      </c>
      <c r="H34" s="75">
        <v>3266.1214388486155</v>
      </c>
      <c r="I34" s="75">
        <v>2576.9841253415252</v>
      </c>
      <c r="J34" s="75">
        <v>4528.7896922505452</v>
      </c>
      <c r="K34" s="75">
        <v>4507.1223664184608</v>
      </c>
      <c r="L34" s="12"/>
      <c r="M34" s="12"/>
      <c r="N34" s="12"/>
      <c r="O34" s="12"/>
      <c r="P34" s="12" t="s">
        <v>199</v>
      </c>
      <c r="Q34" s="12" t="s">
        <v>235</v>
      </c>
      <c r="R34" s="9">
        <v>157410000</v>
      </c>
      <c r="S34" t="s">
        <v>237</v>
      </c>
    </row>
    <row r="35" spans="1:19">
      <c r="A35" t="s">
        <v>233</v>
      </c>
      <c r="B35">
        <v>2024</v>
      </c>
      <c r="D35" t="s">
        <v>191</v>
      </c>
      <c r="E35" t="s">
        <v>192</v>
      </c>
      <c r="F35">
        <v>2050</v>
      </c>
      <c r="G35" s="76" t="s">
        <v>236</v>
      </c>
      <c r="H35" s="75">
        <v>2220.897355736055</v>
      </c>
      <c r="I35" s="75">
        <v>1782.2721463451719</v>
      </c>
      <c r="J35" s="75">
        <v>2902.299981100256</v>
      </c>
      <c r="K35" s="75">
        <v>2874.0645107101923</v>
      </c>
      <c r="L35" s="12"/>
      <c r="M35" s="12"/>
      <c r="N35" s="12"/>
      <c r="O35" s="12"/>
      <c r="P35" s="12" t="s">
        <v>199</v>
      </c>
      <c r="Q35" s="12" t="s">
        <v>235</v>
      </c>
      <c r="R35" s="9">
        <v>157410000</v>
      </c>
    </row>
    <row r="36" spans="1:19">
      <c r="A36" t="s">
        <v>233</v>
      </c>
      <c r="B36">
        <v>2024</v>
      </c>
      <c r="D36" t="s">
        <v>191</v>
      </c>
      <c r="E36" t="s">
        <v>192</v>
      </c>
      <c r="F36">
        <v>2050</v>
      </c>
      <c r="G36" s="76" t="s">
        <v>238</v>
      </c>
      <c r="H36" s="75">
        <v>1940.2036399579645</v>
      </c>
      <c r="I36" s="75">
        <v>1760.3163360382564</v>
      </c>
      <c r="J36" s="75">
        <v>2796.6548614726657</v>
      </c>
      <c r="K36" s="75">
        <v>2768.4193910826025</v>
      </c>
      <c r="L36" s="12">
        <v>0.34291277923676844</v>
      </c>
      <c r="M36" s="12">
        <v>0.41621386171084307</v>
      </c>
      <c r="N36" s="12">
        <v>7.8756910153965909E-2</v>
      </c>
      <c r="O36" s="12">
        <v>0.16211644889842231</v>
      </c>
      <c r="P36" s="12" t="s">
        <v>199</v>
      </c>
      <c r="Q36" s="12" t="s">
        <v>235</v>
      </c>
      <c r="R36" s="9">
        <v>157410000</v>
      </c>
    </row>
    <row r="37" spans="1:19">
      <c r="A37" t="s">
        <v>233</v>
      </c>
      <c r="B37">
        <v>2024</v>
      </c>
      <c r="D37" t="s">
        <v>191</v>
      </c>
      <c r="E37" t="s">
        <v>192</v>
      </c>
      <c r="F37">
        <v>2050</v>
      </c>
      <c r="G37" s="76" t="s">
        <v>234</v>
      </c>
      <c r="H37" s="75">
        <v>1729.3867012530211</v>
      </c>
      <c r="I37" s="75">
        <v>1577.8512006684855</v>
      </c>
      <c r="J37" s="75">
        <v>2578.2339908387526</v>
      </c>
      <c r="K37" s="75">
        <v>2551.649052794206</v>
      </c>
      <c r="L37" s="12"/>
      <c r="M37" s="12"/>
      <c r="N37" s="12"/>
      <c r="O37" s="12"/>
      <c r="P37" s="12" t="s">
        <v>199</v>
      </c>
      <c r="Q37" s="12" t="s">
        <v>235</v>
      </c>
      <c r="R37" s="9">
        <v>157410000</v>
      </c>
    </row>
    <row r="38" spans="1:19">
      <c r="A38" t="s">
        <v>233</v>
      </c>
      <c r="B38">
        <v>2024</v>
      </c>
      <c r="D38" t="s">
        <v>191</v>
      </c>
      <c r="E38" t="s">
        <v>192</v>
      </c>
      <c r="F38">
        <v>2024</v>
      </c>
      <c r="G38" s="76" t="s">
        <v>238</v>
      </c>
      <c r="H38" s="75">
        <v>2797.4452258049691</v>
      </c>
      <c r="I38" s="75">
        <v>2548.3624580496798</v>
      </c>
      <c r="J38" s="75">
        <v>4640.6837686896215</v>
      </c>
      <c r="K38" s="75">
        <v>4619.0164428575381</v>
      </c>
      <c r="L38" s="12">
        <v>0.18972820066329413</v>
      </c>
      <c r="M38" s="12">
        <v>0.68542683885337585</v>
      </c>
      <c r="N38" s="12">
        <v>4.1118672813784257E-2</v>
      </c>
      <c r="O38" s="12">
        <v>8.3726287669547289E-2</v>
      </c>
      <c r="P38" s="12" t="s">
        <v>199</v>
      </c>
      <c r="Q38" s="12" t="s">
        <v>235</v>
      </c>
      <c r="R38" s="9">
        <v>157410000</v>
      </c>
    </row>
    <row r="39" spans="1:19">
      <c r="A39" t="s">
        <v>205</v>
      </c>
      <c r="B39">
        <v>2020</v>
      </c>
      <c r="C39" t="s">
        <v>206</v>
      </c>
      <c r="D39" t="s">
        <v>207</v>
      </c>
      <c r="E39" t="s">
        <v>192</v>
      </c>
      <c r="F39">
        <v>2024</v>
      </c>
      <c r="G39" s="76" t="s">
        <v>4</v>
      </c>
      <c r="H39" s="75">
        <v>1312.9984811577319</v>
      </c>
      <c r="I39" s="75">
        <v>1349.9394398959996</v>
      </c>
      <c r="J39" s="75">
        <v>5188.919680711776</v>
      </c>
      <c r="K39" s="75">
        <v>5172.0010379136593</v>
      </c>
      <c r="L39" s="12"/>
      <c r="M39" s="12"/>
      <c r="N39" s="12"/>
      <c r="O39" s="12"/>
      <c r="P39" s="12" t="s">
        <v>199</v>
      </c>
      <c r="Q39" s="12" t="s">
        <v>208</v>
      </c>
      <c r="R39" s="9">
        <v>45872966</v>
      </c>
      <c r="S39" t="s">
        <v>209</v>
      </c>
    </row>
    <row r="40" spans="1:19">
      <c r="A40" t="s">
        <v>205</v>
      </c>
      <c r="B40">
        <v>2015</v>
      </c>
      <c r="C40" s="5" t="s">
        <v>210</v>
      </c>
      <c r="D40" t="s">
        <v>207</v>
      </c>
      <c r="E40" t="s">
        <v>192</v>
      </c>
      <c r="F40">
        <v>2024</v>
      </c>
      <c r="G40" s="76" t="s">
        <v>4</v>
      </c>
      <c r="H40" s="75">
        <v>563.6763071198169</v>
      </c>
      <c r="I40" s="75">
        <v>592.92830102216521</v>
      </c>
      <c r="J40" s="75">
        <v>5581.9039972601649</v>
      </c>
      <c r="K40" s="75">
        <v>5983.7230862237793</v>
      </c>
      <c r="L40" s="12"/>
      <c r="M40" s="12"/>
      <c r="N40" s="12"/>
      <c r="O40" s="12"/>
      <c r="P40" s="12" t="s">
        <v>199</v>
      </c>
      <c r="Q40" s="12" t="s">
        <v>208</v>
      </c>
      <c r="R40" s="86">
        <v>58035000</v>
      </c>
    </row>
    <row r="41" spans="1:19">
      <c r="A41" t="s">
        <v>205</v>
      </c>
      <c r="B41">
        <v>2015</v>
      </c>
      <c r="C41" s="5" t="s">
        <v>210</v>
      </c>
      <c r="D41" t="s">
        <v>207</v>
      </c>
      <c r="E41" t="s">
        <v>192</v>
      </c>
      <c r="F41">
        <v>2024</v>
      </c>
      <c r="G41" s="76" t="s">
        <v>4</v>
      </c>
      <c r="H41" s="75">
        <v>798.16358341599573</v>
      </c>
      <c r="I41" s="75">
        <v>827.41557731834428</v>
      </c>
      <c r="J41" s="75">
        <v>5816.3912735563426</v>
      </c>
      <c r="K41" s="75">
        <v>6234.1340273190181</v>
      </c>
      <c r="L41" s="12">
        <v>5.8359446730100857E-2</v>
      </c>
      <c r="M41" s="12">
        <v>0.66723592814540433</v>
      </c>
      <c r="N41" s="12">
        <v>0.10459442543324093</v>
      </c>
      <c r="O41" s="12">
        <v>0.16981019969125349</v>
      </c>
      <c r="P41" s="12" t="s">
        <v>199</v>
      </c>
      <c r="Q41" s="12" t="s">
        <v>208</v>
      </c>
      <c r="R41" s="86">
        <v>58035000</v>
      </c>
      <c r="S41" t="s">
        <v>211</v>
      </c>
    </row>
    <row r="42" spans="1:19">
      <c r="A42" t="s">
        <v>245</v>
      </c>
      <c r="B42">
        <v>2024</v>
      </c>
      <c r="C42" s="1" t="s">
        <v>246</v>
      </c>
      <c r="D42" t="s">
        <v>191</v>
      </c>
      <c r="E42" t="s">
        <v>198</v>
      </c>
      <c r="F42">
        <v>2024</v>
      </c>
      <c r="G42" s="76" t="s">
        <v>249</v>
      </c>
      <c r="H42" s="75">
        <v>5186.3474368779916</v>
      </c>
      <c r="I42" s="75">
        <v>3438.5192545251684</v>
      </c>
      <c r="J42" s="75">
        <v>5951.2256810399012</v>
      </c>
      <c r="K42" s="75">
        <v>6013.8337548512636</v>
      </c>
      <c r="L42" s="12">
        <v>0.10119430449322714</v>
      </c>
      <c r="M42" s="12">
        <v>0.61193522966613301</v>
      </c>
      <c r="N42" s="12">
        <v>0.27234050130799337</v>
      </c>
      <c r="O42" s="12">
        <v>1.4529964532646183E-2</v>
      </c>
      <c r="P42" s="12" t="s">
        <v>199</v>
      </c>
      <c r="Q42" s="12" t="s">
        <v>194</v>
      </c>
      <c r="R42" s="84">
        <v>1250000000</v>
      </c>
    </row>
    <row r="43" spans="1:19">
      <c r="A43" t="s">
        <v>218</v>
      </c>
      <c r="B43">
        <v>2021</v>
      </c>
      <c r="C43" t="s">
        <v>219</v>
      </c>
      <c r="D43" t="s">
        <v>191</v>
      </c>
      <c r="E43" t="s">
        <v>192</v>
      </c>
      <c r="F43">
        <v>2050</v>
      </c>
      <c r="G43" s="76" t="s">
        <v>221</v>
      </c>
      <c r="H43" s="75">
        <v>938.75487458889086</v>
      </c>
      <c r="I43" s="75">
        <v>495.6972394906436</v>
      </c>
      <c r="J43" s="75">
        <v>870.26301099387683</v>
      </c>
      <c r="K43" s="75">
        <v>860.25473321324989</v>
      </c>
      <c r="L43" s="80">
        <v>0.21202578729926874</v>
      </c>
      <c r="M43" s="80">
        <v>0.23970956366229598</v>
      </c>
      <c r="N43" s="80">
        <v>0.15126254531596553</v>
      </c>
      <c r="O43" s="80">
        <v>0.39700210372246958</v>
      </c>
      <c r="P43" s="12" t="s">
        <v>199</v>
      </c>
      <c r="Q43" s="12" t="s">
        <v>194</v>
      </c>
      <c r="R43" s="84">
        <v>87000000</v>
      </c>
    </row>
    <row r="44" spans="1:19">
      <c r="A44" t="s">
        <v>218</v>
      </c>
      <c r="B44">
        <v>2021</v>
      </c>
      <c r="C44" t="s">
        <v>219</v>
      </c>
      <c r="D44" t="s">
        <v>191</v>
      </c>
      <c r="E44" t="s">
        <v>192</v>
      </c>
      <c r="F44">
        <v>2050</v>
      </c>
      <c r="G44" s="76" t="s">
        <v>224</v>
      </c>
      <c r="H44" s="75">
        <v>2295.8765480437337</v>
      </c>
      <c r="I44" s="75">
        <v>1533.855830858723</v>
      </c>
      <c r="J44" s="75">
        <v>2480.2018145687589</v>
      </c>
      <c r="K44" s="75">
        <v>2462.2261810434802</v>
      </c>
      <c r="P44" s="12" t="s">
        <v>199</v>
      </c>
      <c r="Q44" s="12" t="s">
        <v>194</v>
      </c>
      <c r="R44" s="84">
        <v>35000000</v>
      </c>
    </row>
    <row r="45" spans="1:19">
      <c r="A45" t="s">
        <v>218</v>
      </c>
      <c r="B45">
        <v>2021</v>
      </c>
      <c r="C45" t="s">
        <v>219</v>
      </c>
      <c r="D45" t="s">
        <v>191</v>
      </c>
      <c r="E45" t="s">
        <v>192</v>
      </c>
      <c r="F45">
        <v>2050</v>
      </c>
      <c r="G45" s="76" t="s">
        <v>223</v>
      </c>
      <c r="H45" s="75">
        <v>2033.7485532928515</v>
      </c>
      <c r="I45" s="75">
        <v>1173.3312651379288</v>
      </c>
      <c r="J45" s="75">
        <v>1862.0557071565561</v>
      </c>
      <c r="K45" s="75">
        <v>1848.4316410231431</v>
      </c>
      <c r="P45" s="12" t="s">
        <v>199</v>
      </c>
      <c r="Q45" s="12" t="s">
        <v>194</v>
      </c>
      <c r="R45" s="84">
        <v>48000000</v>
      </c>
    </row>
    <row r="46" spans="1:19">
      <c r="A46" t="s">
        <v>218</v>
      </c>
      <c r="B46">
        <v>2021</v>
      </c>
      <c r="C46" t="s">
        <v>219</v>
      </c>
      <c r="D46" t="s">
        <v>191</v>
      </c>
      <c r="E46" t="s">
        <v>192</v>
      </c>
      <c r="F46">
        <v>2050</v>
      </c>
      <c r="G46" s="76" t="s">
        <v>220</v>
      </c>
      <c r="H46" s="75">
        <v>651.75405233016158</v>
      </c>
      <c r="I46" s="75">
        <v>239.84807855233572</v>
      </c>
      <c r="J46" s="75">
        <v>736.10957897620517</v>
      </c>
      <c r="K46" s="75">
        <v>726.1191865487184</v>
      </c>
      <c r="P46" s="12" t="s">
        <v>199</v>
      </c>
      <c r="Q46" s="12" t="s">
        <v>194</v>
      </c>
      <c r="R46" s="84">
        <v>69000000</v>
      </c>
    </row>
    <row r="47" spans="1:19">
      <c r="A47" t="s">
        <v>218</v>
      </c>
      <c r="B47">
        <v>2021</v>
      </c>
      <c r="C47" t="s">
        <v>219</v>
      </c>
      <c r="D47" t="s">
        <v>191</v>
      </c>
      <c r="E47" t="s">
        <v>192</v>
      </c>
      <c r="F47">
        <v>2050</v>
      </c>
      <c r="G47" s="76" t="s">
        <v>222</v>
      </c>
      <c r="H47" s="75">
        <v>628.73238316672519</v>
      </c>
      <c r="I47" s="75">
        <v>100.46811775340927</v>
      </c>
      <c r="J47" s="75">
        <v>953.23887734478205</v>
      </c>
      <c r="K47" s="75">
        <v>942.86233882789406</v>
      </c>
      <c r="P47" s="12" t="s">
        <v>199</v>
      </c>
      <c r="Q47" s="12" t="s">
        <v>194</v>
      </c>
      <c r="R47" s="84">
        <v>68000000</v>
      </c>
    </row>
    <row r="48" spans="1:19">
      <c r="H48" s="75"/>
      <c r="I48" s="75"/>
      <c r="J48" s="75"/>
      <c r="K48" s="75"/>
      <c r="P48" s="12"/>
      <c r="Q48" s="12"/>
      <c r="R48" s="84"/>
    </row>
    <row r="49" spans="8:11">
      <c r="H49" s="75"/>
      <c r="I49" s="75"/>
      <c r="J49" s="75"/>
      <c r="K49" s="75"/>
    </row>
    <row r="51" spans="8:11">
      <c r="H51" s="75"/>
      <c r="I51" s="75"/>
    </row>
  </sheetData>
  <hyperlinks>
    <hyperlink ref="C23" r:id="rId1" xr:uid="{5C694070-23A0-CA49-B551-B9FD5F667CB9}"/>
    <hyperlink ref="C4" r:id="rId2" xr:uid="{98556770-9B65-F54E-9E7F-6889FFB84C80}"/>
    <hyperlink ref="C21" r:id="rId3" display="https://onlinelibrary.wiley.com/doi/full/10.1002/cite.201700129?saml_referrer" xr:uid="{90068FD4-BD7A-FE41-8DDD-627C32C40F78}"/>
    <hyperlink ref="C13" r:id="rId4" xr:uid="{D2723E34-D758-1547-A0BF-5C09D1585C4E}"/>
    <hyperlink ref="C28" r:id="rId5" location="s0005" xr:uid="{EA6AFDB5-D6DD-904B-A298-513C9E9117B7}"/>
    <hyperlink ref="C19" r:id="rId6" xr:uid="{503642EA-F7BC-D244-964D-136659CC1A0E}"/>
    <hyperlink ref="C12" r:id="rId7" xr:uid="{B54BDC20-177C-144A-BB41-83286BB75817}"/>
    <hyperlink ref="C32" r:id="rId8" tooltip="DOI URL" xr:uid="{4DFAE073-79EB-3043-97E0-F736D47DFE42}"/>
    <hyperlink ref="C24" r:id="rId9" tooltip="Persistent link using digital object identifier" xr:uid="{B4181962-36BC-4F4B-B132-B54CD8A64BB4}"/>
    <hyperlink ref="C3" r:id="rId10" xr:uid="{DD56D6F2-5DCD-6048-A40A-C1CC0BFBC224}"/>
    <hyperlink ref="C18" r:id="rId11" display="https://onlinelibrary.wiley.com/doi/full/10.1002/cite.201700129?saml_referrer" xr:uid="{87C23269-EE89-6941-847C-20145F1A7840}"/>
    <hyperlink ref="C22" r:id="rId12" display="https://onlinelibrary.wiley.com/doi/full/10.1002/cite.201700129?saml_referrer" xr:uid="{299790A4-D566-0843-917C-F7333F09D33C}"/>
    <hyperlink ref="C8" r:id="rId13" display="https://onlinelibrary.wiley.com/doi/full/10.1002/cite.201700129?saml_referrer" xr:uid="{E3D4B18C-E833-B54C-AF4C-FA72AC28A303}"/>
    <hyperlink ref="C9" r:id="rId14" display="https://onlinelibrary.wiley.com/doi/full/10.1002/cite.201700129?saml_referrer" xr:uid="{EB640939-3498-3449-82F5-490820DE6797}"/>
    <hyperlink ref="C10" r:id="rId15" display="https://onlinelibrary.wiley.com/doi/full/10.1002/cite.201700129?saml_referrer" xr:uid="{E2502A91-0184-C843-93D8-3D1ACEA9B875}"/>
    <hyperlink ref="C30" r:id="rId16" tooltip="Persistent link using digital object identifier" xr:uid="{823BE0DA-1BC9-0B4C-B9F1-20D4D0792DA8}"/>
    <hyperlink ref="C25" r:id="rId17" xr:uid="{CE771825-8CBA-794B-8F83-6859D841B2C4}"/>
    <hyperlink ref="C42" r:id="rId18" tooltip="DOI URL" xr:uid="{D1A21B1A-57B5-714D-9264-62B88B264B43}"/>
    <hyperlink ref="C7" r:id="rId19" tooltip="Persistent link using digital object identifier" xr:uid="{A65C0D14-3547-0E4E-BF94-213E3421C15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5E82-8D33-444A-BB8C-C24845EF2DC0}">
  <dimension ref="A1:S51"/>
  <sheetViews>
    <sheetView workbookViewId="0">
      <selection activeCell="G14" sqref="G14"/>
    </sheetView>
  </sheetViews>
  <sheetFormatPr defaultColWidth="11.25" defaultRowHeight="15.6"/>
  <cols>
    <col min="3" max="3" width="13.75" bestFit="1" customWidth="1"/>
    <col min="5" max="5" width="24" bestFit="1" customWidth="1"/>
    <col min="6" max="7" width="14.5" bestFit="1" customWidth="1"/>
    <col min="8" max="8" width="17.75" bestFit="1" customWidth="1"/>
    <col min="9" max="9" width="18.25" bestFit="1" customWidth="1"/>
    <col min="10" max="16" width="18.25" customWidth="1"/>
  </cols>
  <sheetData>
    <row r="1" spans="1:19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s="12" t="s">
        <v>185</v>
      </c>
      <c r="P1" s="12" t="s">
        <v>186</v>
      </c>
      <c r="Q1" s="12" t="s">
        <v>187</v>
      </c>
      <c r="R1" s="12" t="s">
        <v>188</v>
      </c>
    </row>
    <row r="2" spans="1:19">
      <c r="A2" t="s">
        <v>229</v>
      </c>
      <c r="B2">
        <v>2023</v>
      </c>
      <c r="C2" t="s">
        <v>230</v>
      </c>
      <c r="D2" t="s">
        <v>207</v>
      </c>
      <c r="E2" t="s">
        <v>192</v>
      </c>
      <c r="F2">
        <v>2024</v>
      </c>
      <c r="G2" s="76" t="s">
        <v>4</v>
      </c>
      <c r="H2" s="75">
        <v>838.68815198564619</v>
      </c>
      <c r="I2" s="75">
        <v>793.08715685043853</v>
      </c>
      <c r="J2" s="75">
        <v>1421.7741200409919</v>
      </c>
      <c r="K2" s="75">
        <v>1486.7545886765904</v>
      </c>
      <c r="L2" s="12">
        <v>-5.9549308921026486E-2</v>
      </c>
      <c r="M2" s="12">
        <v>0.68508807041620634</v>
      </c>
      <c r="N2" s="12">
        <v>0.23309418080865046</v>
      </c>
      <c r="O2" s="12">
        <v>0.14136705769616995</v>
      </c>
      <c r="P2" s="12" t="s">
        <v>193</v>
      </c>
      <c r="Q2" s="12" t="s">
        <v>208</v>
      </c>
      <c r="R2" s="9">
        <v>31354838</v>
      </c>
      <c r="S2" t="s">
        <v>231</v>
      </c>
    </row>
    <row r="3" spans="1:19">
      <c r="A3" t="s">
        <v>256</v>
      </c>
      <c r="B3">
        <v>2024</v>
      </c>
      <c r="C3" s="1" t="s">
        <v>257</v>
      </c>
      <c r="D3" t="s">
        <v>191</v>
      </c>
      <c r="E3" t="s">
        <v>192</v>
      </c>
      <c r="F3">
        <v>2050</v>
      </c>
      <c r="G3" s="76" t="s">
        <v>4</v>
      </c>
      <c r="H3" s="75">
        <v>-7.3669473026839691</v>
      </c>
      <c r="I3" s="75">
        <v>-31.471574536546488</v>
      </c>
      <c r="J3" s="75">
        <v>265.8877447670273</v>
      </c>
      <c r="K3" s="75">
        <v>285.36363699050787</v>
      </c>
      <c r="L3" s="12">
        <v>0.36581603108678235</v>
      </c>
      <c r="M3" s="12">
        <v>0.42106952177855445</v>
      </c>
      <c r="N3" s="12">
        <v>0.13952768851248726</v>
      </c>
      <c r="O3" s="12">
        <v>7.3586758622175827E-2</v>
      </c>
      <c r="P3" s="80" t="s">
        <v>199</v>
      </c>
      <c r="Q3" s="80" t="s">
        <v>258</v>
      </c>
      <c r="R3" s="9">
        <v>2110761</v>
      </c>
    </row>
    <row r="4" spans="1:19">
      <c r="A4" t="s">
        <v>227</v>
      </c>
      <c r="B4">
        <v>2024</v>
      </c>
      <c r="C4" s="2" t="s">
        <v>228</v>
      </c>
      <c r="D4" t="s">
        <v>191</v>
      </c>
      <c r="E4" t="s">
        <v>192</v>
      </c>
      <c r="F4">
        <v>2024</v>
      </c>
      <c r="G4" s="76" t="s">
        <v>4</v>
      </c>
      <c r="H4" s="75">
        <v>1678.5512402252382</v>
      </c>
      <c r="I4" s="75">
        <v>1330.6141668859134</v>
      </c>
      <c r="J4" s="75">
        <v>3382.6071697921725</v>
      </c>
      <c r="K4" s="75">
        <v>3347.2914258856558</v>
      </c>
      <c r="L4" s="12"/>
      <c r="M4" s="12"/>
      <c r="N4" s="12"/>
      <c r="O4" s="12"/>
      <c r="P4" s="12" t="s">
        <v>199</v>
      </c>
      <c r="Q4" s="12" t="s">
        <v>194</v>
      </c>
      <c r="R4" s="9">
        <v>3650000</v>
      </c>
    </row>
    <row r="5" spans="1:19">
      <c r="A5" t="s">
        <v>218</v>
      </c>
      <c r="B5">
        <v>2021</v>
      </c>
      <c r="C5" t="s">
        <v>219</v>
      </c>
      <c r="D5" t="s">
        <v>191</v>
      </c>
      <c r="E5" t="s">
        <v>192</v>
      </c>
      <c r="F5">
        <v>2024</v>
      </c>
      <c r="G5" s="76" t="s">
        <v>220</v>
      </c>
      <c r="H5" s="75">
        <v>1458.3489394680287</v>
      </c>
      <c r="I5" s="75">
        <v>751.42718779625204</v>
      </c>
      <c r="J5" s="75">
        <v>1910.0714142687632</v>
      </c>
      <c r="K5" s="75">
        <v>1895.1917211544001</v>
      </c>
      <c r="P5" s="12" t="s">
        <v>199</v>
      </c>
      <c r="Q5" s="12" t="s">
        <v>194</v>
      </c>
      <c r="R5" s="84">
        <v>69000000</v>
      </c>
    </row>
    <row r="6" spans="1:19">
      <c r="A6" t="s">
        <v>218</v>
      </c>
      <c r="B6">
        <v>2021</v>
      </c>
      <c r="C6" t="s">
        <v>219</v>
      </c>
      <c r="D6" t="s">
        <v>191</v>
      </c>
      <c r="E6" t="s">
        <v>192</v>
      </c>
      <c r="F6">
        <v>2024</v>
      </c>
      <c r="G6" s="76" t="s">
        <v>221</v>
      </c>
      <c r="H6" s="75">
        <v>1892.306418410411</v>
      </c>
      <c r="I6" s="75">
        <v>1097.7096127003431</v>
      </c>
      <c r="J6" s="75">
        <v>1959.8017581903209</v>
      </c>
      <c r="K6" s="75">
        <v>1943.924445229954</v>
      </c>
      <c r="L6" s="80">
        <v>0.19014910760138215</v>
      </c>
      <c r="M6" s="80">
        <v>0.42429751790767684</v>
      </c>
      <c r="N6" s="80">
        <v>0.21340218339560768</v>
      </c>
      <c r="O6" s="80">
        <v>0.1721511910953335</v>
      </c>
      <c r="P6" s="12" t="s">
        <v>199</v>
      </c>
      <c r="Q6" s="12" t="s">
        <v>194</v>
      </c>
      <c r="R6" s="84">
        <v>87000000</v>
      </c>
    </row>
    <row r="7" spans="1:19">
      <c r="A7" t="s">
        <v>203</v>
      </c>
      <c r="B7">
        <v>2018</v>
      </c>
      <c r="C7" s="1" t="s">
        <v>204</v>
      </c>
      <c r="D7" t="s">
        <v>191</v>
      </c>
      <c r="E7" t="s">
        <v>192</v>
      </c>
      <c r="F7">
        <v>2024</v>
      </c>
      <c r="G7" s="76" t="s">
        <v>4</v>
      </c>
      <c r="H7" s="75">
        <v>1144.7870679308462</v>
      </c>
      <c r="I7" s="75">
        <v>717.33157452286355</v>
      </c>
      <c r="J7" s="75">
        <v>2278.5389057854431</v>
      </c>
      <c r="K7" s="75">
        <v>2313.9915105121499</v>
      </c>
      <c r="L7" s="12">
        <v>0.11002478551214247</v>
      </c>
      <c r="M7" s="12">
        <v>0.32309926188801724</v>
      </c>
      <c r="N7" s="12">
        <v>0.51966602210730239</v>
      </c>
      <c r="O7" s="12">
        <v>4.7209930492537917E-2</v>
      </c>
      <c r="P7" s="12" t="s">
        <v>199</v>
      </c>
      <c r="Q7" s="12" t="s">
        <v>194</v>
      </c>
      <c r="R7" s="13"/>
    </row>
    <row r="8" spans="1:19">
      <c r="A8" t="s">
        <v>250</v>
      </c>
      <c r="B8">
        <v>2024</v>
      </c>
      <c r="C8" s="2" t="s">
        <v>251</v>
      </c>
      <c r="D8" t="s">
        <v>191</v>
      </c>
      <c r="E8" t="s">
        <v>192</v>
      </c>
      <c r="F8">
        <v>2050</v>
      </c>
      <c r="G8" s="76" t="s">
        <v>252</v>
      </c>
      <c r="H8" s="75">
        <v>688.77652868551741</v>
      </c>
      <c r="I8" s="75">
        <v>332.48223552467624</v>
      </c>
      <c r="J8" s="75">
        <v>700.42695655603484</v>
      </c>
      <c r="K8" s="75">
        <v>573.80738785431936</v>
      </c>
      <c r="L8" s="12">
        <v>0.31920876469830645</v>
      </c>
      <c r="M8" s="12">
        <v>0.46393459545237714</v>
      </c>
      <c r="N8" s="12">
        <v>0.17887399251640163</v>
      </c>
      <c r="O8" s="12">
        <v>3.7982647332914135E-2</v>
      </c>
      <c r="P8" s="12" t="s">
        <v>193</v>
      </c>
      <c r="Q8" s="12" t="s">
        <v>194</v>
      </c>
      <c r="R8" s="9">
        <v>1000000</v>
      </c>
    </row>
    <row r="9" spans="1:19">
      <c r="A9" t="s">
        <v>250</v>
      </c>
      <c r="B9">
        <v>2024</v>
      </c>
      <c r="C9" s="2" t="s">
        <v>251</v>
      </c>
      <c r="D9" t="s">
        <v>191</v>
      </c>
      <c r="E9" t="s">
        <v>192</v>
      </c>
      <c r="F9">
        <v>2050</v>
      </c>
      <c r="G9" s="76" t="s">
        <v>253</v>
      </c>
      <c r="H9" s="75">
        <v>946.59135294565624</v>
      </c>
      <c r="I9" s="75">
        <v>341.60820517533585</v>
      </c>
      <c r="J9" s="75">
        <v>709.55292620669468</v>
      </c>
      <c r="K9" s="75">
        <v>581.78103808959941</v>
      </c>
      <c r="L9" s="12"/>
      <c r="M9" s="12"/>
      <c r="N9" s="12"/>
      <c r="O9" s="12"/>
      <c r="P9" s="12" t="s">
        <v>193</v>
      </c>
      <c r="Q9" s="12" t="s">
        <v>194</v>
      </c>
      <c r="R9" s="9">
        <v>1000000</v>
      </c>
    </row>
    <row r="10" spans="1:19">
      <c r="A10" t="s">
        <v>250</v>
      </c>
      <c r="B10">
        <v>2024</v>
      </c>
      <c r="C10" s="2" t="s">
        <v>251</v>
      </c>
      <c r="D10" t="s">
        <v>191</v>
      </c>
      <c r="E10" t="s">
        <v>192</v>
      </c>
      <c r="F10">
        <v>2050</v>
      </c>
      <c r="G10" s="76" t="s">
        <v>254</v>
      </c>
      <c r="H10" s="75">
        <v>687.86185006092887</v>
      </c>
      <c r="I10" s="75">
        <v>331.56755690008822</v>
      </c>
      <c r="J10" s="75">
        <v>699.51227793144699</v>
      </c>
      <c r="K10" s="75">
        <v>573.19773495733239</v>
      </c>
      <c r="L10" s="12"/>
      <c r="M10" s="12"/>
      <c r="N10" s="12"/>
      <c r="O10" s="12"/>
      <c r="P10" s="12" t="s">
        <v>193</v>
      </c>
      <c r="Q10" s="12" t="s">
        <v>194</v>
      </c>
      <c r="R10" s="9">
        <v>1000000</v>
      </c>
    </row>
    <row r="11" spans="1:19">
      <c r="A11" t="s">
        <v>218</v>
      </c>
      <c r="B11">
        <v>2021</v>
      </c>
      <c r="C11" t="s">
        <v>219</v>
      </c>
      <c r="D11" t="s">
        <v>191</v>
      </c>
      <c r="E11" t="s">
        <v>192</v>
      </c>
      <c r="F11">
        <v>2024</v>
      </c>
      <c r="G11" s="76" t="s">
        <v>222</v>
      </c>
      <c r="H11" s="75">
        <v>1730.510800708724</v>
      </c>
      <c r="I11" s="75">
        <v>823.96435988709356</v>
      </c>
      <c r="J11" s="75">
        <v>2024.309689168186</v>
      </c>
      <c r="K11" s="75">
        <v>2007.3752385624166</v>
      </c>
      <c r="P11" s="12" t="s">
        <v>199</v>
      </c>
      <c r="Q11" s="12" t="s">
        <v>194</v>
      </c>
      <c r="R11" s="84">
        <v>68000000</v>
      </c>
    </row>
    <row r="12" spans="1:19">
      <c r="A12" t="s">
        <v>260</v>
      </c>
      <c r="B12">
        <v>2021</v>
      </c>
      <c r="C12" s="1" t="s">
        <v>261</v>
      </c>
      <c r="D12" t="s">
        <v>191</v>
      </c>
      <c r="E12" t="s">
        <v>192</v>
      </c>
      <c r="F12">
        <v>2024</v>
      </c>
      <c r="G12" s="76" t="s">
        <v>4</v>
      </c>
      <c r="H12" s="75">
        <v>1330.2315443355733</v>
      </c>
      <c r="I12" s="75">
        <v>1583.3702130006432</v>
      </c>
      <c r="J12" s="75">
        <v>2350.1001092278216</v>
      </c>
      <c r="K12" s="75">
        <v>2076.2914423495099</v>
      </c>
      <c r="L12" s="12"/>
      <c r="M12" s="12"/>
      <c r="N12" s="12"/>
      <c r="O12" s="12"/>
      <c r="P12" s="12" t="s">
        <v>199</v>
      </c>
      <c r="Q12" s="12" t="s">
        <v>258</v>
      </c>
      <c r="R12" s="13" t="s">
        <v>85</v>
      </c>
    </row>
    <row r="13" spans="1:19">
      <c r="A13" t="s">
        <v>262</v>
      </c>
      <c r="B13">
        <v>2021</v>
      </c>
      <c r="C13" s="1" t="s">
        <v>263</v>
      </c>
      <c r="D13" t="s">
        <v>191</v>
      </c>
      <c r="E13" t="s">
        <v>192</v>
      </c>
      <c r="G13" s="76" t="s">
        <v>4</v>
      </c>
      <c r="H13" s="75"/>
      <c r="I13" s="75"/>
      <c r="J13" s="75"/>
      <c r="K13" s="75"/>
      <c r="L13" s="12"/>
      <c r="M13" s="12"/>
      <c r="N13" s="12"/>
      <c r="O13" s="12"/>
      <c r="P13" s="12" t="s">
        <v>199</v>
      </c>
      <c r="Q13" s="12" t="s">
        <v>258</v>
      </c>
      <c r="R13" s="13" t="s">
        <v>85</v>
      </c>
    </row>
    <row r="14" spans="1:19">
      <c r="A14" t="s">
        <v>196</v>
      </c>
      <c r="B14">
        <v>2024</v>
      </c>
      <c r="C14" t="s">
        <v>197</v>
      </c>
      <c r="D14" t="s">
        <v>191</v>
      </c>
      <c r="E14" t="s">
        <v>198</v>
      </c>
      <c r="F14">
        <v>2024</v>
      </c>
      <c r="G14" s="76" t="s">
        <v>4</v>
      </c>
      <c r="H14" s="75">
        <v>2404.7474592934755</v>
      </c>
      <c r="I14" s="75">
        <v>2435.2345642939222</v>
      </c>
      <c r="J14" s="75">
        <v>2575.7824042780635</v>
      </c>
      <c r="K14" s="75">
        <v>2555.1300501431251</v>
      </c>
      <c r="L14" s="12">
        <v>5.445168642647661E-2</v>
      </c>
      <c r="M14" s="12">
        <v>0.62743119451311191</v>
      </c>
      <c r="N14" s="12">
        <v>0.30588184525039563</v>
      </c>
      <c r="O14" s="12">
        <v>1.2235273810015825E-2</v>
      </c>
      <c r="P14" s="12" t="s">
        <v>199</v>
      </c>
      <c r="Q14" s="12" t="s">
        <v>194</v>
      </c>
      <c r="R14" s="13" t="s">
        <v>85</v>
      </c>
      <c r="S14" t="s">
        <v>200</v>
      </c>
    </row>
    <row r="15" spans="1:19">
      <c r="A15" t="s">
        <v>229</v>
      </c>
      <c r="B15">
        <v>2023</v>
      </c>
      <c r="C15" t="s">
        <v>230</v>
      </c>
      <c r="D15" t="s">
        <v>207</v>
      </c>
      <c r="E15" t="s">
        <v>192</v>
      </c>
      <c r="F15">
        <v>2050</v>
      </c>
      <c r="G15" s="76" t="s">
        <v>4</v>
      </c>
      <c r="H15" s="75">
        <v>190.91742173061601</v>
      </c>
      <c r="I15" s="75">
        <v>190.9415243874804</v>
      </c>
      <c r="J15" s="75">
        <v>529.75833385605097</v>
      </c>
      <c r="K15" s="75">
        <v>629.24997804382622</v>
      </c>
      <c r="L15" s="12">
        <v>-3.0173340952621544E-5</v>
      </c>
      <c r="M15" s="12">
        <v>0.5159068314201406</v>
      </c>
      <c r="N15" s="12">
        <v>0.34032940955934426</v>
      </c>
      <c r="O15" s="12">
        <v>0.14379393236146765</v>
      </c>
      <c r="P15" s="12" t="s">
        <v>193</v>
      </c>
      <c r="Q15" s="12" t="s">
        <v>208</v>
      </c>
      <c r="R15" s="9">
        <v>31354838</v>
      </c>
    </row>
    <row r="16" spans="1:19">
      <c r="A16" t="s">
        <v>229</v>
      </c>
      <c r="B16">
        <v>2023</v>
      </c>
      <c r="C16" t="s">
        <v>230</v>
      </c>
      <c r="D16" t="s">
        <v>207</v>
      </c>
      <c r="E16" t="s">
        <v>192</v>
      </c>
      <c r="F16">
        <v>2050</v>
      </c>
      <c r="G16" s="76" t="s">
        <v>232</v>
      </c>
      <c r="H16" s="75">
        <v>33.934777374705206</v>
      </c>
      <c r="I16" s="75">
        <v>33.958880031570146</v>
      </c>
      <c r="J16" s="75">
        <v>372.77568950014046</v>
      </c>
      <c r="K16" s="75">
        <v>446.30734244779558</v>
      </c>
      <c r="L16" s="12"/>
      <c r="M16" s="12"/>
      <c r="N16" s="12"/>
      <c r="O16" s="12"/>
      <c r="P16" s="12" t="s">
        <v>193</v>
      </c>
      <c r="Q16" s="12" t="s">
        <v>208</v>
      </c>
      <c r="R16" s="9">
        <v>31354838</v>
      </c>
    </row>
    <row r="17" spans="1:19">
      <c r="A17" t="s">
        <v>225</v>
      </c>
      <c r="B17">
        <v>2023</v>
      </c>
      <c r="C17" s="2" t="s">
        <v>226</v>
      </c>
      <c r="D17" t="s">
        <v>191</v>
      </c>
      <c r="E17" t="s">
        <v>192</v>
      </c>
      <c r="F17">
        <v>2024</v>
      </c>
      <c r="G17" s="76" t="s">
        <v>4</v>
      </c>
      <c r="H17" s="75">
        <v>1148.3867432450918</v>
      </c>
      <c r="I17" s="75">
        <v>1137.4782320272921</v>
      </c>
      <c r="J17" s="75">
        <v>2381.032548560092</v>
      </c>
      <c r="K17" s="75">
        <v>2384.2031890387366</v>
      </c>
      <c r="L17" s="12"/>
      <c r="M17" s="12"/>
      <c r="N17" s="12"/>
      <c r="O17" s="12"/>
      <c r="P17" s="12" t="s">
        <v>199</v>
      </c>
      <c r="Q17" s="12" t="s">
        <v>194</v>
      </c>
      <c r="R17" s="13" t="s">
        <v>85</v>
      </c>
    </row>
    <row r="18" spans="1:19">
      <c r="A18" t="s">
        <v>250</v>
      </c>
      <c r="B18">
        <v>2024</v>
      </c>
      <c r="C18" s="2" t="s">
        <v>251</v>
      </c>
      <c r="D18" t="s">
        <v>191</v>
      </c>
      <c r="E18" t="s">
        <v>192</v>
      </c>
      <c r="F18">
        <v>2024</v>
      </c>
      <c r="G18" s="76" t="s">
        <v>253</v>
      </c>
      <c r="H18" s="75">
        <v>1309.1063656583035</v>
      </c>
      <c r="I18" s="75">
        <v>1104.4864616319737</v>
      </c>
      <c r="J18" s="75">
        <v>2506.3765122322175</v>
      </c>
      <c r="K18" s="75">
        <v>2406.0026133096653</v>
      </c>
      <c r="L18" s="12"/>
      <c r="M18" s="12"/>
      <c r="N18" s="12"/>
      <c r="O18" s="12"/>
      <c r="P18" s="12" t="s">
        <v>193</v>
      </c>
      <c r="Q18" s="12" t="s">
        <v>194</v>
      </c>
      <c r="R18" s="9">
        <v>1000000</v>
      </c>
    </row>
    <row r="19" spans="1:19">
      <c r="A19" t="s">
        <v>189</v>
      </c>
      <c r="B19">
        <v>2016</v>
      </c>
      <c r="C19" s="2" t="s">
        <v>190</v>
      </c>
      <c r="D19" t="s">
        <v>191</v>
      </c>
      <c r="E19" t="s">
        <v>192</v>
      </c>
      <c r="F19">
        <v>2024</v>
      </c>
      <c r="G19" s="76" t="s">
        <v>4</v>
      </c>
      <c r="H19" s="75">
        <v>642.29670473893407</v>
      </c>
      <c r="I19" s="75">
        <v>768.83260727969991</v>
      </c>
      <c r="J19" s="75">
        <v>2386.5584758631594</v>
      </c>
      <c r="K19" s="75">
        <v>2466.5878362464205</v>
      </c>
      <c r="L19" s="12"/>
      <c r="M19" s="12"/>
      <c r="N19" s="12"/>
      <c r="O19" s="12"/>
      <c r="P19" s="12" t="s">
        <v>193</v>
      </c>
      <c r="Q19" s="12" t="s">
        <v>194</v>
      </c>
      <c r="R19" s="84">
        <v>144778221.668742</v>
      </c>
      <c r="S19" t="s">
        <v>195</v>
      </c>
    </row>
    <row r="20" spans="1:19">
      <c r="A20" t="s">
        <v>225</v>
      </c>
      <c r="B20">
        <v>2023</v>
      </c>
      <c r="C20" s="2" t="s">
        <v>226</v>
      </c>
      <c r="D20" t="s">
        <v>191</v>
      </c>
      <c r="E20" t="s">
        <v>192</v>
      </c>
      <c r="F20">
        <v>2050</v>
      </c>
      <c r="G20" s="76" t="s">
        <v>4</v>
      </c>
      <c r="H20" s="75">
        <v>-439.77687744582073</v>
      </c>
      <c r="I20" s="75">
        <v>-572.39230236496542</v>
      </c>
      <c r="J20" s="75">
        <v>14.017077899199347</v>
      </c>
      <c r="K20" s="75">
        <v>16.669981504733475</v>
      </c>
      <c r="L20" s="12"/>
      <c r="M20" s="12"/>
      <c r="N20" s="12"/>
      <c r="O20" s="12"/>
      <c r="P20" s="12" t="s">
        <v>199</v>
      </c>
      <c r="Q20" s="12" t="s">
        <v>194</v>
      </c>
      <c r="R20" s="13" t="s">
        <v>85</v>
      </c>
      <c r="S20" s="20"/>
    </row>
    <row r="21" spans="1:19">
      <c r="A21" t="s">
        <v>250</v>
      </c>
      <c r="B21">
        <v>2024</v>
      </c>
      <c r="C21" s="2" t="s">
        <v>251</v>
      </c>
      <c r="D21" t="s">
        <v>191</v>
      </c>
      <c r="E21" t="s">
        <v>192</v>
      </c>
      <c r="F21">
        <v>2024</v>
      </c>
      <c r="G21" s="76" t="s">
        <v>252</v>
      </c>
      <c r="H21" s="75">
        <v>1510.502621501556</v>
      </c>
      <c r="I21" s="75">
        <v>1255.2681500158253</v>
      </c>
      <c r="J21" s="75">
        <v>2657.1582006160684</v>
      </c>
      <c r="K21" s="75">
        <v>2530.7794416821052</v>
      </c>
      <c r="L21" s="12">
        <v>0.20134348894042559</v>
      </c>
      <c r="M21" s="12">
        <v>0.54125942432713947</v>
      </c>
      <c r="N21" s="12">
        <v>0.22754856312650942</v>
      </c>
      <c r="O21" s="12">
        <v>2.9848523605927362E-2</v>
      </c>
      <c r="P21" s="12" t="s">
        <v>193</v>
      </c>
      <c r="Q21" s="12" t="s">
        <v>194</v>
      </c>
      <c r="R21" s="9">
        <v>1000000</v>
      </c>
      <c r="S21" t="s">
        <v>255</v>
      </c>
    </row>
    <row r="22" spans="1:19">
      <c r="A22" t="s">
        <v>250</v>
      </c>
      <c r="B22">
        <v>2024</v>
      </c>
      <c r="C22" s="2" t="s">
        <v>251</v>
      </c>
      <c r="D22" t="s">
        <v>191</v>
      </c>
      <c r="E22" t="s">
        <v>192</v>
      </c>
      <c r="F22">
        <v>2024</v>
      </c>
      <c r="G22" s="76" t="s">
        <v>254</v>
      </c>
      <c r="H22" s="75">
        <v>1286.1593005235322</v>
      </c>
      <c r="I22" s="75">
        <v>1276.9021662236783</v>
      </c>
      <c r="J22" s="75">
        <v>2678.7922168239206</v>
      </c>
      <c r="K22" s="75">
        <v>2549.0919648666936</v>
      </c>
      <c r="L22" s="12"/>
      <c r="M22" s="12"/>
      <c r="N22" s="12"/>
      <c r="O22" s="12"/>
      <c r="P22" s="12" t="s">
        <v>193</v>
      </c>
      <c r="Q22" s="12" t="s">
        <v>194</v>
      </c>
      <c r="R22" s="9">
        <v>1000000</v>
      </c>
    </row>
    <row r="23" spans="1:19">
      <c r="A23" t="s">
        <v>256</v>
      </c>
      <c r="B23">
        <v>2024</v>
      </c>
      <c r="C23" s="1" t="s">
        <v>257</v>
      </c>
      <c r="D23" t="s">
        <v>191</v>
      </c>
      <c r="E23" t="s">
        <v>192</v>
      </c>
      <c r="F23">
        <v>2024</v>
      </c>
      <c r="G23" s="76" t="s">
        <v>4</v>
      </c>
      <c r="H23" s="75">
        <v>1703.2941883028598</v>
      </c>
      <c r="I23" s="75">
        <v>1744.0992896145076</v>
      </c>
      <c r="J23" s="75">
        <v>2493.7646673531035</v>
      </c>
      <c r="K23" s="75">
        <v>2519.6177479479361</v>
      </c>
      <c r="L23" s="12">
        <v>0.25985878261692258</v>
      </c>
      <c r="M23" s="12">
        <v>0.55324105778868227</v>
      </c>
      <c r="N23" s="12">
        <v>0.1226529203090107</v>
      </c>
      <c r="O23" s="80">
        <v>6.4247239285384367E-2</v>
      </c>
      <c r="P23" s="80" t="s">
        <v>199</v>
      </c>
      <c r="Q23" s="80" t="s">
        <v>258</v>
      </c>
      <c r="R23" s="9">
        <v>2110761</v>
      </c>
      <c r="S23" t="s">
        <v>259</v>
      </c>
    </row>
    <row r="24" spans="1:19">
      <c r="A24" t="s">
        <v>212</v>
      </c>
      <c r="B24">
        <v>2024</v>
      </c>
      <c r="C24" s="1" t="s">
        <v>213</v>
      </c>
      <c r="D24" t="s">
        <v>191</v>
      </c>
      <c r="E24" t="s">
        <v>192</v>
      </c>
      <c r="F24">
        <v>2024</v>
      </c>
      <c r="G24" s="76" t="s">
        <v>214</v>
      </c>
      <c r="H24" s="75">
        <v>2727.5773261727436</v>
      </c>
      <c r="I24" s="75">
        <v>2805.9551585007839</v>
      </c>
      <c r="J24" s="75">
        <v>2849.8756786120139</v>
      </c>
      <c r="K24" s="75">
        <v>2927.777967986257</v>
      </c>
      <c r="L24" s="12">
        <v>0.19629913386788772</v>
      </c>
      <c r="M24" s="12">
        <v>0.65374157606915917</v>
      </c>
      <c r="N24" s="12">
        <v>0.10228146681708518</v>
      </c>
      <c r="O24" s="12">
        <v>4.7677823245867994E-2</v>
      </c>
      <c r="P24" s="12" t="s">
        <v>199</v>
      </c>
      <c r="Q24" s="12" t="s">
        <v>194</v>
      </c>
      <c r="R24" s="84">
        <v>39140033.75</v>
      </c>
    </row>
    <row r="25" spans="1:19">
      <c r="A25" t="s">
        <v>260</v>
      </c>
      <c r="B25">
        <v>2021</v>
      </c>
      <c r="C25" s="1" t="s">
        <v>261</v>
      </c>
      <c r="D25" t="s">
        <v>191</v>
      </c>
      <c r="E25" t="s">
        <v>192</v>
      </c>
      <c r="F25">
        <v>2050</v>
      </c>
      <c r="G25" s="76" t="s">
        <v>4</v>
      </c>
      <c r="H25" s="75">
        <v>-610.41878192420904</v>
      </c>
      <c r="I25" s="75">
        <v>-402.29188743434077</v>
      </c>
      <c r="J25" s="75">
        <v>-52.949134263370425</v>
      </c>
      <c r="K25" s="75">
        <v>9.4883629806307361</v>
      </c>
      <c r="L25" s="12"/>
      <c r="M25" s="12"/>
      <c r="N25" s="12"/>
      <c r="O25" s="12"/>
      <c r="P25" s="12" t="s">
        <v>199</v>
      </c>
      <c r="Q25" s="12" t="s">
        <v>258</v>
      </c>
      <c r="R25" s="13" t="s">
        <v>85</v>
      </c>
    </row>
    <row r="26" spans="1:19">
      <c r="A26" t="s">
        <v>201</v>
      </c>
      <c r="B26">
        <v>2024</v>
      </c>
      <c r="D26" t="s">
        <v>191</v>
      </c>
      <c r="E26" t="s">
        <v>192</v>
      </c>
      <c r="G26" s="76" t="s">
        <v>4</v>
      </c>
      <c r="L26" s="12"/>
      <c r="M26" s="12"/>
      <c r="N26" s="12"/>
      <c r="O26" s="12"/>
      <c r="P26" s="12" t="s">
        <v>199</v>
      </c>
      <c r="Q26" s="12" t="s">
        <v>202</v>
      </c>
      <c r="R26" s="13" t="s">
        <v>85</v>
      </c>
    </row>
    <row r="27" spans="1:19">
      <c r="A27" t="s">
        <v>218</v>
      </c>
      <c r="B27">
        <v>2021</v>
      </c>
      <c r="C27" t="s">
        <v>219</v>
      </c>
      <c r="D27" t="s">
        <v>191</v>
      </c>
      <c r="E27" t="s">
        <v>192</v>
      </c>
      <c r="F27">
        <v>2024</v>
      </c>
      <c r="G27" s="76" t="s">
        <v>223</v>
      </c>
      <c r="H27" s="75">
        <v>2708.6121435384971</v>
      </c>
      <c r="I27" s="75">
        <v>1804.7168921979044</v>
      </c>
      <c r="J27" s="75">
        <v>3396.6119441043925</v>
      </c>
      <c r="K27" s="75">
        <v>3374.1563502157419</v>
      </c>
      <c r="P27" s="12" t="s">
        <v>199</v>
      </c>
      <c r="Q27" s="12" t="s">
        <v>194</v>
      </c>
      <c r="R27" s="84">
        <v>48000000</v>
      </c>
    </row>
    <row r="28" spans="1:19" ht="16.899999999999999" customHeight="1">
      <c r="A28" t="s">
        <v>242</v>
      </c>
      <c r="B28">
        <v>2023</v>
      </c>
      <c r="C28" s="1" t="s">
        <v>243</v>
      </c>
      <c r="D28" t="s">
        <v>191</v>
      </c>
      <c r="E28" t="s">
        <v>192</v>
      </c>
      <c r="F28">
        <v>2024</v>
      </c>
      <c r="G28" s="76" t="s">
        <v>4</v>
      </c>
      <c r="H28" s="75">
        <v>1755.1259920054924</v>
      </c>
      <c r="I28" s="75">
        <v>1456.3451717240093</v>
      </c>
      <c r="J28" s="75">
        <v>3092.0351171600601</v>
      </c>
      <c r="K28" s="75">
        <v>3109.819000988336</v>
      </c>
      <c r="L28" s="12">
        <v>0.28620652613279013</v>
      </c>
      <c r="M28" s="12">
        <v>0.47089020808174514</v>
      </c>
      <c r="N28" s="12">
        <v>2.5500913984063858E-2</v>
      </c>
      <c r="O28" s="12">
        <v>0.21740235180140077</v>
      </c>
      <c r="P28" s="12" t="s">
        <v>199</v>
      </c>
      <c r="Q28" s="12" t="s">
        <v>235</v>
      </c>
      <c r="R28" s="9">
        <v>25105853.051058531</v>
      </c>
      <c r="S28" t="s">
        <v>244</v>
      </c>
    </row>
    <row r="29" spans="1:19" ht="16.899999999999999" customHeight="1">
      <c r="A29" t="s">
        <v>218</v>
      </c>
      <c r="B29">
        <v>2021</v>
      </c>
      <c r="C29" t="s">
        <v>219</v>
      </c>
      <c r="D29" t="s">
        <v>191</v>
      </c>
      <c r="E29" t="s">
        <v>192</v>
      </c>
      <c r="F29">
        <v>2024</v>
      </c>
      <c r="G29" s="76" t="s">
        <v>224</v>
      </c>
      <c r="H29" s="75">
        <v>2761.7003080324448</v>
      </c>
      <c r="I29" s="75">
        <v>1368.7084844811829</v>
      </c>
      <c r="J29" s="75">
        <v>3557.2857569304938</v>
      </c>
      <c r="K29" s="75">
        <v>3528.5632426152797</v>
      </c>
      <c r="P29" s="12" t="s">
        <v>199</v>
      </c>
      <c r="Q29" s="12" t="s">
        <v>194</v>
      </c>
      <c r="R29" s="84">
        <v>35000000</v>
      </c>
    </row>
    <row r="30" spans="1:19">
      <c r="A30" t="s">
        <v>212</v>
      </c>
      <c r="B30">
        <v>2024</v>
      </c>
      <c r="C30" s="1" t="s">
        <v>213</v>
      </c>
      <c r="D30" t="s">
        <v>191</v>
      </c>
      <c r="E30" t="s">
        <v>192</v>
      </c>
      <c r="F30">
        <v>2050</v>
      </c>
      <c r="G30" s="76" t="s">
        <v>216</v>
      </c>
      <c r="H30" s="75">
        <v>621.03644221519471</v>
      </c>
      <c r="I30" s="75">
        <v>699.41427454323446</v>
      </c>
      <c r="J30" s="75">
        <v>942.96016867172477</v>
      </c>
      <c r="K30" s="75">
        <v>1020.8624580459679</v>
      </c>
      <c r="L30" s="12">
        <v>0.38762689468117906</v>
      </c>
      <c r="M30" s="12">
        <v>0.31625231868907483</v>
      </c>
      <c r="N30" s="12">
        <v>0.2019726046902777</v>
      </c>
      <c r="O30" s="12">
        <v>9.4148181939468348E-2</v>
      </c>
      <c r="P30" s="12" t="s">
        <v>199</v>
      </c>
      <c r="Q30" s="12" t="s">
        <v>194</v>
      </c>
      <c r="R30" s="84">
        <v>39140033.75</v>
      </c>
      <c r="S30" t="s">
        <v>217</v>
      </c>
    </row>
    <row r="31" spans="1:19">
      <c r="A31" t="s">
        <v>239</v>
      </c>
      <c r="B31">
        <v>2022</v>
      </c>
      <c r="C31" t="s">
        <v>240</v>
      </c>
      <c r="D31" t="s">
        <v>191</v>
      </c>
      <c r="E31" t="s">
        <v>192</v>
      </c>
      <c r="F31">
        <v>2024</v>
      </c>
      <c r="G31" s="76" t="s">
        <v>4</v>
      </c>
      <c r="H31" s="75">
        <v>84.117088972480289</v>
      </c>
      <c r="I31" s="75">
        <v>468.49612893913081</v>
      </c>
      <c r="J31" s="75">
        <v>3149.4631147779628</v>
      </c>
      <c r="K31" s="75">
        <v>3188.4879903961964</v>
      </c>
      <c r="L31" s="12">
        <v>6.6800203467038397E-2</v>
      </c>
      <c r="M31" s="12">
        <v>0.46591806920061163</v>
      </c>
      <c r="N31" s="12">
        <v>0.43493529419052063</v>
      </c>
      <c r="O31" s="12">
        <v>3.2346433141829486E-2</v>
      </c>
      <c r="P31" s="12" t="s">
        <v>199</v>
      </c>
      <c r="Q31" s="12" t="s">
        <v>194</v>
      </c>
      <c r="R31" s="9">
        <v>208032000</v>
      </c>
      <c r="S31" t="s">
        <v>241</v>
      </c>
    </row>
    <row r="32" spans="1:19">
      <c r="A32" t="s">
        <v>245</v>
      </c>
      <c r="B32">
        <v>2024</v>
      </c>
      <c r="C32" s="1" t="s">
        <v>246</v>
      </c>
      <c r="D32" t="s">
        <v>191</v>
      </c>
      <c r="E32" t="s">
        <v>198</v>
      </c>
      <c r="F32">
        <v>2024</v>
      </c>
      <c r="G32" s="76" t="s">
        <v>247</v>
      </c>
      <c r="H32" s="75">
        <v>6201.6746704843536</v>
      </c>
      <c r="I32" s="75">
        <v>3818.5620604832807</v>
      </c>
      <c r="J32" s="75">
        <v>3865.4180894995325</v>
      </c>
      <c r="K32" s="75">
        <v>3949.4052401580666</v>
      </c>
      <c r="L32" s="12">
        <v>0.18840661595310274</v>
      </c>
      <c r="M32" s="12">
        <v>0.68456138294840485</v>
      </c>
      <c r="N32" s="12">
        <v>0.11897366506350344</v>
      </c>
      <c r="O32" s="12">
        <v>8.0583360349887213E-3</v>
      </c>
      <c r="P32" s="12" t="s">
        <v>199</v>
      </c>
      <c r="Q32" s="12" t="s">
        <v>194</v>
      </c>
      <c r="R32" s="84">
        <v>1250000000</v>
      </c>
      <c r="S32" t="s">
        <v>248</v>
      </c>
    </row>
    <row r="33" spans="1:19">
      <c r="A33" t="s">
        <v>233</v>
      </c>
      <c r="B33">
        <v>2024</v>
      </c>
      <c r="D33" t="s">
        <v>191</v>
      </c>
      <c r="E33" t="s">
        <v>192</v>
      </c>
      <c r="F33">
        <v>2024</v>
      </c>
      <c r="G33" s="76" t="s">
        <v>234</v>
      </c>
      <c r="H33" s="75">
        <v>2681.2487830302389</v>
      </c>
      <c r="I33" s="75">
        <v>2495.6577011733561</v>
      </c>
      <c r="J33" s="75">
        <v>4573.4253820398362</v>
      </c>
      <c r="K33" s="75">
        <v>4548.0843198991461</v>
      </c>
      <c r="L33" s="12"/>
      <c r="M33" s="12"/>
      <c r="N33" s="12"/>
      <c r="O33" s="12"/>
      <c r="P33" s="12" t="s">
        <v>199</v>
      </c>
      <c r="Q33" s="12" t="s">
        <v>235</v>
      </c>
      <c r="R33" s="9">
        <v>157410000</v>
      </c>
    </row>
    <row r="34" spans="1:19">
      <c r="A34" t="s">
        <v>233</v>
      </c>
      <c r="B34">
        <v>2024</v>
      </c>
      <c r="D34" t="s">
        <v>191</v>
      </c>
      <c r="E34" t="s">
        <v>192</v>
      </c>
      <c r="F34">
        <v>2024</v>
      </c>
      <c r="G34" s="76" t="s">
        <v>236</v>
      </c>
      <c r="H34" s="75">
        <v>3266.1214388486155</v>
      </c>
      <c r="I34" s="75">
        <v>2576.9841253415252</v>
      </c>
      <c r="J34" s="75">
        <v>4528.7896922505452</v>
      </c>
      <c r="K34" s="75">
        <v>4507.1223664184608</v>
      </c>
      <c r="L34" s="12"/>
      <c r="M34" s="12"/>
      <c r="N34" s="12"/>
      <c r="O34" s="12"/>
      <c r="P34" s="12" t="s">
        <v>199</v>
      </c>
      <c r="Q34" s="12" t="s">
        <v>235</v>
      </c>
      <c r="R34" s="9">
        <v>157410000</v>
      </c>
      <c r="S34" t="s">
        <v>237</v>
      </c>
    </row>
    <row r="35" spans="1:19">
      <c r="A35" t="s">
        <v>233</v>
      </c>
      <c r="B35">
        <v>2024</v>
      </c>
      <c r="D35" t="s">
        <v>191</v>
      </c>
      <c r="E35" t="s">
        <v>192</v>
      </c>
      <c r="F35">
        <v>2050</v>
      </c>
      <c r="G35" s="76" t="s">
        <v>236</v>
      </c>
      <c r="H35" s="75">
        <v>1168.086426298574</v>
      </c>
      <c r="I35" s="75">
        <v>729.46121690769087</v>
      </c>
      <c r="J35" s="75">
        <v>1849.489051662775</v>
      </c>
      <c r="K35" s="75">
        <v>1821.2535812727115</v>
      </c>
      <c r="L35" s="12"/>
      <c r="M35" s="12"/>
      <c r="N35" s="12"/>
      <c r="O35" s="12"/>
      <c r="P35" s="12" t="s">
        <v>199</v>
      </c>
      <c r="Q35" s="12" t="s">
        <v>235</v>
      </c>
      <c r="R35" s="9">
        <v>157410000</v>
      </c>
    </row>
    <row r="36" spans="1:19">
      <c r="A36" t="s">
        <v>233</v>
      </c>
      <c r="B36">
        <v>2024</v>
      </c>
      <c r="D36" t="s">
        <v>191</v>
      </c>
      <c r="E36" t="s">
        <v>192</v>
      </c>
      <c r="F36">
        <v>2050</v>
      </c>
      <c r="G36" s="76" t="s">
        <v>238</v>
      </c>
      <c r="H36" s="75">
        <v>887.39271052048321</v>
      </c>
      <c r="I36" s="75">
        <v>707.50540660077536</v>
      </c>
      <c r="J36" s="75">
        <v>1743.8439320351849</v>
      </c>
      <c r="K36" s="75">
        <v>1715.6084616451219</v>
      </c>
      <c r="L36" s="12">
        <v>0.34291277923676844</v>
      </c>
      <c r="M36" s="12">
        <v>0.41621386171084307</v>
      </c>
      <c r="N36" s="12">
        <v>7.8756910153965909E-2</v>
      </c>
      <c r="O36" s="12">
        <v>0.16211644889842231</v>
      </c>
      <c r="P36" s="12" t="s">
        <v>199</v>
      </c>
      <c r="Q36" s="12" t="s">
        <v>235</v>
      </c>
      <c r="R36" s="9">
        <v>157410000</v>
      </c>
    </row>
    <row r="37" spans="1:19">
      <c r="A37" t="s">
        <v>233</v>
      </c>
      <c r="B37">
        <v>2024</v>
      </c>
      <c r="D37" t="s">
        <v>191</v>
      </c>
      <c r="E37" t="s">
        <v>192</v>
      </c>
      <c r="F37">
        <v>2050</v>
      </c>
      <c r="G37" s="76" t="s">
        <v>234</v>
      </c>
      <c r="H37" s="75">
        <v>676.57577181554007</v>
      </c>
      <c r="I37" s="75">
        <v>525.04027123100434</v>
      </c>
      <c r="J37" s="75">
        <v>1525.4230614012715</v>
      </c>
      <c r="K37" s="75">
        <v>1498.8381233567254</v>
      </c>
      <c r="L37" s="12"/>
      <c r="M37" s="12"/>
      <c r="N37" s="12"/>
      <c r="O37" s="12"/>
      <c r="P37" s="12" t="s">
        <v>199</v>
      </c>
      <c r="Q37" s="12" t="s">
        <v>235</v>
      </c>
      <c r="R37" s="9">
        <v>157410000</v>
      </c>
    </row>
    <row r="38" spans="1:19">
      <c r="A38" t="s">
        <v>233</v>
      </c>
      <c r="B38">
        <v>2024</v>
      </c>
      <c r="D38" t="s">
        <v>191</v>
      </c>
      <c r="E38" t="s">
        <v>192</v>
      </c>
      <c r="F38">
        <v>2024</v>
      </c>
      <c r="G38" s="76" t="s">
        <v>238</v>
      </c>
      <c r="H38" s="75">
        <v>2797.4452258049691</v>
      </c>
      <c r="I38" s="75">
        <v>2548.3624580496798</v>
      </c>
      <c r="J38" s="75">
        <v>4640.6837686896215</v>
      </c>
      <c r="K38" s="75">
        <v>4619.0164428575381</v>
      </c>
      <c r="L38" s="12">
        <v>0.18972820066329413</v>
      </c>
      <c r="M38" s="12">
        <v>0.68542683885337585</v>
      </c>
      <c r="N38" s="12">
        <v>4.1118672813784257E-2</v>
      </c>
      <c r="O38" s="12">
        <v>8.3726287669547289E-2</v>
      </c>
      <c r="P38" s="12" t="s">
        <v>199</v>
      </c>
      <c r="Q38" s="12" t="s">
        <v>235</v>
      </c>
      <c r="R38" s="9">
        <v>157410000</v>
      </c>
    </row>
    <row r="39" spans="1:19">
      <c r="A39" t="s">
        <v>205</v>
      </c>
      <c r="B39">
        <v>2020</v>
      </c>
      <c r="C39" t="s">
        <v>206</v>
      </c>
      <c r="D39" t="s">
        <v>207</v>
      </c>
      <c r="E39" t="s">
        <v>192</v>
      </c>
      <c r="F39">
        <v>2024</v>
      </c>
      <c r="G39" s="76" t="s">
        <v>4</v>
      </c>
      <c r="H39" s="75">
        <v>1312.9984811577319</v>
      </c>
      <c r="I39" s="75">
        <v>1349.9394398959996</v>
      </c>
      <c r="J39" s="75">
        <v>5188.919680711776</v>
      </c>
      <c r="K39" s="75">
        <v>5172.0010379136593</v>
      </c>
      <c r="L39" s="12"/>
      <c r="M39" s="12"/>
      <c r="N39" s="12"/>
      <c r="O39" s="12"/>
      <c r="P39" s="12" t="s">
        <v>199</v>
      </c>
      <c r="Q39" s="12" t="s">
        <v>208</v>
      </c>
      <c r="R39" s="9">
        <v>45872966</v>
      </c>
      <c r="S39" t="s">
        <v>209</v>
      </c>
    </row>
    <row r="40" spans="1:19">
      <c r="A40" t="s">
        <v>205</v>
      </c>
      <c r="B40">
        <v>2015</v>
      </c>
      <c r="C40" s="5" t="s">
        <v>210</v>
      </c>
      <c r="D40" t="s">
        <v>207</v>
      </c>
      <c r="E40" t="s">
        <v>192</v>
      </c>
      <c r="F40">
        <v>2024</v>
      </c>
      <c r="G40" s="76" t="s">
        <v>4</v>
      </c>
      <c r="H40" s="75">
        <v>563.6763071198169</v>
      </c>
      <c r="I40" s="75">
        <v>592.92830102216521</v>
      </c>
      <c r="J40" s="75">
        <v>5581.9039972601649</v>
      </c>
      <c r="K40" s="75">
        <v>5983.7230862237793</v>
      </c>
      <c r="L40" s="12"/>
      <c r="M40" s="12"/>
      <c r="N40" s="12"/>
      <c r="O40" s="12"/>
      <c r="P40" s="12" t="s">
        <v>199</v>
      </c>
      <c r="Q40" s="12" t="s">
        <v>208</v>
      </c>
      <c r="R40" s="86">
        <v>58035000</v>
      </c>
    </row>
    <row r="41" spans="1:19">
      <c r="A41" t="s">
        <v>205</v>
      </c>
      <c r="B41">
        <v>2015</v>
      </c>
      <c r="C41" s="5" t="s">
        <v>210</v>
      </c>
      <c r="D41" t="s">
        <v>207</v>
      </c>
      <c r="E41" t="s">
        <v>192</v>
      </c>
      <c r="F41">
        <v>2024</v>
      </c>
      <c r="G41" s="76" t="s">
        <v>4</v>
      </c>
      <c r="H41" s="75">
        <v>798.16358341599573</v>
      </c>
      <c r="I41" s="75">
        <v>827.41557731834428</v>
      </c>
      <c r="J41" s="75">
        <v>5816.3912735563426</v>
      </c>
      <c r="K41" s="75">
        <v>6234.1340273190181</v>
      </c>
      <c r="L41" s="12">
        <v>5.8359446730100857E-2</v>
      </c>
      <c r="M41" s="12">
        <v>0.66723592814540433</v>
      </c>
      <c r="N41" s="12">
        <v>0.10459442543324093</v>
      </c>
      <c r="O41" s="12">
        <v>0.16981019969125349</v>
      </c>
      <c r="P41" s="12" t="s">
        <v>199</v>
      </c>
      <c r="Q41" s="12" t="s">
        <v>208</v>
      </c>
      <c r="R41" s="86">
        <v>58035000</v>
      </c>
      <c r="S41" t="s">
        <v>211</v>
      </c>
    </row>
    <row r="42" spans="1:19">
      <c r="A42" t="s">
        <v>245</v>
      </c>
      <c r="B42">
        <v>2024</v>
      </c>
      <c r="C42" s="1" t="s">
        <v>246</v>
      </c>
      <c r="D42" t="s">
        <v>191</v>
      </c>
      <c r="E42" t="s">
        <v>198</v>
      </c>
      <c r="F42">
        <v>2024</v>
      </c>
      <c r="G42" s="76" t="s">
        <v>249</v>
      </c>
      <c r="H42" s="75">
        <v>5186.3474368779916</v>
      </c>
      <c r="I42" s="75">
        <v>3438.5192545251684</v>
      </c>
      <c r="J42" s="75">
        <v>5951.2256810399012</v>
      </c>
      <c r="K42" s="75">
        <v>6013.8337548512636</v>
      </c>
      <c r="L42" s="12">
        <v>0.10119430449322714</v>
      </c>
      <c r="M42" s="12">
        <v>0.61193522966613301</v>
      </c>
      <c r="N42" s="12">
        <v>0.27234050130799337</v>
      </c>
      <c r="O42" s="12">
        <v>1.4529964532646183E-2</v>
      </c>
      <c r="P42" s="12" t="s">
        <v>199</v>
      </c>
      <c r="Q42" s="12" t="s">
        <v>194</v>
      </c>
      <c r="R42" s="84">
        <v>1250000000</v>
      </c>
    </row>
    <row r="43" spans="1:19">
      <c r="A43" t="s">
        <v>218</v>
      </c>
      <c r="B43">
        <v>2021</v>
      </c>
      <c r="C43" t="s">
        <v>219</v>
      </c>
      <c r="D43" t="s">
        <v>191</v>
      </c>
      <c r="E43" t="s">
        <v>192</v>
      </c>
      <c r="F43">
        <v>2050</v>
      </c>
      <c r="G43" s="76" t="s">
        <v>221</v>
      </c>
      <c r="H43" s="75">
        <v>-100.28890956114485</v>
      </c>
      <c r="I43" s="75">
        <v>-543.34654465939218</v>
      </c>
      <c r="J43" s="75">
        <v>-168.78077315615889</v>
      </c>
      <c r="K43" s="75">
        <v>-178.78905093678583</v>
      </c>
      <c r="L43" s="80">
        <v>0.21202578729926874</v>
      </c>
      <c r="M43" s="80">
        <v>0.23970956366229598</v>
      </c>
      <c r="N43" s="80">
        <v>0.15126254531596553</v>
      </c>
      <c r="O43" s="80">
        <v>0.39700210372246958</v>
      </c>
      <c r="P43" s="12" t="s">
        <v>199</v>
      </c>
      <c r="Q43" s="12" t="s">
        <v>194</v>
      </c>
      <c r="R43" s="84">
        <v>87000000</v>
      </c>
    </row>
    <row r="44" spans="1:19">
      <c r="A44" t="s">
        <v>218</v>
      </c>
      <c r="B44">
        <v>2021</v>
      </c>
      <c r="C44" t="s">
        <v>219</v>
      </c>
      <c r="D44" t="s">
        <v>191</v>
      </c>
      <c r="E44" t="s">
        <v>192</v>
      </c>
      <c r="F44">
        <v>2050</v>
      </c>
      <c r="G44" s="76" t="s">
        <v>224</v>
      </c>
      <c r="H44" s="75">
        <v>1256.8327638936978</v>
      </c>
      <c r="I44" s="75">
        <v>494.81204670868715</v>
      </c>
      <c r="J44" s="75">
        <v>1441.158030418723</v>
      </c>
      <c r="K44" s="75">
        <v>1423.1823968934445</v>
      </c>
      <c r="P44" s="12" t="s">
        <v>199</v>
      </c>
      <c r="Q44" s="12" t="s">
        <v>194</v>
      </c>
      <c r="R44" s="84">
        <v>35000000</v>
      </c>
    </row>
    <row r="45" spans="1:19">
      <c r="A45" t="s">
        <v>218</v>
      </c>
      <c r="B45">
        <v>2021</v>
      </c>
      <c r="C45" t="s">
        <v>219</v>
      </c>
      <c r="D45" t="s">
        <v>191</v>
      </c>
      <c r="E45" t="s">
        <v>192</v>
      </c>
      <c r="F45">
        <v>2050</v>
      </c>
      <c r="G45" s="76" t="s">
        <v>223</v>
      </c>
      <c r="H45" s="75">
        <v>994.70476914281573</v>
      </c>
      <c r="I45" s="75">
        <v>134.28748098789279</v>
      </c>
      <c r="J45" s="75">
        <v>823.01192300651996</v>
      </c>
      <c r="K45" s="75">
        <v>809.38785687310724</v>
      </c>
      <c r="P45" s="12" t="s">
        <v>199</v>
      </c>
      <c r="Q45" s="12" t="s">
        <v>194</v>
      </c>
      <c r="R45" s="84">
        <v>48000000</v>
      </c>
    </row>
    <row r="46" spans="1:19">
      <c r="A46" t="s">
        <v>218</v>
      </c>
      <c r="B46">
        <v>2021</v>
      </c>
      <c r="C46" t="s">
        <v>219</v>
      </c>
      <c r="D46" t="s">
        <v>191</v>
      </c>
      <c r="E46" t="s">
        <v>192</v>
      </c>
      <c r="F46">
        <v>2050</v>
      </c>
      <c r="G46" s="76" t="s">
        <v>220</v>
      </c>
      <c r="H46" s="75">
        <v>-387.28973181987413</v>
      </c>
      <c r="I46" s="75">
        <v>-799.1957055977</v>
      </c>
      <c r="J46" s="75">
        <v>-302.93420517383061</v>
      </c>
      <c r="K46" s="75">
        <v>-312.92459760131726</v>
      </c>
      <c r="P46" s="12" t="s">
        <v>199</v>
      </c>
      <c r="Q46" s="12" t="s">
        <v>194</v>
      </c>
      <c r="R46" s="84">
        <v>69000000</v>
      </c>
    </row>
    <row r="47" spans="1:19">
      <c r="A47" t="s">
        <v>218</v>
      </c>
      <c r="B47">
        <v>2021</v>
      </c>
      <c r="C47" t="s">
        <v>219</v>
      </c>
      <c r="D47" t="s">
        <v>191</v>
      </c>
      <c r="E47" t="s">
        <v>192</v>
      </c>
      <c r="F47">
        <v>2050</v>
      </c>
      <c r="G47" s="76" t="s">
        <v>222</v>
      </c>
      <c r="H47" s="75">
        <v>628.73238316672519</v>
      </c>
      <c r="I47" s="75">
        <v>100.46811775340927</v>
      </c>
      <c r="J47" s="75">
        <v>-85.80490680525358</v>
      </c>
      <c r="K47" s="75">
        <v>-96.18144532214167</v>
      </c>
      <c r="P47" s="12" t="s">
        <v>199</v>
      </c>
      <c r="Q47" s="12" t="s">
        <v>194</v>
      </c>
      <c r="R47" s="84">
        <v>68000000</v>
      </c>
    </row>
    <row r="48" spans="1:19">
      <c r="F48" s="75"/>
      <c r="G48" s="75"/>
      <c r="H48" s="75"/>
      <c r="I48" s="75"/>
      <c r="N48" s="12"/>
      <c r="O48" s="12"/>
      <c r="P48" s="84"/>
    </row>
    <row r="49" spans="6:9">
      <c r="F49" s="75"/>
      <c r="G49" s="75"/>
      <c r="H49" s="75"/>
      <c r="I49" s="75"/>
    </row>
    <row r="51" spans="6:9">
      <c r="F51" s="75"/>
      <c r="G51" s="75"/>
    </row>
  </sheetData>
  <hyperlinks>
    <hyperlink ref="C23" r:id="rId1" xr:uid="{FE934B94-38C9-3349-9DD6-F5DA109F9AD6}"/>
    <hyperlink ref="C4" r:id="rId2" xr:uid="{90432BD9-9FAA-E84E-B015-C4777743AA5D}"/>
    <hyperlink ref="C21" r:id="rId3" display="https://onlinelibrary.wiley.com/doi/full/10.1002/cite.201700129?saml_referrer" xr:uid="{E38B77E2-0404-664C-8950-87C00958176D}"/>
    <hyperlink ref="C13" r:id="rId4" xr:uid="{4211E475-7472-D646-9E1F-FB80B74BE07A}"/>
    <hyperlink ref="C28" r:id="rId5" location="s0005" xr:uid="{61B9B170-28C5-3545-940A-FF008FAE96EA}"/>
    <hyperlink ref="C19" r:id="rId6" xr:uid="{4ADAF547-84E4-A44A-A3A2-86AB60D49F62}"/>
    <hyperlink ref="C12" r:id="rId7" xr:uid="{15381EC4-4630-3542-8F33-D866646624C6}"/>
    <hyperlink ref="C32" r:id="rId8" tooltip="DOI URL" xr:uid="{99290892-AB5F-DF40-A92D-4D0912F9DFBA}"/>
    <hyperlink ref="C24" r:id="rId9" tooltip="Persistent link using digital object identifier" xr:uid="{1D1C0AAA-B145-FB41-9EA1-D7487617FBA8}"/>
    <hyperlink ref="C3" r:id="rId10" xr:uid="{464FF1E6-FB9A-8E43-A182-10F50F23B184}"/>
    <hyperlink ref="C18" r:id="rId11" display="https://onlinelibrary.wiley.com/doi/full/10.1002/cite.201700129?saml_referrer" xr:uid="{0311D08F-9F00-D543-A269-E641A7F27FA8}"/>
    <hyperlink ref="C22" r:id="rId12" display="https://onlinelibrary.wiley.com/doi/full/10.1002/cite.201700129?saml_referrer" xr:uid="{38161B51-9E07-4048-ADBA-B378A091C0F6}"/>
    <hyperlink ref="C8" r:id="rId13" display="https://onlinelibrary.wiley.com/doi/full/10.1002/cite.201700129?saml_referrer" xr:uid="{EF63AA76-E480-3C42-8936-DBDFD9699EF8}"/>
    <hyperlink ref="C9" r:id="rId14" display="https://onlinelibrary.wiley.com/doi/full/10.1002/cite.201700129?saml_referrer" xr:uid="{31003382-D4B6-1747-8D30-1B302BA96311}"/>
    <hyperlink ref="C10" r:id="rId15" display="https://onlinelibrary.wiley.com/doi/full/10.1002/cite.201700129?saml_referrer" xr:uid="{49CEA908-0450-4647-8048-E18B79F6EAAD}"/>
    <hyperlink ref="C30" r:id="rId16" tooltip="Persistent link using digital object identifier" xr:uid="{AEC058F4-396A-714F-B634-49A56BCB7255}"/>
    <hyperlink ref="C25" r:id="rId17" xr:uid="{53B7BC93-DC4B-B74D-AB5D-18E77BFC4725}"/>
    <hyperlink ref="C42" r:id="rId18" tooltip="DOI URL" xr:uid="{6C96D705-8281-4940-8243-0ACA603016DB}"/>
    <hyperlink ref="C7" r:id="rId19" tooltip="Persistent link using digital object identifier" xr:uid="{1A747E14-4219-554A-88E1-F1048EC46AE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7AF6-12B8-E94C-86EE-0E1EAB47201C}">
  <sheetPr filterMode="1"/>
  <dimension ref="A1:T47"/>
  <sheetViews>
    <sheetView workbookViewId="0">
      <selection activeCell="G14" sqref="G14"/>
    </sheetView>
  </sheetViews>
  <sheetFormatPr defaultColWidth="11.25" defaultRowHeight="15.6"/>
  <cols>
    <col min="19" max="19" width="13.25" bestFit="1" customWidth="1"/>
  </cols>
  <sheetData>
    <row r="1" spans="1:20">
      <c r="A1" t="s">
        <v>4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462</v>
      </c>
      <c r="M1" t="s">
        <v>182</v>
      </c>
      <c r="N1" t="s">
        <v>183</v>
      </c>
      <c r="O1" t="s">
        <v>184</v>
      </c>
      <c r="P1" s="80" t="s">
        <v>185</v>
      </c>
      <c r="Q1" s="80" t="s">
        <v>186</v>
      </c>
      <c r="R1" s="80" t="s">
        <v>187</v>
      </c>
      <c r="S1" s="80" t="s">
        <v>188</v>
      </c>
    </row>
    <row r="2" spans="1:20" hidden="1">
      <c r="A2" t="s">
        <v>229</v>
      </c>
      <c r="B2">
        <v>2023</v>
      </c>
      <c r="C2" t="s">
        <v>230</v>
      </c>
      <c r="D2" t="s">
        <v>207</v>
      </c>
      <c r="E2" t="s">
        <v>192</v>
      </c>
      <c r="F2">
        <v>2024</v>
      </c>
      <c r="G2" s="76" t="s">
        <v>4</v>
      </c>
      <c r="H2" s="75">
        <v>838.68815198564619</v>
      </c>
      <c r="I2" s="75">
        <v>793.08715685043853</v>
      </c>
      <c r="J2" s="75">
        <v>1421.7741200409919</v>
      </c>
      <c r="K2" s="75">
        <v>1486.7545886765904</v>
      </c>
      <c r="L2" s="75">
        <f>[10]Outputs!$C$17</f>
        <v>693.20604738621159</v>
      </c>
      <c r="M2" s="80">
        <v>-5.9549308921026486E-2</v>
      </c>
      <c r="N2" s="80">
        <v>0.68508807041620634</v>
      </c>
      <c r="O2" s="80">
        <v>0.23309418080865046</v>
      </c>
      <c r="P2" s="80">
        <v>0.14136705769616995</v>
      </c>
      <c r="Q2" s="80" t="s">
        <v>193</v>
      </c>
      <c r="R2" s="80" t="s">
        <v>208</v>
      </c>
      <c r="S2" s="112">
        <v>31354838</v>
      </c>
      <c r="T2" t="s">
        <v>231</v>
      </c>
    </row>
    <row r="3" spans="1:20">
      <c r="A3" t="s">
        <v>256</v>
      </c>
      <c r="B3">
        <v>2024</v>
      </c>
      <c r="C3" t="s">
        <v>257</v>
      </c>
      <c r="D3" t="s">
        <v>191</v>
      </c>
      <c r="E3" t="s">
        <v>192</v>
      </c>
      <c r="F3">
        <v>2050</v>
      </c>
      <c r="G3" s="76" t="s">
        <v>4</v>
      </c>
      <c r="H3" s="75">
        <v>722.87277193760519</v>
      </c>
      <c r="I3" s="75">
        <v>698.76814470374268</v>
      </c>
      <c r="J3" s="75">
        <v>996.12746400731635</v>
      </c>
      <c r="K3" s="75">
        <v>1015.603356230797</v>
      </c>
      <c r="L3" s="75">
        <f>[16]Outputs!$K$17</f>
        <v>612.83938326242446</v>
      </c>
      <c r="M3" s="80">
        <v>0.36581603108678235</v>
      </c>
      <c r="N3" s="80">
        <v>0.42106952177855445</v>
      </c>
      <c r="O3" s="80">
        <v>0.13952768851248726</v>
      </c>
      <c r="P3" s="80">
        <v>7.3586758622175827E-2</v>
      </c>
      <c r="Q3" s="80" t="s">
        <v>199</v>
      </c>
      <c r="R3" s="80" t="s">
        <v>258</v>
      </c>
      <c r="S3" s="112">
        <v>2110761</v>
      </c>
    </row>
    <row r="4" spans="1:20" hidden="1">
      <c r="A4" t="s">
        <v>227</v>
      </c>
      <c r="B4">
        <v>2024</v>
      </c>
      <c r="C4" t="s">
        <v>228</v>
      </c>
      <c r="D4" t="s">
        <v>191</v>
      </c>
      <c r="E4" t="s">
        <v>192</v>
      </c>
      <c r="F4">
        <v>2024</v>
      </c>
      <c r="G4" s="76" t="s">
        <v>4</v>
      </c>
      <c r="H4" s="75">
        <v>1678.5512402252382</v>
      </c>
      <c r="I4" s="75">
        <v>1330.6141668859134</v>
      </c>
      <c r="J4" s="75">
        <v>3382.6071697921725</v>
      </c>
      <c r="K4" s="75">
        <v>3347.2914258856558</v>
      </c>
      <c r="L4" s="75">
        <f>[9]Outputs!$C$17</f>
        <v>1866.3139316047786</v>
      </c>
      <c r="M4" s="80"/>
      <c r="N4" s="80"/>
      <c r="O4" s="80"/>
      <c r="P4" s="80"/>
      <c r="Q4" s="80" t="s">
        <v>199</v>
      </c>
      <c r="R4" s="80" t="s">
        <v>194</v>
      </c>
      <c r="S4" s="112">
        <v>3650000</v>
      </c>
    </row>
    <row r="5" spans="1:20" hidden="1">
      <c r="A5" t="s">
        <v>218</v>
      </c>
      <c r="B5">
        <v>2021</v>
      </c>
      <c r="C5" t="s">
        <v>219</v>
      </c>
      <c r="D5" t="s">
        <v>191</v>
      </c>
      <c r="E5" t="s">
        <v>192</v>
      </c>
      <c r="F5">
        <v>2024</v>
      </c>
      <c r="G5" s="76" t="s">
        <v>220</v>
      </c>
      <c r="H5" s="75">
        <v>1458.3489394680287</v>
      </c>
      <c r="I5" s="75">
        <v>751.42718779625204</v>
      </c>
      <c r="J5" s="75">
        <v>1910.0714142687632</v>
      </c>
      <c r="K5" s="75">
        <v>1895.1917211544001</v>
      </c>
      <c r="L5" s="75">
        <f>K5</f>
        <v>1895.1917211544001</v>
      </c>
      <c r="Q5" s="80" t="s">
        <v>199</v>
      </c>
      <c r="R5" s="80" t="s">
        <v>194</v>
      </c>
      <c r="S5" s="7">
        <v>69000000</v>
      </c>
    </row>
    <row r="6" spans="1:20" hidden="1">
      <c r="A6" t="s">
        <v>218</v>
      </c>
      <c r="B6">
        <v>2021</v>
      </c>
      <c r="C6" t="s">
        <v>219</v>
      </c>
      <c r="D6" t="s">
        <v>191</v>
      </c>
      <c r="E6" t="s">
        <v>192</v>
      </c>
      <c r="F6">
        <v>2024</v>
      </c>
      <c r="G6" s="76" t="s">
        <v>221</v>
      </c>
      <c r="H6" s="75">
        <v>1892.306418410411</v>
      </c>
      <c r="I6" s="75">
        <v>1097.7096127003431</v>
      </c>
      <c r="J6" s="75">
        <v>1959.8017581903209</v>
      </c>
      <c r="K6" s="75">
        <v>1943.924445229954</v>
      </c>
      <c r="L6" s="75">
        <f>K6</f>
        <v>1943.924445229954</v>
      </c>
      <c r="M6" s="80">
        <v>0.19014910760138215</v>
      </c>
      <c r="N6" s="80">
        <v>0.42429751790767684</v>
      </c>
      <c r="O6" s="80">
        <v>0.21340218339560768</v>
      </c>
      <c r="P6" s="80">
        <v>0.1721511910953335</v>
      </c>
      <c r="Q6" s="80" t="s">
        <v>199</v>
      </c>
      <c r="R6" s="80" t="s">
        <v>194</v>
      </c>
      <c r="S6" s="7">
        <v>87000000</v>
      </c>
    </row>
    <row r="7" spans="1:20" hidden="1">
      <c r="A7" t="s">
        <v>203</v>
      </c>
      <c r="B7">
        <v>2018</v>
      </c>
      <c r="C7" t="s">
        <v>204</v>
      </c>
      <c r="D7" t="s">
        <v>191</v>
      </c>
      <c r="E7" t="s">
        <v>192</v>
      </c>
      <c r="F7">
        <v>2024</v>
      </c>
      <c r="G7" s="76" t="s">
        <v>4</v>
      </c>
      <c r="H7" s="75">
        <v>1144.7870679308462</v>
      </c>
      <c r="I7" s="75">
        <v>717.33157452286355</v>
      </c>
      <c r="J7" s="75">
        <v>2278.5389057854431</v>
      </c>
      <c r="K7" s="75">
        <v>2313.9915105121499</v>
      </c>
      <c r="L7" s="75">
        <f>[3]Outputs!$C$17</f>
        <v>2681.5316046868224</v>
      </c>
      <c r="M7" s="80">
        <v>0.11002478551214247</v>
      </c>
      <c r="N7" s="80">
        <v>0.32309926188801724</v>
      </c>
      <c r="O7" s="80">
        <v>0.51966602210730239</v>
      </c>
      <c r="P7" s="80">
        <v>4.7209930492537917E-2</v>
      </c>
      <c r="Q7" s="80" t="s">
        <v>199</v>
      </c>
      <c r="R7" s="80" t="s">
        <v>194</v>
      </c>
    </row>
    <row r="8" spans="1:20">
      <c r="A8" t="s">
        <v>250</v>
      </c>
      <c r="B8">
        <v>2024</v>
      </c>
      <c r="C8" t="s">
        <v>251</v>
      </c>
      <c r="D8" t="s">
        <v>191</v>
      </c>
      <c r="E8" t="s">
        <v>192</v>
      </c>
      <c r="F8">
        <v>2050</v>
      </c>
      <c r="G8" s="76" t="s">
        <v>252</v>
      </c>
      <c r="H8" s="75">
        <v>1393.4728832610231</v>
      </c>
      <c r="I8" s="75">
        <v>1037.1785901001817</v>
      </c>
      <c r="J8" s="75">
        <v>1405.1233111315405</v>
      </c>
      <c r="K8" s="75">
        <v>1278.503742429825</v>
      </c>
      <c r="L8" s="75">
        <f>[15]Outputs!$C$35</f>
        <v>728.75385190322493</v>
      </c>
      <c r="M8" s="80">
        <v>0.31920876469830645</v>
      </c>
      <c r="N8" s="80">
        <v>0.46393459545237714</v>
      </c>
      <c r="O8" s="80">
        <v>0.17887399251640163</v>
      </c>
      <c r="P8" s="80">
        <v>3.7982647332914135E-2</v>
      </c>
      <c r="Q8" s="80" t="s">
        <v>193</v>
      </c>
      <c r="R8" s="80" t="s">
        <v>194</v>
      </c>
      <c r="S8" s="112">
        <v>1000000</v>
      </c>
    </row>
    <row r="9" spans="1:20">
      <c r="A9" t="s">
        <v>250</v>
      </c>
      <c r="B9">
        <v>2024</v>
      </c>
      <c r="C9" t="s">
        <v>251</v>
      </c>
      <c r="D9" t="s">
        <v>191</v>
      </c>
      <c r="E9" t="s">
        <v>192</v>
      </c>
      <c r="F9">
        <v>2050</v>
      </c>
      <c r="G9" s="76" t="s">
        <v>253</v>
      </c>
      <c r="H9" s="75">
        <v>1651.2877075211616</v>
      </c>
      <c r="I9" s="75">
        <v>1046.3045597508415</v>
      </c>
      <c r="J9" s="75">
        <v>1414.2492807822002</v>
      </c>
      <c r="K9" s="75">
        <v>1286.4773926651051</v>
      </c>
      <c r="L9" s="75">
        <f>[15]Outputs!$J$35</f>
        <v>734.77468497169446</v>
      </c>
      <c r="M9" s="80"/>
      <c r="N9" s="80"/>
      <c r="O9" s="80"/>
      <c r="P9" s="80"/>
      <c r="Q9" s="80" t="s">
        <v>193</v>
      </c>
      <c r="R9" s="80" t="s">
        <v>194</v>
      </c>
      <c r="S9" s="112">
        <v>1000000</v>
      </c>
    </row>
    <row r="10" spans="1:20">
      <c r="A10" t="s">
        <v>250</v>
      </c>
      <c r="B10">
        <v>2024</v>
      </c>
      <c r="C10" t="s">
        <v>251</v>
      </c>
      <c r="D10" t="s">
        <v>191</v>
      </c>
      <c r="E10" t="s">
        <v>192</v>
      </c>
      <c r="F10">
        <v>2050</v>
      </c>
      <c r="G10" s="76" t="s">
        <v>254</v>
      </c>
      <c r="H10" s="75">
        <v>1392.5582046364345</v>
      </c>
      <c r="I10" s="75">
        <v>1036.2639114755937</v>
      </c>
      <c r="J10" s="75">
        <v>1404.2086325069524</v>
      </c>
      <c r="K10" s="75">
        <v>1277.8940895328378</v>
      </c>
      <c r="L10" s="75">
        <f>[15]Outputs!$Q$35</f>
        <v>728.3850801043161</v>
      </c>
      <c r="M10" s="80"/>
      <c r="N10" s="80"/>
      <c r="O10" s="80"/>
      <c r="P10" s="80"/>
      <c r="Q10" s="80" t="s">
        <v>193</v>
      </c>
      <c r="R10" s="80" t="s">
        <v>194</v>
      </c>
      <c r="S10" s="112">
        <v>1000000</v>
      </c>
    </row>
    <row r="11" spans="1:20" hidden="1">
      <c r="A11" t="s">
        <v>218</v>
      </c>
      <c r="B11">
        <v>2021</v>
      </c>
      <c r="C11" t="s">
        <v>219</v>
      </c>
      <c r="D11" t="s">
        <v>191</v>
      </c>
      <c r="E11" t="s">
        <v>192</v>
      </c>
      <c r="F11">
        <v>2024</v>
      </c>
      <c r="G11" s="76" t="s">
        <v>222</v>
      </c>
      <c r="H11" s="75">
        <v>1730.510800708724</v>
      </c>
      <c r="I11" s="75">
        <v>823.96435988709356</v>
      </c>
      <c r="J11" s="75">
        <v>2024.309689168186</v>
      </c>
      <c r="K11" s="75">
        <v>2007.3752385624166</v>
      </c>
      <c r="L11" s="75">
        <f>K11</f>
        <v>2007.3752385624166</v>
      </c>
      <c r="Q11" s="80" t="s">
        <v>199</v>
      </c>
      <c r="R11" s="80" t="s">
        <v>194</v>
      </c>
      <c r="S11" s="7">
        <v>68000000</v>
      </c>
    </row>
    <row r="12" spans="1:20" hidden="1">
      <c r="A12" t="s">
        <v>260</v>
      </c>
      <c r="B12">
        <v>2021</v>
      </c>
      <c r="C12" t="s">
        <v>261</v>
      </c>
      <c r="D12" t="s">
        <v>191</v>
      </c>
      <c r="E12" t="s">
        <v>192</v>
      </c>
      <c r="F12">
        <v>2024</v>
      </c>
      <c r="G12" s="76" t="s">
        <v>4</v>
      </c>
      <c r="H12" s="75">
        <v>1330.2315443355733</v>
      </c>
      <c r="I12" s="75">
        <v>1583.3702130006432</v>
      </c>
      <c r="J12" s="75">
        <v>2350.1001092278216</v>
      </c>
      <c r="K12" s="75">
        <v>2076.2914423495099</v>
      </c>
      <c r="L12" s="75">
        <f>K12</f>
        <v>2076.2914423495099</v>
      </c>
      <c r="M12" s="80"/>
      <c r="N12" s="80"/>
      <c r="O12" s="80"/>
      <c r="P12" s="80"/>
      <c r="Q12" s="80" t="s">
        <v>199</v>
      </c>
      <c r="R12" s="80" t="s">
        <v>258</v>
      </c>
      <c r="S12" t="s">
        <v>85</v>
      </c>
    </row>
    <row r="13" spans="1:20" hidden="1">
      <c r="A13" t="s">
        <v>262</v>
      </c>
      <c r="B13">
        <v>2021</v>
      </c>
      <c r="C13" t="s">
        <v>263</v>
      </c>
      <c r="D13" t="s">
        <v>191</v>
      </c>
      <c r="E13" t="s">
        <v>192</v>
      </c>
      <c r="G13" s="76" t="s">
        <v>4</v>
      </c>
      <c r="H13" s="75"/>
      <c r="I13" s="75"/>
      <c r="J13" s="75"/>
      <c r="K13" s="75"/>
      <c r="L13" s="75"/>
      <c r="M13" s="80"/>
      <c r="N13" s="80"/>
      <c r="O13" s="80"/>
      <c r="P13" s="80"/>
      <c r="Q13" s="80" t="s">
        <v>199</v>
      </c>
      <c r="R13" s="80" t="s">
        <v>258</v>
      </c>
      <c r="S13" t="s">
        <v>85</v>
      </c>
    </row>
    <row r="14" spans="1:20" hidden="1">
      <c r="A14" t="s">
        <v>196</v>
      </c>
      <c r="B14">
        <v>2024</v>
      </c>
      <c r="C14" t="s">
        <v>197</v>
      </c>
      <c r="D14" t="s">
        <v>191</v>
      </c>
      <c r="E14" t="s">
        <v>198</v>
      </c>
      <c r="F14">
        <v>2024</v>
      </c>
      <c r="G14" s="76" t="s">
        <v>4</v>
      </c>
      <c r="H14" s="75">
        <v>2404.7474592934755</v>
      </c>
      <c r="I14" s="75">
        <v>2435.2345642939222</v>
      </c>
      <c r="J14" s="75">
        <v>2575.7824042780635</v>
      </c>
      <c r="K14" s="75">
        <v>2555.1300501431251</v>
      </c>
      <c r="L14" s="75">
        <f>[2]Outputs!$C$17</f>
        <v>1675.403572449454</v>
      </c>
      <c r="M14" s="80">
        <v>5.445168642647661E-2</v>
      </c>
      <c r="N14" s="80">
        <v>0.62743119451311191</v>
      </c>
      <c r="O14" s="80">
        <v>0.30588184525039563</v>
      </c>
      <c r="P14" s="80">
        <v>1.2235273810015825E-2</v>
      </c>
      <c r="Q14" s="80" t="s">
        <v>199</v>
      </c>
      <c r="R14" s="80" t="s">
        <v>194</v>
      </c>
      <c r="S14" t="s">
        <v>85</v>
      </c>
      <c r="T14" t="s">
        <v>200</v>
      </c>
    </row>
    <row r="15" spans="1:20">
      <c r="A15" t="s">
        <v>229</v>
      </c>
      <c r="B15">
        <v>2023</v>
      </c>
      <c r="C15" t="s">
        <v>230</v>
      </c>
      <c r="D15" t="s">
        <v>207</v>
      </c>
      <c r="E15" t="s">
        <v>192</v>
      </c>
      <c r="F15">
        <v>2050</v>
      </c>
      <c r="G15" s="76" t="s">
        <v>4</v>
      </c>
      <c r="H15" s="75">
        <v>982.35140207674465</v>
      </c>
      <c r="I15" s="75">
        <v>982.37550473360909</v>
      </c>
      <c r="J15" s="75">
        <v>1321.1923142021794</v>
      </c>
      <c r="K15" s="75">
        <v>1420.6839583899553</v>
      </c>
      <c r="L15" s="75">
        <f>[10]Outputs!$J$17</f>
        <v>672.82967641028938</v>
      </c>
      <c r="M15" s="80">
        <v>-3.0173340952621544E-5</v>
      </c>
      <c r="N15" s="80">
        <v>0.5159068314201406</v>
      </c>
      <c r="O15" s="80">
        <v>0.34032940955934426</v>
      </c>
      <c r="P15" s="80">
        <v>0.14379393236146765</v>
      </c>
      <c r="Q15" s="80" t="s">
        <v>193</v>
      </c>
      <c r="R15" s="80" t="s">
        <v>208</v>
      </c>
      <c r="S15" s="112">
        <v>31354838</v>
      </c>
    </row>
    <row r="16" spans="1:20">
      <c r="A16" t="s">
        <v>229</v>
      </c>
      <c r="B16">
        <v>2023</v>
      </c>
      <c r="C16" t="s">
        <v>230</v>
      </c>
      <c r="D16" t="s">
        <v>207</v>
      </c>
      <c r="E16" t="s">
        <v>192</v>
      </c>
      <c r="F16">
        <v>2050</v>
      </c>
      <c r="G16" s="76" t="s">
        <v>232</v>
      </c>
      <c r="H16" s="75">
        <v>825.36875772083386</v>
      </c>
      <c r="I16" s="75">
        <v>825.39286037769887</v>
      </c>
      <c r="J16" s="75">
        <v>1164.2096698462692</v>
      </c>
      <c r="K16" s="75">
        <v>1237.7413227939242</v>
      </c>
      <c r="L16" s="75">
        <f>[10]Outputs!$Q$17</f>
        <v>565.65052999392492</v>
      </c>
      <c r="M16" s="80"/>
      <c r="N16" s="80"/>
      <c r="O16" s="80"/>
      <c r="P16" s="80"/>
      <c r="Q16" s="80" t="s">
        <v>193</v>
      </c>
      <c r="R16" s="80" t="s">
        <v>208</v>
      </c>
      <c r="S16" s="112">
        <v>31354838</v>
      </c>
    </row>
    <row r="17" spans="1:20" hidden="1">
      <c r="A17" t="s">
        <v>225</v>
      </c>
      <c r="B17">
        <v>2023</v>
      </c>
      <c r="C17" t="s">
        <v>226</v>
      </c>
      <c r="D17" t="s">
        <v>191</v>
      </c>
      <c r="E17" t="s">
        <v>192</v>
      </c>
      <c r="F17">
        <v>2024</v>
      </c>
      <c r="G17" s="76" t="s">
        <v>4</v>
      </c>
      <c r="H17" s="75">
        <v>1148.3867432450918</v>
      </c>
      <c r="I17" s="75">
        <v>1137.4782320272921</v>
      </c>
      <c r="J17" s="75">
        <v>2381.032548560092</v>
      </c>
      <c r="K17" s="75">
        <v>2384.2031890387366</v>
      </c>
      <c r="L17" s="75">
        <f>[8]Outputs!$C$17</f>
        <v>1110.440925060183</v>
      </c>
      <c r="M17" s="80"/>
      <c r="N17" s="80"/>
      <c r="O17" s="80"/>
      <c r="P17" s="80"/>
      <c r="Q17" s="80" t="s">
        <v>199</v>
      </c>
      <c r="R17" s="80" t="s">
        <v>194</v>
      </c>
      <c r="S17" t="s">
        <v>85</v>
      </c>
    </row>
    <row r="18" spans="1:20" hidden="1">
      <c r="A18" t="s">
        <v>250</v>
      </c>
      <c r="B18">
        <v>2024</v>
      </c>
      <c r="C18" t="s">
        <v>251</v>
      </c>
      <c r="D18" t="s">
        <v>191</v>
      </c>
      <c r="E18" t="s">
        <v>192</v>
      </c>
      <c r="F18">
        <v>2024</v>
      </c>
      <c r="G18" s="76" t="s">
        <v>253</v>
      </c>
      <c r="H18" s="75">
        <v>1309.1063656583035</v>
      </c>
      <c r="I18" s="75">
        <v>1104.4864616319737</v>
      </c>
      <c r="J18" s="75">
        <v>2506.3765122322175</v>
      </c>
      <c r="K18" s="75">
        <v>2406.0026133096653</v>
      </c>
      <c r="L18" s="75">
        <f>[15]Outputs!$J$28</f>
        <v>1318.9329926316266</v>
      </c>
      <c r="M18" s="80"/>
      <c r="N18" s="80"/>
      <c r="O18" s="80"/>
      <c r="P18" s="80"/>
      <c r="Q18" s="80" t="s">
        <v>193</v>
      </c>
      <c r="R18" s="80" t="s">
        <v>194</v>
      </c>
      <c r="S18" s="112">
        <v>1000000</v>
      </c>
    </row>
    <row r="19" spans="1:20" hidden="1">
      <c r="A19" t="s">
        <v>189</v>
      </c>
      <c r="B19">
        <v>2016</v>
      </c>
      <c r="C19" t="s">
        <v>190</v>
      </c>
      <c r="D19" t="s">
        <v>191</v>
      </c>
      <c r="E19" t="s">
        <v>192</v>
      </c>
      <c r="F19">
        <v>2024</v>
      </c>
      <c r="G19" s="76" t="s">
        <v>4</v>
      </c>
      <c r="H19" s="75">
        <v>642.29670473893407</v>
      </c>
      <c r="I19" s="75">
        <v>768.83260727969991</v>
      </c>
      <c r="J19" s="75">
        <v>2386.5584758631594</v>
      </c>
      <c r="K19" s="75">
        <v>2466.5878362464205</v>
      </c>
      <c r="L19" s="75">
        <f>[1]Outputs!$C$17</f>
        <v>2368.1669139247742</v>
      </c>
      <c r="M19" s="80"/>
      <c r="N19" s="80"/>
      <c r="O19" s="80"/>
      <c r="P19" s="80"/>
      <c r="Q19" s="80" t="s">
        <v>193</v>
      </c>
      <c r="R19" s="80" t="s">
        <v>194</v>
      </c>
      <c r="S19" s="7">
        <v>144778221.668742</v>
      </c>
      <c r="T19" t="s">
        <v>195</v>
      </c>
    </row>
    <row r="20" spans="1:20">
      <c r="A20" t="s">
        <v>225</v>
      </c>
      <c r="B20">
        <v>2023</v>
      </c>
      <c r="C20" t="s">
        <v>226</v>
      </c>
      <c r="D20" t="s">
        <v>191</v>
      </c>
      <c r="E20" t="s">
        <v>192</v>
      </c>
      <c r="F20">
        <v>2050</v>
      </c>
      <c r="G20" s="76" t="s">
        <v>4</v>
      </c>
      <c r="H20" s="75">
        <v>350.60606175775007</v>
      </c>
      <c r="I20" s="75">
        <v>217.99063683860547</v>
      </c>
      <c r="J20" s="75">
        <v>804.40001710277022</v>
      </c>
      <c r="K20" s="75">
        <v>807.05292070830433</v>
      </c>
      <c r="L20" s="75">
        <f>[8]Outputs!$J$17</f>
        <v>456.52053992264354</v>
      </c>
      <c r="M20" s="80"/>
      <c r="N20" s="80"/>
      <c r="O20" s="80"/>
      <c r="P20" s="80"/>
      <c r="Q20" s="80" t="s">
        <v>199</v>
      </c>
      <c r="R20" s="80" t="s">
        <v>194</v>
      </c>
      <c r="S20" t="s">
        <v>85</v>
      </c>
      <c r="T20" s="20"/>
    </row>
    <row r="21" spans="1:20" hidden="1">
      <c r="A21" t="s">
        <v>250</v>
      </c>
      <c r="B21">
        <v>2024</v>
      </c>
      <c r="C21" t="s">
        <v>251</v>
      </c>
      <c r="D21" t="s">
        <v>191</v>
      </c>
      <c r="E21" t="s">
        <v>192</v>
      </c>
      <c r="F21">
        <v>2024</v>
      </c>
      <c r="G21" s="76" t="s">
        <v>252</v>
      </c>
      <c r="H21" s="75">
        <v>1510.502621501556</v>
      </c>
      <c r="I21" s="75">
        <v>1255.2681500158253</v>
      </c>
      <c r="J21" s="75">
        <v>2657.1582006160684</v>
      </c>
      <c r="K21" s="75">
        <v>2530.7794416821052</v>
      </c>
      <c r="L21" s="75">
        <f>[15]Outputs!$C$28</f>
        <v>1443.7098210040667</v>
      </c>
      <c r="M21" s="80">
        <v>0.20134348894042559</v>
      </c>
      <c r="N21" s="80">
        <v>0.54125942432713947</v>
      </c>
      <c r="O21" s="80">
        <v>0.22754856312650942</v>
      </c>
      <c r="P21" s="80">
        <v>2.9848523605927362E-2</v>
      </c>
      <c r="Q21" s="80" t="s">
        <v>193</v>
      </c>
      <c r="R21" s="80" t="s">
        <v>194</v>
      </c>
      <c r="S21" s="112">
        <v>1000000</v>
      </c>
      <c r="T21" t="s">
        <v>255</v>
      </c>
    </row>
    <row r="22" spans="1:20" hidden="1">
      <c r="A22" t="s">
        <v>250</v>
      </c>
      <c r="B22">
        <v>2024</v>
      </c>
      <c r="C22" t="s">
        <v>251</v>
      </c>
      <c r="D22" t="s">
        <v>191</v>
      </c>
      <c r="E22" t="s">
        <v>192</v>
      </c>
      <c r="F22">
        <v>2024</v>
      </c>
      <c r="G22" s="76" t="s">
        <v>254</v>
      </c>
      <c r="H22" s="75">
        <v>1286.1593005235322</v>
      </c>
      <c r="I22" s="75">
        <v>1276.9021662236783</v>
      </c>
      <c r="J22" s="75">
        <v>2678.7922168239206</v>
      </c>
      <c r="K22" s="75">
        <v>2549.0919648666936</v>
      </c>
      <c r="L22" s="75">
        <f>[15]Outputs!$Q$28</f>
        <v>1462.0223441886565</v>
      </c>
      <c r="M22" s="80"/>
      <c r="N22" s="80"/>
      <c r="O22" s="80"/>
      <c r="P22" s="80"/>
      <c r="Q22" s="80" t="s">
        <v>193</v>
      </c>
      <c r="R22" s="80" t="s">
        <v>194</v>
      </c>
      <c r="S22" s="112">
        <v>1000000</v>
      </c>
    </row>
    <row r="23" spans="1:20" hidden="1">
      <c r="A23" t="s">
        <v>256</v>
      </c>
      <c r="B23">
        <v>2024</v>
      </c>
      <c r="C23" t="s">
        <v>257</v>
      </c>
      <c r="D23" t="s">
        <v>191</v>
      </c>
      <c r="E23" t="s">
        <v>192</v>
      </c>
      <c r="F23">
        <v>2024</v>
      </c>
      <c r="G23" s="76" t="s">
        <v>4</v>
      </c>
      <c r="H23" s="75">
        <v>1703.2941883028598</v>
      </c>
      <c r="I23" s="75">
        <v>1744.0992896145076</v>
      </c>
      <c r="J23" s="75">
        <v>2493.7646673531035</v>
      </c>
      <c r="K23" s="75">
        <v>2519.6177479479361</v>
      </c>
      <c r="L23" s="75">
        <f>[16]Outputs!$C$17</f>
        <v>1453.0978941700039</v>
      </c>
      <c r="M23" s="80">
        <v>0.25985878261692258</v>
      </c>
      <c r="N23" s="80">
        <v>0.55324105778868227</v>
      </c>
      <c r="O23" s="80">
        <v>0.1226529203090107</v>
      </c>
      <c r="P23" s="80">
        <v>6.4247239285384367E-2</v>
      </c>
      <c r="Q23" s="80" t="s">
        <v>199</v>
      </c>
      <c r="R23" s="80" t="s">
        <v>258</v>
      </c>
      <c r="S23" s="112">
        <v>2110761</v>
      </c>
      <c r="T23" t="s">
        <v>259</v>
      </c>
    </row>
    <row r="24" spans="1:20" hidden="1">
      <c r="A24" t="s">
        <v>212</v>
      </c>
      <c r="B24">
        <v>2024</v>
      </c>
      <c r="C24" t="s">
        <v>213</v>
      </c>
      <c r="D24" t="s">
        <v>191</v>
      </c>
      <c r="E24" t="s">
        <v>192</v>
      </c>
      <c r="F24">
        <v>2024</v>
      </c>
      <c r="G24" s="76" t="s">
        <v>214</v>
      </c>
      <c r="H24" s="75">
        <v>2727.5773261727436</v>
      </c>
      <c r="I24" s="75">
        <v>2805.9551585007839</v>
      </c>
      <c r="J24" s="75">
        <v>2849.8756786120139</v>
      </c>
      <c r="K24" s="75">
        <v>2927.777967986257</v>
      </c>
      <c r="L24" s="75">
        <f>[6]Outputs!$J$17</f>
        <v>1599.4759320419664</v>
      </c>
      <c r="M24" s="80">
        <v>0.19629913386788772</v>
      </c>
      <c r="N24" s="80">
        <v>0.65374157606915917</v>
      </c>
      <c r="O24" s="80">
        <v>0.10228146681708518</v>
      </c>
      <c r="P24" s="80">
        <v>4.7677823245867994E-2</v>
      </c>
      <c r="Q24" s="80" t="s">
        <v>199</v>
      </c>
      <c r="R24" s="80" t="s">
        <v>194</v>
      </c>
      <c r="S24" s="7">
        <v>39140033.75</v>
      </c>
    </row>
    <row r="25" spans="1:20">
      <c r="A25" t="s">
        <v>260</v>
      </c>
      <c r="B25">
        <v>2021</v>
      </c>
      <c r="C25" t="s">
        <v>261</v>
      </c>
      <c r="D25" t="s">
        <v>191</v>
      </c>
      <c r="E25" t="s">
        <v>192</v>
      </c>
      <c r="F25">
        <v>2050</v>
      </c>
      <c r="G25" s="76" t="s">
        <v>4</v>
      </c>
      <c r="H25" s="75">
        <v>87.667746475327007</v>
      </c>
      <c r="I25" s="75">
        <v>295.79464096519524</v>
      </c>
      <c r="J25" s="75">
        <v>645.13739413616565</v>
      </c>
      <c r="K25" s="75">
        <v>707.57489138016672</v>
      </c>
      <c r="L25" s="75">
        <f>K25 / (1.02) ^ (2050-2021)</f>
        <v>398.44412929019563</v>
      </c>
      <c r="M25" s="80"/>
      <c r="N25" s="80"/>
      <c r="O25" s="80"/>
      <c r="P25" s="80"/>
      <c r="Q25" s="80" t="s">
        <v>199</v>
      </c>
      <c r="R25" s="80" t="s">
        <v>258</v>
      </c>
      <c r="S25" t="s">
        <v>85</v>
      </c>
    </row>
    <row r="26" spans="1:20" hidden="1">
      <c r="A26" t="s">
        <v>201</v>
      </c>
      <c r="B26">
        <v>2024</v>
      </c>
      <c r="D26" t="s">
        <v>191</v>
      </c>
      <c r="E26" t="s">
        <v>192</v>
      </c>
      <c r="G26" s="76" t="s">
        <v>4</v>
      </c>
      <c r="L26" s="75"/>
      <c r="M26" s="80"/>
      <c r="N26" s="80"/>
      <c r="O26" s="80"/>
      <c r="P26" s="80"/>
      <c r="Q26" s="80" t="s">
        <v>199</v>
      </c>
      <c r="R26" s="80" t="s">
        <v>202</v>
      </c>
      <c r="S26" t="s">
        <v>85</v>
      </c>
    </row>
    <row r="27" spans="1:20" hidden="1">
      <c r="A27" t="s">
        <v>218</v>
      </c>
      <c r="B27">
        <v>2021</v>
      </c>
      <c r="C27" t="s">
        <v>219</v>
      </c>
      <c r="D27" t="s">
        <v>191</v>
      </c>
      <c r="E27" t="s">
        <v>192</v>
      </c>
      <c r="F27">
        <v>2024</v>
      </c>
      <c r="G27" s="76" t="s">
        <v>223</v>
      </c>
      <c r="H27" s="75">
        <v>2708.6121435384971</v>
      </c>
      <c r="I27" s="75">
        <v>1804.7168921979044</v>
      </c>
      <c r="J27" s="75">
        <v>3396.6119441043925</v>
      </c>
      <c r="K27" s="75">
        <v>3374.1563502157419</v>
      </c>
      <c r="L27" s="75">
        <f>K27</f>
        <v>3374.1563502157419</v>
      </c>
      <c r="Q27" s="80" t="s">
        <v>199</v>
      </c>
      <c r="R27" s="80" t="s">
        <v>194</v>
      </c>
      <c r="S27" s="7">
        <v>48000000</v>
      </c>
    </row>
    <row r="28" spans="1:20" hidden="1">
      <c r="A28" t="s">
        <v>242</v>
      </c>
      <c r="B28">
        <v>2023</v>
      </c>
      <c r="C28" t="s">
        <v>243</v>
      </c>
      <c r="D28" t="s">
        <v>191</v>
      </c>
      <c r="E28" t="s">
        <v>192</v>
      </c>
      <c r="F28">
        <v>2024</v>
      </c>
      <c r="G28" s="76" t="s">
        <v>4</v>
      </c>
      <c r="H28" s="75">
        <v>1755.1259920054924</v>
      </c>
      <c r="I28" s="75">
        <v>1456.3451717240093</v>
      </c>
      <c r="J28" s="75">
        <v>3092.0351171600601</v>
      </c>
      <c r="K28" s="75">
        <v>3109.819000988336</v>
      </c>
      <c r="L28" s="75">
        <f>[13]Outputs!$C$17</f>
        <v>3311.8001038255043</v>
      </c>
      <c r="M28" s="80">
        <v>0.28620652613279013</v>
      </c>
      <c r="N28" s="80">
        <v>0.47089020808174514</v>
      </c>
      <c r="O28" s="80">
        <v>2.5500913984063858E-2</v>
      </c>
      <c r="P28" s="80">
        <v>0.21740235180140077</v>
      </c>
      <c r="Q28" s="80" t="s">
        <v>199</v>
      </c>
      <c r="R28" s="80" t="s">
        <v>235</v>
      </c>
      <c r="S28" s="112">
        <v>25105853.051058531</v>
      </c>
      <c r="T28" t="s">
        <v>244</v>
      </c>
    </row>
    <row r="29" spans="1:20" hidden="1">
      <c r="A29" t="s">
        <v>218</v>
      </c>
      <c r="B29">
        <v>2021</v>
      </c>
      <c r="C29" t="s">
        <v>219</v>
      </c>
      <c r="D29" t="s">
        <v>191</v>
      </c>
      <c r="E29" t="s">
        <v>192</v>
      </c>
      <c r="F29">
        <v>2024</v>
      </c>
      <c r="G29" s="76" t="s">
        <v>224</v>
      </c>
      <c r="H29" s="75">
        <v>2761.7003080324448</v>
      </c>
      <c r="I29" s="75">
        <v>1368.7084844811829</v>
      </c>
      <c r="J29" s="75">
        <v>3557.2857569304938</v>
      </c>
      <c r="K29" s="75">
        <v>3528.5632426152797</v>
      </c>
      <c r="L29" s="75">
        <f>K29</f>
        <v>3528.5632426152797</v>
      </c>
      <c r="Q29" s="80" t="s">
        <v>199</v>
      </c>
      <c r="R29" s="80" t="s">
        <v>194</v>
      </c>
      <c r="S29" s="7">
        <v>35000000</v>
      </c>
    </row>
    <row r="30" spans="1:20">
      <c r="A30" t="s">
        <v>212</v>
      </c>
      <c r="B30">
        <v>2024</v>
      </c>
      <c r="C30" t="s">
        <v>213</v>
      </c>
      <c r="D30" t="s">
        <v>191</v>
      </c>
      <c r="E30" t="s">
        <v>192</v>
      </c>
      <c r="F30">
        <v>2050</v>
      </c>
      <c r="G30" s="76" t="s">
        <v>216</v>
      </c>
      <c r="H30" s="75">
        <v>1053.0156898248665</v>
      </c>
      <c r="I30" s="75">
        <v>1131.3935221529064</v>
      </c>
      <c r="J30" s="75">
        <v>1374.9394162813965</v>
      </c>
      <c r="K30" s="75">
        <v>1452.8417056556398</v>
      </c>
      <c r="L30" s="83">
        <f>[6]Outputs!$C$17</f>
        <v>1308.1866261477821</v>
      </c>
      <c r="M30" s="80">
        <v>0.38762689468117906</v>
      </c>
      <c r="N30" s="80">
        <v>0.31625231868907483</v>
      </c>
      <c r="O30" s="80">
        <v>0.2019726046902777</v>
      </c>
      <c r="P30" s="80">
        <v>9.4148181939468348E-2</v>
      </c>
      <c r="Q30" s="80" t="s">
        <v>199</v>
      </c>
      <c r="R30" s="80" t="s">
        <v>194</v>
      </c>
      <c r="S30" s="7">
        <v>39140033.75</v>
      </c>
      <c r="T30" t="s">
        <v>217</v>
      </c>
    </row>
    <row r="31" spans="1:20" hidden="1">
      <c r="A31" t="s">
        <v>239</v>
      </c>
      <c r="B31">
        <v>2022</v>
      </c>
      <c r="C31" t="s">
        <v>240</v>
      </c>
      <c r="D31" t="s">
        <v>191</v>
      </c>
      <c r="E31" t="s">
        <v>192</v>
      </c>
      <c r="F31">
        <v>2024</v>
      </c>
      <c r="G31" s="76" t="s">
        <v>4</v>
      </c>
      <c r="H31" s="75">
        <v>668.37766094951314</v>
      </c>
      <c r="I31" s="75">
        <v>1052.7567009161639</v>
      </c>
      <c r="J31" s="75">
        <v>3733.7236867549955</v>
      </c>
      <c r="K31" s="75">
        <v>3772.74856237323</v>
      </c>
      <c r="L31" s="75">
        <f>[12]Outputs!$C$17</f>
        <v>4259.5338518993522</v>
      </c>
      <c r="M31" s="80">
        <v>6.6800203467038397E-2</v>
      </c>
      <c r="N31" s="80">
        <v>0.46591806920061163</v>
      </c>
      <c r="O31" s="80">
        <v>0.43493529419052063</v>
      </c>
      <c r="P31" s="80">
        <v>3.2346433141829486E-2</v>
      </c>
      <c r="Q31" s="80" t="s">
        <v>199</v>
      </c>
      <c r="R31" s="80" t="s">
        <v>194</v>
      </c>
      <c r="S31" s="112">
        <v>208032000</v>
      </c>
      <c r="T31" t="s">
        <v>241</v>
      </c>
    </row>
    <row r="32" spans="1:20" hidden="1">
      <c r="A32" t="s">
        <v>245</v>
      </c>
      <c r="B32">
        <v>2024</v>
      </c>
      <c r="C32" t="s">
        <v>246</v>
      </c>
      <c r="D32" t="s">
        <v>191</v>
      </c>
      <c r="E32" t="s">
        <v>198</v>
      </c>
      <c r="F32">
        <v>2024</v>
      </c>
      <c r="G32" s="76" t="s">
        <v>247</v>
      </c>
      <c r="H32" s="75">
        <v>6201.6746704843536</v>
      </c>
      <c r="I32" s="75">
        <v>3818.5620604832807</v>
      </c>
      <c r="J32" s="75">
        <v>3865.4180894995325</v>
      </c>
      <c r="K32" s="75">
        <v>3949.4052401580666</v>
      </c>
      <c r="L32" s="75">
        <f>[14]Outputs!$C$17</f>
        <v>5596.149380007093</v>
      </c>
      <c r="M32" s="80">
        <v>0.18840661595310274</v>
      </c>
      <c r="N32" s="80">
        <v>0.68456138294840485</v>
      </c>
      <c r="O32" s="80">
        <v>0.11897366506350344</v>
      </c>
      <c r="P32" s="80">
        <v>8.0583360349887213E-3</v>
      </c>
      <c r="Q32" s="80" t="s">
        <v>199</v>
      </c>
      <c r="R32" s="80" t="s">
        <v>194</v>
      </c>
      <c r="S32" s="7">
        <v>1250000000</v>
      </c>
      <c r="T32" t="s">
        <v>248</v>
      </c>
    </row>
    <row r="33" spans="1:20" hidden="1">
      <c r="A33" t="s">
        <v>233</v>
      </c>
      <c r="B33">
        <v>2024</v>
      </c>
      <c r="D33" t="s">
        <v>191</v>
      </c>
      <c r="E33" t="s">
        <v>192</v>
      </c>
      <c r="F33">
        <v>2024</v>
      </c>
      <c r="G33" s="76" t="s">
        <v>234</v>
      </c>
      <c r="H33" s="75">
        <v>2681.2487830302389</v>
      </c>
      <c r="I33" s="75">
        <v>2495.6577011733561</v>
      </c>
      <c r="J33" s="75">
        <v>4573.4253820398362</v>
      </c>
      <c r="K33" s="75">
        <v>4548.0843198991461</v>
      </c>
      <c r="L33" s="75">
        <f>[11]Outputs!$Q$29</f>
        <v>2021.5726850745298</v>
      </c>
      <c r="M33" s="80"/>
      <c r="N33" s="80"/>
      <c r="O33" s="80"/>
      <c r="P33" s="80"/>
      <c r="Q33" s="80" t="s">
        <v>199</v>
      </c>
      <c r="R33" s="80" t="s">
        <v>235</v>
      </c>
      <c r="S33" s="112">
        <v>157410000</v>
      </c>
    </row>
    <row r="34" spans="1:20" hidden="1">
      <c r="A34" t="s">
        <v>233</v>
      </c>
      <c r="B34">
        <v>2024</v>
      </c>
      <c r="D34" t="s">
        <v>191</v>
      </c>
      <c r="E34" t="s">
        <v>192</v>
      </c>
      <c r="F34">
        <v>2024</v>
      </c>
      <c r="G34" s="76" t="s">
        <v>236</v>
      </c>
      <c r="H34" s="75">
        <v>3266.1214388486155</v>
      </c>
      <c r="I34" s="75">
        <v>2576.9841253415252</v>
      </c>
      <c r="J34" s="75">
        <v>4528.7896922505452</v>
      </c>
      <c r="K34" s="75">
        <v>4507.1223664184608</v>
      </c>
      <c r="L34" s="75">
        <f>[11]Outputs!$C$29</f>
        <v>1980.6107315938461</v>
      </c>
      <c r="M34" s="80"/>
      <c r="N34" s="80"/>
      <c r="O34" s="80"/>
      <c r="P34" s="80"/>
      <c r="Q34" s="80" t="s">
        <v>199</v>
      </c>
      <c r="R34" s="80" t="s">
        <v>235</v>
      </c>
      <c r="S34" s="112">
        <v>157410000</v>
      </c>
      <c r="T34" t="s">
        <v>237</v>
      </c>
    </row>
    <row r="35" spans="1:20">
      <c r="A35" t="s">
        <v>233</v>
      </c>
      <c r="B35">
        <v>2024</v>
      </c>
      <c r="D35" t="s">
        <v>191</v>
      </c>
      <c r="E35" t="s">
        <v>192</v>
      </c>
      <c r="F35">
        <v>2050</v>
      </c>
      <c r="G35" s="76" t="s">
        <v>236</v>
      </c>
      <c r="H35" s="75">
        <v>1875.4224770053406</v>
      </c>
      <c r="I35" s="75">
        <v>1436.797267614457</v>
      </c>
      <c r="J35" s="75">
        <v>2556.8251023695411</v>
      </c>
      <c r="K35" s="75">
        <v>2528.5896319794779</v>
      </c>
      <c r="L35" s="75">
        <f>[11]Outputs!$C$36</f>
        <v>1215.4479082880066</v>
      </c>
      <c r="M35" s="80"/>
      <c r="N35" s="80"/>
      <c r="O35" s="80"/>
      <c r="P35" s="80"/>
      <c r="Q35" s="80" t="s">
        <v>199</v>
      </c>
      <c r="R35" s="80" t="s">
        <v>235</v>
      </c>
      <c r="S35" s="112">
        <v>157410000</v>
      </c>
    </row>
    <row r="36" spans="1:20">
      <c r="A36" t="s">
        <v>233</v>
      </c>
      <c r="B36">
        <v>2024</v>
      </c>
      <c r="D36" t="s">
        <v>191</v>
      </c>
      <c r="E36" t="s">
        <v>192</v>
      </c>
      <c r="F36">
        <v>2050</v>
      </c>
      <c r="G36" s="76" t="s">
        <v>238</v>
      </c>
      <c r="H36" s="75">
        <v>1594.7287612272498</v>
      </c>
      <c r="I36" s="75">
        <v>1414.8414573075418</v>
      </c>
      <c r="J36" s="75">
        <v>2451.1799827419513</v>
      </c>
      <c r="K36" s="75">
        <v>2422.9445123518885</v>
      </c>
      <c r="L36" s="75">
        <f>[11]Outputs!$J$36</f>
        <v>1152.3165732549985</v>
      </c>
      <c r="M36" s="80">
        <v>0.34291277923676844</v>
      </c>
      <c r="N36" s="80">
        <v>0.41621386171084307</v>
      </c>
      <c r="O36" s="80">
        <v>7.8756910153965909E-2</v>
      </c>
      <c r="P36" s="80">
        <v>0.16211644889842231</v>
      </c>
      <c r="Q36" s="80" t="s">
        <v>199</v>
      </c>
      <c r="R36" s="80" t="s">
        <v>235</v>
      </c>
      <c r="S36" s="112">
        <v>157410000</v>
      </c>
    </row>
    <row r="37" spans="1:20">
      <c r="A37" t="s">
        <v>233</v>
      </c>
      <c r="B37">
        <v>2024</v>
      </c>
      <c r="D37" t="s">
        <v>191</v>
      </c>
      <c r="E37" t="s">
        <v>192</v>
      </c>
      <c r="F37">
        <v>2050</v>
      </c>
      <c r="G37" s="76" t="s">
        <v>234</v>
      </c>
      <c r="H37" s="75">
        <v>1383.9118225223065</v>
      </c>
      <c r="I37" s="75">
        <v>1232.3763219377704</v>
      </c>
      <c r="J37" s="75">
        <v>2232.7591121080382</v>
      </c>
      <c r="K37" s="75">
        <v>2206.174174063492</v>
      </c>
      <c r="L37" s="75">
        <f>[11]Outputs!$Q$36</f>
        <v>1022.7791095279053</v>
      </c>
      <c r="M37" s="80"/>
      <c r="N37" s="80"/>
      <c r="O37" s="80"/>
      <c r="P37" s="80"/>
      <c r="Q37" s="80" t="s">
        <v>199</v>
      </c>
      <c r="R37" s="80" t="s">
        <v>235</v>
      </c>
      <c r="S37" s="112">
        <v>157410000</v>
      </c>
    </row>
    <row r="38" spans="1:20" hidden="1">
      <c r="A38" t="s">
        <v>233</v>
      </c>
      <c r="B38">
        <v>2024</v>
      </c>
      <c r="D38" t="s">
        <v>191</v>
      </c>
      <c r="E38" t="s">
        <v>192</v>
      </c>
      <c r="F38">
        <v>2024</v>
      </c>
      <c r="G38" s="76" t="s">
        <v>238</v>
      </c>
      <c r="H38" s="75">
        <v>2797.4452258049691</v>
      </c>
      <c r="I38" s="75">
        <v>2548.3624580496798</v>
      </c>
      <c r="J38" s="75">
        <v>4640.6837686896215</v>
      </c>
      <c r="K38" s="75">
        <v>4619.0164428575381</v>
      </c>
      <c r="L38" s="75">
        <f>[11]Outputs!$J$29</f>
        <v>2092.5048080329234</v>
      </c>
      <c r="M38" s="80">
        <v>0.18972820066329413</v>
      </c>
      <c r="N38" s="80">
        <v>0.68542683885337585</v>
      </c>
      <c r="O38" s="80">
        <v>4.1118672813784257E-2</v>
      </c>
      <c r="P38" s="80">
        <v>8.3726287669547289E-2</v>
      </c>
      <c r="Q38" s="80" t="s">
        <v>199</v>
      </c>
      <c r="R38" s="80" t="s">
        <v>235</v>
      </c>
      <c r="S38" s="112">
        <v>157410000</v>
      </c>
    </row>
    <row r="39" spans="1:20" hidden="1">
      <c r="A39" t="s">
        <v>205</v>
      </c>
      <c r="B39">
        <v>2020</v>
      </c>
      <c r="C39" t="s">
        <v>206</v>
      </c>
      <c r="D39" t="s">
        <v>207</v>
      </c>
      <c r="E39" t="s">
        <v>192</v>
      </c>
      <c r="F39">
        <v>2024</v>
      </c>
      <c r="G39" s="76" t="s">
        <v>4</v>
      </c>
      <c r="H39" s="75">
        <v>1312.9984811577319</v>
      </c>
      <c r="I39" s="75">
        <v>1349.9394398959996</v>
      </c>
      <c r="J39" s="75">
        <v>5188.919680711776</v>
      </c>
      <c r="K39" s="75">
        <v>5172.0010379136593</v>
      </c>
      <c r="L39" s="75">
        <f>[4]Outputs!$C$17</f>
        <v>5143.507910938145</v>
      </c>
      <c r="M39" s="80"/>
      <c r="N39" s="80"/>
      <c r="O39" s="80"/>
      <c r="P39" s="80"/>
      <c r="Q39" s="80" t="s">
        <v>199</v>
      </c>
      <c r="R39" s="80" t="s">
        <v>208</v>
      </c>
      <c r="S39" s="112">
        <v>45872966</v>
      </c>
      <c r="T39" t="s">
        <v>209</v>
      </c>
    </row>
    <row r="40" spans="1:20" hidden="1">
      <c r="A40" t="s">
        <v>205</v>
      </c>
      <c r="B40">
        <v>2015</v>
      </c>
      <c r="C40" t="s">
        <v>210</v>
      </c>
      <c r="D40" t="s">
        <v>207</v>
      </c>
      <c r="E40" t="s">
        <v>192</v>
      </c>
      <c r="F40">
        <v>2024</v>
      </c>
      <c r="G40" s="76" t="s">
        <v>4</v>
      </c>
      <c r="H40" s="75">
        <v>563.6763071198169</v>
      </c>
      <c r="I40" s="75">
        <v>592.92830102216521</v>
      </c>
      <c r="J40" s="75">
        <v>5581.9039972601649</v>
      </c>
      <c r="K40" s="75">
        <v>5983.7230862237793</v>
      </c>
      <c r="L40" s="75">
        <f>[5]Outputs!$J$17</f>
        <v>5123.1771957356414</v>
      </c>
      <c r="M40" s="80"/>
      <c r="N40" s="80"/>
      <c r="O40" s="80"/>
      <c r="P40" s="80"/>
      <c r="Q40" s="80" t="s">
        <v>199</v>
      </c>
      <c r="R40" s="80" t="s">
        <v>208</v>
      </c>
      <c r="S40" s="112">
        <v>58035000</v>
      </c>
    </row>
    <row r="41" spans="1:20" hidden="1">
      <c r="A41" t="s">
        <v>205</v>
      </c>
      <c r="B41">
        <v>2015</v>
      </c>
      <c r="C41" t="s">
        <v>210</v>
      </c>
      <c r="D41" t="s">
        <v>207</v>
      </c>
      <c r="E41" t="s">
        <v>192</v>
      </c>
      <c r="F41">
        <v>2024</v>
      </c>
      <c r="G41" s="76" t="s">
        <v>4</v>
      </c>
      <c r="H41" s="75">
        <v>798.16358341599573</v>
      </c>
      <c r="I41" s="75">
        <v>827.41557731834428</v>
      </c>
      <c r="J41" s="75">
        <v>5816.3912735563426</v>
      </c>
      <c r="K41" s="75">
        <v>6234.1340273190181</v>
      </c>
      <c r="L41" s="75">
        <f>[5]Outputs!$C$17</f>
        <v>5332.7098693292101</v>
      </c>
      <c r="M41" s="80">
        <v>5.8359446730100857E-2</v>
      </c>
      <c r="N41" s="80">
        <v>0.66723592814540433</v>
      </c>
      <c r="O41" s="80">
        <v>0.10459442543324093</v>
      </c>
      <c r="P41" s="80">
        <v>0.16981019969125349</v>
      </c>
      <c r="Q41" s="80" t="s">
        <v>199</v>
      </c>
      <c r="R41" s="80" t="s">
        <v>208</v>
      </c>
      <c r="S41" s="112">
        <v>58035000</v>
      </c>
      <c r="T41" t="s">
        <v>211</v>
      </c>
    </row>
    <row r="42" spans="1:20" hidden="1">
      <c r="A42" t="s">
        <v>245</v>
      </c>
      <c r="B42">
        <v>2024</v>
      </c>
      <c r="C42" t="s">
        <v>246</v>
      </c>
      <c r="D42" t="s">
        <v>191</v>
      </c>
      <c r="E42" t="s">
        <v>198</v>
      </c>
      <c r="F42">
        <v>2024</v>
      </c>
      <c r="G42" s="76" t="s">
        <v>249</v>
      </c>
      <c r="H42" s="75">
        <v>5186.3474368779916</v>
      </c>
      <c r="I42" s="75">
        <v>3438.5192545251684</v>
      </c>
      <c r="J42" s="75">
        <v>5951.2256810399012</v>
      </c>
      <c r="K42" s="75">
        <v>6013.8337548512636</v>
      </c>
      <c r="L42" s="75">
        <f>[14]Outputs!$J$17</f>
        <v>7660.5778947002891</v>
      </c>
      <c r="M42" s="80">
        <v>0.10119430449322714</v>
      </c>
      <c r="N42" s="80">
        <v>0.61193522966613301</v>
      </c>
      <c r="O42" s="80">
        <v>0.27234050130799337</v>
      </c>
      <c r="P42" s="80">
        <v>1.4529964532646183E-2</v>
      </c>
      <c r="Q42" s="80" t="s">
        <v>199</v>
      </c>
      <c r="R42" s="80" t="s">
        <v>194</v>
      </c>
      <c r="S42" s="7">
        <v>1250000000</v>
      </c>
    </row>
    <row r="43" spans="1:20">
      <c r="A43" t="s">
        <v>218</v>
      </c>
      <c r="B43">
        <v>2021</v>
      </c>
      <c r="C43" t="s">
        <v>219</v>
      </c>
      <c r="D43" t="s">
        <v>191</v>
      </c>
      <c r="E43" t="s">
        <v>192</v>
      </c>
      <c r="F43">
        <v>2050</v>
      </c>
      <c r="G43" s="76" t="s">
        <v>221</v>
      </c>
      <c r="H43" s="75">
        <v>597.79761883839126</v>
      </c>
      <c r="I43" s="75">
        <v>154.73998374014388</v>
      </c>
      <c r="J43" s="75">
        <v>529.30575524337712</v>
      </c>
      <c r="K43" s="75">
        <v>519.29747746275018</v>
      </c>
      <c r="L43" s="75">
        <f>K43 / 1.02 ^ (2050-2021)</f>
        <v>292.42280042844408</v>
      </c>
      <c r="M43" s="80">
        <v>0.21202578729926874</v>
      </c>
      <c r="N43" s="80">
        <v>0.23970956366229598</v>
      </c>
      <c r="O43" s="80">
        <v>0.15126254531596553</v>
      </c>
      <c r="P43" s="80">
        <v>0.39700210372246958</v>
      </c>
      <c r="Q43" s="80" t="s">
        <v>199</v>
      </c>
      <c r="R43" s="80" t="s">
        <v>194</v>
      </c>
      <c r="S43" s="7">
        <v>87000000</v>
      </c>
    </row>
    <row r="44" spans="1:20">
      <c r="A44" t="s">
        <v>218</v>
      </c>
      <c r="B44">
        <v>2021</v>
      </c>
      <c r="C44" t="s">
        <v>219</v>
      </c>
      <c r="D44" t="s">
        <v>191</v>
      </c>
      <c r="E44" t="s">
        <v>192</v>
      </c>
      <c r="F44">
        <v>2050</v>
      </c>
      <c r="G44" s="76" t="s">
        <v>224</v>
      </c>
      <c r="H44" s="75">
        <v>1954.9192922932341</v>
      </c>
      <c r="I44" s="75">
        <v>1192.8985751082232</v>
      </c>
      <c r="J44" s="75">
        <v>2139.2445588182595</v>
      </c>
      <c r="K44" s="75">
        <v>2121.2689252929808</v>
      </c>
      <c r="L44" s="75">
        <f t="shared" ref="L44:L47" si="0">K44 / 1.02 ^ (2050-2021)</f>
        <v>1194.5126377789977</v>
      </c>
      <c r="Q44" s="80" t="s">
        <v>199</v>
      </c>
      <c r="R44" s="80" t="s">
        <v>194</v>
      </c>
      <c r="S44" s="7">
        <v>35000000</v>
      </c>
    </row>
    <row r="45" spans="1:20">
      <c r="A45" t="s">
        <v>218</v>
      </c>
      <c r="B45">
        <v>2021</v>
      </c>
      <c r="C45" t="s">
        <v>219</v>
      </c>
      <c r="D45" t="s">
        <v>191</v>
      </c>
      <c r="E45" t="s">
        <v>192</v>
      </c>
      <c r="F45">
        <v>2050</v>
      </c>
      <c r="G45" s="76" t="s">
        <v>223</v>
      </c>
      <c r="H45" s="75">
        <v>1692.7912975423517</v>
      </c>
      <c r="I45" s="75">
        <v>832.37400938742894</v>
      </c>
      <c r="J45" s="75">
        <v>1521.0984514060563</v>
      </c>
      <c r="K45" s="75">
        <v>1507.4743852726435</v>
      </c>
      <c r="L45" s="75">
        <f t="shared" si="0"/>
        <v>848.8773784717531</v>
      </c>
      <c r="Q45" s="80" t="s">
        <v>199</v>
      </c>
      <c r="R45" s="80" t="s">
        <v>194</v>
      </c>
      <c r="S45" s="7">
        <v>48000000</v>
      </c>
    </row>
    <row r="46" spans="1:20">
      <c r="A46" t="s">
        <v>218</v>
      </c>
      <c r="B46">
        <v>2021</v>
      </c>
      <c r="C46" t="s">
        <v>219</v>
      </c>
      <c r="D46" t="s">
        <v>191</v>
      </c>
      <c r="E46" t="s">
        <v>192</v>
      </c>
      <c r="F46">
        <v>2050</v>
      </c>
      <c r="G46" s="76" t="s">
        <v>220</v>
      </c>
      <c r="H46" s="75">
        <v>310.79679657966193</v>
      </c>
      <c r="I46" s="75">
        <v>-101.10917719816401</v>
      </c>
      <c r="J46" s="75">
        <v>395.15232322570546</v>
      </c>
      <c r="K46" s="75">
        <v>385.16193079821875</v>
      </c>
      <c r="L46" s="75">
        <f t="shared" si="0"/>
        <v>216.88942332773183</v>
      </c>
      <c r="Q46" s="80" t="s">
        <v>199</v>
      </c>
      <c r="R46" s="80" t="s">
        <v>194</v>
      </c>
      <c r="S46" s="7">
        <v>69000000</v>
      </c>
    </row>
    <row r="47" spans="1:20">
      <c r="A47" t="s">
        <v>218</v>
      </c>
      <c r="B47">
        <v>2021</v>
      </c>
      <c r="C47" t="s">
        <v>219</v>
      </c>
      <c r="D47" t="s">
        <v>191</v>
      </c>
      <c r="E47" t="s">
        <v>192</v>
      </c>
      <c r="F47">
        <v>2050</v>
      </c>
      <c r="G47" s="76" t="s">
        <v>222</v>
      </c>
      <c r="H47" s="75">
        <v>628.73238316672519</v>
      </c>
      <c r="I47" s="75">
        <v>100.46811775340927</v>
      </c>
      <c r="J47" s="75">
        <v>612.28162159428246</v>
      </c>
      <c r="K47" s="75">
        <v>601.90508307739435</v>
      </c>
      <c r="L47" s="75">
        <f t="shared" si="0"/>
        <v>338.94015978198621</v>
      </c>
      <c r="Q47" s="80" t="s">
        <v>199</v>
      </c>
      <c r="R47" s="80" t="s">
        <v>194</v>
      </c>
      <c r="S47" s="7">
        <v>68000000</v>
      </c>
    </row>
  </sheetData>
  <autoFilter ref="A1:T47" xr:uid="{EA0C7AF6-12B8-E94C-86EE-0E1EAB47201C}">
    <filterColumn colId="5">
      <filters>
        <filter val="2050"/>
      </filters>
    </filterColumn>
  </autoFilter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CFE0-9FB2-D14D-9941-0D6BF8A04E8E}">
  <dimension ref="A1:E2"/>
  <sheetViews>
    <sheetView workbookViewId="0">
      <selection activeCell="G14" sqref="G14"/>
    </sheetView>
  </sheetViews>
  <sheetFormatPr defaultColWidth="11.25" defaultRowHeight="15.6"/>
  <cols>
    <col min="1" max="1" width="29" bestFit="1" customWidth="1"/>
    <col min="2" max="2" width="12.25" bestFit="1" customWidth="1"/>
    <col min="4" max="4" width="29" bestFit="1" customWidth="1"/>
    <col min="5" max="5" width="12.25" bestFit="1" customWidth="1"/>
  </cols>
  <sheetData>
    <row r="1" spans="1:5">
      <c r="A1" s="136">
        <v>2024</v>
      </c>
      <c r="B1" s="136"/>
      <c r="D1" s="136">
        <v>2050</v>
      </c>
      <c r="E1" s="136"/>
    </row>
    <row r="2" spans="1:5">
      <c r="A2" t="s">
        <v>463</v>
      </c>
      <c r="B2">
        <f>AVERAGEIF('Standardization Results'!$F$3:$F$33,2024,'Standardization Results'!$K$3:$K$33)</f>
        <v>2274.9465154365339</v>
      </c>
      <c r="D2" t="s">
        <v>463</v>
      </c>
      <c r="E2">
        <f>AVERAGEIF('Standardization Results'!$F$3:$F$33,2050,'Standardization Results'!$K$3:$K$33)</f>
        <v>981.83379277987115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42C4-6099-164A-8598-EED346428AD2}">
  <dimension ref="A1:M27"/>
  <sheetViews>
    <sheetView workbookViewId="0">
      <selection activeCell="G14" sqref="G14"/>
    </sheetView>
  </sheetViews>
  <sheetFormatPr defaultColWidth="10.75" defaultRowHeight="15.6"/>
  <cols>
    <col min="1" max="1" width="34.5" style="21" bestFit="1" customWidth="1"/>
    <col min="2" max="2" width="15.25" style="21" bestFit="1" customWidth="1"/>
    <col min="3" max="7" width="15.25" style="21" customWidth="1"/>
    <col min="8" max="12" width="10.75" style="21"/>
    <col min="13" max="13" width="11.75" style="21" bestFit="1" customWidth="1"/>
    <col min="14" max="14" width="12" style="21" bestFit="1" customWidth="1"/>
    <col min="15" max="16384" width="10.75" style="21"/>
  </cols>
  <sheetData>
    <row r="1" spans="1:13">
      <c r="A1" s="5" t="s">
        <v>5</v>
      </c>
      <c r="B1" s="5" t="s">
        <v>464</v>
      </c>
      <c r="C1" s="5"/>
      <c r="D1" s="5" t="s">
        <v>465</v>
      </c>
      <c r="E1" s="5" t="s">
        <v>466</v>
      </c>
      <c r="F1" s="5" t="s">
        <v>467</v>
      </c>
      <c r="G1" s="5" t="s">
        <v>468</v>
      </c>
      <c r="H1" s="5" t="s">
        <v>469</v>
      </c>
      <c r="I1" s="5"/>
      <c r="J1" s="5" t="s">
        <v>470</v>
      </c>
      <c r="K1" s="5" t="s">
        <v>471</v>
      </c>
      <c r="L1" s="5" t="s">
        <v>472</v>
      </c>
      <c r="M1" s="5" t="s">
        <v>473</v>
      </c>
    </row>
    <row r="2" spans="1:13">
      <c r="A2" s="5" t="s">
        <v>474</v>
      </c>
      <c r="B2" s="5">
        <v>50.74</v>
      </c>
      <c r="C2" s="118">
        <f>B2/SUM($B$2:$B$11)</f>
        <v>0.42230545151893462</v>
      </c>
      <c r="D2" s="119">
        <f>B2</f>
        <v>50.74</v>
      </c>
      <c r="E2" s="119">
        <f>B2</f>
        <v>50.74</v>
      </c>
      <c r="F2" s="119">
        <f>B2</f>
        <v>50.74</v>
      </c>
      <c r="G2" s="119">
        <f>B2</f>
        <v>50.74</v>
      </c>
      <c r="H2" s="5">
        <v>400.57</v>
      </c>
      <c r="I2" s="118">
        <f>H2/SUM($H$2:$H$11)</f>
        <v>0.56928258768688533</v>
      </c>
      <c r="J2" s="5">
        <f>H2</f>
        <v>400.57</v>
      </c>
      <c r="K2" s="5">
        <f>H2</f>
        <v>400.57</v>
      </c>
      <c r="L2" s="5">
        <f>H2</f>
        <v>400.57</v>
      </c>
      <c r="M2" s="5">
        <f>H2</f>
        <v>400.57</v>
      </c>
    </row>
    <row r="3" spans="1:13">
      <c r="A3" s="5" t="s">
        <v>475</v>
      </c>
      <c r="B3" s="5">
        <v>27</v>
      </c>
      <c r="C3" s="118">
        <f t="shared" ref="C3:C12" si="0">B3/SUM($B$2:$B$11)</f>
        <v>0.22471910112359547</v>
      </c>
      <c r="D3" s="119">
        <f>B18</f>
        <v>29.700000000000003</v>
      </c>
      <c r="E3" s="119">
        <f>B19</f>
        <v>40.5</v>
      </c>
      <c r="F3" s="119">
        <f>B20</f>
        <v>74.25</v>
      </c>
      <c r="G3" s="119">
        <f>B21</f>
        <v>121.5</v>
      </c>
      <c r="H3" s="5">
        <v>213</v>
      </c>
      <c r="I3" s="118">
        <f t="shared" ref="I3:I12" si="1">H3/SUM($H$2:$H$11)</f>
        <v>0.30271161389346823</v>
      </c>
      <c r="J3" s="120">
        <f>H18</f>
        <v>234.3</v>
      </c>
      <c r="K3" s="120">
        <f>H19</f>
        <v>319.5</v>
      </c>
      <c r="L3" s="120">
        <f>H20</f>
        <v>585.75</v>
      </c>
      <c r="M3" s="120">
        <f>H21</f>
        <v>958.49999999999989</v>
      </c>
    </row>
    <row r="4" spans="1:13">
      <c r="A4" s="5" t="s">
        <v>476</v>
      </c>
      <c r="B4" s="5">
        <v>4.8099999999999996</v>
      </c>
      <c r="C4" s="118">
        <f t="shared" si="0"/>
        <v>4.0033291718684964E-2</v>
      </c>
      <c r="D4" s="119">
        <f t="shared" ref="D4:D12" si="2">B4</f>
        <v>4.8099999999999996</v>
      </c>
      <c r="E4" s="119">
        <f t="shared" ref="E4:E12" si="3">B4</f>
        <v>4.8099999999999996</v>
      </c>
      <c r="F4" s="119">
        <f t="shared" ref="F4:F12" si="4">B4</f>
        <v>4.8099999999999996</v>
      </c>
      <c r="G4" s="119">
        <f t="shared" ref="G4:G12" si="5">B4</f>
        <v>4.8099999999999996</v>
      </c>
      <c r="H4" s="5">
        <v>17.91</v>
      </c>
      <c r="I4" s="118">
        <f t="shared" si="1"/>
        <v>2.5453356830197262E-2</v>
      </c>
      <c r="J4" s="5">
        <f t="shared" ref="J4:J12" si="6">H4</f>
        <v>17.91</v>
      </c>
      <c r="K4" s="5">
        <f t="shared" ref="K4:K12" si="7">H4</f>
        <v>17.91</v>
      </c>
      <c r="L4" s="5">
        <f t="shared" ref="L4:L12" si="8">H4</f>
        <v>17.91</v>
      </c>
      <c r="M4" s="5">
        <f t="shared" ref="M4:M12" si="9">H4</f>
        <v>17.91</v>
      </c>
    </row>
    <row r="5" spans="1:13">
      <c r="A5" s="5" t="s">
        <v>477</v>
      </c>
      <c r="B5" s="5">
        <v>11.02</v>
      </c>
      <c r="C5" s="118">
        <f t="shared" si="0"/>
        <v>9.1718684977111928E-2</v>
      </c>
      <c r="D5" s="119">
        <f t="shared" si="2"/>
        <v>11.02</v>
      </c>
      <c r="E5" s="119">
        <f t="shared" si="3"/>
        <v>11.02</v>
      </c>
      <c r="F5" s="119">
        <f t="shared" si="4"/>
        <v>11.02</v>
      </c>
      <c r="G5" s="119">
        <f t="shared" si="5"/>
        <v>11.02</v>
      </c>
      <c r="H5" s="5">
        <v>26.24</v>
      </c>
      <c r="I5" s="118">
        <f t="shared" si="1"/>
        <v>3.7291796941617869E-2</v>
      </c>
      <c r="J5" s="5">
        <f t="shared" si="6"/>
        <v>26.24</v>
      </c>
      <c r="K5" s="5">
        <f t="shared" si="7"/>
        <v>26.24</v>
      </c>
      <c r="L5" s="5">
        <f t="shared" si="8"/>
        <v>26.24</v>
      </c>
      <c r="M5" s="5">
        <f t="shared" si="9"/>
        <v>26.24</v>
      </c>
    </row>
    <row r="6" spans="1:13">
      <c r="A6" s="5" t="s">
        <v>478</v>
      </c>
      <c r="B6" s="5">
        <v>4.04</v>
      </c>
      <c r="C6" s="118">
        <f t="shared" si="0"/>
        <v>3.3624635871826875E-2</v>
      </c>
      <c r="D6" s="119">
        <f t="shared" si="2"/>
        <v>4.04</v>
      </c>
      <c r="E6" s="119">
        <f t="shared" si="3"/>
        <v>4.04</v>
      </c>
      <c r="F6" s="119">
        <f t="shared" si="4"/>
        <v>4.04</v>
      </c>
      <c r="G6" s="119">
        <f t="shared" si="5"/>
        <v>4.04</v>
      </c>
      <c r="H6" s="5">
        <v>13.76</v>
      </c>
      <c r="I6" s="118">
        <f t="shared" si="1"/>
        <v>1.9555454493775225E-2</v>
      </c>
      <c r="J6" s="5">
        <f t="shared" si="6"/>
        <v>13.76</v>
      </c>
      <c r="K6" s="5">
        <f t="shared" si="7"/>
        <v>13.76</v>
      </c>
      <c r="L6" s="5">
        <f t="shared" si="8"/>
        <v>13.76</v>
      </c>
      <c r="M6" s="5">
        <f t="shared" si="9"/>
        <v>13.76</v>
      </c>
    </row>
    <row r="7" spans="1:13">
      <c r="A7" s="5" t="s">
        <v>479</v>
      </c>
      <c r="B7" s="5">
        <v>1.87</v>
      </c>
      <c r="C7" s="118">
        <f t="shared" si="0"/>
        <v>1.5563878485226798E-2</v>
      </c>
      <c r="D7" s="119">
        <f t="shared" si="2"/>
        <v>1.87</v>
      </c>
      <c r="E7" s="119">
        <f t="shared" si="3"/>
        <v>1.87</v>
      </c>
      <c r="F7" s="119">
        <f t="shared" si="4"/>
        <v>1.87</v>
      </c>
      <c r="G7" s="119">
        <f t="shared" si="5"/>
        <v>1.87</v>
      </c>
      <c r="H7" s="5">
        <v>2.98</v>
      </c>
      <c r="I7" s="118">
        <f t="shared" si="1"/>
        <v>4.235120231936786E-3</v>
      </c>
      <c r="J7" s="5">
        <f t="shared" si="6"/>
        <v>2.98</v>
      </c>
      <c r="K7" s="5">
        <f t="shared" si="7"/>
        <v>2.98</v>
      </c>
      <c r="L7" s="5">
        <f t="shared" si="8"/>
        <v>2.98</v>
      </c>
      <c r="M7" s="5">
        <f t="shared" si="9"/>
        <v>2.98</v>
      </c>
    </row>
    <row r="8" spans="1:13">
      <c r="A8" s="5" t="s">
        <v>480</v>
      </c>
      <c r="B8" s="5">
        <v>2.63</v>
      </c>
      <c r="C8" s="118">
        <f t="shared" si="0"/>
        <v>2.1889305035372446E-2</v>
      </c>
      <c r="D8" s="119">
        <f t="shared" si="2"/>
        <v>2.63</v>
      </c>
      <c r="E8" s="119">
        <f t="shared" si="3"/>
        <v>2.63</v>
      </c>
      <c r="F8" s="119">
        <f t="shared" si="4"/>
        <v>2.63</v>
      </c>
      <c r="G8" s="119">
        <f t="shared" si="5"/>
        <v>2.63</v>
      </c>
      <c r="H8" s="5">
        <v>7.51</v>
      </c>
      <c r="I8" s="118">
        <f t="shared" si="1"/>
        <v>1.0673071456995054E-2</v>
      </c>
      <c r="J8" s="5">
        <f t="shared" si="6"/>
        <v>7.51</v>
      </c>
      <c r="K8" s="5">
        <f t="shared" si="7"/>
        <v>7.51</v>
      </c>
      <c r="L8" s="5">
        <f t="shared" si="8"/>
        <v>7.51</v>
      </c>
      <c r="M8" s="5">
        <f t="shared" si="9"/>
        <v>7.51</v>
      </c>
    </row>
    <row r="9" spans="1:13">
      <c r="A9" s="5" t="s">
        <v>481</v>
      </c>
      <c r="B9" s="5">
        <v>4.93</v>
      </c>
      <c r="C9" s="118">
        <f t="shared" si="0"/>
        <v>4.1032043279234279E-2</v>
      </c>
      <c r="D9" s="119">
        <f t="shared" si="2"/>
        <v>4.93</v>
      </c>
      <c r="E9" s="119">
        <f t="shared" si="3"/>
        <v>4.93</v>
      </c>
      <c r="F9" s="119">
        <f t="shared" si="4"/>
        <v>4.93</v>
      </c>
      <c r="G9" s="119">
        <f t="shared" si="5"/>
        <v>4.93</v>
      </c>
      <c r="H9" s="5">
        <v>8.8699999999999992</v>
      </c>
      <c r="I9" s="118">
        <f t="shared" si="1"/>
        <v>1.2605878005798418E-2</v>
      </c>
      <c r="J9" s="5">
        <f t="shared" si="6"/>
        <v>8.8699999999999992</v>
      </c>
      <c r="K9" s="5">
        <f t="shared" si="7"/>
        <v>8.8699999999999992</v>
      </c>
      <c r="L9" s="5">
        <f t="shared" si="8"/>
        <v>8.8699999999999992</v>
      </c>
      <c r="M9" s="5">
        <f t="shared" si="9"/>
        <v>8.8699999999999992</v>
      </c>
    </row>
    <row r="10" spans="1:13">
      <c r="A10" s="5" t="s">
        <v>482</v>
      </c>
      <c r="B10" s="5">
        <v>12.7</v>
      </c>
      <c r="C10" s="118">
        <f t="shared" si="0"/>
        <v>0.1057012068248023</v>
      </c>
      <c r="D10" s="119">
        <f t="shared" si="2"/>
        <v>12.7</v>
      </c>
      <c r="E10" s="119">
        <f t="shared" si="3"/>
        <v>12.7</v>
      </c>
      <c r="F10" s="119">
        <f t="shared" si="4"/>
        <v>12.7</v>
      </c>
      <c r="G10" s="119">
        <f t="shared" si="5"/>
        <v>12.7</v>
      </c>
      <c r="H10" s="5">
        <v>12.7</v>
      </c>
      <c r="I10" s="118">
        <f t="shared" si="1"/>
        <v>1.8049002330737307E-2</v>
      </c>
      <c r="J10" s="5">
        <f t="shared" si="6"/>
        <v>12.7</v>
      </c>
      <c r="K10" s="5">
        <f t="shared" si="7"/>
        <v>12.7</v>
      </c>
      <c r="L10" s="5">
        <f t="shared" si="8"/>
        <v>12.7</v>
      </c>
      <c r="M10" s="5">
        <f t="shared" si="9"/>
        <v>12.7</v>
      </c>
    </row>
    <row r="11" spans="1:13">
      <c r="A11" s="5" t="s">
        <v>483</v>
      </c>
      <c r="B11" s="5">
        <v>0.41</v>
      </c>
      <c r="C11" s="118">
        <f t="shared" si="0"/>
        <v>3.4124011652101531E-3</v>
      </c>
      <c r="D11" s="119">
        <f t="shared" si="2"/>
        <v>0.41</v>
      </c>
      <c r="E11" s="119">
        <f t="shared" si="3"/>
        <v>0.41</v>
      </c>
      <c r="F11" s="119">
        <f t="shared" si="4"/>
        <v>0.41</v>
      </c>
      <c r="G11" s="119">
        <f t="shared" si="5"/>
        <v>0.41</v>
      </c>
      <c r="H11" s="5">
        <v>0.1</v>
      </c>
      <c r="I11" s="118">
        <f t="shared" si="1"/>
        <v>1.4211812858848277E-4</v>
      </c>
      <c r="J11" s="5">
        <f t="shared" si="6"/>
        <v>0.1</v>
      </c>
      <c r="K11" s="5">
        <f t="shared" si="7"/>
        <v>0.1</v>
      </c>
      <c r="L11" s="5">
        <f t="shared" si="8"/>
        <v>0.1</v>
      </c>
      <c r="M11" s="5">
        <f t="shared" si="9"/>
        <v>0.1</v>
      </c>
    </row>
    <row r="12" spans="1:13">
      <c r="A12" s="121" t="s">
        <v>484</v>
      </c>
      <c r="B12" s="122">
        <v>9.84</v>
      </c>
      <c r="C12" s="118">
        <f t="shared" si="0"/>
        <v>8.1897627965043684E-2</v>
      </c>
      <c r="D12" s="119">
        <f t="shared" si="2"/>
        <v>9.84</v>
      </c>
      <c r="E12" s="119">
        <f t="shared" si="3"/>
        <v>9.84</v>
      </c>
      <c r="F12" s="119">
        <f t="shared" si="4"/>
        <v>9.84</v>
      </c>
      <c r="G12" s="119">
        <f t="shared" si="5"/>
        <v>9.84</v>
      </c>
      <c r="H12" s="122">
        <v>36.36</v>
      </c>
      <c r="I12" s="118">
        <f t="shared" si="1"/>
        <v>5.1674151554772327E-2</v>
      </c>
      <c r="J12" s="5">
        <f t="shared" si="6"/>
        <v>36.36</v>
      </c>
      <c r="K12" s="5">
        <f t="shared" si="7"/>
        <v>36.36</v>
      </c>
      <c r="L12" s="5">
        <f t="shared" si="8"/>
        <v>36.36</v>
      </c>
      <c r="M12" s="5">
        <f t="shared" si="9"/>
        <v>36.36</v>
      </c>
    </row>
    <row r="13" spans="1:13">
      <c r="A13" s="121" t="s">
        <v>485</v>
      </c>
      <c r="B13" s="121">
        <f>SUM(B2:B12)</f>
        <v>129.99</v>
      </c>
      <c r="C13" s="121"/>
      <c r="D13" s="121">
        <f>SUM(D2:D12)</f>
        <v>132.69</v>
      </c>
      <c r="E13" s="121">
        <f>SUM(E2:E12)</f>
        <v>143.49</v>
      </c>
      <c r="F13" s="121">
        <f>SUM(F2:F12)</f>
        <v>177.24</v>
      </c>
      <c r="G13" s="121">
        <f>SUM(G2:G12)</f>
        <v>224.49</v>
      </c>
      <c r="H13" s="121">
        <f>SUM(H2:H12)</f>
        <v>740</v>
      </c>
      <c r="I13" s="114"/>
      <c r="J13" s="121">
        <f>SUM(J2:J12)</f>
        <v>761.30000000000007</v>
      </c>
      <c r="K13" s="121">
        <f t="shared" ref="K13:M13" si="10">SUM(K2:K12)</f>
        <v>846.5</v>
      </c>
      <c r="L13" s="121">
        <f t="shared" si="10"/>
        <v>1112.7499999999995</v>
      </c>
      <c r="M13" s="121">
        <f t="shared" si="10"/>
        <v>1485.4999999999998</v>
      </c>
    </row>
    <row r="14" spans="1:13">
      <c r="A14" s="114"/>
      <c r="B14" s="114"/>
      <c r="C14" s="114"/>
      <c r="D14" s="114"/>
      <c r="E14" s="121">
        <f>E13*1.02^6</f>
        <v>161.59304554019138</v>
      </c>
      <c r="F14" s="121">
        <f>F13*1.02^6</f>
        <v>199.60102719035137</v>
      </c>
      <c r="G14" s="121">
        <f>G13*1.02^6</f>
        <v>252.81220150057538</v>
      </c>
      <c r="H14" s="114"/>
      <c r="I14" s="114"/>
      <c r="J14" s="114"/>
      <c r="K14" s="121">
        <f>K13*1.02^6</f>
        <v>953.29648790697604</v>
      </c>
      <c r="L14" s="121">
        <f>L13*1.02^6</f>
        <v>1253.1372320360156</v>
      </c>
      <c r="M14" s="121">
        <f>M13*1.02^6</f>
        <v>1672.9142738166718</v>
      </c>
    </row>
    <row r="15" spans="1:13" ht="16.899999999999999" customHeight="1">
      <c r="A15" s="5" t="s">
        <v>486</v>
      </c>
      <c r="B15" s="120">
        <f>6</f>
        <v>6</v>
      </c>
      <c r="C15" s="120"/>
      <c r="D15" s="120"/>
      <c r="E15" s="120"/>
      <c r="F15" s="120"/>
      <c r="G15" s="120"/>
      <c r="H15" s="118"/>
      <c r="I15" s="5"/>
      <c r="J15" s="5"/>
      <c r="K15" s="5"/>
      <c r="L15" s="5"/>
      <c r="M15" s="5"/>
    </row>
    <row r="16" spans="1:13">
      <c r="A16" s="5"/>
      <c r="B16" s="120"/>
      <c r="C16" s="120"/>
      <c r="D16" s="120"/>
      <c r="E16" s="120"/>
      <c r="F16" s="120"/>
      <c r="G16" s="120"/>
      <c r="H16" s="118"/>
      <c r="I16" s="5"/>
      <c r="J16" s="5"/>
      <c r="K16" s="5"/>
      <c r="L16" s="5"/>
      <c r="M16" s="5"/>
    </row>
    <row r="17" spans="1:8">
      <c r="A17" s="5" t="s">
        <v>487</v>
      </c>
      <c r="B17" s="120"/>
      <c r="C17" s="120"/>
      <c r="D17" s="120"/>
      <c r="E17" s="120"/>
      <c r="F17" s="120"/>
      <c r="G17" s="120"/>
      <c r="H17" s="118"/>
    </row>
    <row r="18" spans="1:8">
      <c r="A18" s="119">
        <v>0.02</v>
      </c>
      <c r="B18" s="120">
        <f>(A18*$B$3*$B$15) + ((1-A18) * $B$3)</f>
        <v>29.700000000000003</v>
      </c>
      <c r="C18" s="120"/>
      <c r="D18" s="120"/>
      <c r="E18" s="120"/>
      <c r="F18" s="120"/>
      <c r="G18" s="120"/>
      <c r="H18" s="120">
        <f>(A18*$H$3*$B$15) + ((1-A18) * $H$3)</f>
        <v>234.3</v>
      </c>
    </row>
    <row r="19" spans="1:8">
      <c r="A19" s="119">
        <v>0.1</v>
      </c>
      <c r="B19" s="120">
        <f>(A19*$B$3*$B$15) + ((1-A19) * $B$3)</f>
        <v>40.5</v>
      </c>
      <c r="C19" s="120"/>
      <c r="D19" s="120"/>
      <c r="E19" s="120"/>
      <c r="F19" s="120"/>
      <c r="G19" s="120"/>
      <c r="H19" s="120">
        <f>(A19*$H$3*$B$15) + ((1-A19) * $H$3)</f>
        <v>319.5</v>
      </c>
    </row>
    <row r="20" spans="1:8">
      <c r="A20" s="119">
        <v>0.35</v>
      </c>
      <c r="B20" s="120">
        <f>(A20*$B$3*$B$15) + ((1-A20) * $B$3)</f>
        <v>74.25</v>
      </c>
      <c r="C20" s="120"/>
      <c r="D20" s="120"/>
      <c r="E20" s="120"/>
      <c r="F20" s="120"/>
      <c r="G20" s="120"/>
      <c r="H20" s="120">
        <f>(A20*$H$3*$B$15) + ((1-A20) * $H$3)</f>
        <v>585.75</v>
      </c>
    </row>
    <row r="21" spans="1:8">
      <c r="A21" s="119">
        <v>0.7</v>
      </c>
      <c r="B21" s="120">
        <f>(A21*$B$3*$B$15) + ((1-A21) * $B$3)</f>
        <v>121.5</v>
      </c>
      <c r="C21" s="5"/>
      <c r="D21" s="5"/>
      <c r="E21" s="5"/>
      <c r="F21" s="5"/>
      <c r="G21" s="5"/>
      <c r="H21" s="120">
        <f>(A21*$H$3*$B$15) + ((1-A21) * $H$3)</f>
        <v>958.49999999999989</v>
      </c>
    </row>
    <row r="22" spans="1:8">
      <c r="A22" s="119">
        <v>1</v>
      </c>
      <c r="B22" s="120">
        <f>(A22*$B$3*$B$15) + ((1-A22) * $B$3)</f>
        <v>162</v>
      </c>
      <c r="C22" s="120"/>
      <c r="D22" s="120"/>
      <c r="E22" s="120"/>
      <c r="F22" s="120"/>
      <c r="G22" s="120"/>
      <c r="H22" s="120">
        <f>(A22*$H$3*$B$15) + ((1-A22) * $H$3)</f>
        <v>1278</v>
      </c>
    </row>
    <row r="23" spans="1:8">
      <c r="A23" s="5"/>
      <c r="B23" s="120"/>
      <c r="C23" s="120"/>
      <c r="D23" s="120"/>
      <c r="E23" s="120"/>
      <c r="F23" s="120"/>
      <c r="G23" s="120"/>
      <c r="H23" s="118"/>
    </row>
    <row r="24" spans="1:8">
      <c r="A24" s="5" t="s">
        <v>488</v>
      </c>
      <c r="B24" s="120"/>
      <c r="C24" s="120"/>
      <c r="D24" s="120"/>
      <c r="E24" s="120"/>
      <c r="F24" s="120"/>
      <c r="G24" s="120"/>
      <c r="H24" s="118"/>
    </row>
    <row r="25" spans="1:8">
      <c r="A25" s="5"/>
      <c r="B25" s="120"/>
      <c r="C25" s="120"/>
      <c r="D25" s="120"/>
      <c r="E25" s="120"/>
      <c r="F25" s="120"/>
      <c r="G25" s="120"/>
      <c r="H25" s="118"/>
    </row>
    <row r="26" spans="1:8">
      <c r="A26" s="5"/>
      <c r="B26" s="120"/>
      <c r="C26" s="120"/>
      <c r="D26" s="120"/>
      <c r="E26" s="120"/>
      <c r="F26" s="120"/>
      <c r="G26" s="120"/>
      <c r="H26" s="118"/>
    </row>
    <row r="27" spans="1:8">
      <c r="A27" s="5"/>
      <c r="B27" s="120"/>
      <c r="C27" s="120"/>
      <c r="D27" s="120"/>
      <c r="E27" s="120"/>
      <c r="F27" s="120"/>
      <c r="G27" s="120"/>
      <c r="H27" s="1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800E50-85F1-8745-9372-153DAD587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2024-05-16T11:07:21Z</dcterms:created>
  <dcterms:modified xsi:type="dcterms:W3CDTF">2025-03-20T13:55:51Z</dcterms:modified>
  <cp:category/>
  <cp:contentStatus/>
</cp:coreProperties>
</file>
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data/"/>
    </mc:Choice>
  </mc:AlternateContent>
  <xr:revisionPtr revIDLastSave="443" documentId="8_{00D5806A-E842-4966-A868-24FDBCA4DBAD}" xr6:coauthVersionLast="47" xr6:coauthVersionMax="47" xr10:uidLastSave="{8F13F146-0B66-43F8-A1F9-34CC89998825}"/>
  <bookViews>
    <workbookView xWindow="-96" yWindow="12852" windowWidth="23256" windowHeight="13896" xr2:uid="{9A4A7CCA-7739-4C0E-9453-6B3361FAEDB6}"/>
  </bookViews>
  <sheets>
    <sheet name="Inputs" sheetId="2" r:id="rId1"/>
    <sheet name="Study Parameters" sheetId="1" r:id="rId2"/>
    <sheet name="Outputs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19" i="1"/>
  <c r="B9" i="1"/>
  <c r="B18" i="1"/>
  <c r="B12" i="1"/>
  <c r="B28" i="1" s="1"/>
  <c r="C28" i="1"/>
  <c r="B13" i="1"/>
  <c r="B17" i="1"/>
  <c r="C9" i="1"/>
  <c r="C18" i="1" s="1"/>
  <c r="C17" i="1"/>
  <c r="B10" i="1"/>
  <c r="C10" i="1" s="1"/>
  <c r="B29" i="1"/>
  <c r="C32" i="2"/>
  <c r="C30" i="2"/>
  <c r="C29" i="2"/>
  <c r="C27" i="2"/>
  <c r="C26" i="2"/>
  <c r="C24" i="2"/>
  <c r="C23" i="2"/>
  <c r="C21" i="2"/>
  <c r="C20" i="2"/>
  <c r="C18" i="2"/>
  <c r="C16" i="2"/>
  <c r="C15" i="2"/>
  <c r="C14" i="2"/>
  <c r="C13" i="2"/>
  <c r="C12" i="2"/>
  <c r="C11" i="2"/>
  <c r="C9" i="2"/>
  <c r="C8" i="2"/>
  <c r="C6" i="2"/>
  <c r="C5" i="2"/>
  <c r="C4" i="2"/>
  <c r="C3" i="2"/>
  <c r="C29" i="1" l="1"/>
  <c r="C4" i="1"/>
  <c r="B4" i="1"/>
  <c r="D7" i="3"/>
  <c r="E7" i="3" s="1"/>
  <c r="D5" i="3"/>
  <c r="E5" i="3" s="1"/>
  <c r="B23" i="1"/>
  <c r="B24" i="1" s="1"/>
  <c r="B32" i="1" s="1"/>
  <c r="C19" i="1"/>
  <c r="D4" i="3" l="1"/>
  <c r="C23" i="1"/>
  <c r="C24" i="1" s="1"/>
  <c r="D8" i="3"/>
  <c r="D9" i="3" s="1"/>
  <c r="E8" i="3"/>
  <c r="E9" i="3" s="1"/>
  <c r="D10" i="3" l="1"/>
  <c r="C31" i="1"/>
  <c r="C32" i="1" s="1"/>
  <c r="E4" i="3" s="1"/>
  <c r="E10" i="3" s="1"/>
  <c r="F1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tc={B30D06FA-549B-4880-9132-62D731C4599B}</author>
  </authors>
  <commentList>
    <comment ref="C33" authorId="0" shapeId="0" xr:uid="{B30D06FA-549B-4880-9132-62D731C459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varied between the 25% and 75% input cost as mentioned in red. For green hydrogen, the code automatically reads from 25% and 75% input cost.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tc={61935355-D025-4334-8AB7-9AFE8C085A31}</author>
  </authors>
  <commentList>
    <comment ref="B18" authorId="0" shapeId="0" xr:uid="{61935355-D025-4334-8AB7-9AFE8C085A31}">
      <text>
        <t>[Threaded comment]
Your version of Excel allows you to read this threaded comment; however, any edits to it will get removed if the file is opened in a newer version of Excel. Learn more: https://go.microsoft.com/fwlink/?linkid=870924
Comment:
    @Sievert  Katrin are these emissions measured in GWP100 or GWP20? Since the multipliers are 34x and 86x, there could be quite a significant difference between these. See section 3.1 for an example: https://www.sciencedirect.com/science/article/pii/S0306261921014215?via%3Dihub#b0215
Reply:
    Hi Yash, I used a GWP100 multiplier (36) - I didn't use a GWP20 multiplier for methane tho, fair point!</t>
      </text>
    </comment>
  </commentList>
</comments>
</file>

<file path=xl/sharedStrings.xml><?xml version="1.0" encoding="utf-8"?>
<sst xmlns="http://schemas.openxmlformats.org/spreadsheetml/2006/main" count="166" uniqueCount="104">
  <si>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</si>
  <si>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</si>
  <si>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</si>
  <si>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</si>
  <si>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</si>
  <si>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</si>
  <si>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</si>
  <si>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</si>
  <si>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</si>
  <si>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</si>
  <si>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</si>
  <si>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</si>
  <si>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</si>
  <si>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</si>
  <si>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</si>
  <si>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</si>
  <si>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</si>
  <si>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</si>
  <si>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</si>
  <si>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</si>
  <si>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</si>
  <si>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</si>
  <si>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</si>
  <si>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</si>
  <si>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</si>
  <si>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</si>
  <si>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</si>
  <si>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</si>
  <si>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</si>
  <si>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</si>
  <si>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TO BE UPDATED WITH 25 AND 75TH RANGE OF DAC INPUT COSTS? SAME AS FOR SYNFUELS</t>
  </si>
  <si>
    <t>CO2 Transport</t>
  </si>
  <si>
    <t>CO2 Transport Cost</t>
  </si>
  <si>
    <t>Dummy value for now</t>
  </si>
  <si>
    <t>CO2 Storage</t>
  </si>
  <si>
    <t>CO2 Storage Cost</t>
  </si>
  <si>
    <t>NATURAL GAS</t>
  </si>
  <si>
    <t>NG Price</t>
  </si>
  <si>
    <t>$/GJ</t>
  </si>
  <si>
    <t>Hydrogen Energy Content (Lower Heating Value, LV)</t>
  </si>
  <si>
    <t>1 kg H2 in LHV basis</t>
  </si>
  <si>
    <t>MJ</t>
  </si>
  <si>
    <t>Key Parameters: Blue H₂ (SMR/ATR + CCS) + DAC</t>
  </si>
  <si>
    <t>min</t>
  </si>
  <si>
    <t>max</t>
  </si>
  <si>
    <t>Source</t>
  </si>
  <si>
    <t>Hydrogen Cost (€2022/kg H₂)</t>
  </si>
  <si>
    <t>€2022/kg H₂</t>
  </si>
  <si>
    <t>Frieden et al. (2024); 2050 SMR+CCS; Fig 5</t>
  </si>
  <si>
    <t>Hydrogen Cost ($/kg H₂)</t>
  </si>
  <si>
    <t>$2023/kg H₂</t>
  </si>
  <si>
    <t>Frieden et al. (2024)</t>
  </si>
  <si>
    <t>Hydrogen Production Emissions (kg CO₂/kg H₂)</t>
  </si>
  <si>
    <t>kg CO₂/kg H₂</t>
  </si>
  <si>
    <t>Katebah et al. (2022); 2.7: maximum carbon capture from the SMR plant using Option 1 is around 70% of the total CO2 emissions</t>
  </si>
  <si>
    <t>NG consumption Methane</t>
  </si>
  <si>
    <t>kg CH4/kg H2</t>
  </si>
  <si>
    <t>Katebah et al. (2022)</t>
  </si>
  <si>
    <t>Methane GWP-100 potential (1 kg CH₄ = 36 kg CO₂e)</t>
  </si>
  <si>
    <t>https://www.epa.gov/ghgemissions/understanding-global-warming-potentials</t>
  </si>
  <si>
    <t>Methane Leakage Rate</t>
  </si>
  <si>
    <t>%</t>
  </si>
  <si>
    <t>Methane Leakage Contribution (kg CO₂e/kg H₂)</t>
  </si>
  <si>
    <t>kg CO₂e/kg H₂</t>
  </si>
  <si>
    <t>Natural Gas Cost ($/GJ)</t>
  </si>
  <si>
    <t>In line with Sievert et al. (2024); NG price for 2050</t>
  </si>
  <si>
    <t>H₂ required per liter of synfuel</t>
  </si>
  <si>
    <t>kg H₂/L fuel</t>
  </si>
  <si>
    <t>Argonne National Lab, Modelling of the Synfuel Production Process</t>
  </si>
  <si>
    <t>kg/gallon of Ft fuel</t>
  </si>
  <si>
    <t xml:space="preserve">1 gallon = </t>
  </si>
  <si>
    <t xml:space="preserve"> liters</t>
  </si>
  <si>
    <t>Range from SAF meta-analysis</t>
  </si>
  <si>
    <t>CO₂ Required per Liter of Synfuel</t>
  </si>
  <si>
    <t>kg CO₂/L fuel</t>
  </si>
  <si>
    <t>Calculating Synfuel Emissions</t>
  </si>
  <si>
    <t>Syn-Fuel emissions (SMR+CCS) CO2</t>
  </si>
  <si>
    <t>gCO2eq/MJ</t>
  </si>
  <si>
    <t>Syn-Fuel emissions (SMR+CCS) methane</t>
  </si>
  <si>
    <t>Total Syn-Fuel emissions (SMR+CCS)</t>
  </si>
  <si>
    <t>--&gt; emissions to be abated via DACCS so that we have zero synfuel emissions</t>
  </si>
  <si>
    <t>Calculating DACCS needed to offset Synfuel Emissions</t>
  </si>
  <si>
    <t>Total Emissions (gCO₂eq/L synfuel)</t>
  </si>
  <si>
    <t>gCO₂eq/L synfuel</t>
  </si>
  <si>
    <t>DACCS Requirement (kg CO₂/L synfuel)</t>
  </si>
  <si>
    <t>kg CO₂/L synfuel</t>
  </si>
  <si>
    <t>Calculating Synfuel Production costs</t>
  </si>
  <si>
    <t>Hydrogen cost per liter of synfuel</t>
  </si>
  <si>
    <t>CO2 feedstock cost per liter of synfuel</t>
  </si>
  <si>
    <t>Fischer-Tropsch and refining costs</t>
  </si>
  <si>
    <t>DACCS cost to offset emissions</t>
  </si>
  <si>
    <t>Synfuel (SMR+CCS+DACCS) production costs)</t>
  </si>
  <si>
    <t>Min</t>
  </si>
  <si>
    <t>Max</t>
  </si>
  <si>
    <t>Median</t>
  </si>
  <si>
    <t>Syn-Fuel cost</t>
  </si>
  <si>
    <t>Fossil Fuel cost</t>
  </si>
  <si>
    <t>Syn-Fuel emissions (SMR+CCS+DACCS)</t>
  </si>
  <si>
    <t>Fossil Fuel emissions</t>
  </si>
  <si>
    <t>CO2 Abated</t>
  </si>
  <si>
    <t>gCO2eq/l</t>
  </si>
  <si>
    <t>Abatement cost blue hydrogen+DACCS synfuels</t>
  </si>
  <si>
    <t>Abatement cost also needed for CO2e</t>
  </si>
  <si>
    <t>Conclusion: DACCS alone remains cheaper; why would you go for blue hydrogen + DACCS then; makes no 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</si>
</sst>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rgb="FF1F1F1F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8"/>
      <color rgb="FF1F1F1F"/>
      <name val="Georgia"/>
      <family val="1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3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4" fillId="0" borderId="0" xfId="1" applyFont="1"/>
    <xf numFmtId="0" fontId="3" fillId="0" borderId="0" xfId="1"/>
    <xf numFmtId="0" fontId="4" fillId="2" borderId="0" xfId="1" applyFont="1" applyFill="1"/>
    <xf numFmtId="0" fontId="3" fillId="2" borderId="0" xfId="1" applyFill="1"/>
    <xf numFmtId="9" fontId="3" fillId="0" borderId="0" xfId="2"/>
    <xf numFmtId="0" fontId="5" fillId="0" borderId="0" xfId="1" applyFont="1"/>
    <xf numFmtId="2" fontId="3" fillId="0" borderId="0" xfId="1" applyNumberFormat="1"/>
    <xf numFmtId="0" fontId="4" fillId="3" borderId="0" xfId="1" applyFont="1" applyFill="1"/>
    <xf numFmtId="0" fontId="3" fillId="3" borderId="0" xfId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vertical="center"/>
    </xf>
    <xf numFmtId="0" fontId="8" fillId="0" borderId="2" xfId="0" applyFont="1" applyBorder="1"/>
    <xf numFmtId="0" fontId="0" fillId="0" borderId="2" xfId="0" applyBorder="1"/>
    <xf numFmtId="2" fontId="0" fillId="0" borderId="2" xfId="0" applyNumberFormat="1" applyBorder="1"/>
    <xf numFmtId="0" fontId="2" fillId="0" borderId="0" xfId="0" applyFont="1"/>
    <xf numFmtId="0" fontId="2" fillId="4" borderId="0" xfId="0" applyFont="1" applyFill="1"/>
    <xf numFmtId="0" fontId="1" fillId="0" borderId="0" xfId="0" quotePrefix="1" applyFont="1"/>
    <xf numFmtId="2" fontId="2" fillId="0" borderId="0" xfId="0" applyNumberFormat="1" applyFont="1"/>
    <xf numFmtId="0" fontId="9" fillId="4" borderId="0" xfId="1" applyFont="1" applyFill="1"/>
    <xf numFmtId="0" fontId="10" fillId="4" borderId="0" xfId="1" applyFont="1" applyFill="1"/>
    <xf numFmtId="2" fontId="10" fillId="4" borderId="0" xfId="1" applyNumberFormat="1" applyFont="1" applyFill="1"/>
    <xf numFmtId="164" fontId="2" fillId="0" borderId="0" xfId="0" applyNumberFormat="1" applyFont="1"/>
    <xf numFmtId="164" fontId="0" fillId="0" borderId="2" xfId="0" applyNumberFormat="1" applyBorder="1"/>
    <xf numFmtId="0" fontId="11" fillId="0" borderId="0" xfId="0" applyFont="1" applyAlignment="1">
      <alignment vertical="center"/>
    </xf>
    <xf numFmtId="0" fontId="11" fillId="0" borderId="0" xfId="0" applyFont="1"/>
    <xf numFmtId="10" fontId="11" fillId="0" borderId="0" xfId="0" applyNumberFormat="1" applyFont="1"/>
    <xf numFmtId="9" fontId="11" fillId="0" borderId="0" xfId="0" applyNumberFormat="1" applyFont="1"/>
    <xf numFmtId="0" fontId="7" fillId="2" borderId="0" xfId="0" applyFont="1" applyFill="1"/>
    <xf numFmtId="0" fontId="6" fillId="0" borderId="0" xfId="3" applyAlignment="1">
      <alignment vertical="center"/>
    </xf>
    <xf numFmtId="164" fontId="0" fillId="0" borderId="0" xfId="0" applyNumberFormat="1"/>
    <xf numFmtId="0" fontId="6" fillId="0" borderId="0" xfId="3"/>
    <xf numFmtId="2" fontId="0" fillId="0" borderId="0" xfId="0" applyNumberFormat="1" applyAlignment="1">
      <alignment vertical="center"/>
    </xf>
    <xf numFmtId="0" fontId="0" fillId="4" borderId="0" xfId="0" applyFill="1"/>
    <xf numFmtId="0" fontId="2" fillId="2" borderId="0" xfId="0" applyFont="1" applyFill="1"/>
    <xf numFmtId="0" fontId="12" fillId="0" borderId="0" xfId="0" applyFont="1"/>
    <xf numFmtId="0" fontId="2" fillId="0" borderId="0" xfId="0" applyFont="1" applyAlignment="1">
      <alignment horizontal="left" vertical="center" wrapText="1"/>
    </xf>
    <xf numFmtId="1" fontId="2" fillId="0" borderId="0" xfId="0" applyNumberFormat="1" applyFont="1"/>
    <xf numFmtId="0" fontId="0" fillId="2" borderId="0" xfId="0" applyFill="1"/>
    <xf numFmtId="0" fontId="10" fillId="0" borderId="0" xfId="0" applyFont="1"/>
    <xf numFmtId="0" fontId="3" fillId="0" borderId="0" xfId="0" applyFont="1"/>
    <xf numFmtId="1" fontId="2" fillId="0" borderId="2" xfId="0" applyNumberFormat="1" applyFont="1" applyBorder="1"/>
    <xf numFmtId="0" fontId="13" fillId="0" borderId="0" xfId="0" quotePrefix="1" applyFont="1"/>
    <xf numFmtId="0" fontId="14" fillId="0" borderId="0" xfId="0" applyFont="1"/>
    <xf numFmtId="2" fontId="11" fillId="0" borderId="0" xfId="0" applyNumberFormat="1" applyFont="1"/>
    <xf numFmtId="2" fontId="11" fillId="0" borderId="0" xfId="0" applyNumberFormat="1" applyFont="1" applyAlignment="1">
      <alignment vertical="center"/>
    </xf>
    <xf numFmtId="0" fontId="3" fillId="5" borderId="0" xfId="1" applyFill="1"/>
    <xf numFmtId="2" fontId="3" fillId="5" borderId="0" xfId="1" applyNumberFormat="1" applyFill="1"/>
    <xf numFmtId="0" fontId="10" fillId="5" borderId="0" xfId="1" applyFont="1" applyFill="1"/>
    <xf numFmtId="0" fontId="0" fillId="5" borderId="0" xfId="0" applyFill="1"/>
    <xf numFmtId="0" fontId="15" fillId="0" borderId="0" xfId="0" applyFont="1"/>
    <xf numFmtId="0" fontId="15" fillId="0" borderId="0" xfId="0" quotePrefix="1" applyFont="1"/>
    <xf numFmtId="1" fontId="0" fillId="0" borderId="0" xfId="0" applyNumberFormat="1"/>
    <xf numFmtId="0" fontId="7" fillId="2" borderId="1" xfId="0" applyFont="1" applyFill="1" applyBorder="1" applyAlignment="1">
      <alignment horizontal="center"/>
    </xf>
    <xf numFmtId="0" fontId="0" fillId="0" borderId="1" xfId="0" applyBorder="1"/>
  </cellXfs>
  <cellStyles count="4">
    <cellStyle name="Hyperlink" xfId="3" builtinId="8"/>
    <cellStyle name="Normal" xfId="0" builtinId="0"/>
    <cellStyle name="Normal 2" xfId="1" xr:uid="{EF4831E9-78C6-4A4B-AFD5-0E4F61E72039}"/>
    <cellStyle name="Percent 2" xfId="2" xr:uid="{D79D8B84-5064-41B4-A1A4-35A4913C1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ster%20Standardisation_SAF.xlsx" TargetMode="External"/><Relationship Id="rId1" Type="http://schemas.openxmlformats.org/officeDocument/2006/relationships/externalLinkPath" Target="/personal/ksievert_ethz_ch/Documents/SAF/_DACCS%20vs%20Synfuels/Meta%20Analysis_SAF/Harmonization_SAF/Harmonization%20Sheets/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4">
          <cell r="C4">
            <v>2024</v>
          </cell>
        </row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39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0.8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1282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evert  Katrin" id="{21CCBCE4-09DF-4E7D-8B2E-09F3707135FE}" userId="ksievert@ethz.ch" providerId="PeoplePicker"/>
  <person displayName="Dubey  Yash" id="{BF3000E7-5871-4931-863E-623DE601BC2A}" userId="S::ydubey@ethz.ch::8ec4c660-c9fe-4bb6-9560-48a212ff7621" providerId="AD"/>
  <person displayName="Sievert  Katrin" id="{6BE125AD-28B8-419F-97D5-01BE9A7CC081}" userId="S::ksievert@ethz.ch::bbdc6555-5085-43f3-a455-5b29f50857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3" dT="2025-05-13T14:55:34.64" personId="{BF3000E7-5871-4931-863E-623DE601BC2A}" id="{B30D06FA-549B-4880-9132-62D731C4599B}">
    <text xml:space="preserve">This is varied between the 25% and 75% input cost as mentioned in red. For green hydrogen, the code automatically reads from 25% and 75% input cost.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8" dT="2025-05-27T07:31:29.75" personId="{BF3000E7-5871-4931-863E-623DE601BC2A}" id="{61935355-D025-4334-8AB7-9AFE8C085A31}">
    <text>@Sievert  Katrin are these emissions measured in GWP100 or GWP20? Since the multipliers are 34x and 86x, there could be quite a significant difference between these. See section 3.1 for an example: https://www.sciencedirect.com/science/article/pii/S0306261921014215?via%3Dihub#b0215</text>
    <mentions>
      <mention mentionpersonId="{21CCBCE4-09DF-4E7D-8B2E-09F3707135FE}" mentionId="{19C59A26-1104-444A-B100-AE67B26EA01C}" startIndex="0" length="16"/>
    </mentions>
    <extLst>
      <x:ext xmlns:xltc2="http://schemas.microsoft.com/office/spreadsheetml/2020/threadedcomments2" uri="{F7C98A9C-CBB3-438F-8F68-D28B6AF4A901}">
        <xltc2:checksum>841542159</xltc2:checksum>
        <xltc2:hyperlink startIndex="198" length="84" url="https://www.sciencedirect.com/science/article/pii/S0306261921014215?via%3Dihub#b0215"/>
      </x:ext>
    </extLst>
  </threadedComment>
  <threadedComment ref="B18" dT="2025-05-27T07:34:17.38" personId="{6BE125AD-28B8-419F-97D5-01BE9A7CC081}" id="{CF2AB3C0-AFC1-4E42-A10B-6B3D51C4A4A6}" parentId="{61935355-D025-4334-8AB7-9AFE8C085A31}">
    <text>Hi Yash, I used a GWP100 multiplier (36) - I didn't use a GWP20 multiplier for methane tho, fair point!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pubs.rsc.org/en/content/articlehtml/2024/se/d4se00137k" TargetMode="External"/><Relationship Id="rId7" Type="http://schemas.openxmlformats.org/officeDocument/2006/relationships/hyperlink" Target="https://publications.anl.gov/anlpubs/2022/05/175009.pdf?utm_source=chatgpt.com" TargetMode="External"/><Relationship Id="rId2" Type="http://schemas.openxmlformats.org/officeDocument/2006/relationships/hyperlink" Target="https://pubs.rsc.org/en/content/articlehtml/2024/se/d4se00137k" TargetMode="External"/><Relationship Id="rId1" Type="http://schemas.openxmlformats.org/officeDocument/2006/relationships/hyperlink" Target="https://www.sciencedirect.com/science/article/pii/S2666790822001574" TargetMode="External"/><Relationship Id="rId6" Type="http://schemas.openxmlformats.org/officeDocument/2006/relationships/hyperlink" Target="https://publications.anl.gov/anlpubs/2022/05/175009.pdf?utm_source=chatgpt.com" TargetMode="External"/><Relationship Id="rId11" Type="http://schemas.microsoft.com/office/2017/10/relationships/threadedComment" Target="../threadedComments/threadedComment2.xml"/><Relationship Id="rId5" Type="http://schemas.openxmlformats.org/officeDocument/2006/relationships/hyperlink" Target="https://www.sciencedirect.com/science/article/pii/S2666790822001574" TargetMode="External"/><Relationship Id="rId10" Type="http://schemas.openxmlformats.org/officeDocument/2006/relationships/comments" Target="../comments2.xml"/><Relationship Id="rId4" Type="http://schemas.openxmlformats.org/officeDocument/2006/relationships/hyperlink" Target="https://www.sciencedirect.com/science/article/pii/S2666790822001574" TargetMode="External"/><Relationship Id="rId9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7DF6-AD4E-4C2D-91E2-8E810E428F70}">
  <dimension ref="A1:K44"/>
  <sheetViews>
    <sheetView tabSelected="1" topLeftCell="A16" zoomScale="88" workbookViewId="0">
      <selection activeCell="C33" sqref="C33:M33"/>
    </sheetView>
  </sheetViews>
  <sheetFormatPr defaultColWidth="12.28515625" defaultRowHeight="15.75" x14ac:dyDescent="0.25"/>
  <cols>
    <col min="1" max="1" width="17.5703125" style="2" customWidth="1"/>
    <col min="2" max="2" width="12.28515625" style="2"/>
    <col min="3" max="3" width="14" style="2" bestFit="1" customWidth="1"/>
    <col min="4" max="16384" width="12.28515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/>
      <c r="C2" s="4"/>
      <c r="D2" s="4"/>
    </row>
    <row r="3" spans="1:4" x14ac:dyDescent="0.25">
      <c r="A3" s="2" t="s">
        <v>5</v>
      </c>
      <c r="C3" s="2">
        <f>[1]Inputs!C4</f>
        <v>2024</v>
      </c>
    </row>
    <row r="4" spans="1:4" x14ac:dyDescent="0.25">
      <c r="A4" s="2" t="s">
        <v>6</v>
      </c>
      <c r="C4" s="5">
        <f>[1]Inputs!C5</f>
        <v>0.02</v>
      </c>
    </row>
    <row r="5" spans="1:4" x14ac:dyDescent="0.25">
      <c r="A5" s="2" t="s">
        <v>7</v>
      </c>
      <c r="C5" s="5">
        <f>[1]Inputs!C6</f>
        <v>7.0000000000000007E-2</v>
      </c>
    </row>
    <row r="6" spans="1:4" x14ac:dyDescent="0.25">
      <c r="A6" s="2" t="s">
        <v>8</v>
      </c>
      <c r="C6" s="2">
        <f>[1]Inputs!C7</f>
        <v>0.9</v>
      </c>
    </row>
    <row r="7" spans="1:4" x14ac:dyDescent="0.25">
      <c r="A7" s="3" t="s">
        <v>9</v>
      </c>
      <c r="B7" s="4"/>
      <c r="C7" s="4"/>
      <c r="D7" s="4"/>
    </row>
    <row r="8" spans="1:4" x14ac:dyDescent="0.25">
      <c r="A8" s="6" t="s">
        <v>10</v>
      </c>
      <c r="B8" s="2">
        <v>2024</v>
      </c>
      <c r="C8" s="7">
        <f>[1]Inputs!C9</f>
        <v>64</v>
      </c>
      <c r="D8" s="2" t="s">
        <v>11</v>
      </c>
    </row>
    <row r="9" spans="1:4" x14ac:dyDescent="0.25">
      <c r="A9" s="6" t="s">
        <v>10</v>
      </c>
      <c r="B9" s="2">
        <v>2050</v>
      </c>
      <c r="C9" s="7">
        <f>[1]Inputs!C10</f>
        <v>39</v>
      </c>
      <c r="D9" s="2" t="s">
        <v>11</v>
      </c>
    </row>
    <row r="10" spans="1:4" x14ac:dyDescent="0.25">
      <c r="A10" s="3" t="s">
        <v>12</v>
      </c>
      <c r="B10" s="4"/>
      <c r="C10" s="4"/>
      <c r="D10" s="4"/>
    </row>
    <row r="11" spans="1:4" x14ac:dyDescent="0.25">
      <c r="A11" s="2" t="s">
        <v>13</v>
      </c>
      <c r="B11" s="2">
        <v>2024</v>
      </c>
      <c r="C11" s="7">
        <f>[1]Inputs!C12</f>
        <v>88.7</v>
      </c>
      <c r="D11" s="2" t="s">
        <v>14</v>
      </c>
    </row>
    <row r="12" spans="1:4" x14ac:dyDescent="0.25">
      <c r="A12" s="2" t="s">
        <v>13</v>
      </c>
      <c r="B12" s="2">
        <v>2050</v>
      </c>
      <c r="C12" s="7">
        <f>[1]Inputs!C13</f>
        <v>88.7</v>
      </c>
      <c r="D12" s="2" t="s">
        <v>14</v>
      </c>
    </row>
    <row r="13" spans="1:4" x14ac:dyDescent="0.25">
      <c r="A13" s="2" t="s">
        <v>15</v>
      </c>
      <c r="C13" s="7">
        <f>[1]Inputs!C14</f>
        <v>43.2</v>
      </c>
      <c r="D13" s="2" t="s">
        <v>16</v>
      </c>
    </row>
    <row r="14" spans="1:4" x14ac:dyDescent="0.25">
      <c r="A14" s="2" t="s">
        <v>15</v>
      </c>
      <c r="C14" s="7">
        <f>[1]Inputs!C15</f>
        <v>34.689600000000006</v>
      </c>
      <c r="D14" s="2" t="s">
        <v>17</v>
      </c>
    </row>
    <row r="15" spans="1:4" x14ac:dyDescent="0.25">
      <c r="A15" s="2" t="s">
        <v>18</v>
      </c>
      <c r="C15" s="7">
        <f>[1]Inputs!C16</f>
        <v>0.80300000000000005</v>
      </c>
      <c r="D15" s="2" t="s">
        <v>19</v>
      </c>
    </row>
    <row r="16" spans="1:4" x14ac:dyDescent="0.25">
      <c r="A16" s="2" t="s">
        <v>20</v>
      </c>
      <c r="B16" s="2">
        <v>2024</v>
      </c>
      <c r="C16" s="7">
        <f>[1]Inputs!C17</f>
        <v>0.8</v>
      </c>
      <c r="D16" s="2" t="s">
        <v>21</v>
      </c>
    </row>
    <row r="17" spans="1:4" x14ac:dyDescent="0.25">
      <c r="A17" s="3" t="s">
        <v>22</v>
      </c>
      <c r="B17" s="4"/>
      <c r="C17" s="4"/>
      <c r="D17" s="4"/>
    </row>
    <row r="18" spans="1:4" x14ac:dyDescent="0.25">
      <c r="A18" s="6" t="s">
        <v>20</v>
      </c>
      <c r="B18" s="2">
        <v>2050</v>
      </c>
      <c r="C18" s="7">
        <f>[1]Inputs!C19</f>
        <v>0.8</v>
      </c>
      <c r="D18" s="2" t="s">
        <v>21</v>
      </c>
    </row>
    <row r="19" spans="1:4" x14ac:dyDescent="0.25">
      <c r="A19" s="8" t="s">
        <v>23</v>
      </c>
      <c r="B19" s="9"/>
      <c r="C19" s="9"/>
      <c r="D19" s="9"/>
    </row>
    <row r="20" spans="1:4" x14ac:dyDescent="0.25">
      <c r="A20" s="2" t="s">
        <v>20</v>
      </c>
      <c r="B20" s="2">
        <v>2024</v>
      </c>
      <c r="C20" s="7">
        <f>[1]Inputs!C21</f>
        <v>0.32246153846153797</v>
      </c>
      <c r="D20" s="2" t="s">
        <v>21</v>
      </c>
    </row>
    <row r="21" spans="1:4" x14ac:dyDescent="0.25">
      <c r="A21" s="2" t="s">
        <v>20</v>
      </c>
      <c r="B21" s="2">
        <v>2050</v>
      </c>
      <c r="C21" s="7">
        <f>[1]Inputs!C22</f>
        <v>0.20923076923076925</v>
      </c>
      <c r="D21" s="2" t="s">
        <v>21</v>
      </c>
    </row>
    <row r="22" spans="1:4" x14ac:dyDescent="0.25">
      <c r="A22" s="8" t="s">
        <v>24</v>
      </c>
      <c r="B22" s="9"/>
      <c r="C22" s="9"/>
      <c r="D22" s="9"/>
    </row>
    <row r="23" spans="1:4" x14ac:dyDescent="0.25">
      <c r="A23" s="2" t="s">
        <v>20</v>
      </c>
      <c r="B23" s="2">
        <v>2024</v>
      </c>
      <c r="C23" s="7">
        <f>[1]Inputs!C24</f>
        <v>1.0209014091790563</v>
      </c>
      <c r="D23" s="2" t="s">
        <v>21</v>
      </c>
    </row>
    <row r="24" spans="1:4" x14ac:dyDescent="0.25">
      <c r="A24" s="2" t="s">
        <v>20</v>
      </c>
      <c r="B24" s="2">
        <v>2050</v>
      </c>
      <c r="C24" s="7">
        <f>[1]Inputs!C25</f>
        <v>2.0095593639301876</v>
      </c>
      <c r="D24" s="2" t="s">
        <v>21</v>
      </c>
    </row>
    <row r="25" spans="1:4" x14ac:dyDescent="0.25">
      <c r="A25" s="8" t="s">
        <v>25</v>
      </c>
      <c r="B25" s="9"/>
      <c r="C25" s="9"/>
      <c r="D25" s="9"/>
    </row>
    <row r="26" spans="1:4" x14ac:dyDescent="0.25">
      <c r="A26" s="2" t="s">
        <v>20</v>
      </c>
      <c r="B26" s="2">
        <v>2024</v>
      </c>
      <c r="C26" s="7">
        <f>[1]Inputs!C27</f>
        <v>0.4828683335488041</v>
      </c>
      <c r="D26" s="2" t="s">
        <v>21</v>
      </c>
    </row>
    <row r="27" spans="1:4" x14ac:dyDescent="0.25">
      <c r="A27" s="2" t="s">
        <v>20</v>
      </c>
      <c r="B27" s="2">
        <v>2050</v>
      </c>
      <c r="C27" s="7">
        <f>[1]Inputs!C28</f>
        <v>0.89646574789915967</v>
      </c>
      <c r="D27" s="2" t="s">
        <v>21</v>
      </c>
    </row>
    <row r="28" spans="1:4" x14ac:dyDescent="0.25">
      <c r="A28" s="8" t="s">
        <v>26</v>
      </c>
      <c r="B28" s="9"/>
      <c r="C28" s="9"/>
      <c r="D28" s="9"/>
    </row>
    <row r="29" spans="1:4" x14ac:dyDescent="0.25">
      <c r="A29" s="2" t="s">
        <v>20</v>
      </c>
      <c r="B29" s="2">
        <v>2024</v>
      </c>
      <c r="C29" s="7">
        <f>[1]Inputs!C30</f>
        <v>1.8838712863606983</v>
      </c>
      <c r="D29" s="2" t="s">
        <v>21</v>
      </c>
    </row>
    <row r="30" spans="1:4" x14ac:dyDescent="0.25">
      <c r="A30" s="2" t="s">
        <v>20</v>
      </c>
      <c r="B30" s="2">
        <v>2050</v>
      </c>
      <c r="C30" s="7">
        <f>[1]Inputs!C31</f>
        <v>3.7893730833872015</v>
      </c>
      <c r="D30" s="2" t="s">
        <v>21</v>
      </c>
    </row>
    <row r="31" spans="1:4" x14ac:dyDescent="0.25">
      <c r="A31" s="3" t="s">
        <v>27</v>
      </c>
      <c r="B31" s="4"/>
      <c r="C31" s="4"/>
      <c r="D31" s="4"/>
    </row>
    <row r="32" spans="1:4" x14ac:dyDescent="0.25">
      <c r="A32" s="2" t="s">
        <v>28</v>
      </c>
      <c r="B32" s="2">
        <v>2024</v>
      </c>
      <c r="C32" s="7">
        <f>[1]Inputs!C33</f>
        <v>1282</v>
      </c>
      <c r="D32" s="2" t="s">
        <v>29</v>
      </c>
    </row>
    <row r="33" spans="1:11" x14ac:dyDescent="0.25">
      <c r="A33" s="48" t="s">
        <v>28</v>
      </c>
      <c r="B33" s="48">
        <v>2050</v>
      </c>
      <c r="C33" s="49">
        <v>542</v>
      </c>
      <c r="D33" s="48" t="s">
        <v>29</v>
      </c>
      <c r="E33" s="50" t="s">
        <v>30</v>
      </c>
      <c r="F33" s="50"/>
      <c r="G33" s="50"/>
      <c r="H33" s="50"/>
      <c r="I33" s="50"/>
      <c r="J33" s="50"/>
      <c r="K33" s="50"/>
    </row>
    <row r="34" spans="1:11" s="40" customFormat="1" x14ac:dyDescent="0.25">
      <c r="A34" s="30" t="s">
        <v>31</v>
      </c>
    </row>
    <row r="35" spans="1:11" customFormat="1" x14ac:dyDescent="0.25">
      <c r="A35" t="s">
        <v>32</v>
      </c>
      <c r="B35">
        <v>2024</v>
      </c>
      <c r="C35">
        <v>25</v>
      </c>
      <c r="D35" t="s">
        <v>29</v>
      </c>
      <c r="E35" s="41" t="s">
        <v>33</v>
      </c>
    </row>
    <row r="36" spans="1:11" customFormat="1" x14ac:dyDescent="0.25">
      <c r="A36" t="s">
        <v>32</v>
      </c>
      <c r="B36">
        <v>2050</v>
      </c>
      <c r="C36">
        <v>15</v>
      </c>
      <c r="D36" t="s">
        <v>29</v>
      </c>
      <c r="E36" s="41" t="s">
        <v>33</v>
      </c>
    </row>
    <row r="37" spans="1:11" s="40" customFormat="1" x14ac:dyDescent="0.25">
      <c r="A37" s="30" t="s">
        <v>34</v>
      </c>
    </row>
    <row r="38" spans="1:11" customFormat="1" x14ac:dyDescent="0.25">
      <c r="A38" s="42" t="s">
        <v>35</v>
      </c>
      <c r="B38">
        <v>2024</v>
      </c>
      <c r="C38" s="12">
        <v>15</v>
      </c>
      <c r="D38" t="s">
        <v>29</v>
      </c>
      <c r="E38" s="41" t="s">
        <v>33</v>
      </c>
    </row>
    <row r="39" spans="1:11" customFormat="1" x14ac:dyDescent="0.25">
      <c r="A39" s="42" t="s">
        <v>35</v>
      </c>
      <c r="B39">
        <v>2050</v>
      </c>
      <c r="C39">
        <v>10</v>
      </c>
      <c r="D39" t="s">
        <v>29</v>
      </c>
      <c r="E39" s="41" t="s">
        <v>33</v>
      </c>
    </row>
    <row r="40" spans="1:11" x14ac:dyDescent="0.25">
      <c r="A40" s="21" t="s">
        <v>36</v>
      </c>
      <c r="B40" s="22"/>
      <c r="C40" s="23"/>
      <c r="D40" s="22"/>
    </row>
    <row r="41" spans="1:11" x14ac:dyDescent="0.25">
      <c r="A41" s="2" t="s">
        <v>37</v>
      </c>
      <c r="B41" s="2">
        <v>2024</v>
      </c>
      <c r="C41" s="2">
        <v>5.49</v>
      </c>
      <c r="D41" s="2" t="s">
        <v>38</v>
      </c>
    </row>
    <row r="42" spans="1:11" x14ac:dyDescent="0.25">
      <c r="A42" s="2" t="s">
        <v>37</v>
      </c>
      <c r="B42" s="2">
        <v>2050</v>
      </c>
      <c r="C42" s="2">
        <v>5.6</v>
      </c>
      <c r="D42" s="2" t="s">
        <v>38</v>
      </c>
    </row>
    <row r="43" spans="1:11" x14ac:dyDescent="0.25">
      <c r="A43" s="21" t="s">
        <v>39</v>
      </c>
      <c r="B43" s="22"/>
      <c r="C43" s="22"/>
      <c r="D43" s="22"/>
    </row>
    <row r="44" spans="1:11" x14ac:dyDescent="0.25">
      <c r="A44" s="2" t="s">
        <v>40</v>
      </c>
      <c r="C44" s="2">
        <v>120</v>
      </c>
      <c r="D44" s="2" t="s">
        <v>41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FBF-589B-4E3C-A2F1-4BB885F501FC}">
  <dimension ref="A1:K32"/>
  <sheetViews>
    <sheetView topLeftCell="A6" workbookViewId="0">
      <selection activeCell="B31" sqref="B31"/>
    </sheetView>
  </sheetViews>
  <sheetFormatPr defaultRowHeight="15" x14ac:dyDescent="0.25"/>
  <cols>
    <col min="1" max="1" width="47.7109375" customWidth="1"/>
    <col min="2" max="4" width="31.7109375" customWidth="1"/>
    <col min="5" max="5" width="32.7109375" bestFit="1" customWidth="1"/>
    <col min="6" max="6" width="6.7109375" customWidth="1"/>
    <col min="7" max="7" width="15.140625" customWidth="1"/>
  </cols>
  <sheetData>
    <row r="1" spans="1:11" s="36" customFormat="1" x14ac:dyDescent="0.25">
      <c r="A1" s="36" t="s">
        <v>42</v>
      </c>
    </row>
    <row r="2" spans="1:11" x14ac:dyDescent="0.25">
      <c r="A2" s="10" t="s">
        <v>0</v>
      </c>
      <c r="B2" s="10" t="s">
        <v>43</v>
      </c>
      <c r="C2" s="10" t="s">
        <v>44</v>
      </c>
      <c r="D2" s="10" t="s">
        <v>3</v>
      </c>
      <c r="E2" s="10" t="s">
        <v>45</v>
      </c>
    </row>
    <row r="3" spans="1:11" x14ac:dyDescent="0.25">
      <c r="A3" s="13" t="s">
        <v>46</v>
      </c>
      <c r="B3" s="26">
        <v>1.7</v>
      </c>
      <c r="C3" s="26">
        <v>2.5499999999999998</v>
      </c>
      <c r="D3" s="13" t="s">
        <v>47</v>
      </c>
      <c r="E3" s="31" t="s">
        <v>48</v>
      </c>
    </row>
    <row r="4" spans="1:11" x14ac:dyDescent="0.25">
      <c r="A4" s="11" t="s">
        <v>49</v>
      </c>
      <c r="B4" s="32">
        <f>(B3/Inputs!$C$6)*(1+Inputs!$C$4)</f>
        <v>1.9266666666666667</v>
      </c>
      <c r="C4" s="32">
        <f>(C3/Inputs!$C$6)*(1+Inputs!$C$4)</f>
        <v>2.8899999999999997</v>
      </c>
      <c r="D4" s="13" t="s">
        <v>50</v>
      </c>
      <c r="E4" s="31" t="s">
        <v>51</v>
      </c>
    </row>
    <row r="5" spans="1:11" x14ac:dyDescent="0.25">
      <c r="A5" s="11" t="s">
        <v>52</v>
      </c>
      <c r="B5" s="26">
        <v>1</v>
      </c>
      <c r="C5" s="26">
        <v>2.7</v>
      </c>
      <c r="D5" s="13" t="s">
        <v>53</v>
      </c>
      <c r="E5" s="33" t="s">
        <v>54</v>
      </c>
      <c r="F5" s="45"/>
    </row>
    <row r="6" spans="1:11" x14ac:dyDescent="0.25">
      <c r="A6" t="s">
        <v>55</v>
      </c>
      <c r="B6" s="27">
        <v>3.4</v>
      </c>
      <c r="C6" s="27">
        <v>3.4</v>
      </c>
      <c r="D6" s="37" t="s">
        <v>56</v>
      </c>
      <c r="E6" s="33" t="s">
        <v>57</v>
      </c>
    </row>
    <row r="7" spans="1:11" x14ac:dyDescent="0.25">
      <c r="A7" s="37" t="s">
        <v>58</v>
      </c>
      <c r="B7">
        <v>36</v>
      </c>
      <c r="C7">
        <v>36</v>
      </c>
      <c r="D7" s="37"/>
      <c r="E7" s="33" t="s">
        <v>59</v>
      </c>
    </row>
    <row r="8" spans="1:11" x14ac:dyDescent="0.25">
      <c r="A8" s="37" t="s">
        <v>60</v>
      </c>
      <c r="B8" s="28">
        <v>1.6000000000000001E-3</v>
      </c>
      <c r="C8" s="29">
        <v>0.01</v>
      </c>
      <c r="D8" s="37" t="s">
        <v>61</v>
      </c>
      <c r="E8" s="33" t="s">
        <v>57</v>
      </c>
    </row>
    <row r="9" spans="1:11" x14ac:dyDescent="0.25">
      <c r="A9" s="11" t="s">
        <v>62</v>
      </c>
      <c r="B9" s="34">
        <f>B6*B7*B8</f>
        <v>0.19583999999999999</v>
      </c>
      <c r="C9" s="34">
        <f>C6*C7*C8</f>
        <v>1.224</v>
      </c>
      <c r="D9" s="13" t="s">
        <v>63</v>
      </c>
      <c r="E9" s="33"/>
    </row>
    <row r="10" spans="1:11" x14ac:dyDescent="0.25">
      <c r="A10" s="11" t="s">
        <v>64</v>
      </c>
      <c r="B10" s="47">
        <f>Inputs!C42</f>
        <v>5.6</v>
      </c>
      <c r="C10" s="47">
        <f>B10</f>
        <v>5.6</v>
      </c>
      <c r="D10" s="34" t="s">
        <v>38</v>
      </c>
      <c r="E10" s="13" t="s">
        <v>65</v>
      </c>
    </row>
    <row r="12" spans="1:11" x14ac:dyDescent="0.25">
      <c r="A12" t="s">
        <v>66</v>
      </c>
      <c r="B12" s="46">
        <f>F12/I12</f>
        <v>0.36455760406402471</v>
      </c>
      <c r="C12" s="46">
        <v>0.5</v>
      </c>
      <c r="D12" s="27" t="s">
        <v>67</v>
      </c>
      <c r="E12" s="33" t="s">
        <v>68</v>
      </c>
      <c r="F12">
        <v>1.38</v>
      </c>
      <c r="G12" t="s">
        <v>69</v>
      </c>
      <c r="H12" t="s">
        <v>70</v>
      </c>
      <c r="I12">
        <v>3.7854100000000002</v>
      </c>
      <c r="J12" t="s">
        <v>71</v>
      </c>
      <c r="K12" t="s">
        <v>72</v>
      </c>
    </row>
    <row r="13" spans="1:11" x14ac:dyDescent="0.25">
      <c r="A13" t="s">
        <v>73</v>
      </c>
      <c r="B13" s="46">
        <f>F13/I13</f>
        <v>2.2613138339043855</v>
      </c>
      <c r="C13" s="46">
        <v>3.5</v>
      </c>
      <c r="D13" s="27" t="s">
        <v>74</v>
      </c>
      <c r="E13" s="33" t="s">
        <v>68</v>
      </c>
      <c r="F13">
        <v>8.56</v>
      </c>
      <c r="G13" t="s">
        <v>69</v>
      </c>
      <c r="H13" t="s">
        <v>70</v>
      </c>
      <c r="I13">
        <v>3.7854100000000002</v>
      </c>
      <c r="J13" t="s">
        <v>71</v>
      </c>
      <c r="K13" t="s">
        <v>72</v>
      </c>
    </row>
    <row r="16" spans="1:11" s="35" customFormat="1" x14ac:dyDescent="0.25">
      <c r="A16" s="18" t="s">
        <v>75</v>
      </c>
    </row>
    <row r="17" spans="1:11" x14ac:dyDescent="0.25">
      <c r="A17" t="s">
        <v>76</v>
      </c>
      <c r="B17" s="32">
        <f>(B5)*1000/Inputs!$C$44</f>
        <v>8.3333333333333339</v>
      </c>
      <c r="C17" s="32">
        <f>(C5)*1000/Inputs!$C$44</f>
        <v>22.5</v>
      </c>
      <c r="D17" t="s">
        <v>77</v>
      </c>
    </row>
    <row r="18" spans="1:11" x14ac:dyDescent="0.25">
      <c r="A18" t="s">
        <v>78</v>
      </c>
      <c r="B18">
        <f>(B9)*1000/Inputs!$C$44</f>
        <v>1.6319999999999999</v>
      </c>
      <c r="C18">
        <f>(C9)*1000/Inputs!$C$44</f>
        <v>10.199999999999999</v>
      </c>
      <c r="D18" t="s">
        <v>77</v>
      </c>
    </row>
    <row r="19" spans="1:11" x14ac:dyDescent="0.25">
      <c r="A19" s="17" t="s">
        <v>79</v>
      </c>
      <c r="B19" s="24">
        <f>SUM(B17:B18)</f>
        <v>9.9653333333333336</v>
      </c>
      <c r="C19" s="24">
        <f>SUM(C17:C18)</f>
        <v>32.700000000000003</v>
      </c>
      <c r="D19" t="s">
        <v>77</v>
      </c>
    </row>
    <row r="20" spans="1:11" x14ac:dyDescent="0.25">
      <c r="A20" s="44" t="s">
        <v>80</v>
      </c>
      <c r="B20" s="24"/>
      <c r="C20" s="24"/>
    </row>
    <row r="21" spans="1:11" x14ac:dyDescent="0.25">
      <c r="A21" s="17"/>
      <c r="B21" s="17"/>
      <c r="C21" s="17"/>
    </row>
    <row r="22" spans="1:11" s="35" customFormat="1" x14ac:dyDescent="0.25">
      <c r="A22" s="18" t="s">
        <v>81</v>
      </c>
    </row>
    <row r="23" spans="1:11" x14ac:dyDescent="0.25">
      <c r="A23" s="38" t="s">
        <v>82</v>
      </c>
      <c r="B23" s="39">
        <f>B19*Inputs!$C$14</f>
        <v>345.69342720000009</v>
      </c>
      <c r="C23" s="39">
        <f>C19*Inputs!$C$14</f>
        <v>1134.3499200000003</v>
      </c>
      <c r="D23" t="s">
        <v>83</v>
      </c>
    </row>
    <row r="24" spans="1:11" x14ac:dyDescent="0.25">
      <c r="A24" t="s">
        <v>84</v>
      </c>
      <c r="B24" s="20">
        <f>B23/1000</f>
        <v>0.34569342720000007</v>
      </c>
      <c r="C24" s="20">
        <f>C23/1000</f>
        <v>1.1343499200000002</v>
      </c>
      <c r="D24" t="s">
        <v>85</v>
      </c>
    </row>
    <row r="25" spans="1:11" x14ac:dyDescent="0.25">
      <c r="A25" s="17"/>
      <c r="B25" s="17"/>
      <c r="C25" s="17"/>
    </row>
    <row r="26" spans="1:11" x14ac:dyDescent="0.25">
      <c r="A26" s="17"/>
      <c r="B26" s="17"/>
      <c r="C26" s="17"/>
    </row>
    <row r="27" spans="1:11" s="35" customFormat="1" x14ac:dyDescent="0.25">
      <c r="A27" s="18" t="s">
        <v>86</v>
      </c>
    </row>
    <row r="28" spans="1:11" x14ac:dyDescent="0.25">
      <c r="A28" t="s">
        <v>87</v>
      </c>
      <c r="B28" s="12">
        <f>'Study Parameters'!B3*'Study Parameters'!B12</f>
        <v>0.61974792690884195</v>
      </c>
      <c r="C28" s="12">
        <f>'Study Parameters'!C3*'Study Parameters'!C12</f>
        <v>1.2749999999999999</v>
      </c>
      <c r="D28" t="s">
        <v>21</v>
      </c>
    </row>
    <row r="29" spans="1:11" x14ac:dyDescent="0.25">
      <c r="A29" t="s">
        <v>88</v>
      </c>
      <c r="B29" s="12">
        <f>(Inputs!$C$33/1000)*B13</f>
        <v>1.225632097976177</v>
      </c>
      <c r="C29" s="12">
        <f>(Inputs!$C$33/1000)*C13</f>
        <v>1.8970000000000002</v>
      </c>
      <c r="D29" t="s">
        <v>21</v>
      </c>
    </row>
    <row r="30" spans="1:11" s="52" customFormat="1" x14ac:dyDescent="0.25">
      <c r="A30" s="52" t="s">
        <v>89</v>
      </c>
      <c r="B30" s="52">
        <v>0.3</v>
      </c>
      <c r="C30" s="52">
        <v>1.5</v>
      </c>
      <c r="D30" s="52" t="s">
        <v>21</v>
      </c>
      <c r="E30" s="53"/>
      <c r="K30" s="52" t="s">
        <v>72</v>
      </c>
    </row>
    <row r="31" spans="1:11" x14ac:dyDescent="0.25">
      <c r="A31" t="s">
        <v>90</v>
      </c>
      <c r="B31" s="12">
        <f>B24*((Inputs!$C$33+Inputs!$C$36+Inputs!$C$39)/1000)</f>
        <v>0.19600817322240002</v>
      </c>
      <c r="C31" s="12">
        <f>C24*((Inputs!$C$33+Inputs!$C$36+Inputs!$C$39)/1000)</f>
        <v>0.64317640464000003</v>
      </c>
      <c r="D31" t="s">
        <v>21</v>
      </c>
      <c r="E31" s="19"/>
    </row>
    <row r="32" spans="1:11" x14ac:dyDescent="0.25">
      <c r="A32" s="17" t="s">
        <v>91</v>
      </c>
      <c r="B32" s="20">
        <f>SUM(B28:B31)</f>
        <v>2.3413881981074187</v>
      </c>
      <c r="C32" s="20">
        <f>SUM(C28:C31)</f>
        <v>5.3151764046400007</v>
      </c>
      <c r="D32" s="17" t="s">
        <v>21</v>
      </c>
    </row>
  </sheetData>
  <hyperlinks>
    <hyperlink ref="E5" r:id="rId1" display="Katebah et al. (2022)). " xr:uid="{AE943D20-0EF1-4A51-91AA-D903FD749D52}"/>
    <hyperlink ref="E4" r:id="rId2" xr:uid="{D64A71BE-3D57-40B6-ACB6-CE1311A6E5AD}"/>
    <hyperlink ref="E3" r:id="rId3" display="Frieden et al. (2024)" xr:uid="{59035B9B-CE08-4745-840E-EBCAD9EAAF13}"/>
    <hyperlink ref="E6" r:id="rId4" display="Katebah et al. (2022)). " xr:uid="{6F133E86-9E56-4D11-93E8-0E2A8C402BE4}"/>
    <hyperlink ref="E8" r:id="rId5" display="Katebah et al. (2022)). " xr:uid="{9872C009-0D57-4995-A76F-C4C74CFEF402}"/>
    <hyperlink ref="E12" r:id="rId6" xr:uid="{B336AB43-F594-4F7B-B568-17DC5AC77BCB}"/>
    <hyperlink ref="E13" r:id="rId7" xr:uid="{F1A4D2A8-5BD6-49D9-8713-45EAE3545B2B}"/>
  </hyperlinks>
  <pageMargins left="0.7" right="0.7" top="0.75" bottom="0.75" header="0.3" footer="0.3"/>
  <pageSetup paperSize="9" orientation="portrait" r:id="rId8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0E37-756A-4C57-9113-106741692D73}">
  <dimension ref="B2:F17"/>
  <sheetViews>
    <sheetView zoomScale="90" zoomScaleNormal="90" workbookViewId="0">
      <selection activeCell="E10" sqref="E10"/>
    </sheetView>
  </sheetViews>
  <sheetFormatPr defaultRowHeight="15" x14ac:dyDescent="0.25"/>
  <cols>
    <col min="2" max="2" width="97.42578125" bestFit="1" customWidth="1"/>
    <col min="3" max="3" width="10.42578125" bestFit="1" customWidth="1"/>
    <col min="4" max="4" width="16.7109375" bestFit="1" customWidth="1"/>
    <col min="5" max="5" width="16" bestFit="1" customWidth="1"/>
  </cols>
  <sheetData>
    <row r="2" spans="2:6" ht="15.75" x14ac:dyDescent="0.25">
      <c r="B2" s="55">
        <v>2050</v>
      </c>
      <c r="C2" s="56"/>
      <c r="D2" s="56"/>
      <c r="E2" s="56"/>
      <c r="F2" s="40"/>
    </row>
    <row r="3" spans="2:6" x14ac:dyDescent="0.25">
      <c r="B3" s="14" t="s">
        <v>0</v>
      </c>
      <c r="C3" s="14" t="s">
        <v>3</v>
      </c>
      <c r="D3" s="15" t="s">
        <v>92</v>
      </c>
      <c r="E3" s="15" t="s">
        <v>93</v>
      </c>
      <c r="F3" s="15" t="s">
        <v>94</v>
      </c>
    </row>
    <row r="4" spans="2:6" x14ac:dyDescent="0.25">
      <c r="B4" s="14" t="s">
        <v>95</v>
      </c>
      <c r="C4" s="14" t="s">
        <v>21</v>
      </c>
      <c r="D4" s="16">
        <f>'Study Parameters'!B32</f>
        <v>2.3413881981074187</v>
      </c>
      <c r="E4" s="16">
        <f>'Study Parameters'!C32</f>
        <v>5.3151764046400007</v>
      </c>
      <c r="F4" s="15"/>
    </row>
    <row r="5" spans="2:6" x14ac:dyDescent="0.25">
      <c r="B5" s="14" t="s">
        <v>96</v>
      </c>
      <c r="C5" s="14" t="s">
        <v>21</v>
      </c>
      <c r="D5" s="16">
        <f>Inputs!C18</f>
        <v>0.8</v>
      </c>
      <c r="E5" s="16">
        <f>D5</f>
        <v>0.8</v>
      </c>
      <c r="F5" s="15"/>
    </row>
    <row r="6" spans="2:6" x14ac:dyDescent="0.25">
      <c r="B6" s="14" t="s">
        <v>97</v>
      </c>
      <c r="C6" s="14" t="s">
        <v>77</v>
      </c>
      <c r="D6" s="16">
        <v>0</v>
      </c>
      <c r="E6" s="15">
        <v>0</v>
      </c>
      <c r="F6" s="15"/>
    </row>
    <row r="7" spans="2:6" x14ac:dyDescent="0.25">
      <c r="B7" s="14" t="s">
        <v>98</v>
      </c>
      <c r="C7" s="14" t="s">
        <v>77</v>
      </c>
      <c r="D7" s="16">
        <f>Inputs!C12</f>
        <v>88.7</v>
      </c>
      <c r="E7" s="16">
        <f>D7</f>
        <v>88.7</v>
      </c>
      <c r="F7" s="15"/>
    </row>
    <row r="8" spans="2:6" x14ac:dyDescent="0.25">
      <c r="B8" s="14" t="s">
        <v>99</v>
      </c>
      <c r="C8" s="14" t="s">
        <v>77</v>
      </c>
      <c r="D8" s="16">
        <f>D7-D6</f>
        <v>88.7</v>
      </c>
      <c r="E8" s="16">
        <f>E7-E6</f>
        <v>88.7</v>
      </c>
      <c r="F8" s="15"/>
    </row>
    <row r="9" spans="2:6" x14ac:dyDescent="0.25">
      <c r="B9" s="14" t="s">
        <v>99</v>
      </c>
      <c r="C9" s="14" t="s">
        <v>100</v>
      </c>
      <c r="D9" s="25">
        <f>D8*Inputs!$C$14</f>
        <v>3076.9675200000006</v>
      </c>
      <c r="E9" s="25">
        <f>E8*Inputs!$C$14</f>
        <v>3076.9675200000006</v>
      </c>
      <c r="F9" s="15"/>
    </row>
    <row r="10" spans="2:6" x14ac:dyDescent="0.25">
      <c r="B10" s="14" t="s">
        <v>101</v>
      </c>
      <c r="C10" s="14" t="s">
        <v>29</v>
      </c>
      <c r="D10" s="43">
        <f>(D4-D5) / D9 * 10^6</f>
        <v>500.9439287508041</v>
      </c>
      <c r="E10" s="43">
        <f>(E4-E5) / E9 * 10^6</f>
        <v>1467.4111362215485</v>
      </c>
      <c r="F10" s="43">
        <f>MEDIAN(D10:E10)</f>
        <v>984.17753248617623</v>
      </c>
    </row>
    <row r="13" spans="2:6" x14ac:dyDescent="0.25">
      <c r="B13" s="51" t="s">
        <v>102</v>
      </c>
    </row>
    <row r="14" spans="2:6" x14ac:dyDescent="0.25">
      <c r="B14" s="51" t="s">
        <v>103</v>
      </c>
    </row>
    <row r="17" spans="5:5" x14ac:dyDescent="0.25">
      <c r="E17" s="54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Study Parameters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Sievert  Katrin</dc:creator>
  <cp:keywords/>
  <dc:description/>
  <cp:lastModifiedBy>Dubey  Yash</cp:lastModifiedBy>
  <cp:revision/>
  <dcterms:created xsi:type="dcterms:W3CDTF">2025-02-19T10:01:32Z</dcterms:created>
  <dcterms:modified xsi:type="dcterms:W3CDTF">2025-05-30T09:16:04Z</dcterms:modified>
  <cp:category/>
  <cp:contentStatus/>
</cp:coreProperties>
</file>
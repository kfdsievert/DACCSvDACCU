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updateLinks="always" codeName="ThisWorkbook"/>
  <mc:AlternateContent xmlns:mc="http://schemas.openxmlformats.org/markup-compatibility/2006">
    <mc:Choice Requires="x15">
      <x15ac:absPath xmlns:x15ac="http://schemas.microsoft.com/office/spreadsheetml/2010/11/ac" url="https://ethz-my.sharepoint.com/personal/ydubey_ethz_ch/Documents/Documents/GitHub/DACCSvDACCU/data/"/>
    </mc:Choice>
  </mc:AlternateContent>
  <xr:revisionPtr revIDLastSave="6723" documentId="8_{427C1CD8-7ECB-4B05-A7A1-DCEB31902E85}" xr6:coauthVersionLast="47" xr6:coauthVersionMax="47" xr10:uidLastSave="{46EC0C5E-1BA4-4E65-B2EC-42F6D02F8A4B}"/>
  <bookViews>
    <workbookView xWindow="2340" yWindow="2340" windowWidth="28800" windowHeight="15345" tabRatio="973" firstSheet="2" activeTab="2" xr2:uid="{10A797D3-143E-48A4-A3E1-9D6BC7B2CBA7}"/>
  </bookViews>
  <sheets>
    <sheet name="Intro" sheetId="1" r:id="rId1"/>
    <sheet name="Steps" sheetId="2" r:id="rId2"/>
    <sheet name="Inputs" sheetId="4" r:id="rId3"/>
    <sheet name="Energy_Carbon intensity" sheetId="21" r:id="rId4"/>
    <sheet name="Standard Input Calculations" sheetId="9" r:id="rId5"/>
    <sheet name="Sensitivities" sheetId="16" r:id="rId6"/>
    <sheet name="Notes for Study Parameters" sheetId="10" r:id="rId7"/>
    <sheet name="Study Selection Step 1" sheetId="23" r:id="rId8"/>
    <sheet name="Studies current &amp;future cost" sheetId="25" r:id="rId9"/>
    <sheet name="Study Parameters" sheetId="3" r:id="rId10"/>
    <sheet name="Standardization Results" sheetId="5" r:id="rId11"/>
    <sheet name="Inflation" sheetId="22" r:id="rId12"/>
    <sheet name="USD_EUR" sheetId="24"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xlnm._FilterDatabase" localSheetId="10" hidden="1">'Standardization Results'!$A$2:$W$180</definedName>
    <definedName name="_xlnm._FilterDatabase" localSheetId="8" hidden="1">'Studies current &amp;future cost'!$A$1:$AL$45</definedName>
    <definedName name="_xlnm._FilterDatabase" localSheetId="9" hidden="1">'Study Parameters'!$A$1:$AL$47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2" i="5" l="1"/>
  <c r="O38" i="5"/>
  <c r="O36" i="5"/>
  <c r="O32" i="5"/>
  <c r="O31" i="5"/>
  <c r="O30" i="5"/>
  <c r="O44" i="5"/>
  <c r="O43" i="5"/>
  <c r="O37" i="5"/>
  <c r="O18" i="5"/>
  <c r="O19" i="5"/>
  <c r="O20" i="5"/>
  <c r="L143" i="5"/>
  <c r="L11" i="5"/>
  <c r="L10" i="5"/>
  <c r="L9" i="5"/>
  <c r="O11" i="5"/>
  <c r="O10" i="5"/>
  <c r="O9" i="5"/>
  <c r="L14" i="5"/>
  <c r="L13" i="5"/>
  <c r="L12" i="5"/>
  <c r="O14" i="5"/>
  <c r="O13" i="5"/>
  <c r="O12" i="5"/>
  <c r="L5" i="5"/>
  <c r="L4" i="5"/>
  <c r="L3" i="5"/>
  <c r="O5" i="5"/>
  <c r="O4" i="5"/>
  <c r="O3" i="5"/>
  <c r="L8" i="5"/>
  <c r="L7" i="5"/>
  <c r="L6" i="5"/>
  <c r="O8" i="5"/>
  <c r="O7" i="5"/>
  <c r="O6" i="5"/>
  <c r="L20" i="5"/>
  <c r="L19" i="5"/>
  <c r="L18" i="5"/>
  <c r="L17" i="5"/>
  <c r="L16" i="5"/>
  <c r="L15" i="5"/>
  <c r="O17" i="5"/>
  <c r="O16" i="5"/>
  <c r="O15" i="5"/>
  <c r="L26" i="5"/>
  <c r="L25" i="5"/>
  <c r="L24" i="5"/>
  <c r="O26" i="5"/>
  <c r="O25" i="5"/>
  <c r="O24" i="5"/>
  <c r="O23" i="5"/>
  <c r="O22" i="5"/>
  <c r="O21" i="5"/>
  <c r="L23" i="5"/>
  <c r="L22" i="5"/>
  <c r="L21" i="5"/>
  <c r="O164" i="5"/>
  <c r="O165" i="5"/>
  <c r="O163" i="5"/>
  <c r="N164" i="5"/>
  <c r="N165" i="5"/>
  <c r="N163" i="5"/>
  <c r="M165" i="5"/>
  <c r="M164" i="5"/>
  <c r="M163" i="5"/>
  <c r="O169" i="5"/>
  <c r="O168" i="5"/>
  <c r="O167" i="5"/>
  <c r="O166" i="5"/>
  <c r="N169" i="5"/>
  <c r="N168" i="5"/>
  <c r="N167" i="5"/>
  <c r="N166" i="5"/>
  <c r="M169" i="5"/>
  <c r="M168" i="5"/>
  <c r="M167" i="5"/>
  <c r="M166" i="5"/>
  <c r="I39" i="25" l="1"/>
  <c r="I20" i="25"/>
  <c r="I19" i="25"/>
  <c r="I8" i="25"/>
  <c r="I7" i="25"/>
  <c r="I6" i="25"/>
  <c r="I5" i="25"/>
  <c r="I4" i="25"/>
  <c r="I3" i="25"/>
  <c r="O155" i="5"/>
  <c r="L155" i="5"/>
  <c r="N155" i="5"/>
  <c r="M155" i="5"/>
  <c r="M67" i="5"/>
  <c r="J155" i="5"/>
  <c r="O144" i="5"/>
  <c r="N144" i="5"/>
  <c r="M144" i="5"/>
  <c r="L144" i="5"/>
  <c r="O143" i="5"/>
  <c r="N143" i="5"/>
  <c r="M143" i="5"/>
  <c r="O142" i="5"/>
  <c r="N142" i="5"/>
  <c r="M142" i="5"/>
  <c r="L142" i="5"/>
  <c r="O141" i="5"/>
  <c r="N141" i="5"/>
  <c r="M141" i="5"/>
  <c r="L141" i="5"/>
  <c r="O140" i="5"/>
  <c r="N140" i="5"/>
  <c r="M140" i="5"/>
  <c r="L140" i="5"/>
  <c r="O139" i="5"/>
  <c r="N139" i="5"/>
  <c r="M139" i="5"/>
  <c r="L139" i="5"/>
  <c r="O138" i="5"/>
  <c r="N138" i="5"/>
  <c r="M138" i="5"/>
  <c r="O137" i="5"/>
  <c r="N137" i="5"/>
  <c r="L137" i="5"/>
  <c r="O161" i="5" l="1"/>
  <c r="O162" i="5"/>
  <c r="O160" i="5"/>
  <c r="N161" i="5"/>
  <c r="N162" i="5"/>
  <c r="N160" i="5"/>
  <c r="M160" i="5"/>
  <c r="M162" i="5"/>
  <c r="M161" i="5"/>
  <c r="M137" i="5"/>
  <c r="L138" i="5" l="1"/>
  <c r="O59" i="5" l="1"/>
  <c r="O58" i="5"/>
  <c r="O57" i="5"/>
  <c r="O56" i="5"/>
  <c r="O55" i="5"/>
  <c r="O54" i="5"/>
  <c r="O53" i="5"/>
  <c r="O52" i="5"/>
  <c r="O51" i="5"/>
  <c r="O50" i="5"/>
  <c r="O49" i="5"/>
  <c r="O48" i="5"/>
  <c r="N59" i="5"/>
  <c r="N58" i="5"/>
  <c r="N57" i="5"/>
  <c r="N56" i="5"/>
  <c r="N55" i="5"/>
  <c r="N54" i="5"/>
  <c r="N53" i="5"/>
  <c r="N52" i="5"/>
  <c r="N51" i="5"/>
  <c r="N50" i="5"/>
  <c r="N49" i="5"/>
  <c r="N48" i="5"/>
  <c r="M59" i="5"/>
  <c r="M58" i="5"/>
  <c r="M57" i="5"/>
  <c r="M56" i="5"/>
  <c r="M55" i="5"/>
  <c r="M54" i="5"/>
  <c r="M53" i="5"/>
  <c r="M52" i="5"/>
  <c r="M51" i="5"/>
  <c r="M50" i="5"/>
  <c r="M49" i="5"/>
  <c r="M48" i="5"/>
  <c r="O47" i="5"/>
  <c r="O46" i="5"/>
  <c r="O45" i="5"/>
  <c r="N47" i="5"/>
  <c r="N46" i="5"/>
  <c r="N45" i="5"/>
  <c r="M47" i="5"/>
  <c r="M46" i="5"/>
  <c r="M45" i="5"/>
  <c r="M145" i="5"/>
  <c r="K129" i="5"/>
  <c r="K130" i="5"/>
  <c r="K131" i="5"/>
  <c r="K132" i="5"/>
  <c r="K133" i="5"/>
  <c r="K134" i="5"/>
  <c r="K135" i="5"/>
  <c r="K128" i="5"/>
  <c r="K121" i="5"/>
  <c r="K122" i="5"/>
  <c r="K123" i="5"/>
  <c r="K124" i="5"/>
  <c r="K125" i="5"/>
  <c r="K126" i="5"/>
  <c r="K127" i="5"/>
  <c r="K120" i="5"/>
  <c r="K111" i="5"/>
  <c r="K112" i="5"/>
  <c r="K113" i="5"/>
  <c r="K114" i="5"/>
  <c r="K115" i="5"/>
  <c r="K116" i="5"/>
  <c r="K117" i="5"/>
  <c r="K118" i="5"/>
  <c r="K119" i="5"/>
  <c r="K110" i="5"/>
  <c r="K109" i="5"/>
  <c r="K101" i="5"/>
  <c r="K102" i="5"/>
  <c r="K103" i="5"/>
  <c r="K104" i="5"/>
  <c r="K105" i="5"/>
  <c r="K106" i="5"/>
  <c r="K107" i="5"/>
  <c r="K108" i="5"/>
  <c r="K100" i="5"/>
  <c r="I135" i="5"/>
  <c r="I129" i="5"/>
  <c r="I130" i="5"/>
  <c r="I131" i="5"/>
  <c r="I132" i="5"/>
  <c r="I133" i="5"/>
  <c r="I134" i="5"/>
  <c r="I128" i="5"/>
  <c r="I110" i="5"/>
  <c r="I111" i="5"/>
  <c r="L110" i="5"/>
  <c r="L111" i="5"/>
  <c r="I120" i="5"/>
  <c r="I121" i="5"/>
  <c r="I122" i="5"/>
  <c r="I123" i="5"/>
  <c r="I124" i="5"/>
  <c r="I125" i="5"/>
  <c r="I126" i="5"/>
  <c r="I127" i="5"/>
  <c r="I113" i="5"/>
  <c r="I114" i="5"/>
  <c r="I115" i="5"/>
  <c r="I116" i="5"/>
  <c r="I117" i="5"/>
  <c r="I118" i="5"/>
  <c r="I119" i="5"/>
  <c r="I112" i="5"/>
  <c r="I101" i="5"/>
  <c r="I102" i="5"/>
  <c r="I103" i="5"/>
  <c r="I104" i="5"/>
  <c r="I105" i="5"/>
  <c r="I106" i="5"/>
  <c r="I107" i="5"/>
  <c r="I108" i="5"/>
  <c r="I109" i="5"/>
  <c r="I100" i="5"/>
  <c r="L135" i="5"/>
  <c r="L129" i="5"/>
  <c r="L130" i="5"/>
  <c r="L131" i="5"/>
  <c r="L132" i="5"/>
  <c r="L133" i="5"/>
  <c r="L134" i="5"/>
  <c r="L128" i="5"/>
  <c r="L121" i="5"/>
  <c r="L122" i="5"/>
  <c r="L123" i="5"/>
  <c r="L124" i="5"/>
  <c r="L125" i="5"/>
  <c r="L126" i="5"/>
  <c r="L127" i="5"/>
  <c r="L113" i="5"/>
  <c r="L114" i="5"/>
  <c r="L115" i="5"/>
  <c r="L116" i="5"/>
  <c r="L117" i="5"/>
  <c r="L118" i="5"/>
  <c r="L119" i="5"/>
  <c r="L112" i="5"/>
  <c r="L108" i="5"/>
  <c r="L109" i="5"/>
  <c r="L120" i="5"/>
  <c r="L101" i="5"/>
  <c r="L102" i="5"/>
  <c r="L103" i="5"/>
  <c r="L104" i="5"/>
  <c r="L105" i="5"/>
  <c r="L106" i="5"/>
  <c r="L107" i="5"/>
  <c r="L100" i="5"/>
  <c r="C45" i="5"/>
  <c r="A45" i="5"/>
  <c r="C21" i="4"/>
  <c r="C18" i="4"/>
  <c r="C17" i="4"/>
  <c r="C14" i="4"/>
  <c r="C13" i="4"/>
  <c r="O145" i="5" l="1"/>
  <c r="N145" i="5"/>
  <c r="O61" i="5"/>
  <c r="O60" i="5"/>
  <c r="N62" i="5"/>
  <c r="N60" i="5"/>
  <c r="N63" i="5"/>
  <c r="O62" i="5" l="1"/>
  <c r="O63" i="5"/>
  <c r="N61" i="5"/>
  <c r="O64" i="5" l="1"/>
  <c r="N65" i="5"/>
  <c r="N67" i="5"/>
  <c r="O65" i="5"/>
  <c r="N64" i="5"/>
  <c r="O67" i="5"/>
  <c r="N66" i="5"/>
  <c r="O66" i="5"/>
  <c r="L145" i="5" l="1"/>
  <c r="E47" i="21" l="1"/>
  <c r="F47" i="21"/>
  <c r="D47" i="21"/>
  <c r="G47" i="21"/>
  <c r="F177" i="5" l="1"/>
  <c r="E177" i="5"/>
  <c r="D177" i="5"/>
  <c r="C177" i="5"/>
  <c r="B177" i="5"/>
  <c r="A177" i="5"/>
  <c r="F178" i="5"/>
  <c r="E178" i="5"/>
  <c r="D178" i="5"/>
  <c r="C178" i="5"/>
  <c r="B178" i="5"/>
  <c r="A178" i="5"/>
  <c r="L51" i="5" l="1"/>
  <c r="L159" i="5"/>
  <c r="L158" i="5"/>
  <c r="K158" i="5"/>
  <c r="C7" i="4"/>
  <c r="C5" i="4" l="1"/>
  <c r="C22" i="22"/>
  <c r="B26" i="22"/>
  <c r="M61" i="5" l="1"/>
  <c r="M62" i="5"/>
  <c r="M60" i="5"/>
  <c r="M63" i="5"/>
  <c r="M66" i="5"/>
  <c r="M65" i="5"/>
  <c r="M64" i="5"/>
  <c r="L67" i="5"/>
  <c r="L60" i="5"/>
  <c r="L173" i="5"/>
  <c r="L72" i="5"/>
  <c r="L164" i="5"/>
  <c r="L151" i="5"/>
  <c r="L98" i="5"/>
  <c r="L90" i="5"/>
  <c r="L82" i="5"/>
  <c r="L53" i="5"/>
  <c r="L44" i="5"/>
  <c r="L36" i="5"/>
  <c r="L28" i="5"/>
  <c r="L172" i="5"/>
  <c r="L76" i="5"/>
  <c r="L71" i="5"/>
  <c r="L163" i="5"/>
  <c r="L65" i="5"/>
  <c r="L97" i="5"/>
  <c r="L89" i="5"/>
  <c r="L81" i="5"/>
  <c r="L52" i="5"/>
  <c r="L43" i="5"/>
  <c r="L35" i="5"/>
  <c r="L27" i="5"/>
  <c r="L171" i="5"/>
  <c r="L73" i="5"/>
  <c r="L70" i="5"/>
  <c r="L162" i="5"/>
  <c r="L64" i="5"/>
  <c r="L96" i="5"/>
  <c r="L88" i="5"/>
  <c r="L80" i="5"/>
  <c r="L50" i="5"/>
  <c r="L42" i="5"/>
  <c r="L34" i="5"/>
  <c r="L170" i="5"/>
  <c r="L79" i="5"/>
  <c r="L69" i="5"/>
  <c r="L161" i="5"/>
  <c r="L63" i="5"/>
  <c r="L95" i="5"/>
  <c r="L58" i="5"/>
  <c r="L49" i="5"/>
  <c r="L41" i="5"/>
  <c r="L33" i="5"/>
  <c r="L169" i="5"/>
  <c r="L78" i="5"/>
  <c r="L68" i="5"/>
  <c r="L160" i="5"/>
  <c r="L62" i="5"/>
  <c r="L94" i="5"/>
  <c r="L86" i="5"/>
  <c r="L57" i="5"/>
  <c r="L48" i="5"/>
  <c r="L40" i="5"/>
  <c r="L32" i="5"/>
  <c r="L30" i="5"/>
  <c r="L166" i="5"/>
  <c r="L74" i="5"/>
  <c r="L152" i="5"/>
  <c r="L99" i="5"/>
  <c r="L83" i="5"/>
  <c r="L45" i="5"/>
  <c r="L29" i="5"/>
  <c r="L168" i="5"/>
  <c r="L77" i="5"/>
  <c r="L180" i="5"/>
  <c r="L154" i="5"/>
  <c r="L61" i="5"/>
  <c r="L93" i="5"/>
  <c r="L85" i="5"/>
  <c r="L56" i="5"/>
  <c r="L47" i="5"/>
  <c r="L39" i="5"/>
  <c r="L31" i="5"/>
  <c r="L175" i="5"/>
  <c r="L167" i="5"/>
  <c r="L75" i="5"/>
  <c r="L179" i="5"/>
  <c r="L153" i="5"/>
  <c r="L59" i="5"/>
  <c r="L92" i="5"/>
  <c r="L84" i="5"/>
  <c r="L55" i="5"/>
  <c r="L46" i="5"/>
  <c r="L38" i="5"/>
  <c r="L174" i="5"/>
  <c r="L165" i="5"/>
  <c r="L91" i="5"/>
  <c r="L54" i="5"/>
  <c r="L37" i="5"/>
  <c r="L66" i="5"/>
  <c r="F9" i="5"/>
  <c r="F15" i="5"/>
  <c r="F21" i="5"/>
  <c r="F27" i="5"/>
  <c r="F33" i="5"/>
  <c r="F39" i="5"/>
  <c r="F46" i="5"/>
  <c r="F47" i="5"/>
  <c r="F55" i="5"/>
  <c r="F68" i="5"/>
  <c r="F71" i="5"/>
  <c r="F72" i="5"/>
  <c r="F74" i="5"/>
  <c r="F78" i="5"/>
  <c r="F86" i="5"/>
  <c r="F87" i="5"/>
  <c r="F97" i="5"/>
  <c r="F107" i="5"/>
  <c r="F120" i="5"/>
  <c r="C9" i="4" a="1"/>
  <c r="C9" i="4" s="1"/>
  <c r="E166" i="5" l="1"/>
  <c r="J97" i="5"/>
  <c r="J98" i="5"/>
  <c r="J99" i="5"/>
  <c r="E151" i="5"/>
  <c r="E152" i="5"/>
  <c r="D152" i="5"/>
  <c r="C152" i="5"/>
  <c r="B152" i="5"/>
  <c r="B151" i="5"/>
  <c r="A152" i="5"/>
  <c r="A59" i="5"/>
  <c r="A58" i="5"/>
  <c r="A57" i="5"/>
  <c r="A56" i="5"/>
  <c r="A53" i="5"/>
  <c r="A52" i="5"/>
  <c r="A54" i="5"/>
  <c r="A51" i="5"/>
  <c r="A50" i="5"/>
  <c r="A49" i="5"/>
  <c r="A48" i="5"/>
  <c r="A55" i="5"/>
  <c r="D46" i="5"/>
  <c r="C46" i="5"/>
  <c r="A46" i="5"/>
  <c r="J179" i="5" l="1"/>
  <c r="J137" i="5" l="1"/>
  <c r="J87" i="5" l="1"/>
  <c r="J86" i="5"/>
  <c r="K74" i="5" l="1"/>
  <c r="J73" i="5"/>
  <c r="K72" i="5" l="1"/>
  <c r="J72" i="5"/>
  <c r="K71" i="5"/>
  <c r="J60" i="5" l="1"/>
  <c r="K68" i="5"/>
  <c r="E60" i="5"/>
  <c r="C15" i="5" l="1"/>
  <c r="D15" i="5"/>
  <c r="E15" i="5"/>
  <c r="A15" i="5"/>
  <c r="E9" i="5"/>
  <c r="K5" i="5" l="1"/>
  <c r="K4" i="5"/>
  <c r="K3" i="5"/>
  <c r="Q39" i="3" l="1"/>
  <c r="Q20" i="3"/>
  <c r="K87" i="5" s="1"/>
  <c r="Q19" i="3"/>
  <c r="K86" i="5" s="1"/>
  <c r="Q8" i="3"/>
  <c r="Q7" i="3"/>
  <c r="Q6" i="3"/>
  <c r="K27" i="5" s="1"/>
  <c r="Q5" i="3"/>
  <c r="K21" i="5" s="1"/>
  <c r="Q4" i="3"/>
  <c r="K15" i="5" s="1"/>
  <c r="Q3" i="3"/>
  <c r="K9" i="5" s="1"/>
  <c r="K33" i="5" l="1"/>
  <c r="K28" i="5"/>
  <c r="K39" i="5"/>
  <c r="K29" i="5"/>
  <c r="D27" i="5"/>
  <c r="E27" i="5"/>
  <c r="D33" i="5"/>
  <c r="E33" i="5"/>
  <c r="D39" i="5"/>
  <c r="E39" i="5"/>
  <c r="D47" i="5"/>
  <c r="D55" i="5"/>
  <c r="E55" i="5"/>
  <c r="D60" i="5"/>
  <c r="F60" i="5"/>
  <c r="D64" i="5"/>
  <c r="E64" i="5"/>
  <c r="F64" i="5"/>
  <c r="D68" i="5"/>
  <c r="E68" i="5"/>
  <c r="D71" i="5"/>
  <c r="E71" i="5"/>
  <c r="D72" i="5"/>
  <c r="E72" i="5"/>
  <c r="D74" i="5"/>
  <c r="E74" i="5"/>
  <c r="D76" i="5"/>
  <c r="E76" i="5"/>
  <c r="F76" i="5"/>
  <c r="D78" i="5"/>
  <c r="D86" i="5"/>
  <c r="E86" i="5"/>
  <c r="D87" i="5"/>
  <c r="E87" i="5"/>
  <c r="D107" i="5"/>
  <c r="E107" i="5"/>
  <c r="D120" i="5"/>
  <c r="D136" i="5"/>
  <c r="E136" i="5"/>
  <c r="F136" i="5"/>
  <c r="D137" i="5"/>
  <c r="E137" i="5"/>
  <c r="F137" i="5"/>
  <c r="D145" i="5"/>
  <c r="E145" i="5"/>
  <c r="F145" i="5"/>
  <c r="D146" i="5"/>
  <c r="E146" i="5"/>
  <c r="F146" i="5"/>
  <c r="D147" i="5"/>
  <c r="E147" i="5"/>
  <c r="F147" i="5"/>
  <c r="D148" i="5"/>
  <c r="E148" i="5"/>
  <c r="F148" i="5"/>
  <c r="D149" i="5"/>
  <c r="E149" i="5"/>
  <c r="F149" i="5"/>
  <c r="D150" i="5"/>
  <c r="E150" i="5"/>
  <c r="F150" i="5"/>
  <c r="D151" i="5"/>
  <c r="F151" i="5"/>
  <c r="D155" i="5"/>
  <c r="E155" i="5"/>
  <c r="F155" i="5"/>
  <c r="D156" i="5"/>
  <c r="E156" i="5"/>
  <c r="F156" i="5"/>
  <c r="D157" i="5"/>
  <c r="E157" i="5"/>
  <c r="F157" i="5"/>
  <c r="D158" i="5"/>
  <c r="F158" i="5"/>
  <c r="D163" i="5"/>
  <c r="E163" i="5"/>
  <c r="D166" i="5"/>
  <c r="F166" i="5"/>
  <c r="D170" i="5"/>
  <c r="E170" i="5"/>
  <c r="F170" i="5"/>
  <c r="D173" i="5"/>
  <c r="E173" i="5"/>
  <c r="F173" i="5"/>
  <c r="D176" i="5"/>
  <c r="E176" i="5"/>
  <c r="F176" i="5"/>
  <c r="D179" i="5"/>
  <c r="E179" i="5"/>
  <c r="F179" i="5"/>
  <c r="C27" i="5"/>
  <c r="C33" i="5"/>
  <c r="C39" i="5"/>
  <c r="C47" i="5"/>
  <c r="C55" i="5"/>
  <c r="C60" i="5"/>
  <c r="C64" i="5"/>
  <c r="C68" i="5"/>
  <c r="C71" i="5"/>
  <c r="C72" i="5"/>
  <c r="C74" i="5"/>
  <c r="C76" i="5"/>
  <c r="C78" i="5"/>
  <c r="C86" i="5"/>
  <c r="C87" i="5"/>
  <c r="C97" i="5"/>
  <c r="C107" i="5"/>
  <c r="C120" i="5"/>
  <c r="C136" i="5"/>
  <c r="C137" i="5"/>
  <c r="C145" i="5"/>
  <c r="C146" i="5"/>
  <c r="C147" i="5"/>
  <c r="C148" i="5"/>
  <c r="C149" i="5"/>
  <c r="C150" i="5"/>
  <c r="C151" i="5"/>
  <c r="C155" i="5"/>
  <c r="C156" i="5"/>
  <c r="C157" i="5"/>
  <c r="C158" i="5"/>
  <c r="C163" i="5"/>
  <c r="C166" i="5"/>
  <c r="C170" i="5"/>
  <c r="C173" i="5"/>
  <c r="C176" i="5"/>
  <c r="C179" i="5"/>
  <c r="B55" i="5"/>
  <c r="B72" i="5"/>
  <c r="B74" i="5"/>
  <c r="B76" i="5"/>
  <c r="B78" i="5"/>
  <c r="B86" i="5"/>
  <c r="B87" i="5"/>
  <c r="B97" i="5"/>
  <c r="B107" i="5"/>
  <c r="B120" i="5"/>
  <c r="B145" i="5"/>
  <c r="B146" i="5"/>
  <c r="B147" i="5"/>
  <c r="B148" i="5"/>
  <c r="B149" i="5"/>
  <c r="B150" i="5"/>
  <c r="B155" i="5"/>
  <c r="B156" i="5"/>
  <c r="B157" i="5"/>
  <c r="B158" i="5"/>
  <c r="B170" i="5"/>
  <c r="B173" i="5"/>
  <c r="B176" i="5"/>
  <c r="A176" i="5"/>
  <c r="A179" i="5"/>
  <c r="A163" i="5"/>
  <c r="A166" i="5"/>
  <c r="A170" i="5"/>
  <c r="A173" i="5"/>
  <c r="A155" i="5"/>
  <c r="A156" i="5"/>
  <c r="A157" i="5"/>
  <c r="A158" i="5"/>
  <c r="A87" i="5"/>
  <c r="A97" i="5"/>
  <c r="A107" i="5"/>
  <c r="A120" i="5"/>
  <c r="A136" i="5"/>
  <c r="A137" i="5"/>
  <c r="A145" i="5"/>
  <c r="A146" i="5"/>
  <c r="A147" i="5"/>
  <c r="A148" i="5"/>
  <c r="A149" i="5"/>
  <c r="A150" i="5"/>
  <c r="A151" i="5"/>
  <c r="A27" i="5"/>
  <c r="A33" i="5"/>
  <c r="A39" i="5"/>
  <c r="A47" i="5"/>
  <c r="A60" i="5"/>
  <c r="A64" i="5"/>
  <c r="A68" i="5"/>
  <c r="A71" i="5"/>
  <c r="A72" i="5"/>
  <c r="A74" i="5"/>
  <c r="A76" i="5"/>
  <c r="A78" i="5"/>
  <c r="A86" i="5"/>
  <c r="E21" i="5"/>
  <c r="D9" i="5"/>
  <c r="D21" i="5"/>
  <c r="C9" i="5"/>
  <c r="C21" i="5"/>
  <c r="C3" i="5"/>
  <c r="A9" i="5"/>
  <c r="A21" i="5"/>
  <c r="AJ40" i="21" l="1"/>
  <c r="AJ39" i="21"/>
  <c r="AJ38" i="21"/>
  <c r="AJ37" i="21"/>
  <c r="AJ36" i="21"/>
  <c r="AJ31" i="21"/>
  <c r="AJ19" i="21"/>
  <c r="AJ14" i="21"/>
  <c r="AJ2" i="21"/>
  <c r="B6" i="16" l="1"/>
  <c r="L8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tc={5766B05D-C92B-4B52-9354-64D42A8C06C8}</author>
    <author>tc={D187044E-C90E-49F8-B828-979C396B3AA7}</author>
    <author>tc={90A3683C-3C46-493D-911F-AF1C42DDB8B6}</author>
    <author>tc={74A24C9F-BFFF-40A9-B34B-47F44844D78E}</author>
  </authors>
  <commentList>
    <comment ref="S1" authorId="0" shapeId="0" xr:uid="{5766B05D-C92B-4B52-9354-64D42A8C06C8}">
      <text>
        <t>[Threaded comment]
Your version of Excel allows you to read this threaded comment; however, any edits to it will get removed if the file is opened in a newer version of Excel. Learn more: https://go.microsoft.com/fwlink/?linkid=870924
Comment:
    @Dubey  Yash , this will be the relevant column for the plot - three most sensitivite parameters per DAC tech over all studies</t>
      </text>
    </comment>
    <comment ref="L16" authorId="1" shapeId="0" xr:uid="{D187044E-C90E-49F8-B828-979C396B3AA7}">
      <text>
        <t xml:space="preserve">[Threaded comment]
Your version of Excel allows you to read this threaded comment; however, any edits to it will get removed if the file is opened in a newer version of Excel. Learn more: https://go.microsoft.com/fwlink/?linkid=870924
Comment:
    @Sievert  Katrin this one </t>
      </text>
    </comment>
    <comment ref="N18" authorId="2" shapeId="0" xr:uid="{90A3683C-3C46-493D-911F-AF1C42DDB8B6}">
      <text>
        <t>[Threaded comment]
Your version of Excel allows you to read this threaded comment; however, any edits to it will get removed if the file is opened in a newer version of Excel. Learn more: https://go.microsoft.com/fwlink/?linkid=870924
Comment:
    Note: fully electrified (not natural gas based)</t>
      </text>
    </comment>
    <comment ref="L25" authorId="3" shapeId="0" xr:uid="{74A24C9F-BFFF-40A9-B34B-47F44844D78E}">
      <text>
        <t>[Threaded comment]
Your version of Excel allows you to read this threaded comment; however, any edits to it will get removed if the file is opened in a newer version of Excel. Learn more: https://go.microsoft.com/fwlink/?linkid=870924
Comment:
    @Sievert  Katrin  and this one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tc={1EF8D96A-D4F8-4F04-BFDA-9F9DEFC1D71B}</author>
    <author>tc={7E634AA6-F84C-45DF-927A-7EC0571DD5E6}</author>
    <author>tc={85054E19-DD43-453D-B37F-8EDE2289C8B4}</author>
    <author>tc={1634E5DB-968C-4809-AFCB-569DDEDDE00D}</author>
    <author>tc={83B6F572-1307-4F9C-8E6A-E80DCBFCCEF0}</author>
    <author>tc={9E5F5A65-1260-4EF5-890E-C84ADF5D9241}</author>
    <author>tc={3BBBCEE6-AFAB-402E-AEDE-BDE82348B409}</author>
    <author>tc={49C4D418-E108-4AC1-8369-2417F71166E5}</author>
    <author>tc={E358FC8F-61B8-4095-B91E-0608C9FB7351}</author>
    <author>tc={F1E82F61-5388-4142-9B9F-958E1DF9CFFE}</author>
    <author>tc={3916D311-1426-4356-837C-685B46FEBDD8}</author>
    <author>tc={B2163893-35D6-40CE-AF55-B9BADD48DC1C}</author>
    <author>tc={7A087005-7092-405B-949E-36A5FEDE509E}</author>
    <author>tc={FC7E98BB-6FEE-487B-8249-91FD2F13C14C}</author>
    <author>tc={A0BB2F82-30B3-4964-A3D7-A3FA32B9BDD0}</author>
    <author>tc={C3AAB90F-A1BF-4795-9E03-463EB0B211CA}</author>
    <author>tc={3077BB45-F3B3-46A3-8022-10F4E8A0F420}</author>
    <author>tc={12507729-A60A-4DF5-B74A-9C4543C797FD}</author>
    <author>tc={B6654AD4-BB7E-46DB-BDB8-C5EE8F1D0AE4}</author>
    <author>tc={0C23BDF2-E247-4C8D-B943-607FC0C946D6}</author>
    <author>tc={A463170D-1C29-4EE5-BFC4-ACBF55AAE826}</author>
    <author>tc={3E1DE9F9-F373-4DD6-BFED-6455DF7D017A}</author>
    <author>tc={6048C8E5-CCC8-475B-A27F-E1CC465E639D}</author>
    <author>tc={42EC91E7-31C3-4CD4-A3B6-B97E3B999614}</author>
    <author>tc={815F4C81-22A0-4CD2-9BDA-19E3A45A353D}</author>
    <author>tc={87DA5026-20AC-4F24-82B5-0562AB65957F}</author>
    <author>tc={602701B5-9907-4792-B53B-10DF61BD69D6}</author>
    <author>tc={A98346E9-9A65-425F-B658-F36BEC35D8F1}</author>
    <author>tc={541DD166-3D8A-48CE-A1F7-8A712E62D2A3}</author>
  </authors>
  <commentList>
    <comment ref="L1" authorId="0" shapeId="0" xr:uid="{1EF8D96A-D4F8-4F04-BFDA-9F9DEFC1D71B}">
      <text>
        <t>[Threaded comment]
Your version of Excel allows you to read this threaded comment; however, any edits to it will get removed if the file is opened in a newer version of Excel. Learn more: https://go.microsoft.com/fwlink/?linkid=870924
Comment:
    Super important to distinguish results by cost type. Would be nice to differentiate the data dots in initial boxplots by cost type (e.g., starts for net removed cost; dots for levelized cost of capture, etc.) Will have to dig into the difference for meta-analysis as well</t>
      </text>
    </comment>
    <comment ref="W1" authorId="1" shapeId="0" xr:uid="{7E634AA6-F84C-45DF-927A-7EC0571DD5E6}">
      <text>
        <t>[Threaded comment]
Your version of Excel allows you to read this threaded comment; however, any edits to it will get removed if the file is opened in a newer version of Excel. Learn more: https://go.microsoft.com/fwlink/?linkid=870924
Comment:
    @Katrin: FLH might be interesting sensitivity case - see later whether to standardize/do sensitivity on</t>
      </text>
    </comment>
    <comment ref="AD1" authorId="2" shapeId="0" xr:uid="{85054E19-DD43-453D-B37F-8EDE2289C8B4}">
      <text>
        <t>[Threaded comment]
Your version of Excel allows you to read this threaded comment; however, any edits to it will get removed if the file is opened in a newer version of Excel. Learn more: https://go.microsoft.com/fwlink/?linkid=870924
Comment:
    @Katrin: fill data on where is it taken from</t>
      </text>
    </comment>
    <comment ref="T2" authorId="3" shapeId="0" xr:uid="{1634E5DB-968C-4809-AFCB-569DDEDDE00D}">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2" authorId="4" shapeId="0" xr:uid="{83B6F572-1307-4F9C-8E6A-E80DCBFCCEF0}">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3" authorId="5" shapeId="0" xr:uid="{9E5F5A65-1260-4EF5-890E-C84ADF5D9241}">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3" authorId="6" shapeId="0" xr:uid="{3BBBCEE6-AFAB-402E-AEDE-BDE82348B409}">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4" authorId="7" shapeId="0" xr:uid="{49C4D418-E108-4AC1-8369-2417F71166E5}">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4" authorId="8" shapeId="0" xr:uid="{E358FC8F-61B8-4095-B91E-0608C9FB7351}">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5" authorId="9" shapeId="0" xr:uid="{F1E82F61-5388-4142-9B9F-958E1DF9CFFE}">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5" authorId="10" shapeId="0" xr:uid="{3916D311-1426-4356-837C-685B46FEBDD8}">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W9" authorId="11" shapeId="0" xr:uid="{B2163893-35D6-40CE-AF55-B9BADD48DC1C}">
      <text>
        <t>[Threaded comment]
Your version of Excel allows you to read this threaded comment; however, any edits to it will get removed if the file is opened in a newer version of Excel. Learn more: https://go.microsoft.com/fwlink/?linkid=870924
Comment:
    Obtained from SI equation for operating hours, not mentioned explicitly</t>
      </text>
    </comment>
    <comment ref="I10" authorId="12" shapeId="0" xr:uid="{7A087005-7092-405B-949E-36A5FEDE509E}">
      <text>
        <t>[Threaded comment]
Your version of Excel allows you to read this threaded comment; however, any edits to it will get removed if the file is opened in a newer version of Excel. Learn more: https://go.microsoft.com/fwlink/?linkid=870924
Comment:
    This is modelled per ton of CO2
Reply:
    What do you mean?
Reply:
    The paper works with CO2 productivity per collector and calculates costs for 1 collector. There is some discussion of the size of collector and land required for 1Gt capture but it is not explicitly modelled</t>
      </text>
    </comment>
    <comment ref="Q10" authorId="13" shapeId="0" xr:uid="{FC7E98BB-6FEE-487B-8249-91FD2F13C14C}">
      <text>
        <t>[Threaded comment]
Your version of Excel allows you to read this threaded comment; however, any edits to it will get removed if the file is opened in a newer version of Excel. Learn more: https://go.microsoft.com/fwlink/?linkid=870924
Comment:
    This is modelled per ton of CO2
Reply:
    What do you mean?
Reply:
    The paper works with CO2 productivity per collector and calculates costs for 1 collector. There is some discussion of the size of collector and land required for 1Gt capture but it is not explicitly modelled</t>
      </text>
    </comment>
    <comment ref="AF10" authorId="14" shapeId="0" xr:uid="{A0BB2F82-30B3-4964-A3D7-A3FA32B9BDD0}">
      <text>
        <t>[Threaded comment]
Your version of Excel allows you to read this threaded comment; however, any edits to it will get removed if the file is opened in a newer version of Excel. Learn more: https://go.microsoft.com/fwlink/?linkid=870924
Comment:
    @Sievert  Katrin we may need to contact this author since the model uses geospatial resolution to calculate costs. It would be great if you can check and validate</t>
      </text>
    </comment>
    <comment ref="G11" authorId="15" shapeId="0" xr:uid="{C3AAB90F-A1BF-4795-9E03-463EB0B211CA}">
      <text>
        <t>[Threaded comment]
Your version of Excel allows you to read this threaded comment; however, any edits to it will get removed if the file is opened in a newer version of Excel. Learn more: https://go.microsoft.com/fwlink/?linkid=870924
Comment:
    Note: fully electrified (not natural gas based)</t>
      </text>
    </comment>
    <comment ref="S13" authorId="16" shapeId="0" xr:uid="{3077BB45-F3B3-46A3-8022-10F4E8A0F420}">
      <text>
        <t>[Threaded comment]
Your version of Excel allows you to read this threaded comment; however, any edits to it will get removed if the file is opened in a newer version of Excel. Learn more: https://go.microsoft.com/fwlink/?linkid=870924
Comment:
    Same as APS 2011</t>
      </text>
    </comment>
    <comment ref="S14" authorId="17" shapeId="0" xr:uid="{12507729-A60A-4DF5-B74A-9C4543C797FD}">
      <text>
        <t>[Threaded comment]
Your version of Excel allows you to read this threaded comment; however, any edits to it will get removed if the file is opened in a newer version of Excel. Learn more: https://go.microsoft.com/fwlink/?linkid=870924
Comment:
    Same as APS 2011</t>
      </text>
    </comment>
    <comment ref="S18" authorId="18" shapeId="0" xr:uid="{B6654AD4-BB7E-46DB-BDB8-C5EE8F1D0AE4}">
      <text>
        <t>[Threaded comment]
Your version of Excel allows you to read this threaded comment; however, any edits to it will get removed if the file is opened in a newer version of Excel. Learn more: https://go.microsoft.com/fwlink/?linkid=870924
Comment:
    Electricity plant is modelled, need to derive LCOE (incl. battery) from installed cost of power plants</t>
      </text>
    </comment>
    <comment ref="AD18" authorId="19" shapeId="0" xr:uid="{0C23BDF2-E247-4C8D-B943-607FC0C946D6}">
      <text>
        <t>[Threaded comment]
Your version of Excel allows you to read this threaded comment; however, any edits to it will get removed if the file is opened in a newer version of Excel. Learn more: https://go.microsoft.com/fwlink/?linkid=870924
Comment:
    Note, labor is included in CAPEX for this study</t>
      </text>
    </comment>
    <comment ref="A21" authorId="20" shapeId="0" xr:uid="{A463170D-1C29-4EE5-BFC4-ACBF55AAE826}">
      <text>
        <t>[Threaded comment]
Your version of Excel allows you to read this threaded comment; however, any edits to it will get removed if the file is opened in a newer version of Excel. Learn more: https://go.microsoft.com/fwlink/?linkid=870924
Comment:
    @Katrin: exclude or not</t>
      </text>
    </comment>
    <comment ref="AF22" authorId="21" shapeId="0" xr:uid="{3E1DE9F9-F373-4DD6-BFED-6455DF7D017A}">
      <text>
        <t>[Threaded comment]
Your version of Excel allows you to read this threaded comment; however, any edits to it will get removed if the file is opened in a newer version of Excel. Learn more: https://go.microsoft.com/fwlink/?linkid=870924
Comment:
    I haven‘t done that for any of the sheets yet</t>
      </text>
    </comment>
    <comment ref="G23" authorId="22" shapeId="0" xr:uid="{6048C8E5-CCC8-475B-A27F-E1CC465E639D}">
      <text>
        <t>[Threaded comment]
Your version of Excel allows you to read this threaded comment; however, any edits to it will get removed if the file is opened in a newer version of Excel. Learn more: https://go.microsoft.com/fwlink/?linkid=870924
Comment:
    Although 4 technologies are mentioned, only 2 are modelled</t>
      </text>
    </comment>
    <comment ref="S23" authorId="23" shapeId="0" xr:uid="{42EC91E7-31C3-4CD4-A3B6-B97E3B999614}">
      <text>
        <t>[Threaded comment]
Your version of Excel allows you to read this threaded comment; however, any edits to it will get removed if the file is opened in a newer version of Excel. Learn more: https://go.microsoft.com/fwlink/?linkid=870924
Comment:
    @Yash Dubey (GESSWHO) , please specify range per tech</t>
      </text>
    </comment>
    <comment ref="AG23" authorId="24" shapeId="0" xr:uid="{815F4C81-22A0-4CD2-9BDA-19E3A45A353D}">
      <text>
        <t>[Threaded comment]
Your version of Excel allows you to read this threaded comment; however, any edits to it will get removed if the file is opened in a newer version of Excel. Learn more: https://go.microsoft.com/fwlink/?linkid=870924
Comment:
    @Yash Dubey (GESSWHO) , what is the status on Küng? ☺️</t>
      </text>
    </comment>
    <comment ref="G24" authorId="25" shapeId="0" xr:uid="{87DA5026-20AC-4F24-82B5-0562AB65957F}">
      <text>
        <t>[Threaded comment]
Your version of Excel allows you to read this threaded comment; however, any edits to it will get removed if the file is opened in a newer version of Excel. Learn more: https://go.microsoft.com/fwlink/?linkid=870924
Comment:
    Although 4 technologies are mentioned, only 2 are modelled</t>
      </text>
    </comment>
    <comment ref="AA35" authorId="26" shapeId="0" xr:uid="{602701B5-9907-4792-B53B-10DF61BD69D6}">
      <text>
        <t>[Threaded comment]
Your version of Excel allows you to read this threaded comment; however, any edits to it will get removed if the file is opened in a newer version of Excel. Learn more: https://go.microsoft.com/fwlink/?linkid=870924
Comment:
    This is transport + storage</t>
      </text>
    </comment>
    <comment ref="AA36" authorId="27" shapeId="0" xr:uid="{A98346E9-9A65-425F-B658-F36BEC35D8F1}">
      <text>
        <t xml:space="preserve">[Threaded comment]
Your version of Excel allows you to read this threaded comment; however, any edits to it will get removed if the file is opened in a newer version of Excel. Learn more: https://go.microsoft.com/fwlink/?linkid=870924
Comment:
    This is transport + storage
</t>
      </text>
    </comment>
    <comment ref="A38" authorId="28" shapeId="0" xr:uid="{541DD166-3D8A-48CE-A1F7-8A712E62D2A3}">
      <text>
        <t>[Threaded comment]
Your version of Excel allows you to read this threaded comment; however, any edits to it will get removed if the file is opened in a newer version of Excel. Learn more: https://go.microsoft.com/fwlink/?linkid=870924
Comment:
    @Sievert  Katrin similar to Sinha 2019, there are some things missing to calculate the final cost. Do you think we can contact the authors?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tc={0350936E-5044-471D-A851-AE9586EAACA6}</author>
    <author>tc={64A09F6B-DB5C-4E34-952E-6D0A11E017D9}</author>
    <author>tc={733209E8-3665-41FD-BADC-7944847F9D84}</author>
    <author>tc={86BB2AD5-826A-425D-B333-633E4D38767A}</author>
    <author>tc={0CB68CBC-1557-4C67-93B7-53D7E7A9B650}</author>
    <author>tc={DEF73B4C-B5F4-44BF-B216-26859C6F82B5}</author>
    <author>tc={07F57849-1FFE-4F56-AC47-C971DFCEEAC9}</author>
    <author>tc={4E7D18A9-A9D5-4153-B291-395791263BAC}</author>
    <author>tc={BD04C056-715D-4212-8A4A-8A7D7674B6DD}</author>
    <author>tc={1AC8CD09-0EB0-4214-951B-A26C1D273B22}</author>
    <author>tc={D1EBB37E-50DB-4F0A-AC93-E57F42603E17}</author>
    <author>tc={35FAC218-210D-684F-B09A-02EBE0F780AE}</author>
    <author>tc={F536CBE0-9513-0D48-B524-50C9AB660CBC}</author>
    <author>tc={1EE642E4-A716-E147-93D2-EBC82888867C}</author>
    <author>tc={C95C2BCC-3382-4BE7-948B-2D1F88B6C4EE}</author>
    <author>tc={1B4F455C-B358-4250-8ECB-70EBFDB0C62A}</author>
    <author>tc={371321C4-A3D2-4007-968B-EE1E2CB9DDCF}</author>
    <author>tc={5E072874-0F33-4869-AA80-F4CCC7A97C3A}</author>
    <author>tc={FC56B118-BB61-4DBC-8F46-9F3C2A3A9E4B}</author>
    <author>tc={728DBFB1-DB2C-4EDA-8E92-BE2DED6B0C6B}</author>
    <author>tc={3E1CE0CF-3941-44BC-9E68-9761F9B3A0C3}</author>
    <author>tc={4DDE1A3D-EE9B-47D8-B03C-C35299C31CC2}</author>
    <author>tc={E1714139-03F0-4EFC-966C-2AD42AED0BCB}</author>
    <author>tc={49323A28-0DCB-49FC-989D-88DB2030BFBF}</author>
    <author>tc={989D0218-F576-45FE-ABE7-DEEE1C53086D}</author>
    <author>tc={A11130B6-8F8E-41E3-ACD7-7C044B8FB67F}</author>
    <author>tc={8C4F2012-255B-4EAF-95F0-14F0195BAF1C}</author>
    <author>tc={0B133023-ADBB-434F-ADE6-C39EDED95688}</author>
  </authors>
  <commentList>
    <comment ref="L1" authorId="0" shapeId="0" xr:uid="{0350936E-5044-471D-A851-AE9586EAACA6}">
      <text>
        <t>[Threaded comment]
Your version of Excel allows you to read this threaded comment; however, any edits to it will get removed if the file is opened in a newer version of Excel. Learn more: https://go.microsoft.com/fwlink/?linkid=870924
Comment:
    Super important to distinguish results by cost type. Would be nice to differentiate the data dots in initial boxplots by cost type (e.g., starts for net removed cost; dots for levelized cost of capture, etc.) Will have to dig into the difference for meta-analysis as well</t>
      </text>
    </comment>
    <comment ref="W1" authorId="1" shapeId="0" xr:uid="{64A09F6B-DB5C-4E34-952E-6D0A11E017D9}">
      <text>
        <t>[Threaded comment]
Your version of Excel allows you to read this threaded comment; however, any edits to it will get removed if the file is opened in a newer version of Excel. Learn more: https://go.microsoft.com/fwlink/?linkid=870924
Comment:
    @Katrin: FLH might be interesting sensitivity case - see later whether to standardize/do sensitivity on</t>
      </text>
    </comment>
    <comment ref="AD1" authorId="2" shapeId="0" xr:uid="{733209E8-3665-41FD-BADC-7944847F9D84}">
      <text>
        <t>[Threaded comment]
Your version of Excel allows you to read this threaded comment; however, any edits to it will get removed if the file is opened in a newer version of Excel. Learn more: https://go.microsoft.com/fwlink/?linkid=870924
Comment:
    @Katrin: fill data on where is it taken from</t>
      </text>
    </comment>
    <comment ref="T2" authorId="3" shapeId="0" xr:uid="{86BB2AD5-826A-425D-B333-633E4D38767A}">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2" authorId="4" shapeId="0" xr:uid="{0CB68CBC-1557-4C67-93B7-53D7E7A9B650}">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3" authorId="5" shapeId="0" xr:uid="{DEF73B4C-B5F4-44BF-B216-26859C6F82B5}">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3" authorId="6" shapeId="0" xr:uid="{07F57849-1FFE-4F56-AC47-C971DFCEEAC9}">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4" authorId="7" shapeId="0" xr:uid="{4E7D18A9-A9D5-4153-B291-395791263BAC}">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4" authorId="8" shapeId="0" xr:uid="{BD04C056-715D-4212-8A4A-8A7D7674B6DD}">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5" authorId="9" shapeId="0" xr:uid="{1AC8CD09-0EB0-4214-951B-A26C1D273B22}">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5" authorId="10" shapeId="0" xr:uid="{D1EBB37E-50DB-4F0A-AC93-E57F42603E17}">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W9" authorId="11" shapeId="0" xr:uid="{35FAC218-210D-684F-B09A-02EBE0F780AE}">
      <text>
        <t>[Threaded comment]
Your version of Excel allows you to read this threaded comment; however, any edits to it will get removed if the file is opened in a newer version of Excel. Learn more: https://go.microsoft.com/fwlink/?linkid=870924
Comment:
    Obtained from SI equation for operating hours, not mentioned explicitly</t>
      </text>
    </comment>
    <comment ref="Q10" authorId="12" shapeId="0" xr:uid="{F536CBE0-9513-0D48-B524-50C9AB660CBC}">
      <text>
        <t>[Threaded comment]
Your version of Excel allows you to read this threaded comment; however, any edits to it will get removed if the file is opened in a newer version of Excel. Learn more: https://go.microsoft.com/fwlink/?linkid=870924
Comment:
    This is modelled per ton of CO2
Reply:
    What do you mean?
Reply:
    The paper works with CO2 productivity per collector and calculates costs for 1 collector. There is some discussion of the size of collector and land required for 1Gt capture but it is not explicitly modelled</t>
      </text>
    </comment>
    <comment ref="AF10" authorId="13" shapeId="0" xr:uid="{1EE642E4-A716-E147-93D2-EBC82888867C}">
      <text>
        <t>[Threaded comment]
Your version of Excel allows you to read this threaded comment; however, any edits to it will get removed if the file is opened in a newer version of Excel. Learn more: https://go.microsoft.com/fwlink/?linkid=870924
Comment:
    @Sievert  Katrin we may need to contact this author since the model uses geospatial resolution to calculate costs. It would be great if you can check and validate</t>
      </text>
    </comment>
    <comment ref="G11" authorId="14" shapeId="0" xr:uid="{C95C2BCC-3382-4BE7-948B-2D1F88B6C4EE}">
      <text>
        <t>[Threaded comment]
Your version of Excel allows you to read this threaded comment; however, any edits to it will get removed if the file is opened in a newer version of Excel. Learn more: https://go.microsoft.com/fwlink/?linkid=870924
Comment:
    Note: fully electrified (not natural gas based)</t>
      </text>
    </comment>
    <comment ref="S13" authorId="15" shapeId="0" xr:uid="{1B4F455C-B358-4250-8ECB-70EBFDB0C62A}">
      <text>
        <t>[Threaded comment]
Your version of Excel allows you to read this threaded comment; however, any edits to it will get removed if the file is opened in a newer version of Excel. Learn more: https://go.microsoft.com/fwlink/?linkid=870924
Comment:
    Same as APS 2011</t>
      </text>
    </comment>
    <comment ref="S14" authorId="16" shapeId="0" xr:uid="{371321C4-A3D2-4007-968B-EE1E2CB9DDCF}">
      <text>
        <t>[Threaded comment]
Your version of Excel allows you to read this threaded comment; however, any edits to it will get removed if the file is opened in a newer version of Excel. Learn more: https://go.microsoft.com/fwlink/?linkid=870924
Comment:
    Same as APS 2011</t>
      </text>
    </comment>
    <comment ref="S18" authorId="17" shapeId="0" xr:uid="{5E072874-0F33-4869-AA80-F4CCC7A97C3A}">
      <text>
        <t>[Threaded comment]
Your version of Excel allows you to read this threaded comment; however, any edits to it will get removed if the file is opened in a newer version of Excel. Learn more: https://go.microsoft.com/fwlink/?linkid=870924
Comment:
    Electricity plant is modelled, need to derive LCOE (incl. battery) from installed cost of power plants</t>
      </text>
    </comment>
    <comment ref="AD18" authorId="18" shapeId="0" xr:uid="{FC56B118-BB61-4DBC-8F46-9F3C2A3A9E4B}">
      <text>
        <t>[Threaded comment]
Your version of Excel allows you to read this threaded comment; however, any edits to it will get removed if the file is opened in a newer version of Excel. Learn more: https://go.microsoft.com/fwlink/?linkid=870924
Comment:
    Note, labor is included in CAPEX for this study</t>
      </text>
    </comment>
    <comment ref="A21" authorId="19" shapeId="0" xr:uid="{728DBFB1-DB2C-4EDA-8E92-BE2DED6B0C6B}">
      <text>
        <t>[Threaded comment]
Your version of Excel allows you to read this threaded comment; however, any edits to it will get removed if the file is opened in a newer version of Excel. Learn more: https://go.microsoft.com/fwlink/?linkid=870924
Comment:
    @Katrin: exclude or not</t>
      </text>
    </comment>
    <comment ref="AF22" authorId="20" shapeId="0" xr:uid="{3E1CE0CF-3941-44BC-9E68-9761F9B3A0C3}">
      <text>
        <t>[Threaded comment]
Your version of Excel allows you to read this threaded comment; however, any edits to it will get removed if the file is opened in a newer version of Excel. Learn more: https://go.microsoft.com/fwlink/?linkid=870924
Comment:
    I haven‘t done that for any of the sheets yet</t>
      </text>
    </comment>
    <comment ref="G23" authorId="21" shapeId="0" xr:uid="{4DDE1A3D-EE9B-47D8-B03C-C35299C31CC2}">
      <text>
        <t>[Threaded comment]
Your version of Excel allows you to read this threaded comment; however, any edits to it will get removed if the file is opened in a newer version of Excel. Learn more: https://go.microsoft.com/fwlink/?linkid=870924
Comment:
    Although 4 technologies are mentioned, only 2 are modelled</t>
      </text>
    </comment>
    <comment ref="S23" authorId="22" shapeId="0" xr:uid="{E1714139-03F0-4EFC-966C-2AD42AED0BCB}">
      <text>
        <t>[Threaded comment]
Your version of Excel allows you to read this threaded comment; however, any edits to it will get removed if the file is opened in a newer version of Excel. Learn more: https://go.microsoft.com/fwlink/?linkid=870924
Comment:
    @Yash Dubey (GESSWHO) , please specify range per tech</t>
      </text>
    </comment>
    <comment ref="AG23" authorId="23" shapeId="0" xr:uid="{49323A28-0DCB-49FC-989D-88DB2030BFBF}">
      <text>
        <t>[Threaded comment]
Your version of Excel allows you to read this threaded comment; however, any edits to it will get removed if the file is opened in a newer version of Excel. Learn more: https://go.microsoft.com/fwlink/?linkid=870924
Comment:
    @Yash Dubey (GESSWHO) , what is the status on Küng? ☺️</t>
      </text>
    </comment>
    <comment ref="G24" authorId="24" shapeId="0" xr:uid="{989D0218-F576-45FE-ABE7-DEEE1C53086D}">
      <text>
        <t>[Threaded comment]
Your version of Excel allows you to read this threaded comment; however, any edits to it will get removed if the file is opened in a newer version of Excel. Learn more: https://go.microsoft.com/fwlink/?linkid=870924
Comment:
    Although 4 technologies are mentioned, only 2 are modelled</t>
      </text>
    </comment>
    <comment ref="AA35" authorId="25" shapeId="0" xr:uid="{A11130B6-8F8E-41E3-ACD7-7C044B8FB67F}">
      <text>
        <t>[Threaded comment]
Your version of Excel allows you to read this threaded comment; however, any edits to it will get removed if the file is opened in a newer version of Excel. Learn more: https://go.microsoft.com/fwlink/?linkid=870924
Comment:
    This is transport + storage</t>
      </text>
    </comment>
    <comment ref="AA36" authorId="26" shapeId="0" xr:uid="{8C4F2012-255B-4EAF-95F0-14F0195BAF1C}">
      <text>
        <t xml:space="preserve">[Threaded comment]
Your version of Excel allows you to read this threaded comment; however, any edits to it will get removed if the file is opened in a newer version of Excel. Learn more: https://go.microsoft.com/fwlink/?linkid=870924
Comment:
    This is transport + storage
</t>
      </text>
    </comment>
    <comment ref="A38" authorId="27" shapeId="0" xr:uid="{0B133023-ADBB-434F-ADE6-C39EDED95688}">
      <text>
        <t>[Threaded comment]
Your version of Excel allows you to read this threaded comment; however, any edits to it will get removed if the file is opened in a newer version of Excel. Learn more: https://go.microsoft.com/fwlink/?linkid=870924
Comment:
    @Sievert  Katrin similar to Sinha 2019, there are some things missing to calculate the final cost. Do you think we can contact the authors?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tc={13FBD5C1-C7AD-481E-8BEF-2BCEE5657855}</author>
    <author>tc={81F1FAF5-41A5-4877-88BA-7661CDD385FC}</author>
    <author>tc={F9520948-9D7F-475E-A76C-5B8C0F91C279}</author>
    <author>tc={2C5D1DDE-D2EB-4B36-B440-D5AC5B4DFA10}</author>
    <author>tc={A5FFF8A1-ACF0-4CD3-815A-8476EBCDFC0C}</author>
    <author>tc={FD151479-DE2A-41C3-80E2-1226DA56B401}</author>
  </authors>
  <commentList>
    <comment ref="M2" authorId="0" shapeId="0" xr:uid="{13FBD5C1-C7AD-481E-8BEF-2BCEE5657855}">
      <text>
        <t>[Threaded comment]
Your version of Excel allows you to read this threaded comment; however, any edits to it will get removed if the file is opened in a newer version of Excel. Learn more: https://go.microsoft.com/fwlink/?linkid=870924
Comment:
    LCOE and carbon intensity are harmonized in the same step</t>
      </text>
    </comment>
    <comment ref="A27" authorId="1" shapeId="0" xr:uid="{81F1FAF5-41A5-4877-88BA-7661CDD385FC}">
      <text>
        <t>[Threaded comment]
Your version of Excel allows you to read this threaded comment; however, any edits to it will get removed if the file is opened in a newer version of Excel. Learn more: https://go.microsoft.com/fwlink/?linkid=870924
Comment:
    Will re-run Sievert et al. Again if any inputs to standardize change</t>
      </text>
    </comment>
    <comment ref="K48" authorId="2" shapeId="0" xr:uid="{F9520948-9D7F-475E-A76C-5B8C0F91C279}">
      <text>
        <t>[Threaded comment]
Your version of Excel allows you to read this threaded comment; however, any edits to it will get removed if the file is opened in a newer version of Excel. Learn more: https://go.microsoft.com/fwlink/?linkid=870924
Comment:
    This paper does not detail plant capacity</t>
      </text>
    </comment>
    <comment ref="D60" authorId="3" shapeId="0" xr:uid="{2C5D1DDE-D2EB-4B36-B440-D5AC5B4DFA10}">
      <text>
        <t>[Threaded comment]
Your version of Excel allows you to read this threaded comment; however, any edits to it will get removed if the file is opened in a newer version of Excel. Learn more: https://go.microsoft.com/fwlink/?linkid=870924
Comment:
    Note: fully electrified (not natural gas based)</t>
      </text>
    </comment>
    <comment ref="B140" authorId="4" shapeId="0" xr:uid="{A5FFF8A1-ACF0-4CD3-815A-8476EBCDFC0C}">
      <text>
        <t>[Threaded comment]
Your version of Excel allows you to read this threaded comment; however, any edits to it will get removed if the file is opened in a newer version of Excel. Learn more: https://go.microsoft.com/fwlink/?linkid=870924
Comment:
    Not specified as 2050 in Keith et al. Our assumption</t>
      </text>
    </comment>
    <comment ref="B144" authorId="5" shapeId="0" xr:uid="{FD151479-DE2A-41C3-80E2-1226DA56B401}">
      <text>
        <t>[Threaded comment]
Your version of Excel allows you to read this threaded comment; however, any edits to it will get removed if the file is opened in a newer version of Excel. Learn more: https://go.microsoft.com/fwlink/?linkid=870924
Comment:
    Not specified as 2050 in Keith et al. Our assumption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<sst xmlns="http://schemas.openxmlformats.org/spreadsheetml/2006/main" count="3612" uniqueCount="792">
  <si>
    <t>This is a sheet for standardisation of inputs for the Meta Analysis of Net Removed Cost from Direct Air Capture Transport and Storage</t>
  </si>
  <si>
    <t>Scenario Selected</t>
  </si>
  <si>
    <t>Reference Oil Price</t>
  </si>
  <si>
    <t>Electricity and CO2 Price</t>
  </si>
  <si>
    <t>Reference</t>
  </si>
  <si>
    <t>Parameter</t>
  </si>
  <si>
    <t>Year</t>
  </si>
  <si>
    <t>Value</t>
  </si>
  <si>
    <t>Unit</t>
  </si>
  <si>
    <t>Standard Values</t>
  </si>
  <si>
    <t>Current Year</t>
  </si>
  <si>
    <t>Inflation</t>
  </si>
  <si>
    <t>WACC</t>
  </si>
  <si>
    <t>USD to EUR</t>
  </si>
  <si>
    <t xml:space="preserve">Electricity </t>
  </si>
  <si>
    <t>LCOE</t>
  </si>
  <si>
    <t>$/MWh</t>
  </si>
  <si>
    <t>(these are not Sievert et al. Values - where do they come from?)</t>
  </si>
  <si>
    <t>Vary this for electricity price scenarios</t>
  </si>
  <si>
    <t>LCOH waste heat/combined heat and power</t>
  </si>
  <si>
    <t>$/GJ</t>
  </si>
  <si>
    <t>See Standardization "Carbon intensity" tab</t>
  </si>
  <si>
    <t>LCOH natural gas</t>
  </si>
  <si>
    <t>Carbon intensity NG</t>
  </si>
  <si>
    <t>tCO2/GJ</t>
  </si>
  <si>
    <t>Carbon intensity electricity (solar PV w/ tracking</t>
  </si>
  <si>
    <t>Carbon intensity waste heat</t>
  </si>
  <si>
    <t>CO2 Transport</t>
  </si>
  <si>
    <t>CO2 Transport Cost</t>
  </si>
  <si>
    <t>$/tCO2</t>
  </si>
  <si>
    <t>Dummy value for now</t>
  </si>
  <si>
    <t>CO2 Storage</t>
  </si>
  <si>
    <t>CO2 Storage Cost</t>
  </si>
  <si>
    <t>1 MWh = 3.6 GJ</t>
  </si>
  <si>
    <t>conversion factor</t>
  </si>
  <si>
    <t>Technology</t>
  </si>
  <si>
    <t>Scenario</t>
  </si>
  <si>
    <t>Period raw</t>
  </si>
  <si>
    <t>Source</t>
  </si>
  <si>
    <t>Note</t>
  </si>
  <si>
    <t>Link</t>
  </si>
  <si>
    <t>carbon_intensity</t>
  </si>
  <si>
    <t>unit</t>
  </si>
  <si>
    <t>PV tracking with storage</t>
  </si>
  <si>
    <t>LCOE $/MWh (avg)</t>
  </si>
  <si>
    <t>2022 2H</t>
  </si>
  <si>
    <t>BNEF LCOE - All Technologies - Unites States - LCOE Forecast 2022</t>
  </si>
  <si>
    <t xml:space="preserve">To be converted in $/GJ with conversion factor in Universal Inputs "conversion_electricity" OR just </t>
  </si>
  <si>
    <t>https://www.bnef.com/flagships/lcoe</t>
  </si>
  <si>
    <t>[t-CO2,eq GJ-1]</t>
  </si>
  <si>
    <t>Young et al. (2023)</t>
  </si>
  <si>
    <t>CCGT</t>
  </si>
  <si>
    <t>LCOE $/GJ (low)</t>
  </si>
  <si>
    <t>CCGT CCS</t>
  </si>
  <si>
    <t>LCOE $/MWh (low)</t>
  </si>
  <si>
    <t>CCGT Hydrogen</t>
  </si>
  <si>
    <t>Coal</t>
  </si>
  <si>
    <t>Coal CCS</t>
  </si>
  <si>
    <t>OCGT</t>
  </si>
  <si>
    <t>OCGT CCS</t>
  </si>
  <si>
    <t>OCGT Hydrogen</t>
  </si>
  <si>
    <t>PV non-tracking</t>
  </si>
  <si>
    <t>PV non-tracking with storage</t>
  </si>
  <si>
    <t>PV tracking</t>
  </si>
  <si>
    <t>Utility-scale battery (1h)</t>
  </si>
  <si>
    <t>Utility-scale battery (4h)</t>
  </si>
  <si>
    <t>Wind offshore</t>
  </si>
  <si>
    <t>Wind onshore</t>
  </si>
  <si>
    <t>Wind onshore with storage</t>
  </si>
  <si>
    <t>LCOE $/MWh (high)</t>
  </si>
  <si>
    <t>1,148</t>
  </si>
  <si>
    <t>1,059</t>
  </si>
  <si>
    <t>Nuclear</t>
  </si>
  <si>
    <t>Nuclear Energy Agency (NEA) - Projected Costs of Generating Electricity - 2020 Edition (oecd-nea.org)</t>
  </si>
  <si>
    <t>p.59</t>
  </si>
  <si>
    <t>Geothermal</t>
  </si>
  <si>
    <t>Renewable Power Generation Costs in 2021 (irena.org)</t>
  </si>
  <si>
    <t>In line with icelandic LCOE</t>
  </si>
  <si>
    <t>Global weighted average</t>
  </si>
  <si>
    <t>Carbon intensities used for heat in standardization taken from Young et al. (2023)</t>
  </si>
  <si>
    <t>Country</t>
  </si>
  <si>
    <t>Heat Source</t>
  </si>
  <si>
    <t>Cost Min [$ GJ-1]</t>
  </si>
  <si>
    <t>Cost Median [$ GJ-1]</t>
  </si>
  <si>
    <t>Cost Max [$ GJ-1]</t>
  </si>
  <si>
    <t>Carbon Intensity [kg CO₂eq GJ-1]</t>
  </si>
  <si>
    <t>Refs</t>
  </si>
  <si>
    <t>NATURAL GAS</t>
  </si>
  <si>
    <t>United States</t>
  </si>
  <si>
    <t>Natural Gas</t>
  </si>
  <si>
    <t>IEA (2021). Key world energy statistics 2021</t>
  </si>
  <si>
    <t>Beckers, K.F., and McCabe, K. (2019). GEOPHIRES v2.0: updated geothermal technoeconomic simulation tool. Geotherm. Energy 7, 5. 10.1186/s40517-019-0119-6.</t>
  </si>
  <si>
    <t>Solar</t>
  </si>
  <si>
    <t>IEA (2021). Levelized cost of heating (LCOH) for consumers, for selected space and water heating technologies and countries.</t>
  </si>
  <si>
    <t>WASTE HEAT</t>
  </si>
  <si>
    <t>United states</t>
  </si>
  <si>
    <t>Average</t>
  </si>
  <si>
    <t>Average of NG, geothermal, solar used for waste heat (low temperature heat) carbon intensity</t>
  </si>
  <si>
    <t>Table S9 Prices and carbon intensity natural gas (for the high temperature processes &gt;150°C), alongside prices and carbon intensity of low-grade heat from solar and geothermala (for the low temperature processes &lt;150°C).</t>
  </si>
  <si>
    <t>Low-grade heat can also be supplied with electricity via a heat pump, which assumes the capital cost detailed in Table S1 and a coefficient of performance of 2.b The carbon intensity of geothermal heat is scaled from a baseline reference based on grid intensity,51,52c whilst solar heat is scaled from a baseline based on solar intensity.53,54</t>
  </si>
  <si>
    <t>Finally, the natural gas carbon intensity is calculated from leakage rates reported by Cooper et al.55 and is not including combustion as the processes that use it are oxyfired so all the carbon dioxide from combustion is captured.</t>
  </si>
  <si>
    <t>LCOE cost assumption</t>
  </si>
  <si>
    <t>Source:</t>
  </si>
  <si>
    <t>BNEF LCOE Forecast 2022</t>
  </si>
  <si>
    <t>-</t>
  </si>
  <si>
    <t xml:space="preserve"> LCOE ($/MWh) </t>
  </si>
  <si>
    <t xml:space="preserve"> LCOE (€/MWh) </t>
  </si>
  <si>
    <t>Possible sensitivities</t>
  </si>
  <si>
    <t>PV tracking with storage (high) - 12 battery hours - high</t>
  </si>
  <si>
    <t>LCOE ($/MWh)</t>
  </si>
  <si>
    <t>PV tracking with storage (low) - 12 battery hours - high</t>
  </si>
  <si>
    <t>Wind Offshore</t>
  </si>
  <si>
    <t>Discount rate</t>
  </si>
  <si>
    <t>Average across all studies considered (Multiple sources)</t>
  </si>
  <si>
    <t>Coupling of CO2 and Electricity</t>
  </si>
  <si>
    <t>CO2 Price</t>
  </si>
  <si>
    <t>Electricity Price</t>
  </si>
  <si>
    <t>Slope</t>
  </si>
  <si>
    <t>$/t per $/kWh</t>
  </si>
  <si>
    <t>Electricity Price Range</t>
  </si>
  <si>
    <t>High</t>
  </si>
  <si>
    <t>Low</t>
  </si>
  <si>
    <t>CO2 Price Range</t>
  </si>
  <si>
    <t>Lower bounds of multi component experience curves</t>
  </si>
  <si>
    <t>Included?</t>
  </si>
  <si>
    <t>Title</t>
  </si>
  <si>
    <t>Journal</t>
  </si>
  <si>
    <t>Authors</t>
  </si>
  <si>
    <t>Year of Publication</t>
  </si>
  <si>
    <t>DOI</t>
  </si>
  <si>
    <t>Abstract</t>
  </si>
  <si>
    <t>First Read</t>
  </si>
  <si>
    <t>Second Read</t>
  </si>
  <si>
    <t>Cost Type</t>
  </si>
  <si>
    <t>Timeline</t>
  </si>
  <si>
    <t>Plant size</t>
  </si>
  <si>
    <t>Scale</t>
  </si>
  <si>
    <t>DAC Technology</t>
  </si>
  <si>
    <t>Year of Assumptions in Study</t>
  </si>
  <si>
    <t>Electricity Sources</t>
  </si>
  <si>
    <t>Method</t>
  </si>
  <si>
    <t>Frequently Referenced?</t>
  </si>
  <si>
    <t>Sensitive Parameters</t>
  </si>
  <si>
    <t>Sensitive parameters CAPEX</t>
  </si>
  <si>
    <t>Sensitive parameters OPEX</t>
  </si>
  <si>
    <t>Sensitivity Analysis</t>
  </si>
  <si>
    <t>Sensitivity for current or future costs</t>
  </si>
  <si>
    <t>Main Cost Drivers</t>
  </si>
  <si>
    <t>CAPEX Driver</t>
  </si>
  <si>
    <t>OPEX Driver</t>
  </si>
  <si>
    <t>y</t>
  </si>
  <si>
    <t>Young et al. 2023</t>
  </si>
  <si>
    <t>One Earth</t>
  </si>
  <si>
    <t>John Young 1
, 
Noah McQueen 2
, 
Charithea Charalambous 1
, 
Spyros Foteinis 1
, 
Olivia Hawrot 1
, 
Manuel Ojeda 1
, 
Hélène Pilorgé 2
, 
John Andresen 1
, 
Peter Psarras 2
, 
Phil Renforth 1
, 
Susana Garcia 1
, 
Mijndert van der Spek 1 3</t>
  </si>
  <si>
    <t>10.1016/j.oneear.2023.06.004</t>
  </si>
  <si>
    <t>Relevant</t>
  </si>
  <si>
    <t>Initial plant size</t>
  </si>
  <si>
    <t>Initial plant</t>
  </si>
  <si>
    <t>Liquid solvent</t>
  </si>
  <si>
    <t>nuclear energy</t>
  </si>
  <si>
    <t>Techno-economic modeling</t>
  </si>
  <si>
    <t>Capacity factor, Bare erected cost, Materials scaling</t>
  </si>
  <si>
    <t>Capacity factor</t>
  </si>
  <si>
    <t>Heat demand</t>
  </si>
  <si>
    <t>Tornado Chart</t>
  </si>
  <si>
    <t xml:space="preserve">current </t>
  </si>
  <si>
    <t>Solid sorbent</t>
  </si>
  <si>
    <t xml:space="preserve">nuclear energy, heat pump </t>
  </si>
  <si>
    <t>Electricity price</t>
  </si>
  <si>
    <t>Liquid solvent with electrochemical regeneration</t>
  </si>
  <si>
    <t>Electricity demand, Electricity price, Bare erected cost</t>
  </si>
  <si>
    <t>Bare erected cost</t>
  </si>
  <si>
    <t>Electricity requirement, Electricity price</t>
  </si>
  <si>
    <t>Ambient weathering</t>
  </si>
  <si>
    <t>Bare erected cost, Capacity factor, MgCO3 price</t>
  </si>
  <si>
    <t>MgCO3 price, heat demand</t>
  </si>
  <si>
    <t>1 Gt CO2/year</t>
  </si>
  <si>
    <t>Cost projection</t>
  </si>
  <si>
    <t>Learning rate, Bare erected cost, Materials scaling</t>
  </si>
  <si>
    <t>Learning rate</t>
  </si>
  <si>
    <t>Learning rate, Electricity price, Variable OPEX learning rate</t>
  </si>
  <si>
    <t>COP heat pump, heat demand</t>
  </si>
  <si>
    <t>Electricity demand, Electricity price, Variable OPEX learning rate</t>
  </si>
  <si>
    <t>Electricity demand, electricity price</t>
  </si>
  <si>
    <t>Learning rate, Bare erected cost, Capacity factor</t>
  </si>
  <si>
    <t>Sievert et al. 2024</t>
  </si>
  <si>
    <t>Joule</t>
  </si>
  <si>
    <t>Sievert, Schmidt, Steffen</t>
  </si>
  <si>
    <t>10.1016/j.joule.2024.02.005</t>
  </si>
  <si>
    <t>Solar PV with tracking US</t>
  </si>
  <si>
    <t>Capacity factor, WACC, Plant lifetime</t>
  </si>
  <si>
    <t>COP heat pump, Heat demand</t>
  </si>
  <si>
    <t>Capacity factor, WACC, learning rate OPEX</t>
  </si>
  <si>
    <t>Water requirement and cost</t>
  </si>
  <si>
    <t>Capacity factor, WACC, Calciner CAPEX</t>
  </si>
  <si>
    <t>Capacity factor, discount rate, Calciner CAPEX</t>
  </si>
  <si>
    <t>Electricity demand</t>
  </si>
  <si>
    <t>Capacity factor, Learning rate system, WACC</t>
  </si>
  <si>
    <t>Capacity factor, learning rate system</t>
  </si>
  <si>
    <t>McQueen et al. 2020a</t>
  </si>
  <si>
    <t>Environmental Science &amp; Technology</t>
  </si>
  <si>
    <t>Noah McQueenPeter PsarrasHélène PilorgéSimona LiguoriJiajun HeMengyao YuanCaleb M. WoodallKourosh KianLara PierpointJacob JurewiczJ. Matthew LucasRory JacobsonNoah DeichJennifer Wilcox*</t>
  </si>
  <si>
    <t>10.1021/acs.est.0c00476</t>
  </si>
  <si>
    <t>100kt CO2/year</t>
  </si>
  <si>
    <t>/</t>
  </si>
  <si>
    <t>no sensitivity analysis</t>
  </si>
  <si>
    <t>Contactor CAPEX, Electricity, Steam</t>
  </si>
  <si>
    <t>Contactor CAPEX</t>
  </si>
  <si>
    <t>Sendi et al. 2022</t>
  </si>
  <si>
    <t>Marwan Sendi 1 2
, 
Mai Bui 2 3
, 
Niall Mac Dowell 2 3
, 
Paul Fennell 1 4</t>
  </si>
  <si>
    <t>10.1016/j.oneear.2022.09.003</t>
  </si>
  <si>
    <t>1Mt CO2/year</t>
  </si>
  <si>
    <t>Solar PV</t>
  </si>
  <si>
    <t>Contactor CAPEX, Steam, Electricity</t>
  </si>
  <si>
    <t>Fasihi et al. 2019</t>
  </si>
  <si>
    <t>Journal of Cleaner Production</t>
  </si>
  <si>
    <t>Mahdi Fasihi
, 
Olga Efimova
, 
Christian Breyer</t>
  </si>
  <si>
    <t>10.1016/j.jclepro.2019.03.086</t>
  </si>
  <si>
    <t>WACC, DAC capex, Electricity demand</t>
  </si>
  <si>
    <t>WACC, DAC capex</t>
  </si>
  <si>
    <t>Sensitivity with just one parameter being varied</t>
  </si>
  <si>
    <t>WACC, DAC capex, heat demand</t>
  </si>
  <si>
    <t>heat demand</t>
  </si>
  <si>
    <t>Mazzotti et al. 2013</t>
  </si>
  <si>
    <t>Climatic Change</t>
  </si>
  <si>
    <t xml:space="preserve">Marco Mazzotti, Renato Baciocchi, Michael J. Desmond &amp; Robert H. Socolow </t>
  </si>
  <si>
    <t>10.1007/s10584-012-0679-y</t>
  </si>
  <si>
    <t>Zeman 2014</t>
  </si>
  <si>
    <t>Zeman</t>
  </si>
  <si>
    <t>10.1021/es502887y</t>
  </si>
  <si>
    <t>Prats-Salvado et al. 2024</t>
  </si>
  <si>
    <t>Enric Prats-Salvado*Nipun JagtapNathalie MonnerieChristian Sattler</t>
  </si>
  <si>
    <t>10.1021/acs.est.3c08269</t>
  </si>
  <si>
    <t xml:space="preserve">Liquid solvent </t>
  </si>
  <si>
    <t>Terlouw et al. 2024</t>
  </si>
  <si>
    <t>Tom TerlouwDaniel PokrasViola Becattini*Marco Mazzotti*</t>
  </si>
  <si>
    <t>10.1021/acs.est.3c10041</t>
  </si>
  <si>
    <t>CAPEX scaling factor, Capacity factor, CAPEX</t>
  </si>
  <si>
    <t>CAPEX scaling factor, Capacity factor</t>
  </si>
  <si>
    <t>Electricity demand, Electricity grid emission factor</t>
  </si>
  <si>
    <t>McQueen et al. 2021</t>
  </si>
  <si>
    <t>Frontiers in Climate</t>
  </si>
  <si>
    <t>\nNoah McQueenNoah McQueen1Michael J. DesmondMichael J. Desmond2Robert H. SocolowRobert H. Socolow3Peter PsarrasPeter Psarras1Jennifer Wilcox
Jennifer Wilcox1*</t>
  </si>
  <si>
    <t>10.3389/fclim.2020.618644</t>
  </si>
  <si>
    <t>Lifetime, WACC, natural gas price</t>
  </si>
  <si>
    <t>Lifetime, WACC</t>
  </si>
  <si>
    <t>Heat price</t>
  </si>
  <si>
    <t>Datta et al. 2023</t>
  </si>
  <si>
    <t>Aparajita DattaRamanan Krishnamoorti*</t>
  </si>
  <si>
    <t>10.1021/acs.est.2c05194</t>
  </si>
  <si>
    <t>Membrane-based m-DAC</t>
  </si>
  <si>
    <t>Sinha et al. 2019</t>
  </si>
  <si>
    <t>Sustainable Energy: Process Systems Engineering</t>
  </si>
  <si>
    <t>Anshuman Sinha, Matthew J. Realff</t>
  </si>
  <si>
    <t>10.1002/aic.16607</t>
  </si>
  <si>
    <t>Simon et al. 2011</t>
  </si>
  <si>
    <t>Energy Procedia</t>
  </si>
  <si>
    <t>A.J. Simon
, 
Naluahi B. Kaahaaina
, 
S. Julio Friedmann
, 
Roger D. Aines</t>
  </si>
  <si>
    <t>10.1016/j.egypro.2011.02.196</t>
  </si>
  <si>
    <t>Generic (Solid sorbent referenced)</t>
  </si>
  <si>
    <t>n</t>
  </si>
  <si>
    <t>Fuhrman et al. 2021</t>
  </si>
  <si>
    <t>Environmental Research letters</t>
  </si>
  <si>
    <t>Jay Fuhrman1,2, Andres Clarens2, Katherine Calvin1, Scott C Doney3, James A Edmonds1, Patrick O'Rourke1, Pralit Patel1, Shreekar Pradhan2, William Shobe4 and Haewon McJeon5,1</t>
  </si>
  <si>
    <t>10.1088/1748-9326/ac2db0</t>
  </si>
  <si>
    <t>Not relevant</t>
  </si>
  <si>
    <t>IAM integration and DAC modeling not clear; IAM study; exclusion criterion</t>
  </si>
  <si>
    <t>Küng et al. 2023</t>
  </si>
  <si>
    <t>Energy &amp; Environmental Science</t>
  </si>
  <si>
    <t xml:space="preserve">Lukas Küng, ORCID logo ‡a   Silvan Aeschlimann, ORCID logo ‡b   Charithea Charalambous, ORCID logo ab   Fergus McIlwaine, ORCID logo a   John Young, ORCID logo a   Noah Shannon,b   Karen Strassel, ORCID logo c   Cara Nichole Maesano,b   Rudy Kahsar, ORCID logo b   Daniel Pike,b   Mijndert van der Spek ORCID logo a  and  Susana Garcia ORCID logo </t>
  </si>
  <si>
    <t>10.1039/d3ee01008b</t>
  </si>
  <si>
    <t>Mostafa et al. 2022</t>
  </si>
  <si>
    <t>Carbon Capture Science &amp; Technology</t>
  </si>
  <si>
    <t>Mahmoud Mostafa a b
, 
Cristina Antonicelli c
, 
Christopher Varela d e
, 
Diego Barletta c
, 
Edwin Zondervan b</t>
  </si>
  <si>
    <t>10.1016/j.ccst.2022.100060</t>
  </si>
  <si>
    <t>Keith et al. 2018</t>
  </si>
  <si>
    <r>
      <t>David W. Keith </t>
    </r>
    <r>
      <rPr>
        <sz val="7"/>
        <color theme="1"/>
        <rFont val="Aptos Narrow"/>
        <family val="2"/>
        <scheme val="minor"/>
      </rPr>
      <t>1</t>
    </r>
    <r>
      <rPr>
        <sz val="12"/>
        <color theme="1"/>
        <rFont val="Aptos Narrow"/>
        <family val="2"/>
        <scheme val="minor"/>
      </rPr>
      <t> </t>
    </r>
    <r>
      <rPr>
        <sz val="7"/>
        <color theme="1"/>
        <rFont val="Aptos Narrow"/>
        <family val="2"/>
        <scheme val="minor"/>
      </rPr>
      <t>2</t>
    </r>
    <r>
      <rPr>
        <sz val="12"/>
        <color theme="1"/>
        <rFont val="Aptos Narrow"/>
        <family val="2"/>
        <scheme val="minor"/>
      </rPr>
      <t> </t>
    </r>
    <r>
      <rPr>
        <sz val="7"/>
        <color theme="1"/>
        <rFont val="Aptos Narrow"/>
        <family val="2"/>
        <scheme val="minor"/>
      </rPr>
      <t>3</t>
    </r>
    <r>
      <rPr>
        <sz val="12"/>
        <color theme="1"/>
        <rFont val="Aptos Narrow"/>
        <family val="2"/>
        <scheme val="minor"/>
      </rPr>
      <t> </t>
    </r>
    <r>
      <rPr>
        <sz val="7"/>
        <color theme="1"/>
        <rFont val="Aptos Narrow"/>
        <family val="2"/>
        <scheme val="minor"/>
      </rPr>
      <t>4</t>
    </r>
    <r>
      <rPr>
        <sz val="10"/>
        <color rgb="FF1F1F1F"/>
        <rFont val="Arial"/>
        <family val="2"/>
      </rPr>
      <t>, </t>
    </r>
    <r>
      <rPr>
        <sz val="12"/>
        <color theme="1"/>
        <rFont val="Aptos Narrow"/>
        <family val="2"/>
        <scheme val="minor"/>
      </rPr>
      <t>Geoffrey Holmes </t>
    </r>
    <r>
      <rPr>
        <sz val="7"/>
        <color theme="1"/>
        <rFont val="Aptos Narrow"/>
        <family val="2"/>
        <scheme val="minor"/>
      </rPr>
      <t>3</t>
    </r>
    <r>
      <rPr>
        <sz val="10"/>
        <color rgb="FF1F1F1F"/>
        <rFont val="Arial"/>
        <family val="2"/>
      </rPr>
      <t>, </t>
    </r>
    <r>
      <rPr>
        <sz val="12"/>
        <color theme="1"/>
        <rFont val="Aptos Narrow"/>
        <family val="2"/>
        <scheme val="minor"/>
      </rPr>
      <t>David St. Angelo </t>
    </r>
    <r>
      <rPr>
        <sz val="7"/>
        <color theme="1"/>
        <rFont val="Aptos Narrow"/>
        <family val="2"/>
        <scheme val="minor"/>
      </rPr>
      <t>3</t>
    </r>
    <r>
      <rPr>
        <sz val="10"/>
        <color rgb="FF1F1F1F"/>
        <rFont val="Arial"/>
        <family val="2"/>
      </rPr>
      <t>, </t>
    </r>
    <r>
      <rPr>
        <sz val="12"/>
        <color theme="1"/>
        <rFont val="Aptos Narrow"/>
        <family val="2"/>
        <scheme val="minor"/>
      </rPr>
      <t>Kenton Heidel </t>
    </r>
    <r>
      <rPr>
        <sz val="7"/>
        <color theme="1"/>
        <rFont val="Aptos Narrow"/>
        <family val="2"/>
        <scheme val="minor"/>
      </rPr>
      <t>3</t>
    </r>
  </si>
  <si>
    <t>10.1016/j.joule.2018.05.006</t>
  </si>
  <si>
    <t>Gray et al. 2024</t>
  </si>
  <si>
    <t>Renewable and Sustainable Energy Reviews</t>
  </si>
  <si>
    <t>Nathan Gray a b
, 
Richard O'Shea a b
, 
Beatrice Smyth c
, 
Piet N.L. Lens d
, 
Jerry D. Murphy a b</t>
  </si>
  <si>
    <t>10.1016/j.rser.2024.114552</t>
  </si>
  <si>
    <t>Norwegian Grid</t>
  </si>
  <si>
    <t>Capacity factor, DAC CAPEX, WACC</t>
  </si>
  <si>
    <t>Capacity Factor</t>
  </si>
  <si>
    <t>Rosen et al. 2024</t>
  </si>
  <si>
    <t>Energy &amp; Fuels</t>
  </si>
  <si>
    <t>Natalie RosenAndreas WelterMartin SchwanklNicolas PlumeréJúnior StaudtJakob Burger*</t>
  </si>
  <si>
    <t>10.1021/acs.energyfuels.4c02202</t>
  </si>
  <si>
    <t>Electro-swing adsorption (ESA)</t>
  </si>
  <si>
    <t>Sabatino et al. 2020</t>
  </si>
  <si>
    <t>Industrial &amp; Engineering Chemistry Research</t>
  </si>
  <si>
    <t>Francesco SabatinoMayank MehtaAlexa GrimmMatteo GazzaniFausto GallucciGert Jan KramerMartin van Sint Annaland*</t>
  </si>
  <si>
    <t>10.1021/acs.iecr.9b05641</t>
  </si>
  <si>
    <t>McQueen et al. 2020c</t>
  </si>
  <si>
    <t>Nature Communications</t>
  </si>
  <si>
    <t xml:space="preserve">Noah McQueen, Peter Kelemen, Greg Dipple, Phil Renforth &amp; Jennifer Wilcox </t>
  </si>
  <si>
    <t>10.1038/s41467-020-16510-3</t>
  </si>
  <si>
    <t>Ambient Weathering</t>
  </si>
  <si>
    <t>Carbon mineralization efficiency (mass fraction of caustic MgO converted to MgCO3), environmental losses</t>
  </si>
  <si>
    <t>heat demand, calcination time, calcination temperature</t>
  </si>
  <si>
    <t>Lee et al. 2023</t>
  </si>
  <si>
    <t>Won Hee Lee 1
, 
Xin Zhang 1
, 
Sayan Banerjee 1
, 
Christopher W. Jones 1
, 
Matthew J. Realff 1
, 
Ryan P. Lively 1 2</t>
  </si>
  <si>
    <t>10.1016/j.joule.2023.05.016</t>
  </si>
  <si>
    <t>not mentioned</t>
  </si>
  <si>
    <t>Electricity price, Electricity grid emission factor</t>
  </si>
  <si>
    <t>in text only regarding OPEX</t>
  </si>
  <si>
    <t>Abanades et al. 2023</t>
  </si>
  <si>
    <t>Cell Reports Physical Science</t>
  </si>
  <si>
    <t>J. Carlos Abanades 1
, 
Yolanda A. Criado 1 2
, 
Heidi I. White 1</t>
  </si>
  <si>
    <t>10.1016/j.xcrp.2023.101339</t>
  </si>
  <si>
    <t>Abanades et al. 2020</t>
  </si>
  <si>
    <t>Sustainable Energy &amp; Fuels</t>
  </si>
  <si>
    <t xml:space="preserve">J. Carlos Abanades, ORCID logo *a   Yolanda A. Criado ORCID logo a  and  José Ramón Fernández ORCID logo </t>
  </si>
  <si>
    <t>10.1039/d0se00094a</t>
  </si>
  <si>
    <t>Ragipani et al. 2022</t>
  </si>
  <si>
    <t>ACS Sustainable Chemistry &amp; Engineering</t>
  </si>
  <si>
    <t>Raghavendra RagipaniKeerthana SreenivasanRobert P. AnexHang ZhaiBu Wang*</t>
  </si>
  <si>
    <t>10.1021/acssuschemeng.1c07867</t>
  </si>
  <si>
    <t>Sinha et al. 2017</t>
  </si>
  <si>
    <t>Anshuman SinhaOrcidLalit A. DarunteOrcidChristopher W. JonesOrcidMatthew J. RealffYoshiaki Kawajiri*Orcid</t>
  </si>
  <si>
    <t>10.1021/acs.iecr.6b03887</t>
  </si>
  <si>
    <t>Realmonte et al. 2019</t>
  </si>
  <si>
    <t xml:space="preserve">Giulia Realmonte, Laurent Drouet, Ajay Gambhir, James Glynn, Adam Hawkes, Alexandre C. Köberle &amp; Massimo Tavoni </t>
  </si>
  <si>
    <t>10.1038/s41467-019-10842-5</t>
  </si>
  <si>
    <t>IAM study; exclusion criterion</t>
  </si>
  <si>
    <t>Hanna et al. 2021</t>
  </si>
  <si>
    <t xml:space="preserve">Ryan Hanna, Ahmed Abdulla, Yangyang Xu &amp; David G. Victor </t>
  </si>
  <si>
    <t>10.1038/s41467-020-20437-0</t>
  </si>
  <si>
    <t>Pett-Ridge et al. 2024</t>
  </si>
  <si>
    <t>Report</t>
  </si>
  <si>
    <t>Lawrence Livermore National Laboratory</t>
  </si>
  <si>
    <t>Roads to Removal – Options for carbon dioxide removal in the US (roads2removal.org)</t>
  </si>
  <si>
    <t>Monolith CAPEX</t>
  </si>
  <si>
    <t>Electricity</t>
  </si>
  <si>
    <t>CAPEX</t>
  </si>
  <si>
    <t>NETL/Valentine 2022a</t>
  </si>
  <si>
    <t>National Energy Technology Laboratory</t>
  </si>
  <si>
    <t>DirectAirCaptureCaseStudiesSolventSystem_083122.pdf (doe.gov)</t>
  </si>
  <si>
    <t>Fixed Charge rate, Capacity factor, Natural Gas Price</t>
  </si>
  <si>
    <t>Fixed Charge Rate, Capacity factor, Capital Cost</t>
  </si>
  <si>
    <t>Natural Gas Price, Calciner Natural Gas Requirement</t>
  </si>
  <si>
    <t>NETL/Valentine 2022b</t>
  </si>
  <si>
    <t>TECHNICAL REPORT TEMPLATE AND USER GUIDE (doe.gov)</t>
  </si>
  <si>
    <t>Sorbent cost, fixed charge rate, Capacity factor</t>
  </si>
  <si>
    <t>NASEM 2019</t>
  </si>
  <si>
    <t>National Academies of Sciences, Engineering, and Medicine</t>
  </si>
  <si>
    <t>https://doi.org/10.17226/25259</t>
  </si>
  <si>
    <t>APS 2011</t>
  </si>
  <si>
    <t>American Physical Society</t>
  </si>
  <si>
    <t>Direct-Air-Capture-of-CO2-with-Chemicals_snams5.pdf (cloudinary.com)</t>
  </si>
  <si>
    <t>Harmonized by</t>
  </si>
  <si>
    <t>Type of literature</t>
  </si>
  <si>
    <t>Technology Detail</t>
  </si>
  <si>
    <t>Plant Capacity (Mt CO2/year)</t>
  </si>
  <si>
    <t>Note for future projection</t>
  </si>
  <si>
    <t>YD/KS</t>
  </si>
  <si>
    <t>Journal article</t>
  </si>
  <si>
    <t>KOH absorption paired with regeneration via Ca looping</t>
  </si>
  <si>
    <t>2022-2100</t>
  </si>
  <si>
    <t>Solid sorbent DAC using temperature vacuum swing adsorption</t>
  </si>
  <si>
    <t>MgO ambient weathering with regeneration via calcination</t>
  </si>
  <si>
    <t>KS</t>
  </si>
  <si>
    <t>2023-2050</t>
  </si>
  <si>
    <t>CaO ambient weathering with regeneration via calcination</t>
  </si>
  <si>
    <t>no</t>
  </si>
  <si>
    <t>YD</t>
  </si>
  <si>
    <t>None of key words listed in context of future costs</t>
  </si>
  <si>
    <t>n/a</t>
  </si>
  <si>
    <t>They discuss land use and elec req for 10 Gt CO2/year but they seem to model current costs</t>
  </si>
  <si>
    <t>2020-2050</t>
  </si>
  <si>
    <t>2008/2009</t>
  </si>
  <si>
    <t>For data points before standardization, adjust Zeman 2014 values for other energy sources to 2023$</t>
  </si>
  <si>
    <t>Solar thermal powered liquid solvent</t>
  </si>
  <si>
    <t>Conventional: KOH absorption paired with regeneration via Ca looping</t>
  </si>
  <si>
    <t>Temperature-vacuum swing adsorption (TVSA)</t>
  </si>
  <si>
    <t>Temperature swing adsorption-based DAC</t>
  </si>
  <si>
    <t>Membrane-based DAC</t>
  </si>
  <si>
    <t>Generic</t>
  </si>
  <si>
    <t>Also kicked out because data is outdated (2011)</t>
  </si>
  <si>
    <t>Only FOAK and discussion that learning is needed</t>
  </si>
  <si>
    <t>Variable</t>
  </si>
  <si>
    <t>NaOH absorption DAC process paired with regeneration via Ca looping</t>
  </si>
  <si>
    <t>Borderline; Plant capacity: 6.3 million; because of grid emissions only 3.5 Mt CO2/year removed; "large-scale" in title</t>
  </si>
  <si>
    <t>2016 and Nth kind</t>
  </si>
  <si>
    <t>Model first large-scale plant; not 2050 projection</t>
  </si>
  <si>
    <t>Absorption with regeneration via chemical looping (ACL) as described by Keith et al.13 (TRL 7)</t>
  </si>
  <si>
    <t>Absorption with electrochemical regeneration (AEC); carbonate regeneration using a bipolar membrane described by Iizuka et al.53 (TRL 2−3)</t>
  </si>
  <si>
    <t>Temperature-vacuum-swing adsorption (TVSA) with the  Wurzbacher et al.69 (TRL 8)</t>
  </si>
  <si>
    <t>Electro-swing adsorption (ESA) as described by Voskian and Hatton35 (TRL 1)</t>
  </si>
  <si>
    <t>MgO based</t>
  </si>
  <si>
    <t>64-180</t>
  </si>
  <si>
    <t>64-180 Mt CO2/year removal is huge but no current and future</t>
  </si>
  <si>
    <t>Solid sorbent DAC via electrically driven temperature swing adsorption (ETSA)</t>
  </si>
  <si>
    <t>unclear</t>
  </si>
  <si>
    <t>CaCO3 based</t>
  </si>
  <si>
    <t>2025-2050</t>
  </si>
  <si>
    <t>(a) 903,970 tCO2/year removed (b) 100,000tCO2/year removed</t>
  </si>
  <si>
    <t>monolith-supported sorbent configuration</t>
  </si>
  <si>
    <t>(a) 100,000 (b) 100,000 (c') 1 MtCO2/year net removed</t>
  </si>
  <si>
    <t>end 2008/early 2009</t>
  </si>
  <si>
    <t>Cost estimate</t>
  </si>
  <si>
    <t>DACCS</t>
  </si>
  <si>
    <t>25th percentile</t>
  </si>
  <si>
    <t xml:space="preserve">75th percentile </t>
  </si>
  <si>
    <t>Synfuels</t>
  </si>
  <si>
    <t>Year Currency</t>
  </si>
  <si>
    <t>CAPEX Learning Rates (Capital Cost)</t>
  </si>
  <si>
    <t>OPEX Learning Rates</t>
  </si>
  <si>
    <t>Cost Range Short Term</t>
  </si>
  <si>
    <t>Cost Range 2030</t>
  </si>
  <si>
    <t>Cost Range 2050</t>
  </si>
  <si>
    <t>WACC / Discount Rate</t>
  </si>
  <si>
    <t>Electricity Price Range (EUR/MWh)</t>
  </si>
  <si>
    <t>Electricity Price Source</t>
  </si>
  <si>
    <t>Heat Price Range</t>
  </si>
  <si>
    <t>Heat Price Source</t>
  </si>
  <si>
    <t>Full load hours</t>
  </si>
  <si>
    <t>Plant Lifetime [y]</t>
  </si>
  <si>
    <t>CO2 Transport and Storage</t>
  </si>
  <si>
    <t>Transport cost</t>
  </si>
  <si>
    <t>Storage cost</t>
  </si>
  <si>
    <t>LCA Methdology</t>
  </si>
  <si>
    <t>Data taken from</t>
  </si>
  <si>
    <t>Notes</t>
  </si>
  <si>
    <t>Harmonization Status</t>
  </si>
  <si>
    <t>Net removed cost harmonized</t>
  </si>
  <si>
    <t>Request sent to author</t>
  </si>
  <si>
    <t>Answer?</t>
  </si>
  <si>
    <t>To do</t>
  </si>
  <si>
    <t>2019 USD</t>
  </si>
  <si>
    <t>5-15</t>
  </si>
  <si>
    <t>Net removed cost</t>
  </si>
  <si>
    <t>300 - 550</t>
  </si>
  <si>
    <t>150 - 220</t>
  </si>
  <si>
    <t>USD/tCO2</t>
  </si>
  <si>
    <t>7.5 - 12.5%</t>
  </si>
  <si>
    <t>11 - 300 $/MWh</t>
  </si>
  <si>
    <t>Multiple sources dependent on geographic location</t>
  </si>
  <si>
    <t>3 - 114 $/GJ</t>
  </si>
  <si>
    <t>Prices are based on source (Natural Gas, Geothermal, Solar) and Location</t>
  </si>
  <si>
    <t>8,000 (LT) - 8,760 (HT)</t>
  </si>
  <si>
    <t>0.9</t>
  </si>
  <si>
    <t>Included in net removed cost</t>
  </si>
  <si>
    <t>12.4$/tCO2</t>
  </si>
  <si>
    <t>incl. In transport</t>
  </si>
  <si>
    <t>No LCA</t>
  </si>
  <si>
    <t>Keith et al. (2018)</t>
  </si>
  <si>
    <t>The data for ACL is used from Keith et al.,¹³ AEC from Sabatino et al.,⁵⁴ MgO looping from McQueen et al.,⁶⁸ and the data for TVSA is calculated within their work.⁵¹</t>
  </si>
  <si>
    <t>Completed</t>
  </si>
  <si>
    <t>Convert to $2023 and connect to master sheet</t>
  </si>
  <si>
    <t>10-19</t>
  </si>
  <si>
    <t xml:space="preserve">1,600 - 2,500 </t>
  </si>
  <si>
    <t xml:space="preserve">500 - 1,100 </t>
  </si>
  <si>
    <t>Own modeling</t>
  </si>
  <si>
    <t>10-18</t>
  </si>
  <si>
    <t>900 - 2,100</t>
  </si>
  <si>
    <t xml:space="preserve">200 - 350 </t>
  </si>
  <si>
    <t>400 - 500</t>
  </si>
  <si>
    <t>180 - 250</t>
  </si>
  <si>
    <t>$1.0-4.8/tCO2/km</t>
  </si>
  <si>
    <t>McQueen et al. (2020c)</t>
  </si>
  <si>
    <t>2022 USD</t>
  </si>
  <si>
    <t>521–894</t>
  </si>
  <si>
    <t>226–544</t>
  </si>
  <si>
    <t>39 $/MWh</t>
  </si>
  <si>
    <t>tracking solar PV with storage</t>
  </si>
  <si>
    <t>(B) 5.6 $/GJ</t>
  </si>
  <si>
    <t>natural gas</t>
  </si>
  <si>
    <t>0.5-0.9</t>
  </si>
  <si>
    <t>$5-12/tCO2</t>
  </si>
  <si>
    <t>$9.74-23.20/tCO2</t>
  </si>
  <si>
    <t>My study</t>
  </si>
  <si>
    <t>1180–1392</t>
  </si>
  <si>
    <t>281–579</t>
  </si>
  <si>
    <t>0.75-0.9</t>
  </si>
  <si>
    <t>2153–2874</t>
  </si>
  <si>
    <t>230–835</t>
  </si>
  <si>
    <t>McQueen et al. (2020c); only partially</t>
  </si>
  <si>
    <t>9-25</t>
  </si>
  <si>
    <t>Levelized cost of capture</t>
  </si>
  <si>
    <t xml:space="preserve">233 - 700 </t>
  </si>
  <si>
    <t>12.5%</t>
  </si>
  <si>
    <t>30 - 60 $/MWh</t>
  </si>
  <si>
    <t>United States grid</t>
  </si>
  <si>
    <t>2.8 - 3.9 $/GJ</t>
  </si>
  <si>
    <t>Not specified</t>
  </si>
  <si>
    <t>$10/tCO2</t>
  </si>
  <si>
    <t>Own Modelling</t>
  </si>
  <si>
    <t>None</t>
  </si>
  <si>
    <t>195 - 720</t>
  </si>
  <si>
    <t>5-21%</t>
  </si>
  <si>
    <t>0 - 100$/MWh</t>
  </si>
  <si>
    <t>0-50 $/MWh</t>
  </si>
  <si>
    <t>Not included in CO2 avoided</t>
  </si>
  <si>
    <t>Received Inputs</t>
  </si>
  <si>
    <t>2018 EUR</t>
  </si>
  <si>
    <t xml:space="preserve">10% conservative;15% base case </t>
  </si>
  <si>
    <t>€54-71</t>
  </si>
  <si>
    <t>EUR/tCO2</t>
  </si>
  <si>
    <t>50 €/MWhel</t>
  </si>
  <si>
    <t xml:space="preserve">25 €/MWhth
(900°C) </t>
  </si>
  <si>
    <t>2020: 25y; 2030: 30y; beyond 2030: 30y</t>
  </si>
  <si>
    <t>Not included</t>
  </si>
  <si>
    <t xml:space="preserve"> €38-54</t>
  </si>
  <si>
    <t>20€/MWhth (&lt;100°C)</t>
  </si>
  <si>
    <t>2020: 20y; 2030: 25y; beyond 2030: 30y</t>
  </si>
  <si>
    <t>2008 USD</t>
  </si>
  <si>
    <t>Cost of CO2 avoided (without transport and storage)</t>
  </si>
  <si>
    <t>518-568</t>
  </si>
  <si>
    <t>71$/MWh</t>
  </si>
  <si>
    <t>not specified</t>
  </si>
  <si>
    <t>5.69$/GJ</t>
  </si>
  <si>
    <t>Natural gas</t>
  </si>
  <si>
    <t>not included in CO2 avoided</t>
  </si>
  <si>
    <t>APS (2011)</t>
  </si>
  <si>
    <t>Builds on APS (2011) but changes the cost of absorber and ist energy requirements, and thus the cost of the total system</t>
  </si>
  <si>
    <t>Connected to APS (2011) and Mazzotti (2013)</t>
  </si>
  <si>
    <t>256-325</t>
  </si>
  <si>
    <t>106.1-170.15$/MWh</t>
  </si>
  <si>
    <t>32-51$/MWh</t>
  </si>
  <si>
    <t>Solar thermal</t>
  </si>
  <si>
    <t>Storage yes, Transport no</t>
  </si>
  <si>
    <t>10$/tCO2</t>
  </si>
  <si>
    <t>310-435</t>
  </si>
  <si>
    <t>7.6-23.6$/GJ_LHV</t>
  </si>
  <si>
    <t>2023 EUR</t>
  </si>
  <si>
    <t>750-970</t>
  </si>
  <si>
    <t>42-113$/MWh</t>
  </si>
  <si>
    <t>grid power and waste heat</t>
  </si>
  <si>
    <t>30$/MWh</t>
  </si>
  <si>
    <t>21€/tCO2</t>
  </si>
  <si>
    <t>11€/tCO2</t>
  </si>
  <si>
    <t>He is reviewing it</t>
  </si>
  <si>
    <t>225-1731</t>
  </si>
  <si>
    <t>100-190$/MWh</t>
  </si>
  <si>
    <t>Multiple sources modelled from scratch, including battery storage</t>
  </si>
  <si>
    <t>3.25$/GJ</t>
  </si>
  <si>
    <t>Accounts for leakeage and methan emissions using global warming potential</t>
  </si>
  <si>
    <t>APS (2011), Mazzotti (2013), Zeman (2014), Keith (2018)</t>
  </si>
  <si>
    <t>WACC, Plant Lifetime, and Natural Gas price</t>
  </si>
  <si>
    <t>Build on APS (2011), Mazzotti (2013), Zeman (2014), Keith (2018)</t>
  </si>
  <si>
    <t>227$/tCO2</t>
  </si>
  <si>
    <t>35$/MWh</t>
  </si>
  <si>
    <t>New onshore wind energy generation resoues entering service in 2025</t>
  </si>
  <si>
    <t>Transport neglected; Storage included</t>
  </si>
  <si>
    <t>Storage cost is included in cost of compression, injection, recycling, and storage per tCO2 $40</t>
  </si>
  <si>
    <t>91-95$/tCO2</t>
  </si>
  <si>
    <t>Input parameters to calculate OPEX are missing; reached out to Prof Matthew Realff</t>
  </si>
  <si>
    <t>Will exclude</t>
  </si>
  <si>
    <t>2011 USD</t>
  </si>
  <si>
    <t>Cost of capture, transport, storage</t>
  </si>
  <si>
    <t>300 - 865</t>
  </si>
  <si>
    <t>74-211$/MWh</t>
  </si>
  <si>
    <t>2-8$/GJ</t>
  </si>
  <si>
    <t>Tower, Thermal Efficiency</t>
  </si>
  <si>
    <t>371 - 2750</t>
  </si>
  <si>
    <t>7.5-12.5%</t>
  </si>
  <si>
    <t>68-147$/MWh</t>
  </si>
  <si>
    <t>NREL Wind LCA(https://www.nrel.
gov/docs/fy13osti/57131.pdf),https://www.gov.uk/government/statisticaldata-sets/international-industrial-energy-prices.</t>
  </si>
  <si>
    <t>1-4$/MWh</t>
  </si>
  <si>
    <t>excluded</t>
  </si>
  <si>
    <t>Global Warming Potential</t>
  </si>
  <si>
    <t>No, but multiple scenarios</t>
  </si>
  <si>
    <t>Uploaded with code</t>
  </si>
  <si>
    <t>18.09.2024; 26.09.24</t>
  </si>
  <si>
    <t>Python model received from author</t>
  </si>
  <si>
    <t>243 - 1750</t>
  </si>
  <si>
    <t>Reached out to Mostafa to see if he can share excel model</t>
  </si>
  <si>
    <t>Awaiting reply</t>
  </si>
  <si>
    <t>Has three scenarios which should be included</t>
  </si>
  <si>
    <t>2016 USD</t>
  </si>
  <si>
    <t>168-232</t>
  </si>
  <si>
    <t>94-170 (Nth financials)</t>
  </si>
  <si>
    <t>5.56% and 11.72%</t>
  </si>
  <si>
    <t>30-60$/MWh</t>
  </si>
  <si>
    <t>3$/GJ</t>
  </si>
  <si>
    <t>not included</t>
  </si>
  <si>
    <t xml:space="preserve">Keith doesn't account for the indirect emissions (this is expressed as cost per ton of captured CO2, not removed). Our Figure 7 showed certain indirect emissions associated to gas extraction, but those are for Scenario A.In the Scenario C both the NG extraction and the electricity source impact the indirect emissions. </t>
  </si>
  <si>
    <t>Convert to $2023 and connect to master sheet; currently $2016</t>
  </si>
  <si>
    <t>40$/MWh</t>
  </si>
  <si>
    <t>Norwegian grid price average 2023</t>
  </si>
  <si>
    <t>Heat Pump</t>
  </si>
  <si>
    <t>The model is quite simplified but has all inputs we will standardize</t>
  </si>
  <si>
    <t>Convert to $2023 and connect to master sheet. Currently €2023</t>
  </si>
  <si>
    <t>Electrochemical</t>
  </si>
  <si>
    <t>On holiday until October 14</t>
  </si>
  <si>
    <t>Reached out and asked for model/ more detailed data information</t>
  </si>
  <si>
    <t>Iizuka et. al.</t>
  </si>
  <si>
    <t>Wurzbacher et al.</t>
  </si>
  <si>
    <t>Voskian and
Hatton</t>
  </si>
  <si>
    <t>45-150</t>
  </si>
  <si>
    <t>43-148</t>
  </si>
  <si>
    <t>4-11%</t>
  </si>
  <si>
    <t>8-16.7$/GJ</t>
  </si>
  <si>
    <t>US Grid</t>
  </si>
  <si>
    <t>3.5$/GJ</t>
  </si>
  <si>
    <t>0.03 $/kWh</t>
  </si>
  <si>
    <t>Wind energy</t>
  </si>
  <si>
    <t>not relevant</t>
  </si>
  <si>
    <t>Not levelized cost but rather cost of capture calculated</t>
  </si>
  <si>
    <t>2023 USD</t>
  </si>
  <si>
    <t>134-256</t>
  </si>
  <si>
    <t>5-10%</t>
  </si>
  <si>
    <t>50-68$/MWh</t>
  </si>
  <si>
    <t>IEA</t>
  </si>
  <si>
    <t>2.2-5.3$/GJ</t>
  </si>
  <si>
    <t>Included</t>
  </si>
  <si>
    <t>5-20$/tCO2</t>
  </si>
  <si>
    <t>Own Modelling, Keith 2018</t>
  </si>
  <si>
    <t>No</t>
  </si>
  <si>
    <t>2020 USD</t>
  </si>
  <si>
    <t>138-331</t>
  </si>
  <si>
    <t>9$/GJ</t>
  </si>
  <si>
    <t>2-10$/GJ</t>
  </si>
  <si>
    <t>5-15$/tCO2</t>
  </si>
  <si>
    <t>121-140</t>
  </si>
  <si>
    <t>2024 USD</t>
  </si>
  <si>
    <t>10-12%</t>
  </si>
  <si>
    <t>246-566</t>
  </si>
  <si>
    <t>127-231</t>
  </si>
  <si>
    <t>60-309$/MWh</t>
  </si>
  <si>
    <t>Grid</t>
  </si>
  <si>
    <t>$2.9/GJ</t>
  </si>
  <si>
    <t>7.75$/tCO2</t>
  </si>
  <si>
    <t>McQueen et. al., 2020</t>
  </si>
  <si>
    <t>Modelled on McQueen et. al. 2020 and Keith et.al, 2018</t>
  </si>
  <si>
    <t>193-331</t>
  </si>
  <si>
    <t>Keith et.al, 2018</t>
  </si>
  <si>
    <t>Modelled on Keith et.al, 2018</t>
  </si>
  <si>
    <t>(a) 293$/tCO2 (903,970 tCO2/year removed) (b) 468$/tCO2 (100000tCO2/year removed)</t>
  </si>
  <si>
    <t>4.42$/MMBtu</t>
  </si>
  <si>
    <t>85% (sensitivity: 0.3 - 0.95)</t>
  </si>
  <si>
    <t>not clear</t>
  </si>
  <si>
    <t>included</t>
  </si>
  <si>
    <t>15.2-15.6 for transport and storage</t>
  </si>
  <si>
    <t>Keith et.al. 2018</t>
  </si>
  <si>
    <t>+/-50 percent uncertainty present in the capital cost estimate; separate sensitivity analysis for capacity factor, system pressure drop, natural gas price, solvent makeup rate, solvent cost, capture fraction, calciner natural gas requirement, financial assumptions (fixed charge rate [FCR])</t>
  </si>
  <si>
    <t>Most sub-systems were modeled directly from Carbon Engineering (CE) process data (Keith et al. (2018); [3] vendor quotes and engineering, procurement, and construction industrial experience were used to model the balance of plant. Independent operating and capital cost estimates based on commercially available technology from reputable suppliers were developed by Black &amp; Veatch using their in-house cost estimating references. The capital cost estimates represent an AACE International (AACE) Class 5 estimate, with an uncertainty range of +/-50 percent. Sensitivity</t>
  </si>
  <si>
    <t>(a)Case 0B $702/tonne ($637/ton) (b) Case 0B-EB  $475/tonne ($431/ton) (c) Case 0B $430/tonne ($390/ton)</t>
  </si>
  <si>
    <t>60$/MWh</t>
  </si>
  <si>
    <t>renewable</t>
  </si>
  <si>
    <t>23.8-23-9 for transport and storage; 10 for renewable case</t>
  </si>
  <si>
    <t>+/-50 percent uncertainty present in the capital cost estimate; Sensitivity analysis: include capital cost, natural gas price, sorbent cost, sorbent lifetime, financing assumptions (fixed charge rate), system pressure drop, system capture fraction, sorbent regeneration energy, and a single case addressing CO2 product purity from the adsorber vessels</t>
  </si>
  <si>
    <t>2018 USD</t>
  </si>
  <si>
    <t>199-357</t>
  </si>
  <si>
    <t>Keith et al., (2018); Holmes and Keith (2012)</t>
  </si>
  <si>
    <t>Modelled based on Holmes and Keith, 2012; and Keith et al. 2018); design “C” configuration, which omits the onsite power island and instead uses grid electricity to supply all electrical work, suitable in regions with available low-carbon electricity. However, the C configuration assumes compression of CO2 to 15 MPa, and compression is not included in the committee’s analysis. Compression results in an energy of 0.48 GJ/tCO2 and cost of $8/tCO2, assuming an electricity cost of $60/MWh—leading to additional emissions of 0.1 Mt CO2 for every Mt CO2 captured, assuming an average grid emissions factor of 744 kgCO2/MWh.</t>
  </si>
  <si>
    <t>compression is not included in the committee’s analysis. Compression results in an energy of 0.48 GJ/tCO2 and cost of $8/tCO2, assuming an electricity cost of $60/MWh—leading to additional emissions of 0.1 Mt CO2 for every Mt CO2 captured, assuming an average grid emissions factor of 744 kgCO2/MWh.</t>
  </si>
  <si>
    <t>89-256</t>
  </si>
  <si>
    <t>solar</t>
  </si>
  <si>
    <t>0.65$/GJ</t>
  </si>
  <si>
    <t>not specified (solar potentially)</t>
  </si>
  <si>
    <t>Own modelling</t>
  </si>
  <si>
    <t xml:space="preserve">610-780$/tCO2 avoided </t>
  </si>
  <si>
    <t>Cost ($/tCO2)</t>
  </si>
  <si>
    <t>Net removed cost ($/tCO2)</t>
  </si>
  <si>
    <t>Cost Breakdowns</t>
  </si>
  <si>
    <t>Year of Cost Currency</t>
  </si>
  <si>
    <t>Year of Cost</t>
  </si>
  <si>
    <t>Currency shown</t>
  </si>
  <si>
    <t>Study Scenario</t>
  </si>
  <si>
    <t>Cost type</t>
  </si>
  <si>
    <t>Cumulative capacity (Mt CO2/year)</t>
  </si>
  <si>
    <t>Baseline $2023 Any Cost Type</t>
  </si>
  <si>
    <t>Baseline $2023 Net avoided cost (LCOE and carbon intensity harm)</t>
  </si>
  <si>
    <t>WACC any cost type Harmonized</t>
  </si>
  <si>
    <t>Fully Harmonized NET REMOVED COST (incl T&amp;S</t>
  </si>
  <si>
    <t>CO2</t>
  </si>
  <si>
    <t>Other OPEX</t>
  </si>
  <si>
    <t>Study Type</t>
  </si>
  <si>
    <t>Plant Location</t>
  </si>
  <si>
    <t>Production</t>
  </si>
  <si>
    <t>USD</t>
  </si>
  <si>
    <t>Low net removed cost</t>
  </si>
  <si>
    <t>High net removed cost</t>
  </si>
  <si>
    <t>Base Case</t>
  </si>
  <si>
    <t>Levelised Cost of Removal</t>
  </si>
  <si>
    <t>Low - USA</t>
  </si>
  <si>
    <t>Low - UK</t>
  </si>
  <si>
    <t>Low - Indonesia</t>
  </si>
  <si>
    <t>Low - Saudi Arabia</t>
  </si>
  <si>
    <t>Medium - USA</t>
  </si>
  <si>
    <t>Medium - UK</t>
  </si>
  <si>
    <t>Medium - Indonesia</t>
  </si>
  <si>
    <t>Medium - Saudi Arabia</t>
  </si>
  <si>
    <t>High - USA</t>
  </si>
  <si>
    <t>High - UK</t>
  </si>
  <si>
    <t>High - Indonesia</t>
  </si>
  <si>
    <t>High - Saudi Arabia</t>
  </si>
  <si>
    <t>Conservative</t>
  </si>
  <si>
    <t>M-250Y Optimization of C_avo</t>
  </si>
  <si>
    <t>Levelized cost of CO2 avoided (without transport and storage)</t>
  </si>
  <si>
    <t>M-500Y Optimization of C_avo</t>
  </si>
  <si>
    <t>M-CC Optimization of C_avo</t>
  </si>
  <si>
    <t>Chile</t>
  </si>
  <si>
    <t>Portugal</t>
  </si>
  <si>
    <t>US</t>
  </si>
  <si>
    <t>Europe</t>
  </si>
  <si>
    <t>Germany grid connected</t>
  </si>
  <si>
    <t>Germany grid connected with waste heat</t>
  </si>
  <si>
    <t>Natural Gas Thermal - GWP excluded - HF</t>
  </si>
  <si>
    <t>Natural Gas Electric - GWP Excluded - HF</t>
  </si>
  <si>
    <t>Natural Gas Thermal - GWP Included - HF</t>
  </si>
  <si>
    <t>Natural Gas Electric - GWP Included - HF</t>
  </si>
  <si>
    <t>Natural Gas Thermal - GWP excluded - VF</t>
  </si>
  <si>
    <t>Natural Gas Electric - GWP Excluded - VF</t>
  </si>
  <si>
    <t>Natural Gas Thermal - GWP Included - VF</t>
  </si>
  <si>
    <t>Natural Gas Electric - GWP Included - VF</t>
  </si>
  <si>
    <t>Reference - Wind</t>
  </si>
  <si>
    <t xml:space="preserve">Reference - Geothermal </t>
  </si>
  <si>
    <t>Reference - Nat. Gas w/o seq</t>
  </si>
  <si>
    <t>Reference - Nat. Gas w/seq</t>
  </si>
  <si>
    <t>Pessimistic - Wind</t>
  </si>
  <si>
    <t xml:space="preserve">Pessimistic - Geothermal </t>
  </si>
  <si>
    <t>Pessimistic - Nat. Gas w/o seq</t>
  </si>
  <si>
    <t>Pessimistic - Nat. Gas w/seq</t>
  </si>
  <si>
    <t>Optimistic - Wind</t>
  </si>
  <si>
    <t xml:space="preserve">Optimistic - Geothermal </t>
  </si>
  <si>
    <t>Optimistic - Nat. Gas w/o seq</t>
  </si>
  <si>
    <t>Optimistic - Nat. Gas w/seq</t>
  </si>
  <si>
    <t>Amino acid salt solution</t>
  </si>
  <si>
    <t>MEA</t>
  </si>
  <si>
    <t>MgO</t>
  </si>
  <si>
    <t>Reference Scenario A (low WACC)</t>
  </si>
  <si>
    <t>Scenario C  (low WACC)</t>
  </si>
  <si>
    <t>Scenario D  (low WACC)</t>
  </si>
  <si>
    <t>Scenario B: Nth of a kind of scenario A  (low WACC)</t>
  </si>
  <si>
    <t>Reference Scenario A (high WACC)</t>
  </si>
  <si>
    <t>Scenario C  (high WACC)</t>
  </si>
  <si>
    <t>Scenario D  (high WACC)</t>
  </si>
  <si>
    <t>Scenario B: Nth of a kind of scenario A  (high WACC)</t>
  </si>
  <si>
    <t>Lower Bound</t>
  </si>
  <si>
    <t>Upper Bound</t>
  </si>
  <si>
    <t>2030 USD</t>
  </si>
  <si>
    <t>Na2CO3 based</t>
  </si>
  <si>
    <t>Low Electricity Price</t>
  </si>
  <si>
    <t>Average Electricity Price</t>
  </si>
  <si>
    <t>High Electricity Price</t>
  </si>
  <si>
    <t>2050 USD</t>
  </si>
  <si>
    <t>Scenario A</t>
  </si>
  <si>
    <t>Scenario C</t>
  </si>
  <si>
    <t>Scenario D</t>
  </si>
  <si>
    <t>Scenario B</t>
  </si>
  <si>
    <t>Case 1 (903,970 tonnes/yr)</t>
  </si>
  <si>
    <t>Case 1 with CPU (903,970 tonnes/yr)</t>
  </si>
  <si>
    <t>Case 1A (100,000 tonnes/yr)</t>
  </si>
  <si>
    <t>Case 0B</t>
  </si>
  <si>
    <t>Case 0B-EB</t>
  </si>
  <si>
    <t>Realistic</t>
  </si>
  <si>
    <t>Optimistic</t>
  </si>
  <si>
    <t>Inflation, consumer prices (annual %) - United States</t>
  </si>
  <si>
    <t>FRED Graph Observations</t>
  </si>
  <si>
    <t>Inflation, consumer prices (annual %) - United States | Data (worldbank.org)</t>
  </si>
  <si>
    <t>Federal Reserve Economic Data</t>
  </si>
  <si>
    <t>Link: https://fred.stlouisfed.org</t>
  </si>
  <si>
    <t>Country Code</t>
  </si>
  <si>
    <t>Indicator Name</t>
  </si>
  <si>
    <t>Indicator Code</t>
  </si>
  <si>
    <t>Help: https://fredhelp.stlouisfed.org</t>
  </si>
  <si>
    <t>USA</t>
  </si>
  <si>
    <t>Inflation, consumer prices (annual %)</t>
  </si>
  <si>
    <t>FP.CPI.TOTL.ZG</t>
  </si>
  <si>
    <t>Economic Research Division</t>
  </si>
  <si>
    <t>2008</t>
  </si>
  <si>
    <t>Federal Reserve Bank of St. Louis</t>
  </si>
  <si>
    <t>2009</t>
  </si>
  <si>
    <t>2010</t>
  </si>
  <si>
    <t>2011</t>
  </si>
  <si>
    <t>2012</t>
  </si>
  <si>
    <t>2013</t>
  </si>
  <si>
    <t>2014</t>
  </si>
  <si>
    <t>2015</t>
  </si>
  <si>
    <t>2016</t>
  </si>
  <si>
    <t>2017</t>
  </si>
  <si>
    <t>2018</t>
  </si>
  <si>
    <t>2019</t>
  </si>
  <si>
    <t>2020</t>
  </si>
  <si>
    <t>2021</t>
  </si>
  <si>
    <t>2022</t>
  </si>
  <si>
    <t>2023</t>
  </si>
  <si>
    <t>Currency</t>
  </si>
  <si>
    <t>Euro Zone</t>
  </si>
  <si>
    <t>Euro</t>
  </si>
  <si>
    <t>To convert from foreign currency to U.S. dollars, divide the foreign currency amount by the applicable yearly average exchange rate in the table</t>
  </si>
  <si>
    <t>1 Euro</t>
  </si>
  <si>
    <t>USD in 2019</t>
  </si>
  <si>
    <t>Yearly average currency exchange rates | Internal Revenue Service (irs.gov)</t>
  </si>
  <si>
    <t>EXUSEU</t>
  </si>
  <si>
    <t>U.S. Dollars to Euro Spot Exchange Rate, U.S. Dollars to One Euro, Monthly, Not Seasonally Adjusted</t>
  </si>
  <si>
    <t>Frequency: Monthly</t>
  </si>
  <si>
    <t>observation_date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</si>
</sst>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_(* \(#,##0.00\);_(* &quot;-&quot;??_);_(@_)"/>
    <numFmt numFmtId="165" formatCode="_(* #,##0_);_(* \(#,##0\);_(* &quot;-&quot;??_);_(@_)"/>
    <numFmt numFmtId="166" formatCode="_-* #,##0_-;\-* #,##0_-;_-* &quot;-&quot;??_-;_-@_-"/>
    <numFmt numFmtId="167" formatCode="0.0"/>
    <numFmt numFmtId="168" formatCode="_ * #,##0.0000_ ;_ * \-#,##0.0000_ ;_ * &quot;-&quot;??_ ;_ @_ "/>
    <numFmt numFmtId="169" formatCode="_ * #,##0.00000_ ;_ * \-#,##0.00000_ ;_ * &quot;-&quot;??_ ;_ @_ "/>
    <numFmt numFmtId="170" formatCode="_ * #,##0_ ;_ * \-#,##0_ ;_ * &quot;-&quot;??_ ;_ @_ "/>
    <numFmt numFmtId="171" formatCode="0.0000"/>
  </numFmts>
  <fonts count="36" x14ac:knownFonts="1">
    <font>
      <sz val="12"/>
      <color theme="1"/>
      <name val="Aptos Narrow"/>
      <family val="2"/>
      <scheme val="minor"/>
    </font>
    <font>
      <sz val="11"/>
      <color theme="1"/>
      <name val="Aptos Narrow"/>
      <family val="2"/>
      <scheme val="minor"/>
    </font>
    <font>
      <u/>
      <sz val="12"/>
      <color theme="10"/>
      <name val="Aptos Narrow"/>
      <family val="2"/>
      <scheme val="minor"/>
    </font>
    <font>
      <sz val="12"/>
      <color theme="1"/>
      <name val="Aptos Narrow"/>
      <family val="2"/>
      <scheme val="minor"/>
    </font>
    <font>
      <b/>
      <sz val="12"/>
      <color theme="1"/>
      <name val="Aptos Narrow"/>
      <family val="2"/>
      <scheme val="minor"/>
    </font>
    <font>
      <sz val="12"/>
      <color rgb="FF000000"/>
      <name val="Aptos Narrow"/>
      <family val="2"/>
    </font>
    <font>
      <sz val="12"/>
      <color theme="1"/>
      <name val="Aptos Narrow"/>
      <family val="2"/>
    </font>
    <font>
      <b/>
      <sz val="15"/>
      <color rgb="FF44546A"/>
      <name val="Aptos Narrow"/>
      <family val="2"/>
    </font>
    <font>
      <i/>
      <sz val="12"/>
      <color rgb="FF808080"/>
      <name val="Aptos Narrow"/>
      <family val="2"/>
    </font>
    <font>
      <b/>
      <sz val="12"/>
      <color rgb="FF3F3F3F"/>
      <name val="Aptos Narrow"/>
      <family val="2"/>
    </font>
    <font>
      <b/>
      <i/>
      <sz val="12"/>
      <color rgb="FF808080"/>
      <name val="Aptos Narrow"/>
      <family val="2"/>
    </font>
    <font>
      <sz val="12"/>
      <color rgb="FF3F3F76"/>
      <name val="Aptos Narrow"/>
      <family val="2"/>
    </font>
    <font>
      <b/>
      <sz val="12"/>
      <color rgb="FF000000"/>
      <name val="Aptos Narrow"/>
      <family val="2"/>
    </font>
    <font>
      <sz val="8"/>
      <name val="Aptos Narrow"/>
      <family val="2"/>
      <scheme val="minor"/>
    </font>
    <font>
      <sz val="11"/>
      <color theme="1"/>
      <name val="Aptos Narrow"/>
      <family val="2"/>
      <scheme val="minor"/>
    </font>
    <font>
      <b/>
      <sz val="9"/>
      <color theme="1"/>
      <name val="Arial"/>
      <family val="2"/>
    </font>
    <font>
      <b/>
      <sz val="11"/>
      <color theme="1"/>
      <name val="Aptos Narrow"/>
      <family val="2"/>
      <scheme val="minor"/>
    </font>
    <font>
      <sz val="9"/>
      <color theme="1"/>
      <name val="Arial"/>
      <family val="2"/>
    </font>
    <font>
      <sz val="11"/>
      <color rgb="FFFF0000"/>
      <name val="Aptos Narrow"/>
      <family val="2"/>
      <scheme val="minor"/>
    </font>
    <font>
      <sz val="12"/>
      <color rgb="FFFF0000"/>
      <name val="Aptos Narrow"/>
      <family val="2"/>
      <scheme val="minor"/>
    </font>
    <font>
      <b/>
      <sz val="12"/>
      <color theme="1"/>
      <name val="Aptos Narrow"/>
      <family val="2"/>
      <scheme val="minor"/>
    </font>
    <font>
      <sz val="12"/>
      <name val="Aptos Narrow"/>
      <family val="2"/>
      <scheme val="minor"/>
    </font>
    <font>
      <sz val="12"/>
      <color theme="5"/>
      <name val="Aptos Narrow"/>
      <family val="2"/>
      <scheme val="minor"/>
    </font>
    <font>
      <sz val="12"/>
      <color rgb="FF000000"/>
      <name val="Aptos Narrow"/>
      <family val="2"/>
      <scheme val="minor"/>
    </font>
    <font>
      <b/>
      <sz val="13.5"/>
      <color rgb="FFFFFFFF"/>
      <name val="Source Sans Pro"/>
      <family val="2"/>
    </font>
    <font>
      <sz val="10"/>
      <color rgb="FF1B1B1B"/>
      <name val="Source Sans Pro"/>
      <family val="2"/>
    </font>
    <font>
      <sz val="12"/>
      <color theme="4"/>
      <name val="Aptos Narrow"/>
      <family val="2"/>
      <scheme val="minor"/>
    </font>
    <font>
      <sz val="10"/>
      <name val="Arial"/>
      <family val="2"/>
    </font>
    <font>
      <b/>
      <sz val="10"/>
      <color rgb="FF1B1B1B"/>
      <name val="Source Sans Pro"/>
      <family val="2"/>
    </font>
    <font>
      <b/>
      <sz val="11"/>
      <name val="Calibri"/>
      <family val="2"/>
    </font>
    <font>
      <sz val="7"/>
      <color theme="1"/>
      <name val="Aptos Narrow"/>
      <family val="2"/>
      <scheme val="minor"/>
    </font>
    <font>
      <sz val="10"/>
      <color rgb="FF1F1F1F"/>
      <name val="Arial"/>
      <family val="2"/>
    </font>
    <font>
      <u/>
      <sz val="12"/>
      <name val="Aptos Narrow"/>
      <family val="2"/>
      <scheme val="minor"/>
    </font>
    <font>
      <sz val="11"/>
      <color theme="7"/>
      <name val="Aptos Narrow"/>
      <family val="2"/>
      <scheme val="minor"/>
    </font>
    <font>
      <sz val="12"/>
      <color theme="8"/>
      <name val="Aptos Narrow"/>
      <family val="2"/>
      <scheme val="minor"/>
    </font>
    <font>
      <sz val="11"/>
      <color theme="1"/>
      <name val="Calibri"/>
      <family val="2"/>
    </font>
  </fonts>
  <fills count="12">
    <fill>
      <patternFill patternType="none"/>
    </fill>
    <fill>
      <patternFill patternType="gray125"/>
    </fill>
    <fill>
      <patternFill patternType="solid">
        <fgColor rgb="FFFFCC99"/>
        <bgColor rgb="FF000000"/>
      </patternFill>
    </fill>
    <fill>
      <patternFill patternType="solid">
        <fgColor theme="5" tint="0.79998168889431442"/>
        <bgColor indexed="64"/>
      </patternFill>
    </fill>
    <fill>
      <patternFill patternType="solid">
        <fgColor theme="3" tint="0.749992370372631"/>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002D62"/>
        <bgColor indexed="64"/>
      </patternFill>
    </fill>
    <fill>
      <patternFill patternType="solid">
        <fgColor theme="0" tint="-4.9989318521683403E-2"/>
        <bgColor indexed="64"/>
      </patternFill>
    </fill>
    <fill>
      <patternFill patternType="solid">
        <fgColor theme="6" tint="0.79998168889431442"/>
        <bgColor indexed="64"/>
      </patternFill>
    </fill>
  </fills>
  <borders count="1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thick">
        <color rgb="FF4472C4"/>
      </bottom>
      <diagonal/>
    </border>
    <border>
      <left/>
      <right style="thin">
        <color rgb="FF3F3F3F"/>
      </right>
      <top style="thin">
        <color rgb="FF3F3F3F"/>
      </top>
      <bottom style="thin">
        <color rgb="FF3F3F3F"/>
      </bottom>
      <diagonal/>
    </border>
    <border>
      <left style="thin">
        <color rgb="FF3F3F3F"/>
      </left>
      <right style="thin">
        <color rgb="FF3F3F3F"/>
      </right>
      <top/>
      <bottom/>
      <diagonal/>
    </border>
    <border>
      <left/>
      <right style="thin">
        <color rgb="FF3F3F3F"/>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rgb="FFD6D7D9"/>
      </left>
      <right style="medium">
        <color rgb="FF000000"/>
      </right>
      <top style="medium">
        <color rgb="FFD6D7D9"/>
      </top>
      <bottom style="medium">
        <color rgb="FFD6D7D9"/>
      </bottom>
      <diagonal/>
    </border>
    <border>
      <left style="medium">
        <color rgb="FFDDDDDD"/>
      </left>
      <right style="medium">
        <color rgb="FF000000"/>
      </right>
      <top style="medium">
        <color rgb="FFD6D7D9"/>
      </top>
      <bottom style="medium">
        <color rgb="FFD6D7D9"/>
      </bottom>
      <diagonal/>
    </border>
    <border>
      <left style="medium">
        <color rgb="FFDDDDDD"/>
      </left>
      <right style="medium">
        <color rgb="FFD6D7D9"/>
      </right>
      <top style="medium">
        <color rgb="FFD6D7D9"/>
      </top>
      <bottom style="medium">
        <color rgb="FFD6D7D9"/>
      </bottom>
      <diagonal/>
    </border>
    <border>
      <left style="medium">
        <color rgb="FFD6D7D9"/>
      </left>
      <right style="medium">
        <color rgb="FFDDDDDD"/>
      </right>
      <top style="medium">
        <color rgb="FFD6D7D9"/>
      </top>
      <bottom style="medium">
        <color rgb="FFD6D7D9"/>
      </bottom>
      <diagonal/>
    </border>
    <border>
      <left style="medium">
        <color rgb="FFDDDDDD"/>
      </left>
      <right style="medium">
        <color rgb="FFDDDDDD"/>
      </right>
      <top style="medium">
        <color rgb="FFD6D7D9"/>
      </top>
      <bottom style="medium">
        <color rgb="FFD6D7D9"/>
      </bottom>
      <diagonal/>
    </border>
    <border>
      <left style="medium">
        <color rgb="FFDDDDDD"/>
      </left>
      <right/>
      <top/>
      <bottom/>
      <diagonal/>
    </border>
    <border>
      <left style="thin">
        <color auto="1"/>
      </left>
      <right style="thin">
        <color auto="1"/>
      </right>
      <top/>
      <bottom/>
      <diagonal/>
    </border>
  </borders>
  <cellStyleXfs count="5">
    <xf numFmtId="0" fontId="0" fillId="0" borderId="0"/>
    <xf numFmtId="0" fontId="2" fillId="0" borderId="0" applyNumberFormat="0" applyFill="0" applyBorder="0" applyAlignment="0" applyProtection="0"/>
    <xf numFmtId="9" fontId="3" fillId="0" borderId="0" applyFont="0" applyFill="0" applyBorder="0" applyAlignment="0" applyProtection="0"/>
    <xf numFmtId="0" fontId="14" fillId="0" borderId="0"/>
    <xf numFmtId="43" fontId="3" fillId="0" borderId="0" applyFont="0" applyFill="0" applyBorder="0" applyAlignment="0" applyProtection="0"/>
  </cellStyleXfs>
  <cellXfs count="145">
    <xf numFmtId="0" fontId="0" fillId="0" borderId="0" xfId="0"/>
    <xf numFmtId="0" fontId="4" fillId="0" borderId="0" xfId="0" applyFont="1"/>
    <xf numFmtId="0" fontId="0" fillId="3" borderId="0" xfId="0" applyFill="1"/>
    <xf numFmtId="0" fontId="0" fillId="0" borderId="0" xfId="0" applyAlignment="1">
      <alignment wrapText="1"/>
    </xf>
    <xf numFmtId="9" fontId="0" fillId="0" borderId="0" xfId="2" applyFont="1"/>
    <xf numFmtId="10" fontId="0" fillId="0" borderId="0" xfId="0" applyNumberFormat="1"/>
    <xf numFmtId="2" fontId="0" fillId="0" borderId="0" xfId="0" applyNumberFormat="1"/>
    <xf numFmtId="0" fontId="4" fillId="4" borderId="0" xfId="0" applyFont="1" applyFill="1"/>
    <xf numFmtId="0" fontId="0" fillId="4" borderId="0" xfId="0" applyFill="1"/>
    <xf numFmtId="0" fontId="5" fillId="0" borderId="0" xfId="0" applyFont="1"/>
    <xf numFmtId="0" fontId="6" fillId="0" borderId="0" xfId="0" applyFont="1"/>
    <xf numFmtId="0" fontId="7" fillId="0" borderId="3" xfId="0" applyFont="1" applyBorder="1"/>
    <xf numFmtId="0" fontId="8" fillId="0" borderId="0" xfId="0" applyFont="1"/>
    <xf numFmtId="0" fontId="9" fillId="0" borderId="2" xfId="0" applyFont="1" applyBorder="1"/>
    <xf numFmtId="0" fontId="9" fillId="0" borderId="4" xfId="0" applyFont="1" applyBorder="1"/>
    <xf numFmtId="0" fontId="9" fillId="0" borderId="0" xfId="0" applyFont="1"/>
    <xf numFmtId="165" fontId="5" fillId="0" borderId="0" xfId="0" applyNumberFormat="1" applyFont="1"/>
    <xf numFmtId="165" fontId="9" fillId="0" borderId="5" xfId="0" applyNumberFormat="1" applyFont="1" applyBorder="1"/>
    <xf numFmtId="165" fontId="9" fillId="0" borderId="6" xfId="0" applyNumberFormat="1" applyFont="1" applyBorder="1"/>
    <xf numFmtId="165" fontId="9" fillId="0" borderId="0" xfId="0" applyNumberFormat="1" applyFont="1"/>
    <xf numFmtId="165" fontId="8" fillId="0" borderId="0" xfId="0" applyNumberFormat="1" applyFont="1"/>
    <xf numFmtId="165" fontId="10" fillId="0" borderId="7" xfId="0" applyNumberFormat="1" applyFont="1" applyBorder="1"/>
    <xf numFmtId="165" fontId="10" fillId="0" borderId="8" xfId="0" applyNumberFormat="1" applyFont="1" applyBorder="1"/>
    <xf numFmtId="164" fontId="10" fillId="0" borderId="8" xfId="0" applyNumberFormat="1" applyFont="1" applyBorder="1"/>
    <xf numFmtId="165" fontId="10" fillId="0" borderId="0" xfId="0" applyNumberFormat="1" applyFont="1"/>
    <xf numFmtId="164" fontId="10" fillId="0" borderId="0" xfId="0" applyNumberFormat="1" applyFont="1"/>
    <xf numFmtId="166" fontId="10" fillId="0" borderId="0" xfId="0" applyNumberFormat="1" applyFont="1"/>
    <xf numFmtId="0" fontId="12" fillId="0" borderId="0" xfId="0" applyFont="1" applyAlignment="1">
      <alignment horizontal="right"/>
    </xf>
    <xf numFmtId="164" fontId="12" fillId="0" borderId="0" xfId="0" applyNumberFormat="1" applyFont="1"/>
    <xf numFmtId="10" fontId="11" fillId="2" borderId="1" xfId="0" applyNumberFormat="1" applyFont="1" applyFill="1" applyBorder="1"/>
    <xf numFmtId="1" fontId="0" fillId="0" borderId="0" xfId="0" applyNumberFormat="1"/>
    <xf numFmtId="0" fontId="15" fillId="0" borderId="0" xfId="3" applyFont="1"/>
    <xf numFmtId="0" fontId="16" fillId="0" borderId="0" xfId="0" applyFont="1"/>
    <xf numFmtId="0" fontId="16" fillId="5" borderId="0" xfId="0" applyFont="1" applyFill="1"/>
    <xf numFmtId="0" fontId="17" fillId="3" borderId="0" xfId="3" applyFont="1" applyFill="1"/>
    <xf numFmtId="0" fontId="0" fillId="0" borderId="0" xfId="0" quotePrefix="1"/>
    <xf numFmtId="0" fontId="18" fillId="6" borderId="0" xfId="0" applyFont="1" applyFill="1"/>
    <xf numFmtId="0" fontId="2" fillId="0" borderId="0" xfId="1" applyAlignment="1">
      <alignment horizontal="fill"/>
    </xf>
    <xf numFmtId="0" fontId="17" fillId="5" borderId="0" xfId="0" applyFont="1" applyFill="1"/>
    <xf numFmtId="0" fontId="17" fillId="0" borderId="0" xfId="0" applyFont="1"/>
    <xf numFmtId="0" fontId="17" fillId="0" borderId="0" xfId="3" applyFont="1"/>
    <xf numFmtId="0" fontId="0" fillId="5" borderId="0" xfId="0" applyFill="1"/>
    <xf numFmtId="0" fontId="17" fillId="7" borderId="0" xfId="3" applyFont="1" applyFill="1"/>
    <xf numFmtId="0" fontId="0" fillId="3" borderId="0" xfId="0" quotePrefix="1" applyFill="1"/>
    <xf numFmtId="0" fontId="18" fillId="3" borderId="0" xfId="0" applyFont="1" applyFill="1"/>
    <xf numFmtId="0" fontId="2" fillId="3" borderId="0" xfId="1" applyFill="1" applyAlignment="1">
      <alignment horizontal="fill"/>
    </xf>
    <xf numFmtId="0" fontId="17" fillId="3" borderId="0" xfId="0" applyFont="1" applyFill="1"/>
    <xf numFmtId="0" fontId="0" fillId="0" borderId="0" xfId="0" applyAlignment="1">
      <alignment horizontal="fill"/>
    </xf>
    <xf numFmtId="0" fontId="19" fillId="0" borderId="0" xfId="0" applyFont="1"/>
    <xf numFmtId="0" fontId="2" fillId="0" borderId="0" xfId="1" applyFill="1" applyAlignment="1" applyProtection="1"/>
    <xf numFmtId="0" fontId="2" fillId="0" borderId="0" xfId="1" applyAlignment="1" applyProtection="1"/>
    <xf numFmtId="0" fontId="20" fillId="0" borderId="0" xfId="0" applyFont="1"/>
    <xf numFmtId="9" fontId="0" fillId="0" borderId="0" xfId="2" applyFont="1" applyAlignment="1">
      <alignment horizontal="right"/>
    </xf>
    <xf numFmtId="14" fontId="0" fillId="0" borderId="0" xfId="0" applyNumberFormat="1"/>
    <xf numFmtId="9" fontId="0" fillId="0" borderId="0" xfId="0" applyNumberFormat="1"/>
    <xf numFmtId="0" fontId="21" fillId="0" borderId="0" xfId="0" applyFont="1"/>
    <xf numFmtId="3" fontId="0" fillId="0" borderId="0" xfId="0" applyNumberFormat="1"/>
    <xf numFmtId="0" fontId="3" fillId="0" borderId="0" xfId="0" applyFont="1"/>
    <xf numFmtId="0" fontId="23" fillId="0" borderId="0" xfId="0" applyFont="1"/>
    <xf numFmtId="9" fontId="23" fillId="0" borderId="0" xfId="0" applyNumberFormat="1" applyFont="1"/>
    <xf numFmtId="0" fontId="0" fillId="7" borderId="0" xfId="0" applyFill="1"/>
    <xf numFmtId="167" fontId="0" fillId="0" borderId="0" xfId="0" applyNumberFormat="1"/>
    <xf numFmtId="43" fontId="0" fillId="0" borderId="0" xfId="0" applyNumberFormat="1"/>
    <xf numFmtId="0" fontId="2" fillId="0" borderId="0" xfId="1" applyAlignment="1">
      <alignment horizontal="left" vertical="center"/>
    </xf>
    <xf numFmtId="0" fontId="2" fillId="0" borderId="0" xfId="1"/>
    <xf numFmtId="0" fontId="24" fillId="9" borderId="10" xfId="0" applyFont="1" applyFill="1" applyBorder="1" applyAlignment="1">
      <alignment horizontal="left" wrapText="1"/>
    </xf>
    <xf numFmtId="0" fontId="24" fillId="9" borderId="11" xfId="0" applyFont="1" applyFill="1" applyBorder="1" applyAlignment="1">
      <alignment horizontal="left" wrapText="1"/>
    </xf>
    <xf numFmtId="0" fontId="25" fillId="8" borderId="13" xfId="0" applyFont="1" applyFill="1" applyBorder="1" applyAlignment="1">
      <alignment vertical="top" wrapText="1"/>
    </xf>
    <xf numFmtId="0" fontId="25" fillId="8" borderId="11" xfId="0" applyFont="1" applyFill="1" applyBorder="1" applyAlignment="1">
      <alignment vertical="top" wrapText="1"/>
    </xf>
    <xf numFmtId="0" fontId="24" fillId="9" borderId="14" xfId="0" applyFont="1" applyFill="1" applyBorder="1" applyAlignment="1">
      <alignment horizontal="left" wrapText="1"/>
    </xf>
    <xf numFmtId="0" fontId="24" fillId="9" borderId="0" xfId="0" applyFont="1" applyFill="1" applyAlignment="1">
      <alignment horizontal="left" wrapText="1"/>
    </xf>
    <xf numFmtId="10" fontId="23" fillId="0" borderId="0" xfId="0" applyNumberFormat="1" applyFont="1"/>
    <xf numFmtId="3" fontId="23" fillId="0" borderId="0" xfId="0" applyNumberFormat="1" applyFont="1"/>
    <xf numFmtId="2" fontId="0" fillId="0" borderId="0" xfId="0" applyNumberFormat="1" applyAlignment="1">
      <alignment horizontal="right"/>
    </xf>
    <xf numFmtId="0" fontId="27" fillId="0" borderId="0" xfId="0" applyFont="1"/>
    <xf numFmtId="0" fontId="27" fillId="0" borderId="0" xfId="0" quotePrefix="1" applyFont="1"/>
    <xf numFmtId="14" fontId="27" fillId="0" borderId="0" xfId="0" applyNumberFormat="1" applyFont="1"/>
    <xf numFmtId="3" fontId="27" fillId="0" borderId="0" xfId="0" applyNumberFormat="1" applyFont="1"/>
    <xf numFmtId="0" fontId="28" fillId="8" borderId="12" xfId="0" applyFont="1" applyFill="1" applyBorder="1" applyAlignment="1">
      <alignment vertical="top" wrapText="1"/>
    </xf>
    <xf numFmtId="10" fontId="0" fillId="0" borderId="0" xfId="2" applyNumberFormat="1" applyFont="1"/>
    <xf numFmtId="0" fontId="29" fillId="0" borderId="7"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 vertical="top"/>
    </xf>
    <xf numFmtId="17" fontId="0" fillId="0" borderId="0" xfId="0" applyNumberFormat="1"/>
    <xf numFmtId="0" fontId="0" fillId="0" borderId="0" xfId="0" applyAlignment="1">
      <alignment horizontal="right"/>
    </xf>
    <xf numFmtId="0" fontId="24" fillId="9" borderId="9" xfId="0" applyFont="1" applyFill="1" applyBorder="1" applyAlignment="1">
      <alignment horizontal="left" wrapText="1"/>
    </xf>
    <xf numFmtId="0" fontId="25" fillId="0" borderId="0" xfId="0" applyFont="1"/>
    <xf numFmtId="14" fontId="19" fillId="0" borderId="0" xfId="0" applyNumberFormat="1" applyFont="1"/>
    <xf numFmtId="0" fontId="26" fillId="7" borderId="0" xfId="0" applyFont="1" applyFill="1"/>
    <xf numFmtId="9" fontId="0" fillId="7" borderId="0" xfId="0" applyNumberFormat="1" applyFill="1"/>
    <xf numFmtId="0" fontId="19" fillId="7" borderId="0" xfId="0" applyFont="1" applyFill="1"/>
    <xf numFmtId="0" fontId="32" fillId="0" borderId="0" xfId="1" applyFont="1" applyFill="1" applyAlignment="1" applyProtection="1"/>
    <xf numFmtId="0" fontId="22" fillId="0" borderId="0" xfId="0" applyFont="1"/>
    <xf numFmtId="14" fontId="0" fillId="7" borderId="0" xfId="0" applyNumberFormat="1" applyFill="1"/>
    <xf numFmtId="0" fontId="33" fillId="0" borderId="0" xfId="0" applyFont="1"/>
    <xf numFmtId="168" fontId="33" fillId="0" borderId="0" xfId="4" applyNumberFormat="1" applyFont="1" applyAlignment="1">
      <alignment vertical="center"/>
    </xf>
    <xf numFmtId="169" fontId="33" fillId="0" borderId="0" xfId="4" applyNumberFormat="1" applyFont="1" applyAlignment="1">
      <alignment vertical="center"/>
    </xf>
    <xf numFmtId="0" fontId="0" fillId="0" borderId="0" xfId="0" applyAlignment="1">
      <alignment horizontal="left"/>
    </xf>
    <xf numFmtId="0" fontId="4" fillId="0" borderId="0" xfId="0" applyFont="1" applyAlignment="1">
      <alignment horizontal="left" vertical="center"/>
    </xf>
    <xf numFmtId="0" fontId="4" fillId="0" borderId="0" xfId="0" applyFont="1" applyAlignment="1">
      <alignment horizontal="left"/>
    </xf>
    <xf numFmtId="0" fontId="0" fillId="0" borderId="0" xfId="0" applyAlignment="1">
      <alignment horizontal="left" vertical="center"/>
    </xf>
    <xf numFmtId="167" fontId="4" fillId="0" borderId="0" xfId="0" applyNumberFormat="1" applyFont="1" applyAlignment="1">
      <alignment horizontal="left"/>
    </xf>
    <xf numFmtId="0" fontId="2" fillId="0" borderId="0" xfId="1" applyFill="1"/>
    <xf numFmtId="1" fontId="1" fillId="0" borderId="0" xfId="0" applyNumberFormat="1" applyFont="1"/>
    <xf numFmtId="1" fontId="0" fillId="0" borderId="0" xfId="0" applyNumberFormat="1" applyAlignment="1">
      <alignment vertical="center" wrapText="1"/>
    </xf>
    <xf numFmtId="0" fontId="0" fillId="10" borderId="0" xfId="0" applyFill="1"/>
    <xf numFmtId="43" fontId="0" fillId="10" borderId="0" xfId="0" applyNumberFormat="1" applyFill="1"/>
    <xf numFmtId="0" fontId="34" fillId="10" borderId="0" xfId="0" applyFont="1" applyFill="1"/>
    <xf numFmtId="0" fontId="35" fillId="0" borderId="0" xfId="0" applyFont="1"/>
    <xf numFmtId="170" fontId="35" fillId="0" borderId="0" xfId="4" applyNumberFormat="1" applyFont="1" applyAlignment="1">
      <alignment vertical="center"/>
    </xf>
    <xf numFmtId="0" fontId="0" fillId="7" borderId="0" xfId="0" applyFill="1" applyAlignment="1">
      <alignment wrapText="1"/>
    </xf>
    <xf numFmtId="171" fontId="0" fillId="0" borderId="0" xfId="0" applyNumberFormat="1"/>
    <xf numFmtId="0" fontId="23" fillId="5" borderId="0" xfId="0" applyFont="1" applyFill="1"/>
    <xf numFmtId="9" fontId="0" fillId="3" borderId="0" xfId="2" applyFont="1" applyFill="1"/>
    <xf numFmtId="1" fontId="0" fillId="3" borderId="0" xfId="0" applyNumberFormat="1" applyFill="1"/>
    <xf numFmtId="0" fontId="0" fillId="3" borderId="0" xfId="0" applyFill="1" applyAlignment="1">
      <alignment wrapText="1"/>
    </xf>
    <xf numFmtId="14" fontId="0" fillId="3" borderId="0" xfId="0" applyNumberFormat="1" applyFill="1"/>
    <xf numFmtId="0" fontId="0" fillId="11" borderId="0" xfId="0" applyFill="1"/>
    <xf numFmtId="9" fontId="0" fillId="11" borderId="0" xfId="2" applyFont="1" applyFill="1" applyAlignment="1">
      <alignment horizontal="right"/>
    </xf>
    <xf numFmtId="14" fontId="0" fillId="11" borderId="0" xfId="0" applyNumberFormat="1" applyFill="1"/>
    <xf numFmtId="0" fontId="23" fillId="11" borderId="0" xfId="0" applyFont="1" applyFill="1"/>
    <xf numFmtId="9" fontId="0" fillId="11" borderId="0" xfId="2" applyFont="1" applyFill="1"/>
    <xf numFmtId="0" fontId="0" fillId="11" borderId="0" xfId="0" applyFill="1" applyAlignment="1">
      <alignment wrapText="1"/>
    </xf>
    <xf numFmtId="9" fontId="0" fillId="3" borderId="0" xfId="0" applyNumberFormat="1" applyFill="1"/>
    <xf numFmtId="0" fontId="21" fillId="3" borderId="0" xfId="0" applyFont="1" applyFill="1"/>
    <xf numFmtId="0" fontId="2" fillId="3" borderId="0" xfId="1" applyFill="1" applyAlignment="1" applyProtection="1"/>
    <xf numFmtId="10" fontId="0" fillId="3" borderId="0" xfId="0" applyNumberFormat="1" applyFill="1"/>
    <xf numFmtId="0" fontId="19" fillId="3" borderId="0" xfId="0" applyFont="1" applyFill="1"/>
    <xf numFmtId="0" fontId="23" fillId="3" borderId="0" xfId="0" applyFont="1" applyFill="1"/>
    <xf numFmtId="10" fontId="23" fillId="3" borderId="0" xfId="0" applyNumberFormat="1" applyFont="1" applyFill="1"/>
    <xf numFmtId="3" fontId="23" fillId="3" borderId="0" xfId="0" applyNumberFormat="1" applyFont="1" applyFill="1"/>
    <xf numFmtId="3" fontId="0" fillId="3" borderId="0" xfId="0" applyNumberFormat="1" applyFill="1"/>
    <xf numFmtId="9" fontId="23" fillId="5" borderId="0" xfId="0" applyNumberFormat="1" applyFont="1" applyFill="1"/>
    <xf numFmtId="0" fontId="0" fillId="3" borderId="0" xfId="0" applyFill="1" applyAlignment="1">
      <alignment horizontal="right"/>
    </xf>
    <xf numFmtId="17" fontId="0" fillId="3" borderId="0" xfId="0" applyNumberFormat="1" applyFill="1"/>
    <xf numFmtId="0" fontId="5" fillId="3" borderId="0" xfId="0" applyFont="1" applyFill="1"/>
    <xf numFmtId="0" fontId="32" fillId="3" borderId="0" xfId="1" applyFont="1" applyFill="1" applyAlignment="1" applyProtection="1"/>
    <xf numFmtId="0" fontId="22" fillId="3" borderId="0" xfId="0" applyFont="1" applyFill="1"/>
    <xf numFmtId="9" fontId="0" fillId="11" borderId="0" xfId="0" applyNumberFormat="1" applyFill="1"/>
    <xf numFmtId="170" fontId="0" fillId="0" borderId="0" xfId="4" applyNumberFormat="1" applyFont="1"/>
    <xf numFmtId="0" fontId="2" fillId="11" borderId="0" xfId="1" applyFill="1" applyAlignment="1" applyProtection="1"/>
    <xf numFmtId="10" fontId="0" fillId="11" borderId="0" xfId="0" applyNumberFormat="1" applyFill="1"/>
    <xf numFmtId="0" fontId="5" fillId="11" borderId="0" xfId="0" applyFont="1" applyFill="1"/>
    <xf numFmtId="0" fontId="0" fillId="0" borderId="7" xfId="0" applyBorder="1"/>
    <xf numFmtId="0" fontId="0" fillId="0" borderId="0" xfId="0" applyAlignment="1">
      <alignment horizontal="center"/>
    </xf>
  </cellXfs>
  <cellStyles count="5">
    <cellStyle name="Comma" xfId="4" builtinId="3"/>
    <cellStyle name="Hyperlink" xfId="1" builtinId="8"/>
    <cellStyle name="Normal" xfId="0" builtinId="0"/>
    <cellStyle name="Normal 2" xfId="3" xr:uid="{93C04280-CBA5-B944-83DB-A7AAB169697E}"/>
    <cellStyle name="Percent" xfId="2" builtinId="5"/>
  </cellStyles>
  <dxfs count="6">
    <dxf>
      <fill>
        <patternFill>
          <bgColor theme="9" tint="0.79998168889431442"/>
        </patternFill>
      </fill>
    </dxf>
    <dxf>
      <fill>
        <patternFill>
          <bgColor theme="4" tint="0.79998168889431442"/>
        </patternFill>
      </fill>
    </dxf>
    <dxf>
      <fill>
        <patternFill>
          <bgColor theme="5"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openxmlformats.org/officeDocument/2006/relationships/externalLink" Target="externalLinks/externalLink26.xml"/><Relationship Id="rId21" Type="http://schemas.openxmlformats.org/officeDocument/2006/relationships/externalLink" Target="externalLinks/externalLink8.xml"/><Relationship Id="rId34" Type="http://schemas.openxmlformats.org/officeDocument/2006/relationships/externalLink" Target="externalLinks/externalLink21.xml"/><Relationship Id="rId42" Type="http://schemas.openxmlformats.org/officeDocument/2006/relationships/externalLink" Target="externalLinks/externalLink29.xml"/><Relationship Id="rId47" Type="http://schemas.openxmlformats.org/officeDocument/2006/relationships/sheetMetadata" Target="metadata.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3.xml"/><Relationship Id="rId29" Type="http://schemas.openxmlformats.org/officeDocument/2006/relationships/externalLink" Target="externalLinks/externalLink1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40" Type="http://schemas.openxmlformats.org/officeDocument/2006/relationships/externalLink" Target="externalLinks/externalLink27.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externalLink" Target="externalLinks/externalLink23.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43" Type="http://schemas.openxmlformats.org/officeDocument/2006/relationships/externalLink" Target="externalLinks/externalLink30.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46" Type="http://schemas.openxmlformats.org/officeDocument/2006/relationships/sharedStrings" Target="sharedStrings.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liquisolvent_2022.xlsm" TargetMode="External"/><Relationship Id="rId1" Type="http://schemas.openxmlformats.org/officeDocument/2006/relationships/externalLinkPath" Target="Young2023/Young2023_Harmonization_done_liquisolvent_202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liquisolvent_2050.xlsm" TargetMode="External"/><Relationship Id="rId1" Type="http://schemas.openxmlformats.org/officeDocument/2006/relationships/externalLinkPath" Target="Young2023/Young2023_Harmonization_done_liquisolvent_2050.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solid%20sorbent_2022.xlsm" TargetMode="External"/><Relationship Id="rId1" Type="http://schemas.openxmlformats.org/officeDocument/2006/relationships/externalLinkPath" Target="Young2023/Young2023_Harmonization_done_solid%20sorbent_2022.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solid%20sorbent_2050.xlsm" TargetMode="External"/><Relationship Id="rId1" Type="http://schemas.openxmlformats.org/officeDocument/2006/relationships/externalLinkPath" Target="Young2023/Young2023_Harmonization_done_solid%20sorbent_2050.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electrochemLS_2022.xlsm" TargetMode="External"/><Relationship Id="rId1" Type="http://schemas.openxmlformats.org/officeDocument/2006/relationships/externalLinkPath" Target="Young2023/Young2023_Harmonization_done_electrochemLS_2022.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electrochemLS_2050.xlsm" TargetMode="External"/><Relationship Id="rId1" Type="http://schemas.openxmlformats.org/officeDocument/2006/relationships/externalLinkPath" Target="Young2023/Young2023_Harmonization_done_electrochemLS_2050.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ambientw_2022.xlsm" TargetMode="External"/><Relationship Id="rId1" Type="http://schemas.openxmlformats.org/officeDocument/2006/relationships/externalLinkPath" Target="Young2023/Young2023_Harmonization_done_ambientw_2022.xlsm"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ambientw_2050.xlsm" TargetMode="External"/><Relationship Id="rId1" Type="http://schemas.openxmlformats.org/officeDocument/2006/relationships/externalLinkPath" Target="Young2023/Young2023_Harmonization_done_ambientw_2050.xlsm"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Sievert2024_Harmonization.xlsx" TargetMode="External"/><Relationship Id="rId1" Type="http://schemas.openxmlformats.org/officeDocument/2006/relationships/externalLinkPath" Target="Sievert2024_Harmonization.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McQueen2020_Harmonization_Done.xlsx" TargetMode="External"/><Relationship Id="rId1" Type="http://schemas.openxmlformats.org/officeDocument/2006/relationships/externalLinkPath" Target="McQueen2020_Harmonization_Done.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Sendi2022_Harmonization_done.xlsx" TargetMode="External"/><Relationship Id="rId1" Type="http://schemas.openxmlformats.org/officeDocument/2006/relationships/externalLinkPath" Target="Sendi2022_Harmonization_done.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Fasihi2019_Harmonization_done.xlsx" TargetMode="External"/><Relationship Id="rId1" Type="http://schemas.openxmlformats.org/officeDocument/2006/relationships/externalLinkPath" Target="Fasihi2019_Harmonization_done.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Mazzotti2013_Harmonization_done.xlsx" TargetMode="External"/><Relationship Id="rId1" Type="http://schemas.openxmlformats.org/officeDocument/2006/relationships/externalLinkPath" Target="Mazzotti2013_Harmonization_don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Zeman2014_Harmonization_done.xlsx" TargetMode="External"/><Relationship Id="rId1" Type="http://schemas.openxmlformats.org/officeDocument/2006/relationships/externalLinkPath" Target="Zeman2014_Harmonization_done.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PratsSalvado2024_Harmonization_done.xlsx" TargetMode="External"/><Relationship Id="rId1" Type="http://schemas.openxmlformats.org/officeDocument/2006/relationships/externalLinkPath" Target="PratsSalvado2024_Harmonization_done.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Terlouw2024_Harmonization_WIP.xlsx" TargetMode="External"/><Relationship Id="rId1" Type="http://schemas.openxmlformats.org/officeDocument/2006/relationships/externalLinkPath" Target="Terlouw2024_Harmonization_WIP.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McQueen2021_Harmonization_done.xlsx" TargetMode="External"/><Relationship Id="rId1" Type="http://schemas.openxmlformats.org/officeDocument/2006/relationships/externalLinkPath" Target="McQueen2021_Harmonization_done.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Datta2023_Harmonization_done.xlsx" TargetMode="External"/><Relationship Id="rId1" Type="http://schemas.openxmlformats.org/officeDocument/2006/relationships/externalLinkPath" Target="Datta2023_Harmonization_done.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Simon2011_Harmonization_done.xlsx" TargetMode="External"/><Relationship Id="rId1" Type="http://schemas.openxmlformats.org/officeDocument/2006/relationships/externalLinkPath" Target="Simon2011_Harmonization_done.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Kung,%202023%20code/TEA%20github/baseline_output.xlsx" TargetMode="External"/><Relationship Id="rId1" Type="http://schemas.openxmlformats.org/officeDocument/2006/relationships/externalLinkPath" Target="Kung,%202023%20code/TEA%20github/baseline_output.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Keith2018_Harmonization_done.xlsx" TargetMode="External"/><Relationship Id="rId1" Type="http://schemas.openxmlformats.org/officeDocument/2006/relationships/externalLinkPath" Target="Keith2018_Harmonization_done.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Gray2024_Harmonization_Done.xlsx" TargetMode="External"/><Relationship Id="rId1" Type="http://schemas.openxmlformats.org/officeDocument/2006/relationships/externalLinkPath" Target="Gray2024_Harmonization_Done.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McQueen2020_weathering_Harmonization_done.xlsx" TargetMode="External"/><Relationship Id="rId1" Type="http://schemas.openxmlformats.org/officeDocument/2006/relationships/externalLinkPath" Target="McQueen2020_weathering_Harmonization_done.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Lee2023_Harmonization_done.xlsx" TargetMode="External"/><Relationship Id="rId1" Type="http://schemas.openxmlformats.org/officeDocument/2006/relationships/externalLinkPath" Target="Lee2023_Harmonization_done.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Ragipani2022_Harmonization_done.xlsx" TargetMode="External"/><Relationship Id="rId1" Type="http://schemas.openxmlformats.org/officeDocument/2006/relationships/externalLinkPath" Target="Ragipani2022_Harmonization_done.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Pett-Ridge2024_Solid_Harmonization_done.xlsx" TargetMode="External"/><Relationship Id="rId1" Type="http://schemas.openxmlformats.org/officeDocument/2006/relationships/externalLinkPath" Target="Pett-Ridge2024_Solid_Harmonization_done.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Pett-Ridge_2024_Liquid_Solvent_Harmonization_done.xlsx" TargetMode="External"/><Relationship Id="rId1" Type="http://schemas.openxmlformats.org/officeDocument/2006/relationships/externalLinkPath" Target="Pett-Ridge_2024_Liquid_Solvent_Harmonization_done.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NETL2022_Solvent_Harmonization_done.xlsx" TargetMode="External"/><Relationship Id="rId1" Type="http://schemas.openxmlformats.org/officeDocument/2006/relationships/externalLinkPath" Target="NETL2022_Solvent_Harmonization_done.xlsx"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NETL2022_Sorbent_Harmonization_done.xlsx" TargetMode="External"/><Relationship Id="rId1" Type="http://schemas.openxmlformats.org/officeDocument/2006/relationships/externalLinkPath" Target="NETL2022_Sorbent_Harmonization_done.xlsx"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APS2011_Harmonization_done.xlsx" TargetMode="External"/><Relationship Id="rId1" Type="http://schemas.openxmlformats.org/officeDocument/2006/relationships/externalLinkPath" Target="APS2011_Harmonization_do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KWGB3X4BKUBCKRJQPP2RTUQZ4">
      <xxl21:absoluteUrl r:id="rId2"/>
    </xxl21:alternateUrls>
    <sheetNames>
      <sheetName val="Inputs"/>
      <sheetName val="Key and introduction"/>
      <sheetName val="Inputs and TEA calculations"/>
      <sheetName val="Young results solar_LS"/>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376.52345618890524</v>
          </cell>
        </row>
        <row r="3">
          <cell r="I3">
            <v>310.85768113181723</v>
          </cell>
        </row>
        <row r="4">
          <cell r="I4">
            <v>475.54078660638976</v>
          </cell>
        </row>
      </sheetData>
      <sheetData sheetId="3">
        <row r="2">
          <cell r="I2">
            <v>512.33316047529513</v>
          </cell>
        </row>
        <row r="3">
          <cell r="I3">
            <v>352.05954968830429</v>
          </cell>
        </row>
        <row r="4">
          <cell r="I4">
            <v>770.88101804255075</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LYN5I7UQKGEFHIRCJ7WP2AS65S">
      <xxl21:absoluteUrl r:id="rId2"/>
    </xxl21:alternateUrls>
    <sheetNames>
      <sheetName val="Inputs"/>
      <sheetName val="Key and introduction"/>
      <sheetName val="Inputs and TEA calculations"/>
      <sheetName val="Young results solar_LS"/>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15">
          <cell r="I15">
            <v>170.41354109154099</v>
          </cell>
        </row>
        <row r="16">
          <cell r="I16">
            <v>113.7451627146863</v>
          </cell>
        </row>
        <row r="17">
          <cell r="I17">
            <v>311.65822312471437</v>
          </cell>
        </row>
      </sheetData>
      <sheetData sheetId="3">
        <row r="15">
          <cell r="I15">
            <v>278.76383769360029</v>
          </cell>
        </row>
        <row r="16">
          <cell r="I16">
            <v>147.74406007582036</v>
          </cell>
        </row>
        <row r="17">
          <cell r="I17">
            <v>598.98035263657084</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QCVRYCOU64NH2ZBHGEIPL4V6E">
      <xxl21:absoluteUrl r:id="rId2"/>
    </xxl21:alternateUrls>
    <sheetNames>
      <sheetName val="Inputs"/>
      <sheetName val="Key and introduction"/>
      <sheetName val="Inputs and TEA calculations"/>
      <sheetName val="Copy of Young results solar_SS"/>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1869.8184529742971</v>
          </cell>
        </row>
        <row r="3">
          <cell r="I3">
            <v>1351.1700065020739</v>
          </cell>
        </row>
        <row r="4">
          <cell r="I4">
            <v>2477.3642310283099</v>
          </cell>
        </row>
      </sheetData>
      <sheetData sheetId="3">
        <row r="2">
          <cell r="I2">
            <v>2297.4733135350916</v>
          </cell>
        </row>
        <row r="3">
          <cell r="I3">
            <v>1420.3548272231642</v>
          </cell>
        </row>
        <row r="4">
          <cell r="I4">
            <v>3355.5538392528351</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OYEX2SMZKTJELRPRIT43AB5AX">
      <xxl21:absoluteUrl r:id="rId2"/>
    </xxl21:alternateUrls>
    <sheetNames>
      <sheetName val="Inputs"/>
      <sheetName val="Key and introduction"/>
      <sheetName val="Inputs and TEA calculations"/>
      <sheetName val="Copy of Young results solar_SS"/>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15">
          <cell r="I15">
            <v>233.35148149487728</v>
          </cell>
        </row>
        <row r="16">
          <cell r="I16">
            <v>131.99019858880641</v>
          </cell>
        </row>
        <row r="17">
          <cell r="I17">
            <v>522.16362117034964</v>
          </cell>
        </row>
      </sheetData>
      <sheetData sheetId="3">
        <row r="15">
          <cell r="I15">
            <v>305.75986039612553</v>
          </cell>
        </row>
        <row r="16">
          <cell r="I16">
            <v>159.67715158109175</v>
          </cell>
        </row>
        <row r="17">
          <cell r="I17">
            <v>798.68042446016614</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L7NTLSCSJEBALTMVDUXJ5OMPW">
      <xxl21:absoluteUrl r:id="rId2"/>
    </xxl21:alternateUrls>
    <sheetNames>
      <sheetName val="Inputs"/>
      <sheetName val="Key and introduction"/>
      <sheetName val="Inputs and TEA calculations"/>
      <sheetName val="Young results solar_electrochem"/>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1187.9768083622619</v>
          </cell>
        </row>
        <row r="3">
          <cell r="I3">
            <v>1076.3346484651829</v>
          </cell>
        </row>
        <row r="4">
          <cell r="I4">
            <v>1378.2492415350162</v>
          </cell>
        </row>
      </sheetData>
      <sheetData sheetId="3">
        <row r="2">
          <cell r="I2">
            <v>1816.4458805575393</v>
          </cell>
        </row>
        <row r="3">
          <cell r="I3">
            <v>1420.6741587734155</v>
          </cell>
        </row>
        <row r="4">
          <cell r="I4">
            <v>2514.1952745083722</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DFFUKA7VDTVGY3W5MLNF5DTYA">
      <xxl21:absoluteUrl r:id="rId2"/>
    </xxl21:alternateUrls>
    <sheetNames>
      <sheetName val="Inputs"/>
      <sheetName val="Key and introduction"/>
      <sheetName val="Inputs and TEA calculations"/>
      <sheetName val="Young results solar_electrochem"/>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1173.97198503103</v>
          </cell>
        </row>
        <row r="3">
          <cell r="I3">
            <v>1062.3247136090472</v>
          </cell>
        </row>
        <row r="4">
          <cell r="I4">
            <v>1364.2529374119576</v>
          </cell>
        </row>
      </sheetData>
      <sheetData sheetId="3">
        <row r="15">
          <cell r="I15">
            <v>887.64759848059157</v>
          </cell>
        </row>
        <row r="16">
          <cell r="I16">
            <v>466.13056632409086</v>
          </cell>
        </row>
        <row r="17">
          <cell r="I17">
            <v>1965.9841781391992</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L2JCYISYZIHNDYS6YOFG2L72P7">
      <xxl21:absoluteUrl r:id="rId2"/>
    </xxl21:alternateUrls>
    <sheetNames>
      <sheetName val="Inputs"/>
      <sheetName val="Key and introduction"/>
      <sheetName val="Inputs and TEA calculations"/>
      <sheetName val="Copy Young results solar_ambwea"/>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439.81868332069217</v>
          </cell>
        </row>
        <row r="3">
          <cell r="I3">
            <v>347.44169245291016</v>
          </cell>
        </row>
        <row r="4">
          <cell r="I4">
            <v>597.10720001345203</v>
          </cell>
        </row>
      </sheetData>
      <sheetData sheetId="3">
        <row r="2">
          <cell r="I2">
            <v>562.42109169353944</v>
          </cell>
        </row>
        <row r="3">
          <cell r="I3">
            <v>365.52462859381535</v>
          </cell>
        </row>
        <row r="4">
          <cell r="I4">
            <v>903.2277268019335</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EECFIBGMI2NELWYV7EXIE26F5">
      <xxl21:absoluteUrl r:id="rId2"/>
    </xxl21:alternateUrls>
    <sheetNames>
      <sheetName val="Inputs"/>
      <sheetName val="Key and introduction"/>
      <sheetName val="Inputs and TEA calculations"/>
      <sheetName val="Copy Young results solar_ambwea"/>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416.10639561160389</v>
          </cell>
        </row>
        <row r="3">
          <cell r="I3">
            <v>323.72847294776523</v>
          </cell>
        </row>
        <row r="4">
          <cell r="I4">
            <v>573.39646529779134</v>
          </cell>
        </row>
      </sheetData>
      <sheetData sheetId="3">
        <row r="15">
          <cell r="I15">
            <v>292.46628384746288</v>
          </cell>
        </row>
        <row r="16">
          <cell r="I16">
            <v>147.25526113428151</v>
          </cell>
        </row>
        <row r="17">
          <cell r="I17">
            <v>673.52430279207283</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EPRYM65OVL5HL6XZCAFGE5QNU">
      <xxl21:absoluteUrl r:id="rId2"/>
    </xxl21:alternateUrls>
    <sheetNames>
      <sheetName val="Notes"/>
      <sheetName val="Inputs"/>
      <sheetName val="LS_summary"/>
      <sheetName val="SS_summary"/>
      <sheetName val="CaO_summary"/>
      <sheetName val="LS_summary_11$MWh"/>
      <sheetName val="SS_summary_11$MWh"/>
      <sheetName val="CaO_summary_11$MWh"/>
    </sheetNames>
    <sheetDataSet>
      <sheetData sheetId="0"/>
      <sheetData sheetId="1"/>
      <sheetData sheetId="2">
        <row r="2">
          <cell r="B2">
            <v>827</v>
          </cell>
          <cell r="J2">
            <v>635</v>
          </cell>
          <cell r="R2">
            <v>527</v>
          </cell>
        </row>
        <row r="51">
          <cell r="B51">
            <v>532</v>
          </cell>
          <cell r="J51">
            <v>349</v>
          </cell>
          <cell r="R51">
            <v>226</v>
          </cell>
        </row>
      </sheetData>
      <sheetData sheetId="3">
        <row r="2">
          <cell r="B2">
            <v>1381</v>
          </cell>
          <cell r="J2">
            <v>1279</v>
          </cell>
          <cell r="R2">
            <v>1231</v>
          </cell>
        </row>
        <row r="51">
          <cell r="B51">
            <v>702</v>
          </cell>
          <cell r="J51">
            <v>441</v>
          </cell>
          <cell r="R51">
            <v>308</v>
          </cell>
        </row>
      </sheetData>
      <sheetData sheetId="4">
        <row r="2">
          <cell r="B2">
            <v>2849</v>
          </cell>
          <cell r="J2">
            <v>2352</v>
          </cell>
          <cell r="R2">
            <v>2155</v>
          </cell>
        </row>
        <row r="51">
          <cell r="B51">
            <v>624</v>
          </cell>
          <cell r="J51">
            <v>372</v>
          </cell>
          <cell r="R51">
            <v>318</v>
          </cell>
        </row>
      </sheetData>
      <sheetData sheetId="5"/>
      <sheetData sheetId="6">
        <row r="51">
          <cell r="R51">
            <v>280</v>
          </cell>
        </row>
      </sheetData>
      <sheetData sheetId="7">
        <row r="51">
          <cell r="B51">
            <v>575</v>
          </cell>
          <cell r="R51">
            <v>260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GEWFCNZPTH5AZILL34AZ7ECUZ">
      <xxl21:absoluteUrl r:id="rId2"/>
    </xxl21:alternateUrls>
    <sheetNames>
      <sheetName val="Notes"/>
      <sheetName val="Inputs"/>
      <sheetName val="Cost Structure"/>
      <sheetName val="Baseline"/>
      <sheetName val="Step 1 LCOE - EE"/>
      <sheetName val="Step 2 WACC"/>
      <sheetName val="Step 3 T&amp;S"/>
      <sheetName val="Outputs"/>
      <sheetName val="inputs McQueen --&gt;"/>
      <sheetName val="Study Parameters"/>
    </sheetNames>
    <sheetDataSet>
      <sheetData sheetId="0"/>
      <sheetData sheetId="1"/>
      <sheetData sheetId="2"/>
      <sheetData sheetId="3">
        <row r="9">
          <cell r="B9">
            <v>243.19087562746984</v>
          </cell>
        </row>
        <row r="16">
          <cell r="B16">
            <v>220.91190758755869</v>
          </cell>
        </row>
        <row r="23">
          <cell r="B23">
            <v>252.29289736301058</v>
          </cell>
        </row>
      </sheetData>
      <sheetData sheetId="4">
        <row r="10">
          <cell r="B10">
            <v>281.4604652955673</v>
          </cell>
        </row>
        <row r="18">
          <cell r="B18">
            <v>255.99089829145115</v>
          </cell>
        </row>
        <row r="26">
          <cell r="B26">
            <v>291.90515143423369</v>
          </cell>
        </row>
      </sheetData>
      <sheetData sheetId="5">
        <row r="10">
          <cell r="B10">
            <v>253.01246179996221</v>
          </cell>
        </row>
        <row r="18">
          <cell r="B18">
            <v>227.33390287547573</v>
          </cell>
        </row>
        <row r="26">
          <cell r="B26">
            <v>263.19697040786667</v>
          </cell>
        </row>
      </sheetData>
      <sheetData sheetId="6">
        <row r="10">
          <cell r="B10">
            <v>293.01246179996224</v>
          </cell>
        </row>
        <row r="18">
          <cell r="B18">
            <v>267.3339028754757</v>
          </cell>
        </row>
        <row r="26">
          <cell r="B26">
            <v>303.19697040786667</v>
          </cell>
        </row>
      </sheetData>
      <sheetData sheetId="7"/>
      <sheetData sheetId="8"/>
      <sheetData sheetId="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2WV35Q3W3UNF25QNOAENIT5VL">
      <xxl21:absoluteUrl r:id="rId2"/>
    </xxl21:alternateUrls>
    <sheetNames>
      <sheetName val="Notes"/>
      <sheetName val="Inputs"/>
      <sheetName val="Cost Structure"/>
      <sheetName val="Baseline"/>
      <sheetName val="Step 1 LCOE - EE"/>
      <sheetName val="Step 2 WACC"/>
      <sheetName val="Step 3 T&amp;S"/>
      <sheetName val="Outputs"/>
      <sheetName val="inputs Sendi --&gt;"/>
      <sheetName val="Study Parameters"/>
    </sheetNames>
    <sheetDataSet>
      <sheetData sheetId="0"/>
      <sheetData sheetId="1"/>
      <sheetData sheetId="2"/>
      <sheetData sheetId="3">
        <row r="3">
          <cell r="B3">
            <v>195.79914443846775</v>
          </cell>
          <cell r="C3">
            <v>337.61992148906455</v>
          </cell>
          <cell r="D3">
            <v>488.01436593001387</v>
          </cell>
        </row>
        <row r="4">
          <cell r="B4">
            <v>180.2232319711996</v>
          </cell>
          <cell r="C4">
            <v>314.58902698307497</v>
          </cell>
          <cell r="D4">
            <v>453.60276346122942</v>
          </cell>
        </row>
        <row r="5">
          <cell r="B5">
            <v>241.93412260542041</v>
          </cell>
          <cell r="C5">
            <v>425.41295915949337</v>
          </cell>
          <cell r="D5">
            <v>620.65519476571251</v>
          </cell>
        </row>
        <row r="6">
          <cell r="B6">
            <v>253.04087873301455</v>
          </cell>
          <cell r="C6">
            <v>482.58604585743416</v>
          </cell>
          <cell r="D6">
            <v>724.43464831783103</v>
          </cell>
        </row>
      </sheetData>
      <sheetData sheetId="4">
        <row r="10">
          <cell r="B10">
            <v>237.95480106262713</v>
          </cell>
          <cell r="C10">
            <v>392.06362812033171</v>
          </cell>
          <cell r="D10">
            <v>556.5909201633358</v>
          </cell>
        </row>
        <row r="11">
          <cell r="B11">
            <v>236.5428746531436</v>
          </cell>
          <cell r="C11">
            <v>394.50572316503008</v>
          </cell>
          <cell r="D11">
            <v>558.56832845298004</v>
          </cell>
        </row>
        <row r="12">
          <cell r="B12">
            <v>290.12604931223825</v>
          </cell>
          <cell r="C12">
            <v>488.54667876866756</v>
          </cell>
          <cell r="D12">
            <v>701.07244150424765</v>
          </cell>
        </row>
        <row r="13">
          <cell r="B13">
            <v>346.94775545674526</v>
          </cell>
          <cell r="C13">
            <v>632.16735720171778</v>
          </cell>
          <cell r="D13">
            <v>934.25435834426344</v>
          </cell>
        </row>
      </sheetData>
      <sheetData sheetId="5">
        <row r="10">
          <cell r="B10">
            <v>238.51244114406214</v>
          </cell>
        </row>
      </sheetData>
      <sheetData sheetId="6">
        <row r="3">
          <cell r="B3">
            <v>278.51244114406211</v>
          </cell>
          <cell r="C3">
            <v>431.20952014305874</v>
          </cell>
          <cell r="D3">
            <v>594.26871158968584</v>
          </cell>
        </row>
        <row r="4">
          <cell r="B4">
            <v>260.17305813012763</v>
          </cell>
          <cell r="C4">
            <v>405.58125796275607</v>
          </cell>
          <cell r="D4">
            <v>556.61504560775791</v>
          </cell>
        </row>
        <row r="5">
          <cell r="B5">
            <v>334.02175471233329</v>
          </cell>
          <cell r="C5">
            <v>532.88151930075014</v>
          </cell>
          <cell r="D5">
            <v>745.92213758183834</v>
          </cell>
        </row>
        <row r="6">
          <cell r="B6">
            <v>347.52430793993972</v>
          </cell>
          <cell r="C6">
            <v>598.00725415939087</v>
          </cell>
          <cell r="D6">
            <v>863.3220713069054</v>
          </cell>
        </row>
      </sheetData>
      <sheetData sheetId="7"/>
      <sheetData sheetId="8"/>
      <sheetData sheetId="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PES7KAHWUMBEKENJONU4CISUH">
      <xxl21:absoluteUrl r:id="rId2"/>
    </xxl21:alternateUrls>
    <sheetNames>
      <sheetName val="Notes"/>
      <sheetName val="Inputs"/>
      <sheetName val="Base Case SS"/>
      <sheetName val="Step 1 LCOE SS"/>
      <sheetName val="Step 2 WACC SS"/>
      <sheetName val="Step 3 T&amp;S SS"/>
      <sheetName val="Outputs SS"/>
      <sheetName val="Base Case LS"/>
      <sheetName val="Step 1 LCOE LS"/>
      <sheetName val="Step 2 WACC LS"/>
      <sheetName val="Step 3 T&amp;S LS"/>
      <sheetName val="Output LS"/>
    </sheetNames>
    <sheetDataSet>
      <sheetData sheetId="0"/>
      <sheetData sheetId="1"/>
      <sheetData sheetId="2">
        <row r="28">
          <cell r="D28">
            <v>247.14109465874603</v>
          </cell>
          <cell r="G28">
            <v>60.155978063431881</v>
          </cell>
          <cell r="I28">
            <v>247.14109465874603</v>
          </cell>
          <cell r="L28">
            <v>43.281483499946681</v>
          </cell>
        </row>
      </sheetData>
      <sheetData sheetId="3">
        <row r="31">
          <cell r="D31">
            <v>255.52576857651488</v>
          </cell>
          <cell r="G31">
            <v>84.85212367835156</v>
          </cell>
          <cell r="I31">
            <v>255.52576857651488</v>
          </cell>
          <cell r="L31">
            <v>67.202982248777587</v>
          </cell>
        </row>
      </sheetData>
      <sheetData sheetId="4">
        <row r="31">
          <cell r="D31">
            <v>255.52576857651488</v>
          </cell>
          <cell r="G31">
            <v>84.85212367835156</v>
          </cell>
          <cell r="I31">
            <v>255.52576857651488</v>
          </cell>
          <cell r="L31">
            <v>67.202982248777587</v>
          </cell>
        </row>
      </sheetData>
      <sheetData sheetId="5">
        <row r="34">
          <cell r="D34">
            <v>292.47958561757542</v>
          </cell>
          <cell r="G34">
            <v>107.94825932901442</v>
          </cell>
          <cell r="I34">
            <v>292.47958561757542</v>
          </cell>
          <cell r="L34">
            <v>90.299117899440446</v>
          </cell>
        </row>
      </sheetData>
      <sheetData sheetId="6"/>
      <sheetData sheetId="7">
        <row r="28">
          <cell r="D28">
            <v>297.44908425628057</v>
          </cell>
          <cell r="G28">
            <v>78.551198699462248</v>
          </cell>
          <cell r="I28">
            <v>297.44908425628057</v>
          </cell>
          <cell r="L28">
            <v>59.523758837972601</v>
          </cell>
        </row>
      </sheetData>
      <sheetData sheetId="8">
        <row r="31">
          <cell r="D31">
            <v>252.26048677321859</v>
          </cell>
          <cell r="G31">
            <v>95.725439543447692</v>
          </cell>
          <cell r="I31">
            <v>252.26048677321859</v>
          </cell>
          <cell r="L31">
            <v>75.211005161759758</v>
          </cell>
        </row>
      </sheetData>
      <sheetData sheetId="9">
        <row r="31">
          <cell r="D31">
            <v>252.26048677321859</v>
          </cell>
          <cell r="G31">
            <v>95.725439543447692</v>
          </cell>
          <cell r="I31">
            <v>252.26048677321859</v>
          </cell>
          <cell r="L31">
            <v>75.211005161759758</v>
          </cell>
        </row>
      </sheetData>
      <sheetData sheetId="10">
        <row r="34">
          <cell r="D34">
            <v>289.21430381427916</v>
          </cell>
          <cell r="G34">
            <v>118.82157519411055</v>
          </cell>
          <cell r="I34">
            <v>289.21430381427916</v>
          </cell>
          <cell r="L34">
            <v>98.307140812422617</v>
          </cell>
        </row>
      </sheetData>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LMSLHUMLVNRF2DVHIK4FH4VKZ">
      <xxl21:absoluteUrl r:id="rId2"/>
    </xxl21:alternateUrls>
    <sheetNames>
      <sheetName val="Notes"/>
      <sheetName val="Inputs"/>
      <sheetName val="Base Case"/>
      <sheetName val="Step 1 LCOE "/>
      <sheetName val="Step 2 WACC "/>
      <sheetName val="Step 3 T&amp;S "/>
      <sheetName val="Outputs "/>
      <sheetName val="--&gt; input data Mazzotti study"/>
      <sheetName val="Mazzotti 2013"/>
      <sheetName val="Recalculating Mazzotti 2013"/>
      <sheetName val="APS 2011"/>
    </sheetNames>
    <sheetDataSet>
      <sheetData sheetId="0"/>
      <sheetData sheetId="1"/>
      <sheetData sheetId="2">
        <row r="75">
          <cell r="I75">
            <v>524.26449294736847</v>
          </cell>
        </row>
      </sheetData>
      <sheetData sheetId="3"/>
      <sheetData sheetId="4"/>
      <sheetData sheetId="5"/>
      <sheetData sheetId="6"/>
      <sheetData sheetId="7"/>
      <sheetData sheetId="8"/>
      <sheetData sheetId="9"/>
      <sheetData sheetId="1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CMR7TNPEBXRE35K5VSV33GD7F">
      <xxl21:absoluteUrl r:id="rId2"/>
    </xxl21:alternateUrls>
    <sheetNames>
      <sheetName val="Notes"/>
      <sheetName val="Inputs"/>
      <sheetName val="Base Case"/>
      <sheetName val="Step 1 LCOE "/>
      <sheetName val="Step 2 WACC "/>
      <sheetName val="Step 3 T&amp;S "/>
      <sheetName val="Outputs "/>
      <sheetName val="--&gt; input data APS study"/>
      <sheetName val="Zeman 2014"/>
      <sheetName val="APS 2011"/>
    </sheetNames>
    <sheetDataSet>
      <sheetData sheetId="0"/>
      <sheetData sheetId="1"/>
      <sheetData sheetId="2">
        <row r="58">
          <cell r="C58">
            <v>580.18224291412025</v>
          </cell>
        </row>
      </sheetData>
      <sheetData sheetId="3"/>
      <sheetData sheetId="4"/>
      <sheetData sheetId="5"/>
      <sheetData sheetId="6"/>
      <sheetData sheetId="7"/>
      <sheetData sheetId="8"/>
      <sheetData sheetId="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NATT2RLMMZNVF3IWTYV2TIUH5H">
      <xxl21:absoluteUrl r:id="rId2"/>
    </xxl21:alternateUrls>
    <sheetNames>
      <sheetName val="Notes"/>
      <sheetName val="Inputs"/>
      <sheetName val="Solar L-DAC"/>
      <sheetName val="Keith2018_ScenarioA"/>
      <sheetName val="SI Prats Salvado 2024 --&gt;"/>
      <sheetName val="Solar_CAPEX_Breakdown"/>
      <sheetName val="Conventional_CAPEX_Breakdown"/>
    </sheetNames>
    <sheetDataSet>
      <sheetData sheetId="0"/>
      <sheetData sheetId="1"/>
      <sheetData sheetId="2">
        <row r="24">
          <cell r="G24">
            <v>256.45660434639348</v>
          </cell>
          <cell r="H24">
            <v>325.04805347717041</v>
          </cell>
        </row>
      </sheetData>
      <sheetData sheetId="3">
        <row r="20">
          <cell r="D20">
            <v>310.27517413966501</v>
          </cell>
          <cell r="E20">
            <v>435.8114944243153</v>
          </cell>
        </row>
      </sheetData>
      <sheetData sheetId="4"/>
      <sheetData sheetId="5"/>
      <sheetData sheetId="6"/>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RF4UBVESE2JDZEWOTKRBY2P6A">
      <xxl21:absoluteUrl r:id="rId2"/>
    </xxl21:alternateUrls>
    <sheetNames>
      <sheetName val="Notes"/>
      <sheetName val="Inputs"/>
      <sheetName val="Base Case SS"/>
      <sheetName val="Step 1 LCOE SS"/>
      <sheetName val="Step 2 WACC SS"/>
      <sheetName val="Step 3 T&amp;S SS"/>
      <sheetName val="Outputs SS"/>
      <sheetName val="input data Terlouw --&gt;"/>
      <sheetName val="Data Terlouw 2024"/>
    </sheetNames>
    <sheetDataSet>
      <sheetData sheetId="0"/>
      <sheetData sheetId="1"/>
      <sheetData sheetId="2">
        <row r="23">
          <cell r="E23">
            <v>1078.2477535508301</v>
          </cell>
          <cell r="F23">
            <v>832.88187319142924</v>
          </cell>
        </row>
      </sheetData>
      <sheetData sheetId="3"/>
      <sheetData sheetId="4"/>
      <sheetData sheetId="5"/>
      <sheetData sheetId="6"/>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YFXALZBATVRGJOR26SEKKMHSP">
      <xxl21:absoluteUrl r:id="rId2"/>
    </xxl21:alternateUrls>
    <sheetNames>
      <sheetName val="Notes"/>
      <sheetName val="Inputs"/>
      <sheetName val="Cost Structure"/>
      <sheetName val="Baseline"/>
      <sheetName val="Step 1 LCOE"/>
      <sheetName val="Step 2 WACC"/>
      <sheetName val="Step 3 T&amp;S"/>
      <sheetName val="Outputs"/>
      <sheetName val="inputs McQueen --&gt;"/>
      <sheetName val="Study Parameters"/>
    </sheetNames>
    <sheetDataSet>
      <sheetData sheetId="0"/>
      <sheetData sheetId="1"/>
      <sheetData sheetId="2"/>
      <sheetData sheetId="3">
        <row r="11">
          <cell r="B11">
            <v>236.58796309956364</v>
          </cell>
        </row>
        <row r="12">
          <cell r="B12">
            <v>372.50805024385363</v>
          </cell>
        </row>
        <row r="15">
          <cell r="B15">
            <v>325.40033185017705</v>
          </cell>
        </row>
        <row r="16">
          <cell r="B16">
            <v>819.74918134073732</v>
          </cell>
        </row>
        <row r="26">
          <cell r="B26">
            <v>430.58663853567202</v>
          </cell>
        </row>
        <row r="27">
          <cell r="B27">
            <v>723.15649347769215</v>
          </cell>
        </row>
        <row r="30">
          <cell r="B30">
            <v>519.3990072862855</v>
          </cell>
        </row>
        <row r="31">
          <cell r="B31">
            <v>1908.1869350353684</v>
          </cell>
        </row>
      </sheetData>
      <sheetData sheetId="4"/>
      <sheetData sheetId="5"/>
      <sheetData sheetId="6"/>
      <sheetData sheetId="7"/>
      <sheetData sheetId="8"/>
      <sheetData sheetId="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57E6MQRHLBRHK5WFDJACL4UAF">
      <xxl21:absoluteUrl r:id="rId2"/>
    </xxl21:alternateUrls>
    <sheetNames>
      <sheetName val="Notes"/>
      <sheetName val="Inputs"/>
      <sheetName val="Base Case SS"/>
      <sheetName val="Baseline"/>
      <sheetName val="Step 1 LCOE SS"/>
      <sheetName val="Step 2 WACC SS"/>
      <sheetName val="Step 3 T&amp;S SS"/>
      <sheetName val="Base Case Membrane"/>
      <sheetName val="Baseline (2)"/>
      <sheetName val="Step 1 Membrane LCOE"/>
      <sheetName val="Step 2 Membrane WACC"/>
      <sheetName val="Step 3 Membrane T&amp;S"/>
      <sheetName val="Sheet4"/>
      <sheetName val="Data--&gt;"/>
      <sheetName val="Data Datta 2023"/>
    </sheetNames>
    <sheetDataSet>
      <sheetData sheetId="0"/>
      <sheetData sheetId="1"/>
      <sheetData sheetId="2">
        <row r="14">
          <cell r="B14">
            <v>225.16987179537728</v>
          </cell>
        </row>
      </sheetData>
      <sheetData sheetId="3"/>
      <sheetData sheetId="4"/>
      <sheetData sheetId="5"/>
      <sheetData sheetId="6"/>
      <sheetData sheetId="7">
        <row r="13">
          <cell r="B13">
            <v>90.328729240821261</v>
          </cell>
        </row>
      </sheetData>
      <sheetData sheetId="8"/>
      <sheetData sheetId="9"/>
      <sheetData sheetId="10"/>
      <sheetData sheetId="11"/>
      <sheetData sheetId="12"/>
      <sheetData sheetId="13"/>
      <sheetData sheetId="1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6XUXDJOR4C5DIRXZAB7SFFRG3">
      <xxl21:absoluteUrl r:id="rId2"/>
    </xxl21:alternateUrls>
    <sheetNames>
      <sheetName val="Notes"/>
      <sheetName val="Inputs"/>
      <sheetName val="Cost Structure"/>
      <sheetName val="Baseline"/>
      <sheetName val="Step 1 LCOE"/>
      <sheetName val="Step 2 WACC"/>
      <sheetName val="Step 3 T&amp;S"/>
      <sheetName val="Outputs"/>
      <sheetName val="inputs Simon --&gt;"/>
      <sheetName val="Study Parameters"/>
    </sheetNames>
    <sheetDataSet>
      <sheetData sheetId="0"/>
      <sheetData sheetId="1"/>
      <sheetData sheetId="2"/>
      <sheetData sheetId="3">
        <row r="16">
          <cell r="B16">
            <v>279.11740081872955</v>
          </cell>
        </row>
        <row r="17">
          <cell r="B17">
            <v>272.54644957722422</v>
          </cell>
        </row>
        <row r="18">
          <cell r="B18">
            <v>750.18950643468133</v>
          </cell>
        </row>
        <row r="19">
          <cell r="B19">
            <v>276.83952451818527</v>
          </cell>
        </row>
        <row r="29">
          <cell r="B29">
            <v>200.39063306415275</v>
          </cell>
        </row>
        <row r="30">
          <cell r="B30">
            <v>233.39883994592068</v>
          </cell>
        </row>
        <row r="31">
          <cell r="B31">
            <v>615.18730298517346</v>
          </cell>
        </row>
        <row r="32">
          <cell r="B32">
            <v>252.12429887119438</v>
          </cell>
        </row>
        <row r="42">
          <cell r="B42">
            <v>980.91333886742484</v>
          </cell>
        </row>
        <row r="43">
          <cell r="B43">
            <v>995.64400614249257</v>
          </cell>
        </row>
        <row r="44">
          <cell r="B44">
            <v>2613.942902104759</v>
          </cell>
        </row>
        <row r="45">
          <cell r="B45">
            <v>954.36547059493148</v>
          </cell>
        </row>
      </sheetData>
      <sheetData sheetId="4"/>
      <sheetData sheetId="5"/>
      <sheetData sheetId="6"/>
      <sheetData sheetId="7"/>
      <sheetData sheetId="8"/>
      <sheetData sheetId="9"/>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LG7IDFW57TIVCZ4UPG6VANPWRU">
      <xxl21:absoluteUrl r:id="rId2"/>
    </xxl21:alternateUrls>
    <sheetNames>
      <sheetName val="baseline_output"/>
    </sheetNames>
    <sheetDataSet>
      <sheetData sheetId="0">
        <row r="2">
          <cell r="C2" t="str">
            <v>Amino acid salt solution-1c</v>
          </cell>
          <cell r="S2">
            <v>2.294244E-3</v>
          </cell>
          <cell r="BD2">
            <v>779.02843503778104</v>
          </cell>
        </row>
        <row r="3">
          <cell r="C3" t="str">
            <v>Amino acid salt solution-1c</v>
          </cell>
          <cell r="S3">
            <v>2.294244E-3</v>
          </cell>
          <cell r="BD3">
            <v>831.75510668257198</v>
          </cell>
        </row>
        <row r="4">
          <cell r="C4" t="str">
            <v>CE electricity-1a</v>
          </cell>
          <cell r="S4">
            <v>0.87307416000000004</v>
          </cell>
          <cell r="BD4">
            <v>317.24671499539198</v>
          </cell>
        </row>
        <row r="5">
          <cell r="C5" t="str">
            <v>CE electricity-1a</v>
          </cell>
          <cell r="S5">
            <v>0.87307416000000004</v>
          </cell>
          <cell r="BD5">
            <v>371.938416568371</v>
          </cell>
        </row>
        <row r="6">
          <cell r="C6" t="str">
            <v>CE gas-1a</v>
          </cell>
          <cell r="S6">
            <v>0.87307416000000004</v>
          </cell>
          <cell r="BD6">
            <v>291.241690193887</v>
          </cell>
        </row>
        <row r="7">
          <cell r="C7" t="str">
            <v>CE gas-1a</v>
          </cell>
          <cell r="S7">
            <v>0.87307416000000004</v>
          </cell>
          <cell r="BD7">
            <v>355.05876736764702</v>
          </cell>
        </row>
        <row r="8">
          <cell r="C8" t="str">
            <v>CE syngas-1a</v>
          </cell>
          <cell r="S8">
            <v>0.87307416000000004</v>
          </cell>
          <cell r="BD8">
            <v>267.11083137986202</v>
          </cell>
        </row>
        <row r="9">
          <cell r="C9" t="str">
            <v>CE syngas-1a</v>
          </cell>
          <cell r="S9">
            <v>0.87307416000000004</v>
          </cell>
          <cell r="BD9">
            <v>314.61251708631102</v>
          </cell>
        </row>
        <row r="10">
          <cell r="C10" t="str">
            <v>MEA-based-1c</v>
          </cell>
          <cell r="S10">
            <v>2.294244E-3</v>
          </cell>
          <cell r="BD10">
            <v>1817.71250053524</v>
          </cell>
        </row>
        <row r="11">
          <cell r="C11" t="str">
            <v>MEA-based-1c</v>
          </cell>
          <cell r="S11">
            <v>2.294244E-3</v>
          </cell>
          <cell r="BD11">
            <v>1990.0315112179401</v>
          </cell>
        </row>
        <row r="12">
          <cell r="C12" t="str">
            <v>MgO-looping-2a</v>
          </cell>
          <cell r="S12">
            <v>179.99960400000001</v>
          </cell>
          <cell r="BD12">
            <v>183.15040372394199</v>
          </cell>
        </row>
        <row r="13">
          <cell r="C13" t="str">
            <v>MgO-looping-2a</v>
          </cell>
          <cell r="S13">
            <v>179.99960400000001</v>
          </cell>
          <cell r="BD13">
            <v>227.07677281852301</v>
          </cell>
        </row>
        <row r="14">
          <cell r="C14" t="str">
            <v>MgO-looping-2a</v>
          </cell>
          <cell r="S14">
            <v>64.554192</v>
          </cell>
          <cell r="BD14">
            <v>61.893630816227301</v>
          </cell>
        </row>
        <row r="15">
          <cell r="C15" t="str">
            <v>MgO-looping-2a</v>
          </cell>
          <cell r="S15">
            <v>64.554192</v>
          </cell>
          <cell r="BD15">
            <v>72.225103599114604</v>
          </cell>
        </row>
        <row r="16">
          <cell r="C16" t="str">
            <v>Optimistic future projection-2c</v>
          </cell>
          <cell r="S16">
            <v>3.5998343999999998E-3</v>
          </cell>
          <cell r="BD16">
            <v>393.65606020680502</v>
          </cell>
        </row>
        <row r="17">
          <cell r="C17" t="str">
            <v>Optimistic future projection-2c</v>
          </cell>
          <cell r="S17">
            <v>3.5998343999999998E-3</v>
          </cell>
          <cell r="BD17">
            <v>503.939346853232</v>
          </cell>
        </row>
        <row r="18">
          <cell r="C18" t="str">
            <v>Plant data-2c</v>
          </cell>
          <cell r="S18">
            <v>3.5998343999999998E-3</v>
          </cell>
          <cell r="BD18">
            <v>406.913082895564</v>
          </cell>
        </row>
        <row r="19">
          <cell r="C19" t="str">
            <v>Plant data-2c</v>
          </cell>
          <cell r="S19">
            <v>3.5998343999999998E-3</v>
          </cell>
          <cell r="BD19">
            <v>517.19636954199098</v>
          </cell>
        </row>
        <row r="20">
          <cell r="C20" t="str">
            <v>Amino acid salt solution-1c</v>
          </cell>
          <cell r="S20">
            <v>2.294244E-3</v>
          </cell>
          <cell r="BD20">
            <v>980.75097520117902</v>
          </cell>
        </row>
        <row r="21">
          <cell r="C21" t="str">
            <v>Amino acid salt solution-1c</v>
          </cell>
          <cell r="S21">
            <v>2.294244E-3</v>
          </cell>
          <cell r="BD21">
            <v>1064.51188379418</v>
          </cell>
        </row>
        <row r="22">
          <cell r="C22" t="str">
            <v>CE electricity-1a</v>
          </cell>
          <cell r="S22">
            <v>0.87307416000000004</v>
          </cell>
          <cell r="BD22">
            <v>411.65027432423102</v>
          </cell>
        </row>
        <row r="23">
          <cell r="C23" t="str">
            <v>CE electricity-1a</v>
          </cell>
          <cell r="S23">
            <v>0.87307416000000004</v>
          </cell>
          <cell r="BD23">
            <v>488.64611354083598</v>
          </cell>
        </row>
        <row r="24">
          <cell r="C24" t="str">
            <v>CE gas-1a</v>
          </cell>
          <cell r="S24">
            <v>0.87307416000000004</v>
          </cell>
          <cell r="BD24">
            <v>378.55341271061599</v>
          </cell>
        </row>
        <row r="25">
          <cell r="C25" t="str">
            <v>CE gas-1a</v>
          </cell>
          <cell r="S25">
            <v>0.87307416000000004</v>
          </cell>
          <cell r="BD25">
            <v>468.39609948070898</v>
          </cell>
        </row>
        <row r="26">
          <cell r="C26" t="str">
            <v>CE syngas-1a</v>
          </cell>
          <cell r="S26">
            <v>0.87307416000000004</v>
          </cell>
          <cell r="BD26">
            <v>349.10367628750998</v>
          </cell>
        </row>
        <row r="27">
          <cell r="C27" t="str">
            <v>CE syngas-1a</v>
          </cell>
          <cell r="S27">
            <v>0.87307416000000004</v>
          </cell>
          <cell r="BD27">
            <v>415.97729787873197</v>
          </cell>
        </row>
        <row r="28">
          <cell r="C28" t="str">
            <v>MEA-based-1c</v>
          </cell>
          <cell r="S28">
            <v>2.294244E-3</v>
          </cell>
          <cell r="BD28">
            <v>2476.9733161530498</v>
          </cell>
        </row>
        <row r="29">
          <cell r="C29" t="str">
            <v>MEA-based-1c</v>
          </cell>
          <cell r="S29">
            <v>2.294244E-3</v>
          </cell>
          <cell r="BD29">
            <v>2750.7170677000299</v>
          </cell>
        </row>
        <row r="30">
          <cell r="C30" t="str">
            <v>MgO-looping-2a</v>
          </cell>
          <cell r="S30">
            <v>179.99960400000001</v>
          </cell>
          <cell r="BD30">
            <v>243.248532930187</v>
          </cell>
        </row>
        <row r="31">
          <cell r="C31" t="str">
            <v>MgO-looping-2a</v>
          </cell>
          <cell r="S31">
            <v>179.99960400000001</v>
          </cell>
          <cell r="BD31">
            <v>305.088767461244</v>
          </cell>
        </row>
        <row r="32">
          <cell r="C32" t="str">
            <v>MgO-looping-2a</v>
          </cell>
          <cell r="S32">
            <v>64.554192</v>
          </cell>
          <cell r="BD32">
            <v>76.028698179975393</v>
          </cell>
        </row>
        <row r="33">
          <cell r="C33" t="str">
            <v>MgO-looping-2a</v>
          </cell>
          <cell r="S33">
            <v>64.554192</v>
          </cell>
          <cell r="BD33">
            <v>90.573508350133693</v>
          </cell>
        </row>
        <row r="34">
          <cell r="C34" t="str">
            <v>Optimistic future projection-2c</v>
          </cell>
          <cell r="S34">
            <v>3.5998343999999998E-3</v>
          </cell>
          <cell r="BD34">
            <v>523.47869237559496</v>
          </cell>
        </row>
        <row r="35">
          <cell r="C35" t="str">
            <v>Optimistic future projection-2c</v>
          </cell>
          <cell r="S35">
            <v>3.5998343999999998E-3</v>
          </cell>
          <cell r="BD35">
            <v>698.67329510641696</v>
          </cell>
        </row>
        <row r="36">
          <cell r="C36" t="str">
            <v>Plant data-2c</v>
          </cell>
          <cell r="S36">
            <v>3.5998343999999998E-3</v>
          </cell>
          <cell r="BD36">
            <v>536.73571506435496</v>
          </cell>
        </row>
        <row r="37">
          <cell r="C37" t="str">
            <v>Plant data-2c</v>
          </cell>
          <cell r="S37">
            <v>3.5998343999999998E-3</v>
          </cell>
          <cell r="BD37">
            <v>711.93031779517605</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HF5T6STFFORCKP7QRZQJFRSKO">
      <xxl21:absoluteUrl r:id="rId2"/>
    </xxl21:alternateUrls>
    <sheetNames>
      <sheetName val="Notes"/>
      <sheetName val="Inputs"/>
      <sheetName val="Base Case CRF 7.5%"/>
      <sheetName val="Baseline"/>
      <sheetName val="Step 1 LCOE - EE"/>
      <sheetName val="Step 2 WACC"/>
      <sheetName val="Step 3 T&amp;S"/>
      <sheetName val="Base Case CRF 12.5%"/>
      <sheetName val="Baseline (2)"/>
      <sheetName val="Step 1 LCOE - EE (2)"/>
      <sheetName val="Step 2 WACC (2)"/>
      <sheetName val="Step 3 T&amp;S (2)"/>
      <sheetName val="Keith et al 2018 inputs --&gt;"/>
      <sheetName val="Conventional_CAPEX_Breakdown"/>
    </sheetNames>
    <sheetDataSet>
      <sheetData sheetId="0"/>
      <sheetData sheetId="1"/>
      <sheetData sheetId="2"/>
      <sheetData sheetId="3">
        <row r="4">
          <cell r="B4">
            <v>168.33500222759076</v>
          </cell>
          <cell r="C4">
            <v>126.91833487476393</v>
          </cell>
          <cell r="D4">
            <v>113.18833468232809</v>
          </cell>
          <cell r="E4">
            <v>94.435001183772044</v>
          </cell>
        </row>
      </sheetData>
      <sheetData sheetId="4">
        <row r="24">
          <cell r="C24">
            <v>200.7847399047902</v>
          </cell>
          <cell r="D24">
            <v>156.04393515420605</v>
          </cell>
          <cell r="E24">
            <v>145.45192472670769</v>
          </cell>
          <cell r="F24">
            <v>112.66928210128302</v>
          </cell>
        </row>
      </sheetData>
      <sheetData sheetId="5">
        <row r="24">
          <cell r="C24">
            <v>215.65495163958127</v>
          </cell>
          <cell r="D24">
            <v>166.33370645061908</v>
          </cell>
          <cell r="E24">
            <v>154.3621577744924</v>
          </cell>
          <cell r="F24">
            <v>120.35739530021907</v>
          </cell>
        </row>
      </sheetData>
      <sheetData sheetId="6">
        <row r="27">
          <cell r="C27">
            <v>255.65495163958127</v>
          </cell>
          <cell r="D27">
            <v>206.33370645061908</v>
          </cell>
          <cell r="E27">
            <v>194.3621577744924</v>
          </cell>
          <cell r="F27">
            <v>145.35739530021908</v>
          </cell>
        </row>
      </sheetData>
      <sheetData sheetId="7"/>
      <sheetData sheetId="8">
        <row r="4">
          <cell r="B4">
            <v>232.03935955532725</v>
          </cell>
          <cell r="C4">
            <v>170.99997131533553</v>
          </cell>
          <cell r="D4">
            <v>151.76671512338316</v>
          </cell>
          <cell r="E4">
            <v>128.2883638474645</v>
          </cell>
        </row>
      </sheetData>
      <sheetData sheetId="9">
        <row r="24">
          <cell r="C24">
            <v>269.60206382612614</v>
          </cell>
          <cell r="D24">
            <v>203.6636017071026</v>
          </cell>
          <cell r="E24">
            <v>186.68727529198395</v>
          </cell>
          <cell r="F24">
            <v>148.24882769156065</v>
          </cell>
        </row>
      </sheetData>
      <sheetData sheetId="10">
        <row r="24">
          <cell r="C24">
            <v>215.65495163958127</v>
          </cell>
          <cell r="D24">
            <v>166.33370645061908</v>
          </cell>
          <cell r="E24">
            <v>154.3621577744924</v>
          </cell>
          <cell r="F24">
            <v>120.35739530021907</v>
          </cell>
        </row>
      </sheetData>
      <sheetData sheetId="11">
        <row r="27">
          <cell r="C27">
            <v>255.65495163958127</v>
          </cell>
          <cell r="D27">
            <v>206.33370645061908</v>
          </cell>
          <cell r="E27">
            <v>194.3621577744924</v>
          </cell>
          <cell r="F27">
            <v>145.35739530021908</v>
          </cell>
        </row>
      </sheetData>
      <sheetData sheetId="12"/>
      <sheetData sheetId="1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G3Q4EW3NRUNAZTDWA4WUKJFSE">
      <xxl21:absoluteUrl r:id="rId2"/>
    </xxl21:alternateUrls>
    <sheetNames>
      <sheetName val="Notes"/>
      <sheetName val="Inputs"/>
      <sheetName val="Cost Structure"/>
      <sheetName val="Baseline"/>
      <sheetName val="Step 1 LCOE - EE"/>
      <sheetName val="Step 2 WACC"/>
      <sheetName val="Step 3 T&amp;S"/>
      <sheetName val="Outputs"/>
      <sheetName val="inputs Gray --&gt;"/>
      <sheetName val="Study Parameters"/>
    </sheetNames>
    <sheetDataSet>
      <sheetData sheetId="0"/>
      <sheetData sheetId="1"/>
      <sheetData sheetId="2"/>
      <sheetData sheetId="3">
        <row r="2">
          <cell r="B2">
            <v>1238.5472580000003</v>
          </cell>
        </row>
      </sheetData>
      <sheetData sheetId="4">
        <row r="7">
          <cell r="B7">
            <v>1335.2008787911266</v>
          </cell>
        </row>
      </sheetData>
      <sheetData sheetId="5">
        <row r="4">
          <cell r="B4">
            <v>1422.4526421724208</v>
          </cell>
        </row>
      </sheetData>
      <sheetData sheetId="6">
        <row r="2">
          <cell r="B2">
            <v>1422.4526421724208</v>
          </cell>
        </row>
      </sheetData>
      <sheetData sheetId="7"/>
      <sheetData sheetId="8"/>
      <sheetData sheetId="9"/>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OLQTPXFVHW3VGKUKJUDRN33BZU">
      <xxl21:absoluteUrl r:id="rId2"/>
    </xxl21:alternateUrls>
    <sheetNames>
      <sheetName val="Notes"/>
      <sheetName val="Inputs"/>
      <sheetName val="Baseline"/>
      <sheetName val="Step 1 LCOE"/>
      <sheetName val="Step 2 WACC"/>
      <sheetName val="Step 3 T&amp;S"/>
      <sheetName val="Outputs"/>
      <sheetName val="inputs McQueen --&gt;"/>
      <sheetName val="Study Parameters"/>
    </sheetNames>
    <sheetDataSet>
      <sheetData sheetId="0"/>
      <sheetData sheetId="1"/>
      <sheetData sheetId="2">
        <row r="7">
          <cell r="C7">
            <v>49.152253674788213</v>
          </cell>
          <cell r="D7">
            <v>162.00289251263612</v>
          </cell>
          <cell r="E7">
            <v>54.825919360527543</v>
          </cell>
          <cell r="F7">
            <v>188.53138742273737</v>
          </cell>
        </row>
      </sheetData>
      <sheetData sheetId="3"/>
      <sheetData sheetId="4"/>
      <sheetData sheetId="5"/>
      <sheetData sheetId="6"/>
      <sheetData sheetId="7"/>
      <sheetData sheetId="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N2TNHJH7REERD3AZK3DLQTY4LR">
      <xxl21:absoluteUrl r:id="rId2"/>
    </xxl21:alternateUrls>
    <sheetNames>
      <sheetName val="Notes"/>
      <sheetName val="Inputs"/>
      <sheetName val="Baseline"/>
      <sheetName val="Step 1 LCOE - EE"/>
      <sheetName val="Step 2 WACC"/>
      <sheetName val="Step 3 T&amp;S"/>
      <sheetName val="--&gt; input from study"/>
      <sheetName val="Lee2023 data"/>
      <sheetName val="Results Base"/>
      <sheetName val="Archive _ Base Case"/>
    </sheetNames>
    <sheetDataSet>
      <sheetData sheetId="0"/>
      <sheetData sheetId="1"/>
      <sheetData sheetId="2">
        <row r="53">
          <cell r="D53">
            <v>160.31000380952381</v>
          </cell>
        </row>
      </sheetData>
      <sheetData sheetId="3">
        <row r="55">
          <cell r="D55">
            <v>230.09276004403995</v>
          </cell>
        </row>
      </sheetData>
      <sheetData sheetId="4">
        <row r="55">
          <cell r="D55">
            <v>230.09276004403995</v>
          </cell>
        </row>
      </sheetData>
      <sheetData sheetId="5">
        <row r="58">
          <cell r="D58">
            <v>270.09276004403995</v>
          </cell>
        </row>
      </sheetData>
      <sheetData sheetId="6"/>
      <sheetData sheetId="7"/>
      <sheetData sheetId="8"/>
      <sheetData sheetId="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P6IDEDD4JBE5HIIBOXVNWWLSFS">
      <xxl21:absoluteUrl r:id="rId2"/>
    </xxl21:alternateUrls>
    <sheetNames>
      <sheetName val="Notes"/>
      <sheetName val="Inputs"/>
      <sheetName val="Cost Structure"/>
      <sheetName val="Baseline"/>
      <sheetName val="Step 1 LCOE"/>
      <sheetName val="Step 2 WACC"/>
      <sheetName val="Step 3 T&amp;S"/>
      <sheetName val="Outputs"/>
      <sheetName val="inputs Ragipani --&gt;"/>
      <sheetName val="Study Parameters"/>
    </sheetNames>
    <sheetDataSet>
      <sheetData sheetId="0"/>
      <sheetData sheetId="1"/>
      <sheetData sheetId="2"/>
      <sheetData sheetId="3">
        <row r="3">
          <cell r="B3">
            <v>121.14570202833102</v>
          </cell>
          <cell r="C3">
            <v>140.09669470231475</v>
          </cell>
        </row>
      </sheetData>
      <sheetData sheetId="4"/>
      <sheetData sheetId="5"/>
      <sheetData sheetId="6"/>
      <sheetData sheetId="7"/>
      <sheetData sheetId="8"/>
      <sheetData sheetId="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6ZJVVQQZDSVHYRKEWCPOW323L">
      <xxl21:absoluteUrl r:id="rId2"/>
    </xxl21:alternateUrls>
    <sheetNames>
      <sheetName val="Notes"/>
      <sheetName val="Inputs"/>
      <sheetName val="Cost Structure"/>
      <sheetName val="Baseline"/>
      <sheetName val="Step 1 LCOE + EE"/>
      <sheetName val="Step 2 WACC"/>
      <sheetName val="Step 3 T&amp;S"/>
      <sheetName val="Outputs"/>
      <sheetName val="Inputs Pett-Ridge --&gt;"/>
      <sheetName val="Study Parameters"/>
    </sheetNames>
    <sheetDataSet>
      <sheetData sheetId="0"/>
      <sheetData sheetId="1"/>
      <sheetData sheetId="2"/>
      <sheetData sheetId="3">
        <row r="10">
          <cell r="B10">
            <v>246.53886307719159</v>
          </cell>
        </row>
        <row r="17">
          <cell r="B17">
            <v>274.02209209065103</v>
          </cell>
        </row>
        <row r="24">
          <cell r="B24">
            <v>566.57283354666379</v>
          </cell>
        </row>
        <row r="33">
          <cell r="B33">
            <v>127.12178542436133</v>
          </cell>
        </row>
        <row r="40">
          <cell r="B40">
            <v>206.92082276976248</v>
          </cell>
        </row>
        <row r="47">
          <cell r="B47">
            <v>231.36335190116506</v>
          </cell>
        </row>
      </sheetData>
      <sheetData sheetId="4">
        <row r="11">
          <cell r="B11">
            <v>285.62634973517243</v>
          </cell>
        </row>
        <row r="21">
          <cell r="B21">
            <v>134.11219617439485</v>
          </cell>
        </row>
      </sheetData>
      <sheetData sheetId="5">
        <row r="11">
          <cell r="B11">
            <v>255.30442580438057</v>
          </cell>
        </row>
        <row r="21">
          <cell r="B21">
            <v>122.49707212559984</v>
          </cell>
        </row>
      </sheetData>
      <sheetData sheetId="6">
        <row r="11">
          <cell r="B11">
            <v>295.30442580438057</v>
          </cell>
        </row>
        <row r="21">
          <cell r="B21">
            <v>147.49707212559986</v>
          </cell>
        </row>
      </sheetData>
      <sheetData sheetId="7"/>
      <sheetData sheetId="8"/>
      <sheetData sheetId="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VPPQGMVXKRJGJ2PAMMFZILTY6">
      <xxl21:absoluteUrl r:id="rId2"/>
    </xxl21:alternateUrls>
    <sheetNames>
      <sheetName val="Notes"/>
      <sheetName val="Inputs"/>
      <sheetName val="Base Case CRF 7.5%"/>
      <sheetName val="Step 1 - LCOE + EE"/>
      <sheetName val="Step 2 - WACC"/>
      <sheetName val="Step 3 - T&amp;S"/>
      <sheetName val="Base Case CRF 12.5%"/>
      <sheetName val="Pett-Ridge inputs --&gt;"/>
      <sheetName val="Conventional_CAPEX_Breakdown"/>
    </sheetNames>
    <sheetDataSet>
      <sheetData sheetId="0"/>
      <sheetData sheetId="1"/>
      <sheetData sheetId="2"/>
      <sheetData sheetId="3">
        <row r="23">
          <cell r="C23">
            <v>400.01216847304312</v>
          </cell>
          <cell r="D23">
            <v>299.04143355290654</v>
          </cell>
          <cell r="E23">
            <v>223.41019772115243</v>
          </cell>
          <cell r="G23">
            <v>139.37212947003994</v>
          </cell>
        </row>
      </sheetData>
      <sheetData sheetId="4">
        <row r="23">
          <cell r="C23">
            <v>400.01216847304312</v>
          </cell>
          <cell r="D23">
            <v>299.04143355290654</v>
          </cell>
          <cell r="E23">
            <v>223.41019772115243</v>
          </cell>
          <cell r="G23">
            <v>139.37212947003994</v>
          </cell>
        </row>
      </sheetData>
      <sheetData sheetId="5">
        <row r="23">
          <cell r="C23">
            <v>440.01216847304312</v>
          </cell>
          <cell r="D23">
            <v>339.04143355290654</v>
          </cell>
          <cell r="E23">
            <v>263.41019772115243</v>
          </cell>
          <cell r="G23">
            <v>163.71895198084354</v>
          </cell>
        </row>
      </sheetData>
      <sheetData sheetId="6">
        <row r="20">
          <cell r="C20">
            <v>331.01806965481268</v>
          </cell>
          <cell r="D20">
            <v>247.46276709370125</v>
          </cell>
          <cell r="E20">
            <v>193.05104967397105</v>
          </cell>
          <cell r="G20">
            <v>127.36000278458418</v>
          </cell>
        </row>
      </sheetData>
      <sheetData sheetId="7"/>
      <sheetData sheetId="8"/>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WUADYHP23XZFJZ2XNM3I672KY">
      <xxl21:absoluteUrl r:id="rId2"/>
    </xxl21:alternateUrls>
    <sheetNames>
      <sheetName val="Notes"/>
      <sheetName val="Base Case"/>
      <sheetName val="input data from NETL --&gt;"/>
      <sheetName val="NETL data Solvent"/>
    </sheetNames>
    <sheetDataSet>
      <sheetData sheetId="0"/>
      <sheetData sheetId="1">
        <row r="9">
          <cell r="B9">
            <v>292.42088348617762</v>
          </cell>
          <cell r="C9">
            <v>299.42088348617767</v>
          </cell>
          <cell r="D9">
            <v>467.9</v>
          </cell>
        </row>
      </sheetData>
      <sheetData sheetId="2"/>
      <sheetData sheetId="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NV4IMGTXGCBCYPNA5VFIBCBSC">
      <xxl21:absoluteUrl r:id="rId2"/>
    </xxl21:alternateUrls>
    <sheetNames>
      <sheetName val="Notes"/>
      <sheetName val="Base Case"/>
      <sheetName val="input data NETL --&gt;"/>
      <sheetName val="Description of cases"/>
      <sheetName val="NETL 2022 Solvent data"/>
    </sheetNames>
    <sheetDataSet>
      <sheetData sheetId="0"/>
      <sheetData sheetId="1">
        <row r="10">
          <cell r="B10">
            <v>702.28287160000002</v>
          </cell>
          <cell r="C10">
            <v>475.3</v>
          </cell>
          <cell r="D10">
            <v>430.88287159999999</v>
          </cell>
        </row>
      </sheetData>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P6GKKAWEWFNG37XNNELB6XYYS">
      <xxl21:absoluteUrl r:id="rId2"/>
    </xxl21:alternateUrls>
    <sheetNames>
      <sheetName val="Notes"/>
      <sheetName val="Inputs"/>
      <sheetName val="Base Case"/>
      <sheetName val="Step 1 LCOE "/>
      <sheetName val="Step 2 WACC "/>
      <sheetName val="Step 3 T&amp;S "/>
      <sheetName val="Outputs "/>
      <sheetName val="--&gt; input data APS study"/>
      <sheetName val="APS 2011"/>
    </sheetNames>
    <sheetDataSet>
      <sheetData sheetId="0"/>
      <sheetData sheetId="1"/>
      <sheetData sheetId="2">
        <row r="46">
          <cell r="B46">
            <v>619.41428571428571</v>
          </cell>
          <cell r="C46">
            <v>785.7</v>
          </cell>
        </row>
      </sheetData>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person displayName="Dubey  Yash" id="{A90FAA6F-2DDA-4B47-97AB-136BE95772B9}" userId="ydubey@ethz.ch" providerId="PeoplePicker"/>
  <person displayName="Sievert  Katrin" id="{2E446FF5-0675-F941-ADE1-95F816705888}" userId="ksievert@ethz.ch" providerId="PeoplePicker"/>
  <person displayName="Yash Dubey (GESSWHO)" id="{9CD98BD0-400E-4DBA-9CBC-1EC169499640}" userId="gesswho-ydubey@ethz.ch" providerId="PeoplePicker"/>
  <person displayName="Dubey  Yash" id="{03DF97AB-C0DB-48B2-ABC7-715EE8C305B5}" userId="S::ydubey@ethz.ch::8ec4c660-c9fe-4bb6-9560-48a212ff7621" providerId="AD"/>
  <person displayName="Sievert  Katrin" id="{ADBD25B3-0C7B-4397-830C-3135DF40BA06}" userId="S::ksievert@ethz.ch::bbdc6555-5085-43f3-a455-5b29f50857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1" dT="2024-10-21T18:19:52.60" personId="{ADBD25B3-0C7B-4397-830C-3135DF40BA06}" id="{5766B05D-C92B-4B52-9354-64D42A8C06C8}">
    <text>@Dubey  Yash , this will be the relevant column for the plot - three most sensitivite parameters per DAC tech over all studies</text>
    <mentions>
      <mention mentionpersonId="{A90FAA6F-2DDA-4B47-97AB-136BE95772B9}" mentionId="{F4980416-C9DE-4300-8AF4-C1F7795FF928}" startIndex="0" length="12"/>
    </mentions>
  </threadedComment>
  <threadedComment ref="L16" dT="2024-10-21T18:07:44.51" personId="{03DF97AB-C0DB-48B2-ABC7-715EE8C305B5}" id="{D187044E-C90E-49F8-B828-979C396B3AA7}">
    <text xml:space="preserve">@Sievert  Katrin this one </text>
    <mentions>
      <mention mentionpersonId="{2E446FF5-0675-F941-ADE1-95F816705888}" mentionId="{2A377768-5FA2-4F6C-8AF7-98DF9F717439}" startIndex="0" length="16"/>
    </mentions>
  </threadedComment>
  <threadedComment ref="N18" dT="2024-10-16T18:09:04.63" personId="{ADBD25B3-0C7B-4397-830C-3135DF40BA06}" id="{90A3683C-3C46-493D-911F-AF1C42DDB8B6}">
    <text>Note: fully electrified (not natural gas based)</text>
  </threadedComment>
  <threadedComment ref="L25" dT="2024-10-21T18:07:52.23" personId="{03DF97AB-C0DB-48B2-ABC7-715EE8C305B5}" id="{74A24C9F-BFFF-40A9-B34B-47F44844D78E}">
    <text>@Sievert  Katrin  and this one</text>
    <mentions>
      <mention mentionpersonId="{2E446FF5-0675-F941-ADE1-95F816705888}" mentionId="{11B6062D-C1DC-441A-8FD3-F61CE169C2FC}" startIndex="0" length="1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L1" dT="2024-10-03T01:13:56.33" personId="{ADBD25B3-0C7B-4397-830C-3135DF40BA06}" id="{1EF8D96A-D4F8-4F04-BFDA-9F9DEFC1D71B}">
    <text>Super important to distinguish results by cost type. Would be nice to differentiate the data dots in initial boxplots by cost type (e.g., starts for net removed cost; dots for levelized cost of capture, etc.) Will have to dig into the difference for meta-analysis as well</text>
  </threadedComment>
  <threadedComment ref="W1" dT="2024-09-11T17:32:13.38" personId="{ADBD25B3-0C7B-4397-830C-3135DF40BA06}" id="{7E634AA6-F84C-45DF-927A-7EC0571DD5E6}">
    <text>@Katrin: FLH might be interesting sensitivity case - see later whether to standardize/do sensitivity on</text>
  </threadedComment>
  <threadedComment ref="AD1" dT="2024-10-15T17:36:35.63" personId="{ADBD25B3-0C7B-4397-830C-3135DF40BA06}" id="{85054E19-DD43-453D-B37F-8EDE2289C8B4}">
    <text>@Katrin: fill data on where is it taken from</text>
  </threadedComment>
  <threadedComment ref="T2" dT="2024-09-11T17:28:57.88" personId="{03DF97AB-C0DB-48B2-ABC7-715EE8C305B5}" id="{1634E5DB-968C-4809-AFCB-569DDEDDE00D}">
    <text>Sources include Nuclear, Solar, Wind, Geothermal, Hydro, and Grid from USA, Australia, Brazil, Germany, Oman, UK, and China</text>
  </threadedComment>
  <threadedComment ref="U2" dT="2024-09-11T17:31:36.91" personId="{03DF97AB-C0DB-48B2-ABC7-715EE8C305B5}" id="{83B6F572-1307-4F9C-8E6A-E80DCBFCCEF0}">
    <text>Prices are based on source (Natural Gas, Geothermal, Solar) and Location</text>
  </threadedComment>
  <threadedComment ref="T3" dT="2024-09-11T17:28:57.88" personId="{03DF97AB-C0DB-48B2-ABC7-715EE8C305B5}" id="{9E5F5A65-1260-4EF5-890E-C84ADF5D9241}">
    <text>Sources include Nuclear, Solar, Wind, Geothermal, Hydro, and Grid from USA, Australia, Brazil, Germany, Oman, UK, and China</text>
  </threadedComment>
  <threadedComment ref="U3" dT="2024-09-11T17:31:36.91" personId="{03DF97AB-C0DB-48B2-ABC7-715EE8C305B5}" id="{3BBBCEE6-AFAB-402E-AEDE-BDE82348B409}">
    <text>Prices are based on source (Natural Gas, Geothermal, Solar) and Location</text>
  </threadedComment>
  <threadedComment ref="T4" dT="2024-09-11T17:28:57.88" personId="{03DF97AB-C0DB-48B2-ABC7-715EE8C305B5}" id="{49C4D418-E108-4AC1-8369-2417F71166E5}">
    <text>Sources include Nuclear, Solar, Wind, Geothermal, Hydro, and Grid from USA, Australia, Brazil, Germany, Oman, UK, and China</text>
  </threadedComment>
  <threadedComment ref="U4" dT="2024-09-11T17:31:36.91" personId="{03DF97AB-C0DB-48B2-ABC7-715EE8C305B5}" id="{E358FC8F-61B8-4095-B91E-0608C9FB7351}">
    <text>Prices are based on source (Natural Gas, Geothermal, Solar) and Location</text>
  </threadedComment>
  <threadedComment ref="T5" dT="2024-09-11T17:28:57.88" personId="{03DF97AB-C0DB-48B2-ABC7-715EE8C305B5}" id="{F1E82F61-5388-4142-9B9F-958E1DF9CFFE}">
    <text>Sources include Nuclear, Solar, Wind, Geothermal, Hydro, and Grid from USA, Australia, Brazil, Germany, Oman, UK, and China</text>
  </threadedComment>
  <threadedComment ref="U5" dT="2024-09-11T17:31:36.91" personId="{03DF97AB-C0DB-48B2-ABC7-715EE8C305B5}" id="{3916D311-1426-4356-837C-685B46FEBDD8}">
    <text>Prices are based on source (Natural Gas, Geothermal, Solar) and Location</text>
  </threadedComment>
  <threadedComment ref="W9" dT="2024-09-11T18:45:06.86" personId="{03DF97AB-C0DB-48B2-ABC7-715EE8C305B5}" id="{B2163893-35D6-40CE-AF55-B9BADD48DC1C}">
    <text>Obtained from SI equation for operating hours, not mentioned explicitly</text>
  </threadedComment>
  <threadedComment ref="I10" dT="2024-10-03T21:40:24.62" personId="{03DF97AB-C0DB-48B2-ABC7-715EE8C305B5}" id="{7A087005-7092-405B-949E-36A5FEDE509E}">
    <text xml:space="preserve">This is modelled per ton of CO2
</text>
  </threadedComment>
  <threadedComment ref="I10" dT="2024-10-03T23:50:35.06" personId="{ADBD25B3-0C7B-4397-830C-3135DF40BA06}" id="{1F4DF930-BC80-4460-9CFF-E982A9267DFB}" parentId="{7A087005-7092-405B-949E-36A5FEDE509E}">
    <text>What do you mean?</text>
  </threadedComment>
  <threadedComment ref="I10" dT="2024-10-04T07:20:30.61" personId="{03DF97AB-C0DB-48B2-ABC7-715EE8C305B5}" id="{F72F07EF-D04E-441D-8D7C-84133D1D2394}" parentId="{7A087005-7092-405B-949E-36A5FEDE509E}">
    <text>The paper works with CO2 productivity per collector and calculates costs for 1 collector. There is some discussion of the size of collector and land required for 1Gt capture but it is not explicitly modelled</text>
  </threadedComment>
  <threadedComment ref="Q10" dT="2024-10-03T21:40:24.62" personId="{03DF97AB-C0DB-48B2-ABC7-715EE8C305B5}" id="{FC7E98BB-6FEE-487B-8249-91FD2F13C14C}">
    <text xml:space="preserve">This is modelled per ton of CO2
</text>
  </threadedComment>
  <threadedComment ref="Q10" dT="2024-10-03T23:50:35.06" personId="{ADBD25B3-0C7B-4397-830C-3135DF40BA06}" id="{CCFA3DA4-585B-46EE-85A5-BA3B6A9101AA}" parentId="{FC7E98BB-6FEE-487B-8249-91FD2F13C14C}">
    <text>What do you mean?</text>
  </threadedComment>
  <threadedComment ref="Q10" dT="2024-10-04T07:20:30.61" personId="{03DF97AB-C0DB-48B2-ABC7-715EE8C305B5}" id="{545B9BCC-BD69-4723-B43B-2521865F543A}" parentId="{FC7E98BB-6FEE-487B-8249-91FD2F13C14C}">
    <text>The paper works with CO2 productivity per collector and calculates costs for 1 collector. There is some discussion of the size of collector and land required for 1Gt capture but it is not explicitly modelled</text>
  </threadedComment>
  <threadedComment ref="AF10" dT="2024-09-16T21:36:08.37" personId="{03DF97AB-C0DB-48B2-ABC7-715EE8C305B5}" id="{A0BB2F82-30B3-4964-A3D7-A3FA32B9BDD0}">
    <text>@Sievert  Katrin we may need to contact this author since the model uses geospatial resolution to calculate costs. It would be great if you can check and validate</text>
    <mentions>
      <mention mentionpersonId="{2E446FF5-0675-F941-ADE1-95F816705888}" mentionId="{038517DA-AE40-41BC-9D01-C7A6BA8D62BC}" startIndex="0" length="16"/>
    </mentions>
  </threadedComment>
  <threadedComment ref="G11" dT="2024-10-16T18:09:16.91" personId="{ADBD25B3-0C7B-4397-830C-3135DF40BA06}" id="{C3AAB90F-A1BF-4795-9E03-463EB0B211CA}">
    <text>Note: fully electrified (not natural gas based)</text>
  </threadedComment>
  <threadedComment ref="S13" dT="2024-09-14T00:10:44.82" personId="{ADBD25B3-0C7B-4397-830C-3135DF40BA06}" id="{3077BB45-F3B3-46A3-8022-10F4E8A0F420}">
    <text>Same as APS 2011</text>
  </threadedComment>
  <threadedComment ref="S14" dT="2024-09-14T00:10:44.82" personId="{ADBD25B3-0C7B-4397-830C-3135DF40BA06}" id="{12507729-A60A-4DF5-B74A-9C4543C797FD}">
    <text>Same as APS 2011</text>
  </threadedComment>
  <threadedComment ref="S18" dT="2024-10-04T07:48:45.09" personId="{03DF97AB-C0DB-48B2-ABC7-715EE8C305B5}" id="{B6654AD4-BB7E-46DB-BDB8-C5EE8F1D0AE4}">
    <text>Electricity plant is modelled, need to derive LCOE (incl. battery) from installed cost of power plants</text>
  </threadedComment>
  <threadedComment ref="AD18" dT="2024-10-04T10:12:53.07" personId="{03DF97AB-C0DB-48B2-ABC7-715EE8C305B5}" id="{0C23BDF2-E247-4C8D-B943-607FC0C946D6}">
    <text>Note, labor is included in CAPEX for this study</text>
  </threadedComment>
  <threadedComment ref="A21" dT="2024-10-15T17:27:08.19" personId="{ADBD25B3-0C7B-4397-830C-3135DF40BA06}" id="{A463170D-1C29-4EE5-BFC4-ACBF55AAE826}">
    <text>@Katrin: exclude or not</text>
  </threadedComment>
  <threadedComment ref="AF22" dT="2024-09-16T17:44:47.08" personId="{ADBD25B3-0C7B-4397-830C-3135DF40BA06}" id="{3E1DE9F9-F373-4DD6-BFED-6455DF7D017A}" done="1">
    <text>I haven‘t done that for any of the sheets yet</text>
  </threadedComment>
  <threadedComment ref="G23" dT="2024-09-28T10:30:12.63" personId="{03DF97AB-C0DB-48B2-ABC7-715EE8C305B5}" id="{6048C8E5-CCC8-475B-A27F-E1CC465E639D}">
    <text>Although 4 technologies are mentioned, only 2 are modelled</text>
  </threadedComment>
  <threadedComment ref="S23" dT="2024-10-02T20:55:56.17" personId="{ADBD25B3-0C7B-4397-830C-3135DF40BA06}" id="{42EC91E7-31C3-4CD4-A3B6-B97E3B999614}">
    <text>@Yash Dubey (GESSWHO) , please specify range per tech</text>
  </threadedComment>
  <threadedComment ref="AG23" dT="2024-10-02T20:56:28.28" personId="{ADBD25B3-0C7B-4397-830C-3135DF40BA06}" id="{815F4C81-22A0-4CD2-9BDA-19E3A45A353D}">
    <text>@Yash Dubey (GESSWHO) , what is the status on Küng? ☺️</text>
    <mentions>
      <mention mentionpersonId="{9CD98BD0-400E-4DBA-9CBC-1EC169499640}" mentionId="{91B8E612-A34C-4ACC-A974-BA84344128DF}" startIndex="0" length="21"/>
    </mentions>
  </threadedComment>
  <threadedComment ref="G24" dT="2024-09-28T10:30:12.63" personId="{03DF97AB-C0DB-48B2-ABC7-715EE8C305B5}" id="{87DA5026-20AC-4F24-82B5-0562AB65957F}">
    <text>Although 4 technologies are mentioned, only 2 are modelled</text>
  </threadedComment>
  <threadedComment ref="AA35" dT="2024-10-09T19:22:12.97" personId="{03DF97AB-C0DB-48B2-ABC7-715EE8C305B5}" id="{602701B5-9907-4792-B53B-10DF61BD69D6}">
    <text>This is transport + storage</text>
  </threadedComment>
  <threadedComment ref="AA36" dT="2024-10-09T17:36:29.19" personId="{03DF97AB-C0DB-48B2-ABC7-715EE8C305B5}" id="{A98346E9-9A65-425F-B658-F36BEC35D8F1}">
    <text xml:space="preserve">This is transport + storage
</text>
  </threadedComment>
  <threadedComment ref="A38" dT="2024-10-13T11:47:25.14" personId="{03DF97AB-C0DB-48B2-ABC7-715EE8C305B5}" id="{541DD166-3D8A-48CE-A1F7-8A712E62D2A3}">
    <text>@Sievert  Katrin similar to Sinha 2019, there are some things missing to calculate the final cost. Do you think we can contact the authors?</text>
    <mentions>
      <mention mentionpersonId="{2E446FF5-0675-F941-ADE1-95F816705888}" mentionId="{5A281D29-EB05-4F9B-8DD2-A2DBC31A8B1C}" startIndex="0" length="16"/>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L1" dT="2024-10-03T01:13:56.33" personId="{ADBD25B3-0C7B-4397-830C-3135DF40BA06}" id="{0350936E-5044-471D-A851-AE9586EAACA6}">
    <text>Super important to distinguish results by cost type. Would be nice to differentiate the data dots in initial boxplots by cost type (e.g., starts for net removed cost; dots for levelized cost of capture, etc.) Will have to dig into the difference for meta-analysis as well</text>
  </threadedComment>
  <threadedComment ref="W1" dT="2024-09-11T17:32:13.38" personId="{ADBD25B3-0C7B-4397-830C-3135DF40BA06}" id="{64A09F6B-DB5C-4E34-952E-6D0A11E017D9}">
    <text>@Katrin: FLH might be interesting sensitivity case - see later whether to standardize/do sensitivity on</text>
  </threadedComment>
  <threadedComment ref="AD1" dT="2024-10-15T17:36:35.63" personId="{ADBD25B3-0C7B-4397-830C-3135DF40BA06}" id="{733209E8-3665-41FD-BADC-7944847F9D84}">
    <text>@Katrin: fill data on where is it taken from</text>
  </threadedComment>
  <threadedComment ref="T2" dT="2024-09-11T17:28:57.88" personId="{03DF97AB-C0DB-48B2-ABC7-715EE8C305B5}" id="{86BB2AD5-826A-425D-B333-633E4D38767A}">
    <text>Sources include Nuclear, Solar, Wind, Geothermal, Hydro, and Grid from USA, Australia, Brazil, Germany, Oman, UK, and China</text>
  </threadedComment>
  <threadedComment ref="U2" dT="2024-09-11T17:31:36.91" personId="{03DF97AB-C0DB-48B2-ABC7-715EE8C305B5}" id="{0CB68CBC-1557-4C67-93B7-53D7E7A9B650}">
    <text>Prices are based on source (Natural Gas, Geothermal, Solar) and Location</text>
  </threadedComment>
  <threadedComment ref="T3" dT="2024-09-11T17:28:57.88" personId="{03DF97AB-C0DB-48B2-ABC7-715EE8C305B5}" id="{DEF73B4C-B5F4-44BF-B216-26859C6F82B5}">
    <text>Sources include Nuclear, Solar, Wind, Geothermal, Hydro, and Grid from USA, Australia, Brazil, Germany, Oman, UK, and China</text>
  </threadedComment>
  <threadedComment ref="U3" dT="2024-09-11T17:31:36.91" personId="{03DF97AB-C0DB-48B2-ABC7-715EE8C305B5}" id="{07F57849-1FFE-4F56-AC47-C971DFCEEAC9}">
    <text>Prices are based on source (Natural Gas, Geothermal, Solar) and Location</text>
  </threadedComment>
  <threadedComment ref="T4" dT="2024-09-11T17:28:57.88" personId="{03DF97AB-C0DB-48B2-ABC7-715EE8C305B5}" id="{4E7D18A9-A9D5-4153-B291-395791263BAC}">
    <text>Sources include Nuclear, Solar, Wind, Geothermal, Hydro, and Grid from USA, Australia, Brazil, Germany, Oman, UK, and China</text>
  </threadedComment>
  <threadedComment ref="U4" dT="2024-09-11T17:31:36.91" personId="{03DF97AB-C0DB-48B2-ABC7-715EE8C305B5}" id="{BD04C056-715D-4212-8A4A-8A7D7674B6DD}">
    <text>Prices are based on source (Natural Gas, Geothermal, Solar) and Location</text>
  </threadedComment>
  <threadedComment ref="T5" dT="2024-09-11T17:28:57.88" personId="{03DF97AB-C0DB-48B2-ABC7-715EE8C305B5}" id="{1AC8CD09-0EB0-4214-951B-A26C1D273B22}">
    <text>Sources include Nuclear, Solar, Wind, Geothermal, Hydro, and Grid from USA, Australia, Brazil, Germany, Oman, UK, and China</text>
  </threadedComment>
  <threadedComment ref="U5" dT="2024-09-11T17:31:36.91" personId="{03DF97AB-C0DB-48B2-ABC7-715EE8C305B5}" id="{D1EBB37E-50DB-4F0A-AC93-E57F42603E17}">
    <text>Prices are based on source (Natural Gas, Geothermal, Solar) and Location</text>
  </threadedComment>
  <threadedComment ref="W9" dT="2024-09-11T18:45:06.86" personId="{03DF97AB-C0DB-48B2-ABC7-715EE8C305B5}" id="{35FAC218-210D-684F-B09A-02EBE0F780AE}">
    <text>Obtained from SI equation for operating hours, not mentioned explicitly</text>
  </threadedComment>
  <threadedComment ref="Q10" dT="2024-10-03T21:40:24.62" personId="{03DF97AB-C0DB-48B2-ABC7-715EE8C305B5}" id="{F536CBE0-9513-0D48-B524-50C9AB660CBC}">
    <text xml:space="preserve">This is modelled per ton of CO2
</text>
  </threadedComment>
  <threadedComment ref="Q10" dT="2024-10-03T23:50:35.06" personId="{ADBD25B3-0C7B-4397-830C-3135DF40BA06}" id="{E1F28E0D-F40E-4946-AE8C-E4808CE96D76}" parentId="{F536CBE0-9513-0D48-B524-50C9AB660CBC}">
    <text>What do you mean?</text>
  </threadedComment>
  <threadedComment ref="Q10" dT="2024-10-04T07:20:30.61" personId="{03DF97AB-C0DB-48B2-ABC7-715EE8C305B5}" id="{950655CD-A8C8-409C-ABB9-A21DB0D8FA35}" parentId="{F536CBE0-9513-0D48-B524-50C9AB660CBC}">
    <text>The paper works with CO2 productivity per collector and calculates costs for 1 collector. There is some discussion of the size of collector and land required for 1Gt capture but it is not explicitly modelled</text>
  </threadedComment>
  <threadedComment ref="AF10" dT="2024-09-16T21:36:08.37" personId="{03DF97AB-C0DB-48B2-ABC7-715EE8C305B5}" id="{1EE642E4-A716-E147-93D2-EBC82888867C}">
    <text>@Sievert  Katrin we may need to contact this author since the model uses geospatial resolution to calculate costs. It would be great if you can check and validate</text>
    <mentions>
      <mention mentionpersonId="{2E446FF5-0675-F941-ADE1-95F816705888}" mentionId="{69AB97AF-E0A7-484D-B90D-C2C0523EE7B2}" startIndex="0" length="16"/>
    </mentions>
  </threadedComment>
  <threadedComment ref="G11" dT="2024-10-16T18:09:16.91" personId="{ADBD25B3-0C7B-4397-830C-3135DF40BA06}" id="{C95C2BCC-3382-4BE7-948B-2D1F88B6C4EE}">
    <text>Note: fully electrified (not natural gas based)</text>
  </threadedComment>
  <threadedComment ref="S13" dT="2024-09-14T00:10:44.82" personId="{ADBD25B3-0C7B-4397-830C-3135DF40BA06}" id="{1B4F455C-B358-4250-8ECB-70EBFDB0C62A}">
    <text>Same as APS 2011</text>
  </threadedComment>
  <threadedComment ref="S14" dT="2024-09-14T00:10:44.82" personId="{ADBD25B3-0C7B-4397-830C-3135DF40BA06}" id="{371321C4-A3D2-4007-968B-EE1E2CB9DDCF}">
    <text>Same as APS 2011</text>
  </threadedComment>
  <threadedComment ref="S18" dT="2024-10-04T07:48:45.09" personId="{03DF97AB-C0DB-48B2-ABC7-715EE8C305B5}" id="{5E072874-0F33-4869-AA80-F4CCC7A97C3A}">
    <text>Electricity plant is modelled, need to derive LCOE (incl. battery) from installed cost of power plants</text>
  </threadedComment>
  <threadedComment ref="AD18" dT="2024-10-04T10:12:53.07" personId="{03DF97AB-C0DB-48B2-ABC7-715EE8C305B5}" id="{FC56B118-BB61-4DBC-8F46-9F3C2A3A9E4B}">
    <text>Note, labor is included in CAPEX for this study</text>
  </threadedComment>
  <threadedComment ref="A21" dT="2024-10-15T17:27:08.19" personId="{ADBD25B3-0C7B-4397-830C-3135DF40BA06}" id="{728DBFB1-DB2C-4EDA-8E92-BE2DED6B0C6B}">
    <text>@Katrin: exclude or not</text>
  </threadedComment>
  <threadedComment ref="AF22" dT="2024-09-16T17:44:47.08" personId="{ADBD25B3-0C7B-4397-830C-3135DF40BA06}" id="{3E1CE0CF-3941-44BC-9E68-9761F9B3A0C3}" done="1">
    <text>I haven‘t done that for any of the sheets yet</text>
  </threadedComment>
  <threadedComment ref="G23" dT="2024-09-28T10:30:12.63" personId="{03DF97AB-C0DB-48B2-ABC7-715EE8C305B5}" id="{4DDE1A3D-EE9B-47D8-B03C-C35299C31CC2}">
    <text>Although 4 technologies are mentioned, only 2 are modelled</text>
  </threadedComment>
  <threadedComment ref="S23" dT="2024-10-02T20:55:56.17" personId="{ADBD25B3-0C7B-4397-830C-3135DF40BA06}" id="{E1714139-03F0-4EFC-966C-2AD42AED0BCB}">
    <text>@Yash Dubey (GESSWHO) , please specify range per tech</text>
  </threadedComment>
  <threadedComment ref="AG23" dT="2024-10-02T20:56:28.28" personId="{ADBD25B3-0C7B-4397-830C-3135DF40BA06}" id="{49323A28-0DCB-49FC-989D-88DB2030BFBF}">
    <text>@Yash Dubey (GESSWHO) , what is the status on Küng? ☺️</text>
    <mentions>
      <mention mentionpersonId="{9CD98BD0-400E-4DBA-9CBC-1EC169499640}" mentionId="{C9EB15C5-85DB-4828-8040-190FD7E54B61}" startIndex="0" length="21"/>
    </mentions>
  </threadedComment>
  <threadedComment ref="G24" dT="2024-09-28T10:30:12.63" personId="{03DF97AB-C0DB-48B2-ABC7-715EE8C305B5}" id="{989D0218-F576-45FE-ABE7-DEEE1C53086D}">
    <text>Although 4 technologies are mentioned, only 2 are modelled</text>
  </threadedComment>
  <threadedComment ref="AA35" dT="2024-10-09T19:22:12.97" personId="{03DF97AB-C0DB-48B2-ABC7-715EE8C305B5}" id="{A11130B6-8F8E-41E3-ACD7-7C044B8FB67F}">
    <text>This is transport + storage</text>
  </threadedComment>
  <threadedComment ref="AA36" dT="2024-10-09T17:36:29.19" personId="{03DF97AB-C0DB-48B2-ABC7-715EE8C305B5}" id="{8C4F2012-255B-4EAF-95F0-14F0195BAF1C}">
    <text xml:space="preserve">This is transport + storage
</text>
  </threadedComment>
  <threadedComment ref="A38" dT="2024-10-13T11:47:25.14" personId="{03DF97AB-C0DB-48B2-ABC7-715EE8C305B5}" id="{0B133023-ADBB-434F-ADE6-C39EDED95688}">
    <text>@Sievert  Katrin similar to Sinha 2019, there are some things missing to calculate the final cost. Do you think we can contact the authors?</text>
    <mentions>
      <mention mentionpersonId="{2E446FF5-0675-F941-ADE1-95F816705888}" mentionId="{D9775E53-2108-46A4-8F59-EEAC0DDF908F}" startIndex="0" length="16"/>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M2" dT="2024-10-18T01:12:22.14" personId="{ADBD25B3-0C7B-4397-830C-3135DF40BA06}" id="{13FBD5C1-C7AD-481E-8BEF-2BCEE5657855}">
    <text>LCOE and carbon intensity are harmonized in the same step</text>
  </threadedComment>
  <threadedComment ref="A27" dT="2024-10-31T17:55:19.93" personId="{ADBD25B3-0C7B-4397-830C-3135DF40BA06}" id="{81F1FAF5-41A5-4877-88BA-7661CDD385FC}">
    <text>Will re-run Sievert et al. Again if any inputs to standardize change</text>
  </threadedComment>
  <threadedComment ref="K48" dT="2024-10-04T16:49:18.45" personId="{03DF97AB-C0DB-48B2-ABC7-715EE8C305B5}" id="{F9520948-9D7F-475E-A76C-5B8C0F91C279}">
    <text>This paper does not detail plant capacity</text>
  </threadedComment>
  <threadedComment ref="D60" dT="2024-10-16T18:09:33.27" personId="{ADBD25B3-0C7B-4397-830C-3135DF40BA06}" id="{2C5D1DDE-D2EB-4B36-B440-D5AC5B4DFA10}">
    <text>Note: fully electrified (not natural gas based)</text>
  </threadedComment>
  <threadedComment ref="B140" dT="2024-10-03T21:12:41.37" personId="{ADBD25B3-0C7B-4397-830C-3135DF40BA06}" id="{A5FFF8A1-ACF0-4CD3-815A-8476EBCDFC0C}">
    <text>Not specified as 2050 in Keith et al. Our assumption</text>
  </threadedComment>
  <threadedComment ref="B144" dT="2024-10-03T21:12:44.43" personId="{ADBD25B3-0C7B-4397-830C-3135DF40BA06}" id="{FD151479-DE2A-41C3-80E2-1226DA56B401}">
    <text>Not specified as 2050 in Keith et al. Our assumption</text>
  </threadedComment>
</ThreadedComment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oecd-nea.org/jcms/pl_51110/projected-costs-of-generating-electricity-2020-edition" TargetMode="External"/><Relationship Id="rId7" Type="http://schemas.openxmlformats.org/officeDocument/2006/relationships/hyperlink" Target="https://www.oecd-nea.org/jcms/pl_51110/projected-costs-of-generating-electricity-2020-edition" TargetMode="External"/><Relationship Id="rId2" Type="http://schemas.openxmlformats.org/officeDocument/2006/relationships/hyperlink" Target="https://www.bnef.com/flagships/lcoe" TargetMode="External"/><Relationship Id="rId1" Type="http://schemas.openxmlformats.org/officeDocument/2006/relationships/hyperlink" Target="https://www.bnef.com/flagships/lcoe" TargetMode="External"/><Relationship Id="rId6" Type="http://schemas.openxmlformats.org/officeDocument/2006/relationships/hyperlink" Target="https://www.bnef.com/flagships/lcoe" TargetMode="External"/><Relationship Id="rId5" Type="http://schemas.openxmlformats.org/officeDocument/2006/relationships/hyperlink" Target="https://www.irena.org/publications/2022/Jul/Renewable-Power-Generation-Costs-in-2021" TargetMode="External"/><Relationship Id="rId4" Type="http://schemas.openxmlformats.org/officeDocument/2006/relationships/hyperlink" Target="https://www.irena.org/publications/2022/Jul/Renewable-Power-Generation-Costs-in-2021"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sciencedirect.com/journal/renewable-and-sustainable-energy-reviews" TargetMode="External"/><Relationship Id="rId13" Type="http://schemas.openxmlformats.org/officeDocument/2006/relationships/vmlDrawing" Target="../drawings/vmlDrawing1.vml"/><Relationship Id="rId3" Type="http://schemas.openxmlformats.org/officeDocument/2006/relationships/hyperlink" Target="https://www.netl.doe.gov/projects/files/DirectAirCaptureCaseStudiesSorbentSystem_070822.pdf" TargetMode="External"/><Relationship Id="rId7" Type="http://schemas.openxmlformats.org/officeDocument/2006/relationships/hyperlink" Target="https://www.sciencedirect.com/journal/carbon-capture-science-and-technology" TargetMode="External"/><Relationship Id="rId12" Type="http://schemas.openxmlformats.org/officeDocument/2006/relationships/hyperlink" Target="https://roads2removal.org/" TargetMode="External"/><Relationship Id="rId2" Type="http://schemas.openxmlformats.org/officeDocument/2006/relationships/hyperlink" Target="https://netl.doe.gov/projects/files/DirectAirCaptureCaseStudiesSolventSystem_083122.pdf" TargetMode="External"/><Relationship Id="rId1" Type="http://schemas.openxmlformats.org/officeDocument/2006/relationships/hyperlink" Target="https://doi.org/10.1021/es502887y" TargetMode="External"/><Relationship Id="rId6" Type="http://schemas.openxmlformats.org/officeDocument/2006/relationships/hyperlink" Target="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TargetMode="External"/><Relationship Id="rId11" Type="http://schemas.openxmlformats.org/officeDocument/2006/relationships/hyperlink" Target="https://roads2removal.org/" TargetMode="External"/><Relationship Id="rId5" Type="http://schemas.openxmlformats.org/officeDocument/2006/relationships/hyperlink" Target="https://doi.org/10.17226/25259" TargetMode="External"/><Relationship Id="rId15" Type="http://schemas.microsoft.com/office/2017/10/relationships/threadedComment" Target="../threadedComments/threadedComment1.xml"/><Relationship Id="rId10" Type="http://schemas.openxmlformats.org/officeDocument/2006/relationships/hyperlink" Target="https://doi.org/10.17226/25259" TargetMode="External"/><Relationship Id="rId4" Type="http://schemas.openxmlformats.org/officeDocument/2006/relationships/hyperlink" Target="https://roads2removal.org/" TargetMode="External"/><Relationship Id="rId9" Type="http://schemas.openxmlformats.org/officeDocument/2006/relationships/hyperlink" Target="https://roads2removal.org/" TargetMode="External"/><Relationship Id="rId1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8" Type="http://schemas.openxmlformats.org/officeDocument/2006/relationships/hyperlink" Target="https://doi.org/10.17226/25259" TargetMode="External"/><Relationship Id="rId3" Type="http://schemas.openxmlformats.org/officeDocument/2006/relationships/hyperlink" Target="https://www.netl.doe.gov/projects/files/DirectAirCaptureCaseStudiesSorbentSystem_070822.pdf" TargetMode="External"/><Relationship Id="rId7" Type="http://schemas.openxmlformats.org/officeDocument/2006/relationships/hyperlink" Target="https://roads2removal.org/" TargetMode="External"/><Relationship Id="rId2" Type="http://schemas.openxmlformats.org/officeDocument/2006/relationships/hyperlink" Target="https://netl.doe.gov/projects/files/DirectAirCaptureCaseStudiesSolventSystem_083122.pdf" TargetMode="External"/><Relationship Id="rId1" Type="http://schemas.openxmlformats.org/officeDocument/2006/relationships/hyperlink" Target="https://doi.org/10.1021/es502887y" TargetMode="External"/><Relationship Id="rId6" Type="http://schemas.openxmlformats.org/officeDocument/2006/relationships/hyperlink" Target="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TargetMode="External"/><Relationship Id="rId11" Type="http://schemas.microsoft.com/office/2017/10/relationships/threadedComment" Target="../threadedComments/threadedComment2.xml"/><Relationship Id="rId5" Type="http://schemas.openxmlformats.org/officeDocument/2006/relationships/hyperlink" Target="https://doi.org/10.17226/25259" TargetMode="External"/><Relationship Id="rId10" Type="http://schemas.openxmlformats.org/officeDocument/2006/relationships/comments" Target="../comments2.xml"/><Relationship Id="rId4" Type="http://schemas.openxmlformats.org/officeDocument/2006/relationships/hyperlink" Target="https://roads2removal.org/" TargetMode="External"/><Relationship Id="rId9"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8" Type="http://schemas.openxmlformats.org/officeDocument/2006/relationships/hyperlink" Target="https://doi.org/10.17226/25259" TargetMode="External"/><Relationship Id="rId3" Type="http://schemas.openxmlformats.org/officeDocument/2006/relationships/hyperlink" Target="https://www.netl.doe.gov/projects/files/DirectAirCaptureCaseStudiesSorbentSystem_070822.pdf" TargetMode="External"/><Relationship Id="rId7" Type="http://schemas.openxmlformats.org/officeDocument/2006/relationships/hyperlink" Target="https://roads2removal.org/" TargetMode="External"/><Relationship Id="rId12" Type="http://schemas.microsoft.com/office/2017/10/relationships/threadedComment" Target="../threadedComments/threadedComment3.xml"/><Relationship Id="rId2" Type="http://schemas.openxmlformats.org/officeDocument/2006/relationships/hyperlink" Target="https://netl.doe.gov/projects/files/DirectAirCaptureCaseStudiesSolventSystem_083122.pdf" TargetMode="External"/><Relationship Id="rId1" Type="http://schemas.openxmlformats.org/officeDocument/2006/relationships/hyperlink" Target="https://doi.org/10.1021/es502887y" TargetMode="External"/><Relationship Id="rId6" Type="http://schemas.openxmlformats.org/officeDocument/2006/relationships/hyperlink" Target="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TargetMode="External"/><Relationship Id="rId11" Type="http://schemas.openxmlformats.org/officeDocument/2006/relationships/comments" Target="../comments3.xml"/><Relationship Id="rId5" Type="http://schemas.openxmlformats.org/officeDocument/2006/relationships/hyperlink" Target="https://doi.org/10.17226/25259" TargetMode="External"/><Relationship Id="rId10" Type="http://schemas.openxmlformats.org/officeDocument/2006/relationships/vmlDrawing" Target="../drawings/vmlDrawing3.vml"/><Relationship Id="rId4" Type="http://schemas.openxmlformats.org/officeDocument/2006/relationships/hyperlink" Target="https://roads2removal.org/" TargetMode="External"/><Relationship Id="rId9"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irs.gov/individuals/international-taxpayers/yearly-average-currency-exchange-rates" TargetMode="External"/><Relationship Id="rId2" Type="http://schemas.openxmlformats.org/officeDocument/2006/relationships/hyperlink" Target="https://data.worldbank.org/indicator/FP.CPI.TOTL.ZG?locations=US" TargetMode="External"/><Relationship Id="rId1" Type="http://schemas.openxmlformats.org/officeDocument/2006/relationships/hyperlink" Target="https://data.worldbank.org/indicator/FP.CPI.TOTL.Z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18090-0B0B-C248-B9C6-3EA8C5996CC0}">
  <sheetPr codeName="Sheet1"/>
  <dimension ref="A1"/>
  <sheetViews>
    <sheetView workbookViewId="0"/>
  </sheetViews>
  <sheetFormatPr defaultColWidth="11.125" defaultRowHeight="15.7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1075-588E-5843-BB7A-EDB11B09427F}">
  <sheetPr codeName="Sheet2"/>
  <dimension ref="A1"/>
  <sheetViews>
    <sheetView workbookViewId="0"/>
  </sheetViews>
  <sheetFormatPr defaultColWidth="11.125" defaultRowHeight="15.7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F95F4-5606-9A4E-B5D6-523DA6069C8C}">
  <sheetPr codeName="Sheet3">
    <tabColor theme="6" tint="0.59999389629810485"/>
  </sheetPr>
  <dimension ref="A1:E29"/>
  <sheetViews>
    <sheetView tabSelected="1" topLeftCell="A3" workbookViewId="0">
      <selection activeCell="C10" sqref="C10"/>
    </sheetView>
  </sheetViews>
  <sheetFormatPr defaultColWidth="11.125" defaultRowHeight="15.75" x14ac:dyDescent="0.25"/>
  <cols>
    <col min="1" max="1" width="24.125" bestFit="1" customWidth="1"/>
    <col min="2" max="2" width="11.5" bestFit="1" customWidth="1"/>
    <col min="3" max="3" width="13.625" bestFit="1" customWidth="1"/>
    <col min="4" max="4" width="11.625" customWidth="1"/>
  </cols>
  <sheetData>
    <row r="1" spans="1:5" x14ac:dyDescent="0.25">
      <c r="A1" t="s">
        <v>1</v>
      </c>
      <c r="B1" t="s">
        <v>2</v>
      </c>
      <c r="C1" t="s">
        <v>3</v>
      </c>
      <c r="D1" s="60" t="s">
        <v>4</v>
      </c>
    </row>
    <row r="2" spans="1:5" x14ac:dyDescent="0.25">
      <c r="A2" s="1" t="s">
        <v>5</v>
      </c>
      <c r="B2" s="1" t="s">
        <v>6</v>
      </c>
      <c r="C2" s="1" t="s">
        <v>7</v>
      </c>
      <c r="D2" s="1" t="s">
        <v>8</v>
      </c>
    </row>
    <row r="3" spans="1:5" s="8" customFormat="1" x14ac:dyDescent="0.25">
      <c r="A3" s="7" t="s">
        <v>9</v>
      </c>
    </row>
    <row r="4" spans="1:5" x14ac:dyDescent="0.25">
      <c r="A4" t="s">
        <v>10</v>
      </c>
      <c r="C4">
        <v>2024</v>
      </c>
    </row>
    <row r="5" spans="1:5" x14ac:dyDescent="0.25">
      <c r="A5" t="s">
        <v>11</v>
      </c>
      <c r="C5" s="79">
        <f>Inflation!C22 / 100</f>
        <v>2.453282945060923E-2</v>
      </c>
    </row>
    <row r="6" spans="1:5" x14ac:dyDescent="0.25">
      <c r="A6" t="s">
        <v>12</v>
      </c>
      <c r="C6" s="5">
        <v>7.0000000000000007E-2</v>
      </c>
    </row>
    <row r="7" spans="1:5" x14ac:dyDescent="0.25">
      <c r="A7" t="s">
        <v>13</v>
      </c>
      <c r="C7" s="6">
        <f>1/AVERAGE(USD_EUR!B11:B211)</f>
        <v>0.81870109796004231</v>
      </c>
    </row>
    <row r="8" spans="1:5" s="8" customFormat="1" x14ac:dyDescent="0.25">
      <c r="A8" s="7" t="s">
        <v>14</v>
      </c>
    </row>
    <row r="9" spans="1:5" x14ac:dyDescent="0.25">
      <c r="A9" s="57" t="s">
        <v>15</v>
      </c>
      <c r="B9">
        <v>2024</v>
      </c>
      <c r="C9" cm="1">
        <f t="array" ref="C9">_xlfn.IFS($D$1 = "Low Electricity and CO2", 'Energy_Carbon intensity'!F30, $D$1 = "Reference",'Standard Input Calculations'!E13, $D$1="High Electricity and CO2",'Energy_Carbon intensity'!F34)</f>
        <v>64</v>
      </c>
      <c r="D9" t="s">
        <v>16</v>
      </c>
      <c r="E9" s="48" t="s">
        <v>17</v>
      </c>
    </row>
    <row r="10" spans="1:5" x14ac:dyDescent="0.25">
      <c r="A10" s="57" t="s">
        <v>15</v>
      </c>
      <c r="B10">
        <v>2050</v>
      </c>
      <c r="C10">
        <v>39</v>
      </c>
      <c r="D10" t="s">
        <v>16</v>
      </c>
      <c r="E10" t="s">
        <v>18</v>
      </c>
    </row>
    <row r="11" spans="1:5" x14ac:dyDescent="0.25">
      <c r="A11" s="105" t="s">
        <v>19</v>
      </c>
      <c r="B11" s="105">
        <v>2024</v>
      </c>
      <c r="C11" s="105">
        <v>14.47</v>
      </c>
      <c r="D11" s="105" t="s">
        <v>20</v>
      </c>
      <c r="E11" s="94" t="s">
        <v>21</v>
      </c>
    </row>
    <row r="12" spans="1:5" x14ac:dyDescent="0.25">
      <c r="A12" s="105" t="s">
        <v>19</v>
      </c>
      <c r="B12" s="105">
        <v>2050</v>
      </c>
      <c r="C12" s="105">
        <v>10</v>
      </c>
      <c r="D12" s="105" t="s">
        <v>20</v>
      </c>
      <c r="E12" s="94" t="s">
        <v>21</v>
      </c>
    </row>
    <row r="13" spans="1:5" x14ac:dyDescent="0.25">
      <c r="A13" s="105" t="s">
        <v>19</v>
      </c>
      <c r="B13" s="105">
        <v>2024</v>
      </c>
      <c r="C13" s="106">
        <f>C11*$C$29</f>
        <v>52.092000000000006</v>
      </c>
      <c r="D13" s="107" t="s">
        <v>16</v>
      </c>
      <c r="E13" s="94"/>
    </row>
    <row r="14" spans="1:5" x14ac:dyDescent="0.25">
      <c r="A14" s="105" t="s">
        <v>19</v>
      </c>
      <c r="B14" s="105">
        <v>2050</v>
      </c>
      <c r="C14" s="106">
        <f>C12*$C$29</f>
        <v>36</v>
      </c>
      <c r="D14" s="107" t="s">
        <v>16</v>
      </c>
      <c r="E14" s="94"/>
    </row>
    <row r="15" spans="1:5" x14ac:dyDescent="0.25">
      <c r="A15" s="105" t="s">
        <v>22</v>
      </c>
      <c r="B15" s="105">
        <v>2024</v>
      </c>
      <c r="C15" s="105">
        <v>5.49</v>
      </c>
      <c r="D15" s="105" t="s">
        <v>20</v>
      </c>
      <c r="E15" s="94" t="s">
        <v>21</v>
      </c>
    </row>
    <row r="16" spans="1:5" x14ac:dyDescent="0.25">
      <c r="A16" s="105" t="s">
        <v>22</v>
      </c>
      <c r="B16" s="105">
        <v>2050</v>
      </c>
      <c r="C16" s="105">
        <v>5.8</v>
      </c>
      <c r="D16" s="105" t="s">
        <v>20</v>
      </c>
      <c r="E16" s="94" t="s">
        <v>21</v>
      </c>
    </row>
    <row r="17" spans="1:5" x14ac:dyDescent="0.25">
      <c r="A17" s="105" t="s">
        <v>22</v>
      </c>
      <c r="B17" s="105">
        <v>2024</v>
      </c>
      <c r="C17" s="106">
        <f>C15*C29</f>
        <v>19.764000000000003</v>
      </c>
      <c r="D17" s="107" t="s">
        <v>16</v>
      </c>
      <c r="E17" s="94"/>
    </row>
    <row r="18" spans="1:5" x14ac:dyDescent="0.25">
      <c r="A18" s="105" t="s">
        <v>22</v>
      </c>
      <c r="B18" s="105">
        <v>2050</v>
      </c>
      <c r="C18" s="106">
        <f>C16*C29</f>
        <v>20.88</v>
      </c>
      <c r="D18" s="107" t="s">
        <v>16</v>
      </c>
      <c r="E18" s="94"/>
    </row>
    <row r="19" spans="1:5" s="94" customFormat="1" ht="15" x14ac:dyDescent="0.25">
      <c r="A19" s="94" t="s">
        <v>23</v>
      </c>
      <c r="C19" s="95">
        <v>1.7600000000000001E-2</v>
      </c>
      <c r="D19" s="94" t="s">
        <v>24</v>
      </c>
      <c r="E19" s="94" t="s">
        <v>21</v>
      </c>
    </row>
    <row r="20" spans="1:5" s="94" customFormat="1" ht="15" x14ac:dyDescent="0.25">
      <c r="A20" s="94" t="s">
        <v>25</v>
      </c>
      <c r="C20" s="96">
        <v>1.5299999999999999E-2</v>
      </c>
      <c r="D20" s="94" t="s">
        <v>24</v>
      </c>
      <c r="E20" s="94" t="s">
        <v>21</v>
      </c>
    </row>
    <row r="21" spans="1:5" s="94" customFormat="1" ht="15" x14ac:dyDescent="0.25">
      <c r="A21" s="94" t="s">
        <v>26</v>
      </c>
      <c r="C21" s="96">
        <f>8.43333333333333/1000</f>
        <v>8.4333333333333309E-3</v>
      </c>
      <c r="D21" s="94" t="s">
        <v>24</v>
      </c>
      <c r="E21" s="94" t="s">
        <v>21</v>
      </c>
    </row>
    <row r="22" spans="1:5" s="8" customFormat="1" x14ac:dyDescent="0.25">
      <c r="A22" s="7" t="s">
        <v>27</v>
      </c>
    </row>
    <row r="23" spans="1:5" x14ac:dyDescent="0.25">
      <c r="A23" t="s">
        <v>28</v>
      </c>
      <c r="B23">
        <v>2024</v>
      </c>
      <c r="C23">
        <v>25</v>
      </c>
      <c r="D23" t="s">
        <v>29</v>
      </c>
      <c r="E23" s="48" t="s">
        <v>30</v>
      </c>
    </row>
    <row r="24" spans="1:5" x14ac:dyDescent="0.25">
      <c r="A24" t="s">
        <v>28</v>
      </c>
      <c r="B24">
        <v>2050</v>
      </c>
      <c r="C24">
        <v>15</v>
      </c>
      <c r="D24" t="s">
        <v>29</v>
      </c>
      <c r="E24" s="48" t="s">
        <v>30</v>
      </c>
    </row>
    <row r="25" spans="1:5" s="8" customFormat="1" x14ac:dyDescent="0.25">
      <c r="A25" s="7" t="s">
        <v>31</v>
      </c>
    </row>
    <row r="26" spans="1:5" x14ac:dyDescent="0.25">
      <c r="A26" s="57" t="s">
        <v>32</v>
      </c>
      <c r="B26">
        <v>2024</v>
      </c>
      <c r="C26" s="6">
        <v>15</v>
      </c>
      <c r="D26" t="s">
        <v>29</v>
      </c>
      <c r="E26" s="48" t="s">
        <v>30</v>
      </c>
    </row>
    <row r="27" spans="1:5" x14ac:dyDescent="0.25">
      <c r="A27" s="57" t="s">
        <v>32</v>
      </c>
      <c r="B27">
        <v>2050</v>
      </c>
      <c r="C27">
        <v>10</v>
      </c>
      <c r="D27" t="s">
        <v>29</v>
      </c>
      <c r="E27" s="48" t="s">
        <v>30</v>
      </c>
    </row>
    <row r="29" spans="1:5" s="108" customFormat="1" ht="15" x14ac:dyDescent="0.25">
      <c r="A29" s="108" t="s">
        <v>33</v>
      </c>
      <c r="C29" s="109">
        <v>3.6</v>
      </c>
      <c r="E29" s="108" t="s">
        <v>34</v>
      </c>
    </row>
  </sheetData>
  <dataValidations count="2">
    <dataValidation type="list" allowBlank="1" showInputMessage="1" showErrorMessage="1" sqref="D1" xr:uid="{70009DBE-B1D9-41DD-BB36-93A7847883A8}">
      <formula1>"Reference, Low Electricity and CO2, High Electricity and CO2"</formula1>
    </dataValidation>
    <dataValidation type="list" allowBlank="1" showInputMessage="1" showErrorMessage="1" sqref="B1" xr:uid="{12095ECF-9EC1-4D6D-93DF-CF5781AA538B}">
      <formula1>"Low Oil Price, Reference Oil Price, High Oil Price"</formula1>
    </dataValidation>
  </dataValidation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1155D-2A55-0744-BB3C-78DAEE3CB015}">
  <dimension ref="A1:AN55"/>
  <sheetViews>
    <sheetView topLeftCell="A34" zoomScale="69" workbookViewId="0">
      <selection activeCell="A43" sqref="A43"/>
    </sheetView>
  </sheetViews>
  <sheetFormatPr defaultColWidth="8.625" defaultRowHeight="15.75" x14ac:dyDescent="0.25"/>
  <cols>
    <col min="1" max="1" width="23.125" customWidth="1"/>
    <col min="2" max="2" width="20.125" customWidth="1"/>
    <col min="3" max="3" width="21" customWidth="1"/>
    <col min="35" max="35" width="8.625" style="47"/>
    <col min="36" max="36" width="17.125" style="41" customWidth="1"/>
    <col min="37" max="37" width="13.625" customWidth="1"/>
  </cols>
  <sheetData>
    <row r="1" spans="1:38" x14ac:dyDescent="0.25">
      <c r="A1" s="31" t="s">
        <v>35</v>
      </c>
      <c r="B1" s="31" t="s">
        <v>36</v>
      </c>
      <c r="C1" s="31" t="s">
        <v>37</v>
      </c>
      <c r="D1" s="31">
        <v>2022</v>
      </c>
      <c r="E1" s="31">
        <v>2023</v>
      </c>
      <c r="F1" s="31">
        <v>2024</v>
      </c>
      <c r="G1" s="31">
        <v>2025</v>
      </c>
      <c r="H1" s="31">
        <v>2026</v>
      </c>
      <c r="I1" s="31">
        <v>2027</v>
      </c>
      <c r="J1" s="31">
        <v>2028</v>
      </c>
      <c r="K1" s="31">
        <v>2029</v>
      </c>
      <c r="L1" s="31">
        <v>2030</v>
      </c>
      <c r="M1" s="31">
        <v>2031</v>
      </c>
      <c r="N1" s="31">
        <v>2032</v>
      </c>
      <c r="O1" s="31">
        <v>2033</v>
      </c>
      <c r="P1" s="31">
        <v>2034</v>
      </c>
      <c r="Q1" s="31">
        <v>2035</v>
      </c>
      <c r="R1" s="31">
        <v>2036</v>
      </c>
      <c r="S1" s="31">
        <v>2037</v>
      </c>
      <c r="T1" s="31">
        <v>2038</v>
      </c>
      <c r="U1" s="31">
        <v>2039</v>
      </c>
      <c r="V1" s="31">
        <v>2040</v>
      </c>
      <c r="W1" s="31">
        <v>2041</v>
      </c>
      <c r="X1" s="31">
        <v>2042</v>
      </c>
      <c r="Y1" s="31">
        <v>2043</v>
      </c>
      <c r="Z1" s="31">
        <v>2044</v>
      </c>
      <c r="AA1" s="31">
        <v>2045</v>
      </c>
      <c r="AB1" s="31">
        <v>2046</v>
      </c>
      <c r="AC1" s="31">
        <v>2047</v>
      </c>
      <c r="AD1" s="31">
        <v>2048</v>
      </c>
      <c r="AE1" s="31">
        <v>2049</v>
      </c>
      <c r="AF1" s="31">
        <v>2050</v>
      </c>
      <c r="AG1" s="32" t="s">
        <v>38</v>
      </c>
      <c r="AH1" s="32" t="s">
        <v>39</v>
      </c>
      <c r="AI1" s="32" t="s">
        <v>40</v>
      </c>
      <c r="AJ1" s="33" t="s">
        <v>41</v>
      </c>
      <c r="AK1" s="32" t="s">
        <v>42</v>
      </c>
      <c r="AL1" s="32" t="s">
        <v>38</v>
      </c>
    </row>
    <row r="2" spans="1:38" x14ac:dyDescent="0.25">
      <c r="A2" s="34" t="s">
        <v>43</v>
      </c>
      <c r="B2" s="34" t="s">
        <v>44</v>
      </c>
      <c r="C2" s="34" t="s">
        <v>45</v>
      </c>
      <c r="D2" s="34">
        <v>111</v>
      </c>
      <c r="E2" s="34">
        <v>97</v>
      </c>
      <c r="F2" s="34">
        <v>84</v>
      </c>
      <c r="G2" s="34">
        <v>75</v>
      </c>
      <c r="H2" s="34">
        <v>68</v>
      </c>
      <c r="I2" s="34">
        <v>62</v>
      </c>
      <c r="J2" s="34">
        <v>58</v>
      </c>
      <c r="K2" s="34">
        <v>55</v>
      </c>
      <c r="L2" s="34">
        <v>53</v>
      </c>
      <c r="M2" s="34">
        <v>50</v>
      </c>
      <c r="N2" s="34">
        <v>48</v>
      </c>
      <c r="O2" s="34">
        <v>47</v>
      </c>
      <c r="P2" s="34">
        <v>45</v>
      </c>
      <c r="Q2" s="34">
        <v>44</v>
      </c>
      <c r="R2" s="34">
        <v>43</v>
      </c>
      <c r="S2" s="34">
        <v>43</v>
      </c>
      <c r="T2" s="34">
        <v>42</v>
      </c>
      <c r="U2" s="34">
        <v>41</v>
      </c>
      <c r="V2" s="34">
        <v>41</v>
      </c>
      <c r="W2" s="34">
        <v>41</v>
      </c>
      <c r="X2" s="34">
        <v>40</v>
      </c>
      <c r="Y2" s="34">
        <v>41</v>
      </c>
      <c r="Z2" s="34">
        <v>40</v>
      </c>
      <c r="AA2" s="34">
        <v>40</v>
      </c>
      <c r="AB2" s="34">
        <v>40</v>
      </c>
      <c r="AC2" s="34">
        <v>39</v>
      </c>
      <c r="AD2" s="34">
        <v>40</v>
      </c>
      <c r="AE2" s="34">
        <v>39</v>
      </c>
      <c r="AF2" s="34">
        <v>39</v>
      </c>
      <c r="AG2" s="35" t="s">
        <v>46</v>
      </c>
      <c r="AH2" s="36" t="s">
        <v>47</v>
      </c>
      <c r="AI2" s="37" t="s">
        <v>48</v>
      </c>
      <c r="AJ2" s="38">
        <f>15.3/1000</f>
        <v>1.5300000000000001E-2</v>
      </c>
      <c r="AK2" s="39" t="s">
        <v>49</v>
      </c>
      <c r="AL2" s="39" t="s">
        <v>50</v>
      </c>
    </row>
    <row r="3" spans="1:38" x14ac:dyDescent="0.25">
      <c r="A3" s="40" t="s">
        <v>51</v>
      </c>
      <c r="B3" s="40" t="s">
        <v>52</v>
      </c>
      <c r="C3" s="40" t="s">
        <v>45</v>
      </c>
      <c r="D3" s="40">
        <v>47</v>
      </c>
      <c r="E3" s="40">
        <v>48</v>
      </c>
      <c r="F3" s="40">
        <v>48</v>
      </c>
      <c r="G3" s="40">
        <v>48</v>
      </c>
      <c r="H3" s="40">
        <v>49</v>
      </c>
      <c r="I3" s="40">
        <v>49</v>
      </c>
      <c r="J3" s="40">
        <v>50</v>
      </c>
      <c r="K3" s="40">
        <v>51</v>
      </c>
      <c r="L3" s="40">
        <v>51</v>
      </c>
      <c r="M3" s="40">
        <v>52</v>
      </c>
      <c r="N3" s="40">
        <v>52</v>
      </c>
      <c r="O3" s="40">
        <v>53</v>
      </c>
      <c r="P3" s="40">
        <v>53</v>
      </c>
      <c r="Q3" s="40">
        <v>54</v>
      </c>
      <c r="R3" s="40">
        <v>54</v>
      </c>
      <c r="S3" s="40">
        <v>54</v>
      </c>
      <c r="T3" s="40">
        <v>55</v>
      </c>
      <c r="U3" s="40">
        <v>55</v>
      </c>
      <c r="V3" s="40">
        <v>56</v>
      </c>
      <c r="W3" s="40">
        <v>56</v>
      </c>
      <c r="X3" s="40">
        <v>56</v>
      </c>
      <c r="Y3" s="40">
        <v>56</v>
      </c>
      <c r="Z3" s="40">
        <v>57</v>
      </c>
      <c r="AA3" s="40">
        <v>57</v>
      </c>
      <c r="AB3" s="40">
        <v>57</v>
      </c>
      <c r="AC3" s="40">
        <v>57</v>
      </c>
      <c r="AD3" s="40">
        <v>57</v>
      </c>
      <c r="AE3" s="40">
        <v>57</v>
      </c>
      <c r="AF3" s="40">
        <v>57</v>
      </c>
      <c r="AG3" s="35" t="s">
        <v>46</v>
      </c>
      <c r="AH3" s="36" t="s">
        <v>47</v>
      </c>
      <c r="AI3" s="37" t="s">
        <v>48</v>
      </c>
    </row>
    <row r="4" spans="1:38" x14ac:dyDescent="0.25">
      <c r="A4" s="40" t="s">
        <v>53</v>
      </c>
      <c r="B4" s="40" t="s">
        <v>54</v>
      </c>
      <c r="C4" s="40" t="s">
        <v>45</v>
      </c>
      <c r="D4" s="40">
        <v>151</v>
      </c>
      <c r="E4" s="40">
        <v>141</v>
      </c>
      <c r="F4" s="40">
        <v>132</v>
      </c>
      <c r="G4" s="40">
        <v>121</v>
      </c>
      <c r="H4" s="40">
        <v>112</v>
      </c>
      <c r="I4" s="40">
        <v>102</v>
      </c>
      <c r="J4" s="40">
        <v>92</v>
      </c>
      <c r="K4" s="40">
        <v>82</v>
      </c>
      <c r="L4" s="40">
        <v>72</v>
      </c>
      <c r="M4" s="40">
        <v>73</v>
      </c>
      <c r="N4" s="40">
        <v>74</v>
      </c>
      <c r="O4" s="40">
        <v>74</v>
      </c>
      <c r="P4" s="40">
        <v>75</v>
      </c>
      <c r="Q4" s="40">
        <v>75</v>
      </c>
      <c r="R4" s="40">
        <v>76</v>
      </c>
      <c r="S4" s="40">
        <v>76</v>
      </c>
      <c r="T4" s="40">
        <v>77</v>
      </c>
      <c r="U4" s="40">
        <v>77</v>
      </c>
      <c r="V4" s="40">
        <v>77</v>
      </c>
      <c r="W4" s="40">
        <v>78</v>
      </c>
      <c r="X4" s="40">
        <v>78</v>
      </c>
      <c r="Y4" s="40">
        <v>79</v>
      </c>
      <c r="Z4" s="40">
        <v>79</v>
      </c>
      <c r="AA4" s="40">
        <v>79</v>
      </c>
      <c r="AB4" s="40">
        <v>79</v>
      </c>
      <c r="AC4" s="40">
        <v>79</v>
      </c>
      <c r="AD4" s="40">
        <v>79</v>
      </c>
      <c r="AE4" s="40">
        <v>79</v>
      </c>
      <c r="AF4" s="40">
        <v>79</v>
      </c>
      <c r="AG4" s="35" t="s">
        <v>46</v>
      </c>
      <c r="AH4" s="36" t="s">
        <v>47</v>
      </c>
      <c r="AI4" s="37" t="s">
        <v>48</v>
      </c>
    </row>
    <row r="5" spans="1:38" x14ac:dyDescent="0.25">
      <c r="A5" s="40" t="s">
        <v>55</v>
      </c>
      <c r="B5" s="40" t="s">
        <v>54</v>
      </c>
      <c r="C5" s="40" t="s">
        <v>45</v>
      </c>
      <c r="D5" s="40">
        <v>152</v>
      </c>
      <c r="E5" s="40">
        <v>141</v>
      </c>
      <c r="F5" s="40">
        <v>130</v>
      </c>
      <c r="G5" s="40">
        <v>120</v>
      </c>
      <c r="H5" s="40">
        <v>112</v>
      </c>
      <c r="I5" s="40">
        <v>104</v>
      </c>
      <c r="J5" s="40">
        <v>98</v>
      </c>
      <c r="K5" s="40">
        <v>93</v>
      </c>
      <c r="L5" s="40">
        <v>89</v>
      </c>
      <c r="M5" s="40">
        <v>86</v>
      </c>
      <c r="N5" s="40">
        <v>83</v>
      </c>
      <c r="O5" s="40">
        <v>81</v>
      </c>
      <c r="P5" s="40">
        <v>78</v>
      </c>
      <c r="Q5" s="40">
        <v>76</v>
      </c>
      <c r="R5" s="40">
        <v>74</v>
      </c>
      <c r="S5" s="40">
        <v>72</v>
      </c>
      <c r="T5" s="40">
        <v>71</v>
      </c>
      <c r="U5" s="40">
        <v>70</v>
      </c>
      <c r="V5" s="40">
        <v>69</v>
      </c>
      <c r="W5" s="40">
        <v>68</v>
      </c>
      <c r="X5" s="40">
        <v>68</v>
      </c>
      <c r="Y5" s="40">
        <v>67</v>
      </c>
      <c r="Z5" s="40">
        <v>67</v>
      </c>
      <c r="AA5" s="40">
        <v>66</v>
      </c>
      <c r="AB5" s="40">
        <v>66</v>
      </c>
      <c r="AC5" s="40">
        <v>65</v>
      </c>
      <c r="AD5" s="40">
        <v>65</v>
      </c>
      <c r="AE5" s="40">
        <v>65</v>
      </c>
      <c r="AF5" s="40">
        <v>65</v>
      </c>
      <c r="AG5" s="35" t="s">
        <v>46</v>
      </c>
      <c r="AH5" s="36" t="s">
        <v>47</v>
      </c>
      <c r="AI5" s="37" t="s">
        <v>48</v>
      </c>
    </row>
    <row r="6" spans="1:38" x14ac:dyDescent="0.25">
      <c r="A6" s="40" t="s">
        <v>56</v>
      </c>
      <c r="B6" s="40" t="s">
        <v>54</v>
      </c>
      <c r="C6" s="40" t="s">
        <v>45</v>
      </c>
      <c r="D6" s="40">
        <v>68</v>
      </c>
      <c r="E6" s="40">
        <v>68</v>
      </c>
      <c r="F6" s="40">
        <v>68</v>
      </c>
      <c r="G6" s="40">
        <v>68</v>
      </c>
      <c r="H6" s="40">
        <v>68</v>
      </c>
      <c r="I6" s="40">
        <v>69</v>
      </c>
      <c r="J6" s="40">
        <v>70</v>
      </c>
      <c r="K6" s="40">
        <v>70</v>
      </c>
      <c r="L6" s="40">
        <v>71</v>
      </c>
      <c r="M6" s="40">
        <v>71</v>
      </c>
      <c r="N6" s="40">
        <v>72</v>
      </c>
      <c r="O6" s="40">
        <v>72</v>
      </c>
      <c r="P6" s="40">
        <v>73</v>
      </c>
      <c r="Q6" s="40">
        <v>73</v>
      </c>
      <c r="R6" s="40">
        <v>74</v>
      </c>
      <c r="S6" s="40">
        <v>74</v>
      </c>
      <c r="T6" s="40">
        <v>74</v>
      </c>
      <c r="U6" s="40">
        <v>75</v>
      </c>
      <c r="V6" s="40">
        <v>75</v>
      </c>
      <c r="W6" s="40">
        <v>76</v>
      </c>
      <c r="X6" s="40">
        <v>76</v>
      </c>
      <c r="Y6" s="40">
        <v>76</v>
      </c>
      <c r="Z6" s="40">
        <v>76</v>
      </c>
      <c r="AA6" s="40">
        <v>76</v>
      </c>
      <c r="AB6" s="40">
        <v>76</v>
      </c>
      <c r="AC6" s="40">
        <v>76</v>
      </c>
      <c r="AD6" s="40">
        <v>76</v>
      </c>
      <c r="AE6" s="40">
        <v>76</v>
      </c>
      <c r="AF6" s="40">
        <v>76</v>
      </c>
      <c r="AG6" s="35" t="s">
        <v>46</v>
      </c>
      <c r="AH6" s="36" t="s">
        <v>47</v>
      </c>
      <c r="AI6" s="37" t="s">
        <v>48</v>
      </c>
    </row>
    <row r="7" spans="1:38" x14ac:dyDescent="0.25">
      <c r="A7" s="40" t="s">
        <v>57</v>
      </c>
      <c r="B7" s="40" t="s">
        <v>54</v>
      </c>
      <c r="C7" s="40" t="s">
        <v>45</v>
      </c>
      <c r="D7" s="40">
        <v>259</v>
      </c>
      <c r="E7" s="40">
        <v>246</v>
      </c>
      <c r="F7" s="40">
        <v>231</v>
      </c>
      <c r="G7" s="40">
        <v>212</v>
      </c>
      <c r="H7" s="40">
        <v>194</v>
      </c>
      <c r="I7" s="40">
        <v>175</v>
      </c>
      <c r="J7" s="40">
        <v>154</v>
      </c>
      <c r="K7" s="40">
        <v>133</v>
      </c>
      <c r="L7" s="40">
        <v>112</v>
      </c>
      <c r="M7" s="40">
        <v>113</v>
      </c>
      <c r="N7" s="40">
        <v>114</v>
      </c>
      <c r="O7" s="40">
        <v>115</v>
      </c>
      <c r="P7" s="40">
        <v>115</v>
      </c>
      <c r="Q7" s="40">
        <v>116</v>
      </c>
      <c r="R7" s="40">
        <v>117</v>
      </c>
      <c r="S7" s="40">
        <v>117</v>
      </c>
      <c r="T7" s="40">
        <v>118</v>
      </c>
      <c r="U7" s="40">
        <v>119</v>
      </c>
      <c r="V7" s="40">
        <v>119</v>
      </c>
      <c r="W7" s="40">
        <v>120</v>
      </c>
      <c r="X7" s="40">
        <v>120</v>
      </c>
      <c r="Y7" s="40">
        <v>120</v>
      </c>
      <c r="Z7" s="40">
        <v>120</v>
      </c>
      <c r="AA7" s="40">
        <v>120</v>
      </c>
      <c r="AB7" s="40">
        <v>120</v>
      </c>
      <c r="AC7" s="40">
        <v>120</v>
      </c>
      <c r="AD7" s="40">
        <v>120</v>
      </c>
      <c r="AE7" s="40">
        <v>120</v>
      </c>
      <c r="AF7" s="40">
        <v>120</v>
      </c>
      <c r="AG7" s="35" t="s">
        <v>46</v>
      </c>
      <c r="AH7" s="36" t="s">
        <v>47</v>
      </c>
      <c r="AI7" s="37" t="s">
        <v>48</v>
      </c>
    </row>
    <row r="8" spans="1:38" x14ac:dyDescent="0.25">
      <c r="A8" s="40" t="s">
        <v>58</v>
      </c>
      <c r="B8" s="40" t="s">
        <v>54</v>
      </c>
      <c r="C8" s="40" t="s">
        <v>45</v>
      </c>
      <c r="D8" s="40">
        <v>96</v>
      </c>
      <c r="E8" s="40">
        <v>98</v>
      </c>
      <c r="F8" s="40">
        <v>99</v>
      </c>
      <c r="G8" s="40">
        <v>101</v>
      </c>
      <c r="H8" s="40">
        <v>102</v>
      </c>
      <c r="I8" s="40">
        <v>103</v>
      </c>
      <c r="J8" s="40">
        <v>104</v>
      </c>
      <c r="K8" s="40">
        <v>105</v>
      </c>
      <c r="L8" s="40">
        <v>106</v>
      </c>
      <c r="M8" s="40">
        <v>107</v>
      </c>
      <c r="N8" s="40">
        <v>108</v>
      </c>
      <c r="O8" s="40">
        <v>109</v>
      </c>
      <c r="P8" s="40">
        <v>109</v>
      </c>
      <c r="Q8" s="40">
        <v>110</v>
      </c>
      <c r="R8" s="40">
        <v>111</v>
      </c>
      <c r="S8" s="40">
        <v>112</v>
      </c>
      <c r="T8" s="40">
        <v>112</v>
      </c>
      <c r="U8" s="40">
        <v>113</v>
      </c>
      <c r="V8" s="40">
        <v>114</v>
      </c>
      <c r="W8" s="40">
        <v>114</v>
      </c>
      <c r="X8" s="40">
        <v>114</v>
      </c>
      <c r="Y8" s="40">
        <v>115</v>
      </c>
      <c r="Z8" s="40">
        <v>115</v>
      </c>
      <c r="AA8" s="40">
        <v>115</v>
      </c>
      <c r="AB8" s="40">
        <v>116</v>
      </c>
      <c r="AC8" s="40">
        <v>116</v>
      </c>
      <c r="AD8" s="40">
        <v>116</v>
      </c>
      <c r="AE8" s="40">
        <v>116</v>
      </c>
      <c r="AF8" s="40">
        <v>116</v>
      </c>
      <c r="AG8" s="35" t="s">
        <v>46</v>
      </c>
      <c r="AH8" s="36" t="s">
        <v>47</v>
      </c>
      <c r="AI8" s="37" t="s">
        <v>48</v>
      </c>
    </row>
    <row r="9" spans="1:38" x14ac:dyDescent="0.25">
      <c r="A9" s="40" t="s">
        <v>59</v>
      </c>
      <c r="B9" s="40" t="s">
        <v>54</v>
      </c>
      <c r="C9" s="40" t="s">
        <v>45</v>
      </c>
      <c r="D9" s="40">
        <v>455</v>
      </c>
      <c r="E9" s="40">
        <v>432</v>
      </c>
      <c r="F9" s="40">
        <v>401</v>
      </c>
      <c r="G9" s="40">
        <v>366</v>
      </c>
      <c r="H9" s="40">
        <v>330</v>
      </c>
      <c r="I9" s="40">
        <v>293</v>
      </c>
      <c r="J9" s="40">
        <v>255</v>
      </c>
      <c r="K9" s="40">
        <v>216</v>
      </c>
      <c r="L9" s="40">
        <v>176</v>
      </c>
      <c r="M9" s="40">
        <v>178</v>
      </c>
      <c r="N9" s="40">
        <v>179</v>
      </c>
      <c r="O9" s="40">
        <v>180</v>
      </c>
      <c r="P9" s="40">
        <v>181</v>
      </c>
      <c r="Q9" s="40">
        <v>182</v>
      </c>
      <c r="R9" s="40">
        <v>183</v>
      </c>
      <c r="S9" s="40">
        <v>184</v>
      </c>
      <c r="T9" s="40">
        <v>185</v>
      </c>
      <c r="U9" s="40">
        <v>186</v>
      </c>
      <c r="V9" s="40">
        <v>187</v>
      </c>
      <c r="W9" s="40">
        <v>188</v>
      </c>
      <c r="X9" s="40">
        <v>188</v>
      </c>
      <c r="Y9" s="40">
        <v>189</v>
      </c>
      <c r="Z9" s="40">
        <v>189</v>
      </c>
      <c r="AA9" s="40">
        <v>189</v>
      </c>
      <c r="AB9" s="40">
        <v>189</v>
      </c>
      <c r="AC9" s="40">
        <v>190</v>
      </c>
      <c r="AD9" s="40">
        <v>190</v>
      </c>
      <c r="AE9" s="40">
        <v>190</v>
      </c>
      <c r="AF9" s="40">
        <v>190</v>
      </c>
      <c r="AG9" s="35" t="s">
        <v>46</v>
      </c>
      <c r="AH9" s="36" t="s">
        <v>47</v>
      </c>
      <c r="AI9" s="37" t="s">
        <v>48</v>
      </c>
    </row>
    <row r="10" spans="1:38" x14ac:dyDescent="0.25">
      <c r="A10" s="40" t="s">
        <v>60</v>
      </c>
      <c r="B10" s="40" t="s">
        <v>54</v>
      </c>
      <c r="C10" s="40" t="s">
        <v>45</v>
      </c>
      <c r="D10" s="40">
        <v>235</v>
      </c>
      <c r="E10" s="40">
        <v>224</v>
      </c>
      <c r="F10" s="40">
        <v>213</v>
      </c>
      <c r="G10" s="40">
        <v>202</v>
      </c>
      <c r="H10" s="40">
        <v>192</v>
      </c>
      <c r="I10" s="40">
        <v>184</v>
      </c>
      <c r="J10" s="40">
        <v>176</v>
      </c>
      <c r="K10" s="40">
        <v>170</v>
      </c>
      <c r="L10" s="40">
        <v>166</v>
      </c>
      <c r="M10" s="40">
        <v>161</v>
      </c>
      <c r="N10" s="40">
        <v>158</v>
      </c>
      <c r="O10" s="40">
        <v>154</v>
      </c>
      <c r="P10" s="40">
        <v>150</v>
      </c>
      <c r="Q10" s="40">
        <v>146</v>
      </c>
      <c r="R10" s="40">
        <v>142</v>
      </c>
      <c r="S10" s="40">
        <v>139</v>
      </c>
      <c r="T10" s="40">
        <v>137</v>
      </c>
      <c r="U10" s="40">
        <v>136</v>
      </c>
      <c r="V10" s="40">
        <v>134</v>
      </c>
      <c r="W10" s="40">
        <v>134</v>
      </c>
      <c r="X10" s="40">
        <v>133</v>
      </c>
      <c r="Y10" s="40">
        <v>132</v>
      </c>
      <c r="Z10" s="40">
        <v>131</v>
      </c>
      <c r="AA10" s="40">
        <v>131</v>
      </c>
      <c r="AB10" s="40">
        <v>130</v>
      </c>
      <c r="AC10" s="40">
        <v>130</v>
      </c>
      <c r="AD10" s="40">
        <v>130</v>
      </c>
      <c r="AE10" s="40">
        <v>129</v>
      </c>
      <c r="AF10" s="40">
        <v>129</v>
      </c>
      <c r="AG10" s="35" t="s">
        <v>46</v>
      </c>
      <c r="AH10" s="36" t="s">
        <v>47</v>
      </c>
      <c r="AI10" s="37" t="s">
        <v>48</v>
      </c>
    </row>
    <row r="11" spans="1:38" x14ac:dyDescent="0.25">
      <c r="A11" s="40" t="s">
        <v>61</v>
      </c>
      <c r="B11" s="40" t="s">
        <v>54</v>
      </c>
      <c r="C11" s="40" t="s">
        <v>45</v>
      </c>
      <c r="D11" s="40">
        <v>39</v>
      </c>
      <c r="E11" s="40">
        <v>35</v>
      </c>
      <c r="F11" s="40">
        <v>33</v>
      </c>
      <c r="G11" s="40">
        <v>29</v>
      </c>
      <c r="H11" s="40">
        <v>28</v>
      </c>
      <c r="I11" s="40">
        <v>27</v>
      </c>
      <c r="J11" s="40">
        <v>27</v>
      </c>
      <c r="K11" s="40">
        <v>25</v>
      </c>
      <c r="L11" s="40">
        <v>23</v>
      </c>
      <c r="M11" s="40">
        <v>21</v>
      </c>
      <c r="N11" s="40">
        <v>19</v>
      </c>
      <c r="O11" s="40">
        <v>19</v>
      </c>
      <c r="P11" s="40">
        <v>18</v>
      </c>
      <c r="Q11" s="40">
        <v>18</v>
      </c>
      <c r="R11" s="40">
        <v>17</v>
      </c>
      <c r="S11" s="40">
        <v>17</v>
      </c>
      <c r="T11" s="40">
        <v>16</v>
      </c>
      <c r="U11" s="40">
        <v>16</v>
      </c>
      <c r="V11" s="40">
        <v>16</v>
      </c>
      <c r="W11" s="40">
        <v>15</v>
      </c>
      <c r="X11" s="40">
        <v>15</v>
      </c>
      <c r="Y11" s="40">
        <v>15</v>
      </c>
      <c r="Z11" s="40">
        <v>14</v>
      </c>
      <c r="AA11" s="40">
        <v>14</v>
      </c>
      <c r="AB11" s="40">
        <v>14</v>
      </c>
      <c r="AC11" s="40">
        <v>14</v>
      </c>
      <c r="AD11" s="40">
        <v>13</v>
      </c>
      <c r="AE11" s="40">
        <v>13</v>
      </c>
      <c r="AF11" s="40">
        <v>13</v>
      </c>
      <c r="AG11" s="35" t="s">
        <v>46</v>
      </c>
      <c r="AH11" s="36" t="s">
        <v>47</v>
      </c>
      <c r="AI11" s="37" t="s">
        <v>48</v>
      </c>
    </row>
    <row r="12" spans="1:38" x14ac:dyDescent="0.25">
      <c r="A12" s="40" t="s">
        <v>62</v>
      </c>
      <c r="B12" s="40" t="s">
        <v>54</v>
      </c>
      <c r="C12" s="40" t="s">
        <v>45</v>
      </c>
      <c r="D12" s="40">
        <v>58</v>
      </c>
      <c r="E12" s="40">
        <v>51</v>
      </c>
      <c r="F12" s="40">
        <v>47</v>
      </c>
      <c r="G12" s="40">
        <v>42</v>
      </c>
      <c r="H12" s="40">
        <v>40</v>
      </c>
      <c r="I12" s="40">
        <v>37</v>
      </c>
      <c r="J12" s="40">
        <v>36</v>
      </c>
      <c r="K12" s="40">
        <v>33</v>
      </c>
      <c r="L12" s="40">
        <v>31</v>
      </c>
      <c r="M12" s="40">
        <v>29</v>
      </c>
      <c r="N12" s="40">
        <v>27</v>
      </c>
      <c r="O12" s="40">
        <v>26</v>
      </c>
      <c r="P12" s="40">
        <v>26</v>
      </c>
      <c r="Q12" s="40">
        <v>25</v>
      </c>
      <c r="R12" s="40">
        <v>25</v>
      </c>
      <c r="S12" s="40">
        <v>24</v>
      </c>
      <c r="T12" s="40">
        <v>24</v>
      </c>
      <c r="U12" s="40">
        <v>23</v>
      </c>
      <c r="V12" s="40">
        <v>23</v>
      </c>
      <c r="W12" s="40">
        <v>22</v>
      </c>
      <c r="X12" s="40">
        <v>22</v>
      </c>
      <c r="Y12" s="40">
        <v>22</v>
      </c>
      <c r="Z12" s="40">
        <v>22</v>
      </c>
      <c r="AA12" s="40">
        <v>21</v>
      </c>
      <c r="AB12" s="40">
        <v>21</v>
      </c>
      <c r="AC12" s="40">
        <v>21</v>
      </c>
      <c r="AD12" s="40">
        <v>21</v>
      </c>
      <c r="AE12" s="40">
        <v>20</v>
      </c>
      <c r="AF12" s="40">
        <v>20</v>
      </c>
      <c r="AG12" s="35" t="s">
        <v>46</v>
      </c>
      <c r="AH12" s="36" t="s">
        <v>47</v>
      </c>
      <c r="AI12" s="37" t="s">
        <v>48</v>
      </c>
    </row>
    <row r="13" spans="1:38" x14ac:dyDescent="0.25">
      <c r="A13" s="40" t="s">
        <v>63</v>
      </c>
      <c r="B13" s="40" t="s">
        <v>54</v>
      </c>
      <c r="C13" s="40" t="s">
        <v>45</v>
      </c>
      <c r="D13" s="40">
        <v>34</v>
      </c>
      <c r="E13" s="40">
        <v>31</v>
      </c>
      <c r="F13" s="40">
        <v>28</v>
      </c>
      <c r="G13" s="40">
        <v>25</v>
      </c>
      <c r="H13" s="40">
        <v>25</v>
      </c>
      <c r="I13" s="40">
        <v>24</v>
      </c>
      <c r="J13" s="40">
        <v>23</v>
      </c>
      <c r="K13" s="40">
        <v>21</v>
      </c>
      <c r="L13" s="40">
        <v>20</v>
      </c>
      <c r="M13" s="40">
        <v>18</v>
      </c>
      <c r="N13" s="40">
        <v>17</v>
      </c>
      <c r="O13" s="40">
        <v>16</v>
      </c>
      <c r="P13" s="40">
        <v>16</v>
      </c>
      <c r="Q13" s="40">
        <v>15</v>
      </c>
      <c r="R13" s="40">
        <v>15</v>
      </c>
      <c r="S13" s="40">
        <v>15</v>
      </c>
      <c r="T13" s="40">
        <v>14</v>
      </c>
      <c r="U13" s="40">
        <v>14</v>
      </c>
      <c r="V13" s="40">
        <v>13</v>
      </c>
      <c r="W13" s="40">
        <v>13</v>
      </c>
      <c r="X13" s="40">
        <v>13</v>
      </c>
      <c r="Y13" s="40">
        <v>13</v>
      </c>
      <c r="Z13" s="40">
        <v>12</v>
      </c>
      <c r="AA13" s="40">
        <v>12</v>
      </c>
      <c r="AB13" s="40">
        <v>12</v>
      </c>
      <c r="AC13" s="40">
        <v>12</v>
      </c>
      <c r="AD13" s="40">
        <v>12</v>
      </c>
      <c r="AE13" s="40">
        <v>11</v>
      </c>
      <c r="AF13" s="40">
        <v>11</v>
      </c>
      <c r="AG13" s="35" t="s">
        <v>46</v>
      </c>
      <c r="AH13" s="36" t="s">
        <v>47</v>
      </c>
      <c r="AI13" s="37" t="s">
        <v>48</v>
      </c>
    </row>
    <row r="14" spans="1:38" x14ac:dyDescent="0.25">
      <c r="A14" s="34" t="s">
        <v>43</v>
      </c>
      <c r="B14" s="34" t="s">
        <v>54</v>
      </c>
      <c r="C14" s="34" t="s">
        <v>45</v>
      </c>
      <c r="D14" s="42">
        <v>38.620689655172413</v>
      </c>
      <c r="E14" s="34">
        <v>44</v>
      </c>
      <c r="F14" s="34">
        <v>40</v>
      </c>
      <c r="G14" s="34">
        <v>35</v>
      </c>
      <c r="H14" s="34">
        <v>34</v>
      </c>
      <c r="I14" s="34">
        <v>32</v>
      </c>
      <c r="J14" s="34">
        <v>30</v>
      </c>
      <c r="K14" s="34">
        <v>28</v>
      </c>
      <c r="L14" s="34">
        <v>26</v>
      </c>
      <c r="M14" s="34">
        <v>25</v>
      </c>
      <c r="N14" s="34">
        <v>23</v>
      </c>
      <c r="O14" s="34">
        <v>22</v>
      </c>
      <c r="P14" s="34">
        <v>22</v>
      </c>
      <c r="Q14" s="34">
        <v>21</v>
      </c>
      <c r="R14" s="34">
        <v>21</v>
      </c>
      <c r="S14" s="34">
        <v>20</v>
      </c>
      <c r="T14" s="34">
        <v>20</v>
      </c>
      <c r="U14" s="34">
        <v>20</v>
      </c>
      <c r="V14" s="34">
        <v>19</v>
      </c>
      <c r="W14" s="34">
        <v>19</v>
      </c>
      <c r="X14" s="34">
        <v>19</v>
      </c>
      <c r="Y14" s="34">
        <v>18</v>
      </c>
      <c r="Z14" s="34">
        <v>18</v>
      </c>
      <c r="AA14" s="34">
        <v>18</v>
      </c>
      <c r="AB14" s="34">
        <v>18</v>
      </c>
      <c r="AC14" s="34">
        <v>18</v>
      </c>
      <c r="AD14" s="34">
        <v>17</v>
      </c>
      <c r="AE14" s="34">
        <v>17</v>
      </c>
      <c r="AF14" s="34">
        <v>17</v>
      </c>
      <c r="AG14" s="35" t="s">
        <v>46</v>
      </c>
      <c r="AH14" s="36" t="s">
        <v>47</v>
      </c>
      <c r="AI14" s="37" t="s">
        <v>48</v>
      </c>
      <c r="AJ14" s="38">
        <f>15.3/1000</f>
        <v>1.5300000000000001E-2</v>
      </c>
      <c r="AK14" s="39" t="s">
        <v>49</v>
      </c>
      <c r="AL14" s="39" t="s">
        <v>50</v>
      </c>
    </row>
    <row r="15" spans="1:38" x14ac:dyDescent="0.25">
      <c r="A15" s="40" t="s">
        <v>64</v>
      </c>
      <c r="B15" s="40" t="s">
        <v>54</v>
      </c>
      <c r="C15" s="40" t="s">
        <v>45</v>
      </c>
      <c r="D15" s="40">
        <v>160</v>
      </c>
      <c r="E15" s="40">
        <v>136</v>
      </c>
      <c r="F15" s="40">
        <v>119</v>
      </c>
      <c r="G15" s="40">
        <v>106</v>
      </c>
      <c r="H15" s="40">
        <v>96</v>
      </c>
      <c r="I15" s="40">
        <v>88</v>
      </c>
      <c r="J15" s="40">
        <v>81</v>
      </c>
      <c r="K15" s="40">
        <v>78</v>
      </c>
      <c r="L15" s="40">
        <v>75</v>
      </c>
      <c r="M15" s="40">
        <v>71</v>
      </c>
      <c r="N15" s="40">
        <v>67</v>
      </c>
      <c r="O15" s="40">
        <v>65</v>
      </c>
      <c r="P15" s="40">
        <v>63</v>
      </c>
      <c r="Q15" s="40">
        <v>59</v>
      </c>
      <c r="R15" s="40">
        <v>58</v>
      </c>
      <c r="S15" s="40">
        <v>57</v>
      </c>
      <c r="T15" s="40">
        <v>56</v>
      </c>
      <c r="U15" s="40">
        <v>55</v>
      </c>
      <c r="V15" s="40">
        <v>54</v>
      </c>
      <c r="W15" s="40">
        <v>54</v>
      </c>
      <c r="X15" s="40">
        <v>54</v>
      </c>
      <c r="Y15" s="40">
        <v>54</v>
      </c>
      <c r="Z15" s="40">
        <v>54</v>
      </c>
      <c r="AA15" s="40">
        <v>54</v>
      </c>
      <c r="AB15" s="40">
        <v>54</v>
      </c>
      <c r="AC15" s="40">
        <v>54</v>
      </c>
      <c r="AD15" s="40">
        <v>54</v>
      </c>
      <c r="AE15" s="40">
        <v>54</v>
      </c>
      <c r="AF15" s="40">
        <v>54</v>
      </c>
      <c r="AG15" s="35" t="s">
        <v>46</v>
      </c>
      <c r="AH15" s="36" t="s">
        <v>47</v>
      </c>
      <c r="AI15" s="37" t="s">
        <v>48</v>
      </c>
    </row>
    <row r="16" spans="1:38" x14ac:dyDescent="0.25">
      <c r="A16" s="40" t="s">
        <v>65</v>
      </c>
      <c r="B16" s="40" t="s">
        <v>54</v>
      </c>
      <c r="C16" s="40" t="s">
        <v>45</v>
      </c>
      <c r="D16" s="40">
        <v>123</v>
      </c>
      <c r="E16" s="40">
        <v>99</v>
      </c>
      <c r="F16" s="40">
        <v>83</v>
      </c>
      <c r="G16" s="40">
        <v>72</v>
      </c>
      <c r="H16" s="40">
        <v>63</v>
      </c>
      <c r="I16" s="40">
        <v>56</v>
      </c>
      <c r="J16" s="40">
        <v>50</v>
      </c>
      <c r="K16" s="40">
        <v>47</v>
      </c>
      <c r="L16" s="40">
        <v>45</v>
      </c>
      <c r="M16" s="40">
        <v>43</v>
      </c>
      <c r="N16" s="40">
        <v>41</v>
      </c>
      <c r="O16" s="40">
        <v>39</v>
      </c>
      <c r="P16" s="40">
        <v>38</v>
      </c>
      <c r="Q16" s="40">
        <v>36</v>
      </c>
      <c r="R16" s="40">
        <v>36</v>
      </c>
      <c r="S16" s="40">
        <v>35</v>
      </c>
      <c r="T16" s="40">
        <v>35</v>
      </c>
      <c r="U16" s="40">
        <v>34</v>
      </c>
      <c r="V16" s="40">
        <v>34</v>
      </c>
      <c r="W16" s="40">
        <v>34</v>
      </c>
      <c r="X16" s="40">
        <v>34</v>
      </c>
      <c r="Y16" s="40">
        <v>34</v>
      </c>
      <c r="Z16" s="40">
        <v>34</v>
      </c>
      <c r="AA16" s="40">
        <v>34</v>
      </c>
      <c r="AB16" s="40">
        <v>34</v>
      </c>
      <c r="AC16" s="40">
        <v>34</v>
      </c>
      <c r="AD16" s="40">
        <v>34</v>
      </c>
      <c r="AE16" s="40">
        <v>34</v>
      </c>
      <c r="AF16" s="40">
        <v>34</v>
      </c>
      <c r="AG16" s="35" t="s">
        <v>46</v>
      </c>
      <c r="AH16" s="36" t="s">
        <v>47</v>
      </c>
      <c r="AI16" s="37" t="s">
        <v>48</v>
      </c>
    </row>
    <row r="17" spans="1:38" x14ac:dyDescent="0.25">
      <c r="A17" s="40" t="s">
        <v>66</v>
      </c>
      <c r="B17" s="40" t="s">
        <v>54</v>
      </c>
      <c r="C17" s="40" t="s">
        <v>45</v>
      </c>
      <c r="D17" s="40">
        <v>116</v>
      </c>
      <c r="E17" s="40">
        <v>107</v>
      </c>
      <c r="F17" s="40">
        <v>102</v>
      </c>
      <c r="G17" s="40">
        <v>97</v>
      </c>
      <c r="H17" s="40">
        <v>94</v>
      </c>
      <c r="I17" s="40">
        <v>91</v>
      </c>
      <c r="J17" s="40">
        <v>88</v>
      </c>
      <c r="K17" s="40">
        <v>86</v>
      </c>
      <c r="L17" s="40">
        <v>54</v>
      </c>
      <c r="M17" s="40">
        <v>53</v>
      </c>
      <c r="N17" s="40">
        <v>52</v>
      </c>
      <c r="O17" s="40">
        <v>51</v>
      </c>
      <c r="P17" s="40">
        <v>50</v>
      </c>
      <c r="Q17" s="40">
        <v>49</v>
      </c>
      <c r="R17" s="40">
        <v>48</v>
      </c>
      <c r="S17" s="40">
        <v>47</v>
      </c>
      <c r="T17" s="40">
        <v>46</v>
      </c>
      <c r="U17" s="40">
        <v>45</v>
      </c>
      <c r="V17" s="40">
        <v>44</v>
      </c>
      <c r="W17" s="40">
        <v>44</v>
      </c>
      <c r="X17" s="40">
        <v>43</v>
      </c>
      <c r="Y17" s="40">
        <v>43</v>
      </c>
      <c r="Z17" s="40">
        <v>42</v>
      </c>
      <c r="AA17" s="40">
        <v>42</v>
      </c>
      <c r="AB17" s="40">
        <v>41</v>
      </c>
      <c r="AC17" s="40">
        <v>40</v>
      </c>
      <c r="AD17" s="40">
        <v>40</v>
      </c>
      <c r="AE17" s="40">
        <v>40</v>
      </c>
      <c r="AF17" s="40">
        <v>40</v>
      </c>
      <c r="AG17" s="35" t="s">
        <v>46</v>
      </c>
      <c r="AH17" s="36" t="s">
        <v>47</v>
      </c>
      <c r="AI17" s="37" t="s">
        <v>48</v>
      </c>
    </row>
    <row r="18" spans="1:38" x14ac:dyDescent="0.25">
      <c r="A18" s="40" t="s">
        <v>67</v>
      </c>
      <c r="B18" s="40" t="s">
        <v>54</v>
      </c>
      <c r="C18" s="40" t="s">
        <v>45</v>
      </c>
      <c r="D18" s="40">
        <v>33</v>
      </c>
      <c r="E18" s="40">
        <v>31</v>
      </c>
      <c r="F18" s="40">
        <v>29</v>
      </c>
      <c r="G18" s="40">
        <v>28</v>
      </c>
      <c r="H18" s="40">
        <v>27</v>
      </c>
      <c r="I18" s="40">
        <v>26</v>
      </c>
      <c r="J18" s="40">
        <v>25</v>
      </c>
      <c r="K18" s="40">
        <v>25</v>
      </c>
      <c r="L18" s="40">
        <v>24</v>
      </c>
      <c r="M18" s="40">
        <v>24</v>
      </c>
      <c r="N18" s="40">
        <v>23</v>
      </c>
      <c r="O18" s="40">
        <v>23</v>
      </c>
      <c r="P18" s="40">
        <v>22</v>
      </c>
      <c r="Q18" s="40">
        <v>22</v>
      </c>
      <c r="R18" s="40">
        <v>22</v>
      </c>
      <c r="S18" s="40">
        <v>21</v>
      </c>
      <c r="T18" s="40">
        <v>21</v>
      </c>
      <c r="U18" s="40">
        <v>21</v>
      </c>
      <c r="V18" s="40">
        <v>21</v>
      </c>
      <c r="W18" s="40">
        <v>20</v>
      </c>
      <c r="X18" s="40">
        <v>20</v>
      </c>
      <c r="Y18" s="40">
        <v>20</v>
      </c>
      <c r="Z18" s="40">
        <v>20</v>
      </c>
      <c r="AA18" s="40">
        <v>20</v>
      </c>
      <c r="AB18" s="40">
        <v>19</v>
      </c>
      <c r="AC18" s="40">
        <v>19</v>
      </c>
      <c r="AD18" s="40">
        <v>19</v>
      </c>
      <c r="AE18" s="40">
        <v>19</v>
      </c>
      <c r="AF18" s="40">
        <v>19</v>
      </c>
      <c r="AG18" s="35" t="s">
        <v>46</v>
      </c>
      <c r="AH18" s="36" t="s">
        <v>47</v>
      </c>
      <c r="AI18" s="37" t="s">
        <v>48</v>
      </c>
    </row>
    <row r="19" spans="1:38" x14ac:dyDescent="0.25">
      <c r="A19" s="40" t="s">
        <v>68</v>
      </c>
      <c r="B19" s="40" t="s">
        <v>54</v>
      </c>
      <c r="C19" s="40" t="s">
        <v>45</v>
      </c>
      <c r="D19" s="40">
        <v>49</v>
      </c>
      <c r="E19" s="40">
        <v>45</v>
      </c>
      <c r="F19" s="40">
        <v>42</v>
      </c>
      <c r="G19" s="40">
        <v>39</v>
      </c>
      <c r="H19" s="40">
        <v>37</v>
      </c>
      <c r="I19" s="40">
        <v>36</v>
      </c>
      <c r="J19" s="40">
        <v>35</v>
      </c>
      <c r="K19" s="40">
        <v>34</v>
      </c>
      <c r="L19" s="40">
        <v>33</v>
      </c>
      <c r="M19" s="40">
        <v>32</v>
      </c>
      <c r="N19" s="40">
        <v>31</v>
      </c>
      <c r="O19" s="40">
        <v>31</v>
      </c>
      <c r="P19" s="40">
        <v>30</v>
      </c>
      <c r="Q19" s="40">
        <v>30</v>
      </c>
      <c r="R19" s="40">
        <v>29</v>
      </c>
      <c r="S19" s="40">
        <v>29</v>
      </c>
      <c r="T19" s="40">
        <v>29</v>
      </c>
      <c r="U19" s="40">
        <v>28</v>
      </c>
      <c r="V19" s="40">
        <v>28</v>
      </c>
      <c r="W19" s="40">
        <v>28</v>
      </c>
      <c r="X19" s="40">
        <v>27</v>
      </c>
      <c r="Y19" s="40">
        <v>27</v>
      </c>
      <c r="Z19" s="40">
        <v>27</v>
      </c>
      <c r="AA19" s="40">
        <v>27</v>
      </c>
      <c r="AB19" s="40">
        <v>26</v>
      </c>
      <c r="AC19" s="40">
        <v>26</v>
      </c>
      <c r="AD19" s="40">
        <v>26</v>
      </c>
      <c r="AE19" s="40">
        <v>26</v>
      </c>
      <c r="AF19" s="40">
        <v>26</v>
      </c>
      <c r="AG19" s="35" t="s">
        <v>46</v>
      </c>
      <c r="AH19" s="36" t="s">
        <v>47</v>
      </c>
      <c r="AI19" s="37" t="s">
        <v>48</v>
      </c>
      <c r="AJ19" s="38">
        <f>5.9/1000</f>
        <v>5.9000000000000007E-3</v>
      </c>
      <c r="AK19" s="39" t="s">
        <v>49</v>
      </c>
      <c r="AL19" s="39" t="s">
        <v>50</v>
      </c>
    </row>
    <row r="20" spans="1:38" x14ac:dyDescent="0.25">
      <c r="A20" s="40" t="s">
        <v>51</v>
      </c>
      <c r="B20" s="40" t="s">
        <v>69</v>
      </c>
      <c r="C20" s="40" t="s">
        <v>45</v>
      </c>
      <c r="D20" s="40">
        <v>93</v>
      </c>
      <c r="E20" s="40">
        <v>91</v>
      </c>
      <c r="F20" s="40">
        <v>91</v>
      </c>
      <c r="G20" s="40">
        <v>90</v>
      </c>
      <c r="H20" s="40">
        <v>90</v>
      </c>
      <c r="I20" s="40">
        <v>91</v>
      </c>
      <c r="J20" s="40">
        <v>91</v>
      </c>
      <c r="K20" s="40">
        <v>92</v>
      </c>
      <c r="L20" s="40">
        <v>92</v>
      </c>
      <c r="M20" s="40">
        <v>93</v>
      </c>
      <c r="N20" s="40">
        <v>93</v>
      </c>
      <c r="O20" s="40">
        <v>94</v>
      </c>
      <c r="P20" s="40">
        <v>94</v>
      </c>
      <c r="Q20" s="40">
        <v>94</v>
      </c>
      <c r="R20" s="40">
        <v>95</v>
      </c>
      <c r="S20" s="40">
        <v>95</v>
      </c>
      <c r="T20" s="40">
        <v>95</v>
      </c>
      <c r="U20" s="40">
        <v>96</v>
      </c>
      <c r="V20" s="40">
        <v>96</v>
      </c>
      <c r="W20" s="40">
        <v>96</v>
      </c>
      <c r="X20" s="40">
        <v>96</v>
      </c>
      <c r="Y20" s="40">
        <v>97</v>
      </c>
      <c r="Z20" s="40">
        <v>97</v>
      </c>
      <c r="AA20" s="40">
        <v>97</v>
      </c>
      <c r="AB20" s="40">
        <v>97</v>
      </c>
      <c r="AC20" s="40">
        <v>97</v>
      </c>
      <c r="AD20" s="40">
        <v>97</v>
      </c>
      <c r="AE20" s="40">
        <v>97</v>
      </c>
      <c r="AF20" s="40">
        <v>97</v>
      </c>
      <c r="AG20" s="35" t="s">
        <v>46</v>
      </c>
      <c r="AH20" s="36" t="s">
        <v>47</v>
      </c>
      <c r="AI20" s="37" t="s">
        <v>48</v>
      </c>
    </row>
    <row r="21" spans="1:38" x14ac:dyDescent="0.25">
      <c r="A21" s="40" t="s">
        <v>53</v>
      </c>
      <c r="B21" s="40" t="s">
        <v>69</v>
      </c>
      <c r="C21" s="40" t="s">
        <v>45</v>
      </c>
      <c r="D21" s="40">
        <v>479</v>
      </c>
      <c r="E21" s="40">
        <v>435</v>
      </c>
      <c r="F21" s="40">
        <v>395</v>
      </c>
      <c r="G21" s="40">
        <v>351</v>
      </c>
      <c r="H21" s="40">
        <v>312</v>
      </c>
      <c r="I21" s="40">
        <v>274</v>
      </c>
      <c r="J21" s="40">
        <v>235</v>
      </c>
      <c r="K21" s="40">
        <v>196</v>
      </c>
      <c r="L21" s="40">
        <v>158</v>
      </c>
      <c r="M21" s="40">
        <v>158</v>
      </c>
      <c r="N21" s="40">
        <v>159</v>
      </c>
      <c r="O21" s="40">
        <v>159</v>
      </c>
      <c r="P21" s="40">
        <v>160</v>
      </c>
      <c r="Q21" s="40">
        <v>160</v>
      </c>
      <c r="R21" s="40">
        <v>161</v>
      </c>
      <c r="S21" s="40">
        <v>161</v>
      </c>
      <c r="T21" s="40">
        <v>161</v>
      </c>
      <c r="U21" s="40">
        <v>162</v>
      </c>
      <c r="V21" s="40">
        <v>162</v>
      </c>
      <c r="W21" s="40">
        <v>162</v>
      </c>
      <c r="X21" s="40">
        <v>162</v>
      </c>
      <c r="Y21" s="40">
        <v>163</v>
      </c>
      <c r="Z21" s="40">
        <v>163</v>
      </c>
      <c r="AA21" s="40">
        <v>163</v>
      </c>
      <c r="AB21" s="40">
        <v>163</v>
      </c>
      <c r="AC21" s="40">
        <v>163</v>
      </c>
      <c r="AD21" s="40">
        <v>163</v>
      </c>
      <c r="AE21" s="40">
        <v>163</v>
      </c>
      <c r="AF21" s="40">
        <v>163</v>
      </c>
      <c r="AG21" s="35" t="s">
        <v>46</v>
      </c>
      <c r="AH21" s="36" t="s">
        <v>47</v>
      </c>
      <c r="AI21" s="37" t="s">
        <v>48</v>
      </c>
    </row>
    <row r="22" spans="1:38" x14ac:dyDescent="0.25">
      <c r="A22" s="40" t="s">
        <v>55</v>
      </c>
      <c r="B22" s="40" t="s">
        <v>69</v>
      </c>
      <c r="C22" s="40" t="s">
        <v>45</v>
      </c>
      <c r="D22" s="40">
        <v>214</v>
      </c>
      <c r="E22" s="40">
        <v>195</v>
      </c>
      <c r="F22" s="40">
        <v>181</v>
      </c>
      <c r="G22" s="40">
        <v>168</v>
      </c>
      <c r="H22" s="40">
        <v>160</v>
      </c>
      <c r="I22" s="40">
        <v>153</v>
      </c>
      <c r="J22" s="40">
        <v>147</v>
      </c>
      <c r="K22" s="40">
        <v>143</v>
      </c>
      <c r="L22" s="40">
        <v>139</v>
      </c>
      <c r="M22" s="40">
        <v>136</v>
      </c>
      <c r="N22" s="40">
        <v>133</v>
      </c>
      <c r="O22" s="40">
        <v>129</v>
      </c>
      <c r="P22" s="40">
        <v>126</v>
      </c>
      <c r="Q22" s="40">
        <v>122</v>
      </c>
      <c r="R22" s="40">
        <v>119</v>
      </c>
      <c r="S22" s="40">
        <v>117</v>
      </c>
      <c r="T22" s="40">
        <v>115</v>
      </c>
      <c r="U22" s="40">
        <v>113</v>
      </c>
      <c r="V22" s="40">
        <v>112</v>
      </c>
      <c r="W22" s="40">
        <v>111</v>
      </c>
      <c r="X22" s="40">
        <v>111</v>
      </c>
      <c r="Y22" s="40">
        <v>110</v>
      </c>
      <c r="Z22" s="40">
        <v>110</v>
      </c>
      <c r="AA22" s="40">
        <v>109</v>
      </c>
      <c r="AB22" s="40">
        <v>109</v>
      </c>
      <c r="AC22" s="40">
        <v>108</v>
      </c>
      <c r="AD22" s="40">
        <v>108</v>
      </c>
      <c r="AE22" s="40">
        <v>108</v>
      </c>
      <c r="AF22" s="40">
        <v>108</v>
      </c>
      <c r="AG22" s="35" t="s">
        <v>46</v>
      </c>
      <c r="AH22" s="36" t="s">
        <v>47</v>
      </c>
      <c r="AI22" s="37" t="s">
        <v>48</v>
      </c>
    </row>
    <row r="23" spans="1:38" x14ac:dyDescent="0.25">
      <c r="A23" s="40" t="s">
        <v>56</v>
      </c>
      <c r="B23" s="40" t="s">
        <v>69</v>
      </c>
      <c r="C23" s="40" t="s">
        <v>45</v>
      </c>
      <c r="D23" s="40">
        <v>158</v>
      </c>
      <c r="E23" s="40">
        <v>161</v>
      </c>
      <c r="F23" s="40">
        <v>164</v>
      </c>
      <c r="G23" s="40">
        <v>164</v>
      </c>
      <c r="H23" s="40">
        <v>167</v>
      </c>
      <c r="I23" s="40">
        <v>170</v>
      </c>
      <c r="J23" s="40">
        <v>172</v>
      </c>
      <c r="K23" s="40">
        <v>174</v>
      </c>
      <c r="L23" s="40">
        <v>176</v>
      </c>
      <c r="M23" s="40">
        <v>178</v>
      </c>
      <c r="N23" s="40">
        <v>180</v>
      </c>
      <c r="O23" s="40">
        <v>182</v>
      </c>
      <c r="P23" s="40">
        <v>183</v>
      </c>
      <c r="Q23" s="40">
        <v>185</v>
      </c>
      <c r="R23" s="40">
        <v>186</v>
      </c>
      <c r="S23" s="40">
        <v>188</v>
      </c>
      <c r="T23" s="40">
        <v>189</v>
      </c>
      <c r="U23" s="40">
        <v>190</v>
      </c>
      <c r="V23" s="40">
        <v>191</v>
      </c>
      <c r="W23" s="40">
        <v>192</v>
      </c>
      <c r="X23" s="40">
        <v>192</v>
      </c>
      <c r="Y23" s="40">
        <v>192</v>
      </c>
      <c r="Z23" s="40">
        <v>192</v>
      </c>
      <c r="AA23" s="40">
        <v>192</v>
      </c>
      <c r="AB23" s="40">
        <v>192</v>
      </c>
      <c r="AC23" s="40">
        <v>192</v>
      </c>
      <c r="AD23" s="40">
        <v>192</v>
      </c>
      <c r="AE23" s="40">
        <v>192</v>
      </c>
      <c r="AF23" s="40">
        <v>192</v>
      </c>
      <c r="AG23" s="35" t="s">
        <v>46</v>
      </c>
      <c r="AH23" s="36" t="s">
        <v>47</v>
      </c>
      <c r="AI23" s="37" t="s">
        <v>48</v>
      </c>
    </row>
    <row r="24" spans="1:38" x14ac:dyDescent="0.25">
      <c r="A24" s="40" t="s">
        <v>57</v>
      </c>
      <c r="B24" s="40" t="s">
        <v>69</v>
      </c>
      <c r="C24" s="40" t="s">
        <v>45</v>
      </c>
      <c r="D24" s="40">
        <v>730</v>
      </c>
      <c r="E24" s="40">
        <v>699</v>
      </c>
      <c r="F24" s="40">
        <v>659</v>
      </c>
      <c r="G24" s="40">
        <v>600</v>
      </c>
      <c r="H24" s="40">
        <v>546</v>
      </c>
      <c r="I24" s="40">
        <v>488</v>
      </c>
      <c r="J24" s="40">
        <v>426</v>
      </c>
      <c r="K24" s="40">
        <v>361</v>
      </c>
      <c r="L24" s="40">
        <v>293</v>
      </c>
      <c r="M24" s="40">
        <v>297</v>
      </c>
      <c r="N24" s="40">
        <v>300</v>
      </c>
      <c r="O24" s="40">
        <v>303</v>
      </c>
      <c r="P24" s="40">
        <v>305</v>
      </c>
      <c r="Q24" s="40">
        <v>308</v>
      </c>
      <c r="R24" s="40">
        <v>310</v>
      </c>
      <c r="S24" s="40">
        <v>313</v>
      </c>
      <c r="T24" s="40">
        <v>315</v>
      </c>
      <c r="U24" s="40">
        <v>317</v>
      </c>
      <c r="V24" s="40">
        <v>319</v>
      </c>
      <c r="W24" s="40">
        <v>321</v>
      </c>
      <c r="X24" s="40">
        <v>321</v>
      </c>
      <c r="Y24" s="40">
        <v>321</v>
      </c>
      <c r="Z24" s="40">
        <v>321</v>
      </c>
      <c r="AA24" s="40">
        <v>321</v>
      </c>
      <c r="AB24" s="40">
        <v>321</v>
      </c>
      <c r="AC24" s="40">
        <v>321</v>
      </c>
      <c r="AD24" s="40">
        <v>321</v>
      </c>
      <c r="AE24" s="40">
        <v>321</v>
      </c>
      <c r="AF24" s="40">
        <v>321</v>
      </c>
      <c r="AG24" s="35" t="s">
        <v>46</v>
      </c>
      <c r="AH24" s="36" t="s">
        <v>47</v>
      </c>
      <c r="AI24" s="37" t="s">
        <v>48</v>
      </c>
    </row>
    <row r="25" spans="1:38" x14ac:dyDescent="0.25">
      <c r="A25" s="40" t="s">
        <v>58</v>
      </c>
      <c r="B25" s="40" t="s">
        <v>69</v>
      </c>
      <c r="C25" s="40" t="s">
        <v>45</v>
      </c>
      <c r="D25" s="40">
        <v>223</v>
      </c>
      <c r="E25" s="40">
        <v>224</v>
      </c>
      <c r="F25" s="40">
        <v>225</v>
      </c>
      <c r="G25" s="40">
        <v>226</v>
      </c>
      <c r="H25" s="40">
        <v>227</v>
      </c>
      <c r="I25" s="40">
        <v>229</v>
      </c>
      <c r="J25" s="40">
        <v>230</v>
      </c>
      <c r="K25" s="40">
        <v>232</v>
      </c>
      <c r="L25" s="40">
        <v>233</v>
      </c>
      <c r="M25" s="40">
        <v>235</v>
      </c>
      <c r="N25" s="40">
        <v>236</v>
      </c>
      <c r="O25" s="40">
        <v>237</v>
      </c>
      <c r="P25" s="40">
        <v>238</v>
      </c>
      <c r="Q25" s="40">
        <v>239</v>
      </c>
      <c r="R25" s="40">
        <v>241</v>
      </c>
      <c r="S25" s="40">
        <v>242</v>
      </c>
      <c r="T25" s="40">
        <v>243</v>
      </c>
      <c r="U25" s="40">
        <v>244</v>
      </c>
      <c r="V25" s="40">
        <v>244</v>
      </c>
      <c r="W25" s="40">
        <v>245</v>
      </c>
      <c r="X25" s="40">
        <v>246</v>
      </c>
      <c r="Y25" s="40">
        <v>247</v>
      </c>
      <c r="Z25" s="40">
        <v>247</v>
      </c>
      <c r="AA25" s="40">
        <v>248</v>
      </c>
      <c r="AB25" s="40">
        <v>248</v>
      </c>
      <c r="AC25" s="40">
        <v>249</v>
      </c>
      <c r="AD25" s="40">
        <v>249</v>
      </c>
      <c r="AE25" s="40">
        <v>249</v>
      </c>
      <c r="AF25" s="40">
        <v>249</v>
      </c>
      <c r="AG25" s="35" t="s">
        <v>46</v>
      </c>
      <c r="AH25" s="36" t="s">
        <v>47</v>
      </c>
      <c r="AI25" s="37" t="s">
        <v>48</v>
      </c>
    </row>
    <row r="26" spans="1:38" x14ac:dyDescent="0.25">
      <c r="A26" s="40" t="s">
        <v>59</v>
      </c>
      <c r="B26" s="40" t="s">
        <v>69</v>
      </c>
      <c r="C26" s="40" t="s">
        <v>45</v>
      </c>
      <c r="D26" s="40" t="s">
        <v>70</v>
      </c>
      <c r="E26" s="40" t="s">
        <v>71</v>
      </c>
      <c r="F26" s="40">
        <v>964</v>
      </c>
      <c r="G26" s="40">
        <v>868</v>
      </c>
      <c r="H26" s="40">
        <v>772</v>
      </c>
      <c r="I26" s="40">
        <v>678</v>
      </c>
      <c r="J26" s="40">
        <v>584</v>
      </c>
      <c r="K26" s="40">
        <v>489</v>
      </c>
      <c r="L26" s="40">
        <v>395</v>
      </c>
      <c r="M26" s="40">
        <v>396</v>
      </c>
      <c r="N26" s="40">
        <v>398</v>
      </c>
      <c r="O26" s="40">
        <v>399</v>
      </c>
      <c r="P26" s="40">
        <v>401</v>
      </c>
      <c r="Q26" s="40">
        <v>402</v>
      </c>
      <c r="R26" s="40">
        <v>403</v>
      </c>
      <c r="S26" s="40">
        <v>404</v>
      </c>
      <c r="T26" s="40">
        <v>405</v>
      </c>
      <c r="U26" s="40">
        <v>407</v>
      </c>
      <c r="V26" s="40">
        <v>408</v>
      </c>
      <c r="W26" s="40">
        <v>409</v>
      </c>
      <c r="X26" s="40">
        <v>409</v>
      </c>
      <c r="Y26" s="40">
        <v>410</v>
      </c>
      <c r="Z26" s="40">
        <v>411</v>
      </c>
      <c r="AA26" s="40">
        <v>411</v>
      </c>
      <c r="AB26" s="40">
        <v>412</v>
      </c>
      <c r="AC26" s="40">
        <v>412</v>
      </c>
      <c r="AD26" s="40">
        <v>412</v>
      </c>
      <c r="AE26" s="40">
        <v>412</v>
      </c>
      <c r="AF26" s="40">
        <v>412</v>
      </c>
      <c r="AG26" s="35" t="s">
        <v>46</v>
      </c>
      <c r="AH26" s="36" t="s">
        <v>47</v>
      </c>
      <c r="AI26" s="37" t="s">
        <v>48</v>
      </c>
    </row>
    <row r="27" spans="1:38" x14ac:dyDescent="0.25">
      <c r="A27" s="40" t="s">
        <v>60</v>
      </c>
      <c r="B27" s="40" t="s">
        <v>69</v>
      </c>
      <c r="C27" s="40" t="s">
        <v>45</v>
      </c>
      <c r="D27" s="40">
        <v>540</v>
      </c>
      <c r="E27" s="40">
        <v>506</v>
      </c>
      <c r="F27" s="40">
        <v>475</v>
      </c>
      <c r="G27" s="40">
        <v>447</v>
      </c>
      <c r="H27" s="40">
        <v>423</v>
      </c>
      <c r="I27" s="40">
        <v>403</v>
      </c>
      <c r="J27" s="40">
        <v>385</v>
      </c>
      <c r="K27" s="40">
        <v>371</v>
      </c>
      <c r="L27" s="40">
        <v>360</v>
      </c>
      <c r="M27" s="40">
        <v>350</v>
      </c>
      <c r="N27" s="40">
        <v>341</v>
      </c>
      <c r="O27" s="40">
        <v>332</v>
      </c>
      <c r="P27" s="40">
        <v>323</v>
      </c>
      <c r="Q27" s="40">
        <v>314</v>
      </c>
      <c r="R27" s="40">
        <v>306</v>
      </c>
      <c r="S27" s="40">
        <v>299</v>
      </c>
      <c r="T27" s="40">
        <v>295</v>
      </c>
      <c r="U27" s="40">
        <v>291</v>
      </c>
      <c r="V27" s="40">
        <v>288</v>
      </c>
      <c r="W27" s="40">
        <v>286</v>
      </c>
      <c r="X27" s="40">
        <v>284</v>
      </c>
      <c r="Y27" s="40">
        <v>283</v>
      </c>
      <c r="Z27" s="40">
        <v>281</v>
      </c>
      <c r="AA27" s="40">
        <v>280</v>
      </c>
      <c r="AB27" s="40">
        <v>279</v>
      </c>
      <c r="AC27" s="40">
        <v>278</v>
      </c>
      <c r="AD27" s="40">
        <v>278</v>
      </c>
      <c r="AE27" s="40">
        <v>277</v>
      </c>
      <c r="AF27" s="40">
        <v>277</v>
      </c>
      <c r="AG27" s="35" t="s">
        <v>46</v>
      </c>
      <c r="AH27" s="36" t="s">
        <v>47</v>
      </c>
      <c r="AI27" s="37" t="s">
        <v>48</v>
      </c>
    </row>
    <row r="28" spans="1:38" x14ac:dyDescent="0.25">
      <c r="A28" s="40" t="s">
        <v>61</v>
      </c>
      <c r="B28" s="40" t="s">
        <v>69</v>
      </c>
      <c r="C28" s="40" t="s">
        <v>45</v>
      </c>
      <c r="D28" s="40">
        <v>60</v>
      </c>
      <c r="E28" s="40">
        <v>53</v>
      </c>
      <c r="F28" s="40">
        <v>50</v>
      </c>
      <c r="G28" s="40">
        <v>45</v>
      </c>
      <c r="H28" s="40">
        <v>43</v>
      </c>
      <c r="I28" s="40">
        <v>42</v>
      </c>
      <c r="J28" s="40">
        <v>40</v>
      </c>
      <c r="K28" s="40">
        <v>38</v>
      </c>
      <c r="L28" s="40">
        <v>35</v>
      </c>
      <c r="M28" s="40">
        <v>32</v>
      </c>
      <c r="N28" s="40">
        <v>29</v>
      </c>
      <c r="O28" s="40">
        <v>28</v>
      </c>
      <c r="P28" s="40">
        <v>28</v>
      </c>
      <c r="Q28" s="40">
        <v>27</v>
      </c>
      <c r="R28" s="40">
        <v>26</v>
      </c>
      <c r="S28" s="40">
        <v>26</v>
      </c>
      <c r="T28" s="40">
        <v>25</v>
      </c>
      <c r="U28" s="40">
        <v>24</v>
      </c>
      <c r="V28" s="40">
        <v>24</v>
      </c>
      <c r="W28" s="40">
        <v>23</v>
      </c>
      <c r="X28" s="40">
        <v>23</v>
      </c>
      <c r="Y28" s="40">
        <v>22</v>
      </c>
      <c r="Z28" s="40">
        <v>22</v>
      </c>
      <c r="AA28" s="40">
        <v>21</v>
      </c>
      <c r="AB28" s="40">
        <v>21</v>
      </c>
      <c r="AC28" s="40">
        <v>21</v>
      </c>
      <c r="AD28" s="40">
        <v>20</v>
      </c>
      <c r="AE28" s="40">
        <v>20</v>
      </c>
      <c r="AF28" s="40">
        <v>20</v>
      </c>
      <c r="AG28" s="35" t="s">
        <v>46</v>
      </c>
      <c r="AH28" s="36" t="s">
        <v>47</v>
      </c>
      <c r="AI28" s="37" t="s">
        <v>48</v>
      </c>
    </row>
    <row r="29" spans="1:38" x14ac:dyDescent="0.25">
      <c r="A29" s="40" t="s">
        <v>62</v>
      </c>
      <c r="B29" s="40" t="s">
        <v>69</v>
      </c>
      <c r="C29" s="40" t="s">
        <v>45</v>
      </c>
      <c r="D29" s="40">
        <v>188</v>
      </c>
      <c r="E29" s="40">
        <v>163</v>
      </c>
      <c r="F29" s="40">
        <v>146</v>
      </c>
      <c r="G29" s="40">
        <v>129</v>
      </c>
      <c r="H29" s="40">
        <v>119</v>
      </c>
      <c r="I29" s="40">
        <v>110</v>
      </c>
      <c r="J29" s="40">
        <v>103</v>
      </c>
      <c r="K29" s="40">
        <v>98</v>
      </c>
      <c r="L29" s="40">
        <v>93</v>
      </c>
      <c r="M29" s="40">
        <v>88</v>
      </c>
      <c r="N29" s="40">
        <v>83</v>
      </c>
      <c r="O29" s="40">
        <v>81</v>
      </c>
      <c r="P29" s="40">
        <v>79</v>
      </c>
      <c r="Q29" s="40">
        <v>76</v>
      </c>
      <c r="R29" s="40">
        <v>75</v>
      </c>
      <c r="S29" s="40">
        <v>74</v>
      </c>
      <c r="T29" s="40">
        <v>73</v>
      </c>
      <c r="U29" s="40">
        <v>71</v>
      </c>
      <c r="V29" s="40">
        <v>70</v>
      </c>
      <c r="W29" s="40">
        <v>70</v>
      </c>
      <c r="X29" s="40">
        <v>69</v>
      </c>
      <c r="Y29" s="40">
        <v>69</v>
      </c>
      <c r="Z29" s="40">
        <v>68</v>
      </c>
      <c r="AA29" s="40">
        <v>68</v>
      </c>
      <c r="AB29" s="40">
        <v>67</v>
      </c>
      <c r="AC29" s="40">
        <v>67</v>
      </c>
      <c r="AD29" s="40">
        <v>67</v>
      </c>
      <c r="AE29" s="40">
        <v>66</v>
      </c>
      <c r="AF29" s="40">
        <v>66</v>
      </c>
      <c r="AG29" s="35" t="s">
        <v>46</v>
      </c>
      <c r="AH29" s="36" t="s">
        <v>47</v>
      </c>
      <c r="AI29" s="37" t="s">
        <v>48</v>
      </c>
    </row>
    <row r="30" spans="1:38" x14ac:dyDescent="0.25">
      <c r="A30" s="40" t="s">
        <v>63</v>
      </c>
      <c r="B30" s="40" t="s">
        <v>69</v>
      </c>
      <c r="C30" s="40" t="s">
        <v>45</v>
      </c>
      <c r="D30" s="40">
        <v>53</v>
      </c>
      <c r="E30" s="40">
        <v>48</v>
      </c>
      <c r="F30" s="40">
        <v>44</v>
      </c>
      <c r="G30" s="40">
        <v>40</v>
      </c>
      <c r="H30" s="40">
        <v>39</v>
      </c>
      <c r="I30" s="40">
        <v>37</v>
      </c>
      <c r="J30" s="40">
        <v>36</v>
      </c>
      <c r="K30" s="40">
        <v>33</v>
      </c>
      <c r="L30" s="40">
        <v>31</v>
      </c>
      <c r="M30" s="40">
        <v>28</v>
      </c>
      <c r="N30" s="40">
        <v>26</v>
      </c>
      <c r="O30" s="40">
        <v>25</v>
      </c>
      <c r="P30" s="40">
        <v>25</v>
      </c>
      <c r="Q30" s="40">
        <v>24</v>
      </c>
      <c r="R30" s="40">
        <v>23</v>
      </c>
      <c r="S30" s="40">
        <v>23</v>
      </c>
      <c r="T30" s="40">
        <v>22</v>
      </c>
      <c r="U30" s="40">
        <v>22</v>
      </c>
      <c r="V30" s="40">
        <v>21</v>
      </c>
      <c r="W30" s="40">
        <v>21</v>
      </c>
      <c r="X30" s="40">
        <v>20</v>
      </c>
      <c r="Y30" s="40">
        <v>20</v>
      </c>
      <c r="Z30" s="40">
        <v>19</v>
      </c>
      <c r="AA30" s="40">
        <v>19</v>
      </c>
      <c r="AB30" s="40">
        <v>19</v>
      </c>
      <c r="AC30" s="40">
        <v>18</v>
      </c>
      <c r="AD30" s="40">
        <v>18</v>
      </c>
      <c r="AE30" s="40">
        <v>18</v>
      </c>
      <c r="AF30" s="40">
        <v>18</v>
      </c>
      <c r="AG30" s="35" t="s">
        <v>46</v>
      </c>
      <c r="AH30" s="36" t="s">
        <v>47</v>
      </c>
      <c r="AI30" s="37" t="s">
        <v>48</v>
      </c>
    </row>
    <row r="31" spans="1:38" s="2" customFormat="1" x14ac:dyDescent="0.25">
      <c r="A31" s="34" t="s">
        <v>43</v>
      </c>
      <c r="B31" s="34" t="s">
        <v>69</v>
      </c>
      <c r="C31" s="34" t="s">
        <v>45</v>
      </c>
      <c r="D31" s="34">
        <v>160</v>
      </c>
      <c r="E31" s="34">
        <v>141</v>
      </c>
      <c r="F31" s="34">
        <v>124</v>
      </c>
      <c r="G31" s="34">
        <v>110</v>
      </c>
      <c r="H31" s="34">
        <v>102</v>
      </c>
      <c r="I31" s="34">
        <v>94</v>
      </c>
      <c r="J31" s="34">
        <v>88</v>
      </c>
      <c r="K31" s="34">
        <v>83</v>
      </c>
      <c r="L31" s="34">
        <v>79</v>
      </c>
      <c r="M31" s="34">
        <v>75</v>
      </c>
      <c r="N31" s="34">
        <v>71</v>
      </c>
      <c r="O31" s="34">
        <v>69</v>
      </c>
      <c r="P31" s="34">
        <v>67</v>
      </c>
      <c r="Q31" s="34">
        <v>65</v>
      </c>
      <c r="R31" s="34">
        <v>64</v>
      </c>
      <c r="S31" s="34">
        <v>63</v>
      </c>
      <c r="T31" s="34">
        <v>62</v>
      </c>
      <c r="U31" s="34">
        <v>61</v>
      </c>
      <c r="V31" s="34">
        <v>60</v>
      </c>
      <c r="W31" s="34">
        <v>60</v>
      </c>
      <c r="X31" s="34">
        <v>59</v>
      </c>
      <c r="Y31" s="34">
        <v>59</v>
      </c>
      <c r="Z31" s="34">
        <v>58</v>
      </c>
      <c r="AA31" s="34">
        <v>58</v>
      </c>
      <c r="AB31" s="34">
        <v>58</v>
      </c>
      <c r="AC31" s="34">
        <v>57</v>
      </c>
      <c r="AD31" s="34">
        <v>57</v>
      </c>
      <c r="AE31" s="34">
        <v>56</v>
      </c>
      <c r="AF31" s="34">
        <v>56</v>
      </c>
      <c r="AG31" s="43" t="s">
        <v>46</v>
      </c>
      <c r="AH31" s="44" t="s">
        <v>47</v>
      </c>
      <c r="AI31" s="45" t="s">
        <v>48</v>
      </c>
      <c r="AJ31" s="46">
        <f>15.3/1000</f>
        <v>1.5300000000000001E-2</v>
      </c>
      <c r="AK31" s="46" t="s">
        <v>49</v>
      </c>
      <c r="AL31" s="46" t="s">
        <v>50</v>
      </c>
    </row>
    <row r="32" spans="1:38" x14ac:dyDescent="0.25">
      <c r="A32" s="40" t="s">
        <v>64</v>
      </c>
      <c r="B32" s="40" t="s">
        <v>69</v>
      </c>
      <c r="C32" s="40" t="s">
        <v>45</v>
      </c>
      <c r="D32" s="40">
        <v>287</v>
      </c>
      <c r="E32" s="40">
        <v>241</v>
      </c>
      <c r="F32" s="40">
        <v>209</v>
      </c>
      <c r="G32" s="40">
        <v>184</v>
      </c>
      <c r="H32" s="40">
        <v>165</v>
      </c>
      <c r="I32" s="40">
        <v>151</v>
      </c>
      <c r="J32" s="40">
        <v>139</v>
      </c>
      <c r="K32" s="40">
        <v>132</v>
      </c>
      <c r="L32" s="40">
        <v>127</v>
      </c>
      <c r="M32" s="40">
        <v>119</v>
      </c>
      <c r="N32" s="40">
        <v>112</v>
      </c>
      <c r="O32" s="40">
        <v>109</v>
      </c>
      <c r="P32" s="40">
        <v>106</v>
      </c>
      <c r="Q32" s="40">
        <v>98</v>
      </c>
      <c r="R32" s="40">
        <v>96</v>
      </c>
      <c r="S32" s="40">
        <v>94</v>
      </c>
      <c r="T32" s="40">
        <v>92</v>
      </c>
      <c r="U32" s="40">
        <v>90</v>
      </c>
      <c r="V32" s="40">
        <v>88</v>
      </c>
      <c r="W32" s="40">
        <v>88</v>
      </c>
      <c r="X32" s="40">
        <v>88</v>
      </c>
      <c r="Y32" s="40">
        <v>88</v>
      </c>
      <c r="Z32" s="40">
        <v>88</v>
      </c>
      <c r="AA32" s="40">
        <v>88</v>
      </c>
      <c r="AB32" s="40">
        <v>88</v>
      </c>
      <c r="AC32" s="40">
        <v>88</v>
      </c>
      <c r="AD32" s="40">
        <v>88</v>
      </c>
      <c r="AE32" s="40">
        <v>88</v>
      </c>
      <c r="AF32" s="40">
        <v>88</v>
      </c>
      <c r="AG32" s="35" t="s">
        <v>46</v>
      </c>
      <c r="AH32" s="36" t="s">
        <v>47</v>
      </c>
      <c r="AI32" s="37" t="s">
        <v>48</v>
      </c>
    </row>
    <row r="33" spans="1:40" x14ac:dyDescent="0.25">
      <c r="A33" s="40" t="s">
        <v>65</v>
      </c>
      <c r="B33" s="40" t="s">
        <v>69</v>
      </c>
      <c r="C33" s="40" t="s">
        <v>45</v>
      </c>
      <c r="D33" s="40">
        <v>206</v>
      </c>
      <c r="E33" s="40">
        <v>172</v>
      </c>
      <c r="F33" s="40">
        <v>146</v>
      </c>
      <c r="G33" s="40">
        <v>127</v>
      </c>
      <c r="H33" s="40">
        <v>112</v>
      </c>
      <c r="I33" s="40">
        <v>100</v>
      </c>
      <c r="J33" s="40">
        <v>89</v>
      </c>
      <c r="K33" s="40">
        <v>85</v>
      </c>
      <c r="L33" s="40">
        <v>81</v>
      </c>
      <c r="M33" s="40">
        <v>77</v>
      </c>
      <c r="N33" s="40">
        <v>74</v>
      </c>
      <c r="O33" s="40">
        <v>71</v>
      </c>
      <c r="P33" s="40">
        <v>69</v>
      </c>
      <c r="Q33" s="40">
        <v>66</v>
      </c>
      <c r="R33" s="40">
        <v>65</v>
      </c>
      <c r="S33" s="40">
        <v>63</v>
      </c>
      <c r="T33" s="40">
        <v>62</v>
      </c>
      <c r="U33" s="40">
        <v>61</v>
      </c>
      <c r="V33" s="40">
        <v>60</v>
      </c>
      <c r="W33" s="40">
        <v>60</v>
      </c>
      <c r="X33" s="40">
        <v>60</v>
      </c>
      <c r="Y33" s="40">
        <v>60</v>
      </c>
      <c r="Z33" s="40">
        <v>60</v>
      </c>
      <c r="AA33" s="40">
        <v>60</v>
      </c>
      <c r="AB33" s="40">
        <v>60</v>
      </c>
      <c r="AC33" s="40">
        <v>60</v>
      </c>
      <c r="AD33" s="40">
        <v>60</v>
      </c>
      <c r="AE33" s="40">
        <v>60</v>
      </c>
      <c r="AF33" s="40">
        <v>60</v>
      </c>
      <c r="AG33" s="35" t="s">
        <v>46</v>
      </c>
      <c r="AH33" s="36" t="s">
        <v>47</v>
      </c>
      <c r="AI33" s="37" t="s">
        <v>48</v>
      </c>
    </row>
    <row r="34" spans="1:40" x14ac:dyDescent="0.25">
      <c r="A34" s="40" t="s">
        <v>66</v>
      </c>
      <c r="B34" s="40" t="s">
        <v>69</v>
      </c>
      <c r="C34" s="40" t="s">
        <v>45</v>
      </c>
      <c r="D34" s="40">
        <v>150</v>
      </c>
      <c r="E34" s="40">
        <v>137</v>
      </c>
      <c r="F34" s="40">
        <v>130</v>
      </c>
      <c r="G34" s="40">
        <v>124</v>
      </c>
      <c r="H34" s="40">
        <v>120</v>
      </c>
      <c r="I34" s="40">
        <v>116</v>
      </c>
      <c r="J34" s="40">
        <v>113</v>
      </c>
      <c r="K34" s="40">
        <v>110</v>
      </c>
      <c r="L34" s="40">
        <v>90</v>
      </c>
      <c r="M34" s="40">
        <v>88</v>
      </c>
      <c r="N34" s="40">
        <v>86</v>
      </c>
      <c r="O34" s="40">
        <v>84</v>
      </c>
      <c r="P34" s="40">
        <v>82</v>
      </c>
      <c r="Q34" s="40">
        <v>81</v>
      </c>
      <c r="R34" s="40">
        <v>79</v>
      </c>
      <c r="S34" s="40">
        <v>77</v>
      </c>
      <c r="T34" s="40">
        <v>76</v>
      </c>
      <c r="U34" s="40">
        <v>74</v>
      </c>
      <c r="V34" s="40">
        <v>73</v>
      </c>
      <c r="W34" s="40">
        <v>71</v>
      </c>
      <c r="X34" s="40">
        <v>71</v>
      </c>
      <c r="Y34" s="40">
        <v>70</v>
      </c>
      <c r="Z34" s="40">
        <v>69</v>
      </c>
      <c r="AA34" s="40">
        <v>68</v>
      </c>
      <c r="AB34" s="40">
        <v>67</v>
      </c>
      <c r="AC34" s="40">
        <v>66</v>
      </c>
      <c r="AD34" s="40">
        <v>66</v>
      </c>
      <c r="AE34" s="40">
        <v>66</v>
      </c>
      <c r="AF34" s="40">
        <v>65</v>
      </c>
      <c r="AG34" s="35" t="s">
        <v>46</v>
      </c>
      <c r="AH34" s="36" t="s">
        <v>47</v>
      </c>
      <c r="AI34" s="37" t="s">
        <v>48</v>
      </c>
    </row>
    <row r="35" spans="1:40" x14ac:dyDescent="0.25">
      <c r="A35" s="40" t="s">
        <v>67</v>
      </c>
      <c r="B35" s="40" t="s">
        <v>69</v>
      </c>
      <c r="C35" s="40" t="s">
        <v>45</v>
      </c>
      <c r="D35" s="40">
        <v>65</v>
      </c>
      <c r="E35" s="40">
        <v>60</v>
      </c>
      <c r="F35" s="40">
        <v>55</v>
      </c>
      <c r="G35" s="40">
        <v>52</v>
      </c>
      <c r="H35" s="40">
        <v>50</v>
      </c>
      <c r="I35" s="40">
        <v>48</v>
      </c>
      <c r="J35" s="40">
        <v>46</v>
      </c>
      <c r="K35" s="40">
        <v>45</v>
      </c>
      <c r="L35" s="40">
        <v>44</v>
      </c>
      <c r="M35" s="40">
        <v>42</v>
      </c>
      <c r="N35" s="40">
        <v>41</v>
      </c>
      <c r="O35" s="40">
        <v>41</v>
      </c>
      <c r="P35" s="40">
        <v>40</v>
      </c>
      <c r="Q35" s="40">
        <v>39</v>
      </c>
      <c r="R35" s="40">
        <v>39</v>
      </c>
      <c r="S35" s="40">
        <v>38</v>
      </c>
      <c r="T35" s="40">
        <v>38</v>
      </c>
      <c r="U35" s="40">
        <v>37</v>
      </c>
      <c r="V35" s="40">
        <v>36</v>
      </c>
      <c r="W35" s="40">
        <v>36</v>
      </c>
      <c r="X35" s="40">
        <v>36</v>
      </c>
      <c r="Y35" s="40">
        <v>35</v>
      </c>
      <c r="Z35" s="40">
        <v>35</v>
      </c>
      <c r="AA35" s="40">
        <v>34</v>
      </c>
      <c r="AB35" s="40">
        <v>34</v>
      </c>
      <c r="AC35" s="40">
        <v>34</v>
      </c>
      <c r="AD35" s="40">
        <v>33</v>
      </c>
      <c r="AE35" s="40">
        <v>33</v>
      </c>
      <c r="AF35" s="40">
        <v>33</v>
      </c>
      <c r="AG35" s="35" t="s">
        <v>46</v>
      </c>
      <c r="AH35" s="36" t="s">
        <v>47</v>
      </c>
      <c r="AI35" s="37" t="s">
        <v>48</v>
      </c>
    </row>
    <row r="36" spans="1:40" x14ac:dyDescent="0.25">
      <c r="A36" s="40" t="s">
        <v>68</v>
      </c>
      <c r="B36" s="40" t="s">
        <v>69</v>
      </c>
      <c r="C36" s="40" t="s">
        <v>45</v>
      </c>
      <c r="D36" s="40">
        <v>132</v>
      </c>
      <c r="E36" s="40">
        <v>114</v>
      </c>
      <c r="F36" s="40">
        <v>99</v>
      </c>
      <c r="G36" s="40">
        <v>89</v>
      </c>
      <c r="H36" s="40">
        <v>82</v>
      </c>
      <c r="I36" s="40">
        <v>77</v>
      </c>
      <c r="J36" s="40">
        <v>72</v>
      </c>
      <c r="K36" s="40">
        <v>69</v>
      </c>
      <c r="L36" s="40">
        <v>67</v>
      </c>
      <c r="M36" s="40">
        <v>64</v>
      </c>
      <c r="N36" s="40">
        <v>62</v>
      </c>
      <c r="O36" s="40">
        <v>61</v>
      </c>
      <c r="P36" s="40">
        <v>59</v>
      </c>
      <c r="Q36" s="40">
        <v>58</v>
      </c>
      <c r="R36" s="40">
        <v>57</v>
      </c>
      <c r="S36" s="40">
        <v>56</v>
      </c>
      <c r="T36" s="40">
        <v>55</v>
      </c>
      <c r="U36" s="40">
        <v>54</v>
      </c>
      <c r="V36" s="40">
        <v>53</v>
      </c>
      <c r="W36" s="40">
        <v>53</v>
      </c>
      <c r="X36" s="40">
        <v>52</v>
      </c>
      <c r="Y36" s="40">
        <v>52</v>
      </c>
      <c r="Z36" s="40">
        <v>51</v>
      </c>
      <c r="AA36" s="40">
        <v>51</v>
      </c>
      <c r="AB36" s="40">
        <v>50</v>
      </c>
      <c r="AC36" s="40">
        <v>50</v>
      </c>
      <c r="AD36" s="40">
        <v>49</v>
      </c>
      <c r="AE36" s="40">
        <v>49</v>
      </c>
      <c r="AF36" s="40">
        <v>48</v>
      </c>
      <c r="AG36" s="35" t="s">
        <v>46</v>
      </c>
      <c r="AH36" s="36" t="s">
        <v>47</v>
      </c>
      <c r="AI36" s="37" t="s">
        <v>48</v>
      </c>
      <c r="AJ36" s="38">
        <f>5.9/1000</f>
        <v>5.9000000000000007E-3</v>
      </c>
      <c r="AK36" s="39" t="s">
        <v>49</v>
      </c>
      <c r="AL36" s="39" t="s">
        <v>50</v>
      </c>
    </row>
    <row r="37" spans="1:40" x14ac:dyDescent="0.25">
      <c r="A37" s="40" t="s">
        <v>72</v>
      </c>
      <c r="B37" s="40" t="s">
        <v>54</v>
      </c>
      <c r="C37" s="40" t="s">
        <v>45</v>
      </c>
      <c r="D37" s="103">
        <v>43.9</v>
      </c>
      <c r="AI37" s="102" t="s">
        <v>73</v>
      </c>
      <c r="AJ37" s="39">
        <f>1.9/1000</f>
        <v>1.9E-3</v>
      </c>
      <c r="AK37" s="39" t="s">
        <v>49</v>
      </c>
      <c r="AL37" s="39" t="s">
        <v>74</v>
      </c>
    </row>
    <row r="38" spans="1:40" x14ac:dyDescent="0.25">
      <c r="A38" s="40" t="s">
        <v>72</v>
      </c>
      <c r="B38" s="40" t="s">
        <v>69</v>
      </c>
      <c r="C38" s="40" t="s">
        <v>45</v>
      </c>
      <c r="D38">
        <v>98.56</v>
      </c>
      <c r="AI38" s="102" t="s">
        <v>73</v>
      </c>
      <c r="AJ38" s="39">
        <f>1.9/1000</f>
        <v>1.9E-3</v>
      </c>
      <c r="AL38" s="39" t="s">
        <v>74</v>
      </c>
    </row>
    <row r="39" spans="1:40" x14ac:dyDescent="0.25">
      <c r="A39" s="40" t="s">
        <v>75</v>
      </c>
      <c r="B39" s="40" t="s">
        <v>54</v>
      </c>
      <c r="C39" s="40" t="s">
        <v>45</v>
      </c>
      <c r="D39">
        <v>37</v>
      </c>
      <c r="AI39" s="102" t="s">
        <v>76</v>
      </c>
      <c r="AJ39" s="39">
        <f>18.9/1000</f>
        <v>1.89E-2</v>
      </c>
      <c r="AK39" s="39" t="s">
        <v>49</v>
      </c>
      <c r="AL39" s="39" t="s">
        <v>50</v>
      </c>
      <c r="AM39" t="s">
        <v>77</v>
      </c>
      <c r="AN39" t="s">
        <v>78</v>
      </c>
    </row>
    <row r="40" spans="1:40" x14ac:dyDescent="0.25">
      <c r="A40" s="40" t="s">
        <v>75</v>
      </c>
      <c r="B40" s="40" t="s">
        <v>69</v>
      </c>
      <c r="C40" s="40" t="s">
        <v>45</v>
      </c>
      <c r="D40" s="30">
        <v>98.879150999999993</v>
      </c>
      <c r="AI40" s="102" t="s">
        <v>76</v>
      </c>
      <c r="AJ40" s="39">
        <f>18.9/1000</f>
        <v>1.89E-2</v>
      </c>
    </row>
    <row r="42" spans="1:40" x14ac:dyDescent="0.25">
      <c r="A42" s="1" t="s">
        <v>79</v>
      </c>
      <c r="AI42"/>
      <c r="AJ42"/>
    </row>
    <row r="43" spans="1:40" x14ac:dyDescent="0.25">
      <c r="A43" s="97"/>
      <c r="B43" s="98" t="s">
        <v>80</v>
      </c>
      <c r="C43" s="98" t="s">
        <v>81</v>
      </c>
      <c r="D43" s="98" t="s">
        <v>82</v>
      </c>
      <c r="E43" s="98" t="s">
        <v>83</v>
      </c>
      <c r="F43" s="98" t="s">
        <v>84</v>
      </c>
      <c r="G43" s="98" t="s">
        <v>85</v>
      </c>
      <c r="H43" s="98" t="s">
        <v>86</v>
      </c>
      <c r="AI43"/>
      <c r="AJ43"/>
    </row>
    <row r="44" spans="1:40" s="1" customFormat="1" x14ac:dyDescent="0.25">
      <c r="A44" s="99" t="s">
        <v>87</v>
      </c>
      <c r="B44" s="98" t="s">
        <v>88</v>
      </c>
      <c r="C44" s="98" t="s">
        <v>89</v>
      </c>
      <c r="D44" s="98">
        <v>3</v>
      </c>
      <c r="E44" s="98">
        <v>3.2</v>
      </c>
      <c r="F44" s="98">
        <v>9.9</v>
      </c>
      <c r="G44" s="98">
        <v>17.600000000000001</v>
      </c>
      <c r="H44" s="98">
        <v>56</v>
      </c>
      <c r="I44" s="1" t="s">
        <v>90</v>
      </c>
    </row>
    <row r="45" spans="1:40" x14ac:dyDescent="0.25">
      <c r="A45" s="97"/>
      <c r="B45" s="100" t="s">
        <v>88</v>
      </c>
      <c r="C45" s="100" t="s">
        <v>75</v>
      </c>
      <c r="D45" s="100">
        <v>13.8</v>
      </c>
      <c r="E45" s="100">
        <v>18.7</v>
      </c>
      <c r="F45" s="100">
        <v>28.1</v>
      </c>
      <c r="G45" s="100">
        <v>3.8</v>
      </c>
      <c r="H45" s="100">
        <v>57</v>
      </c>
      <c r="I45" t="s">
        <v>91</v>
      </c>
      <c r="AI45"/>
      <c r="AJ45"/>
    </row>
    <row r="46" spans="1:40" x14ac:dyDescent="0.25">
      <c r="A46" s="97"/>
      <c r="B46" s="100" t="s">
        <v>88</v>
      </c>
      <c r="C46" s="100" t="s">
        <v>92</v>
      </c>
      <c r="D46" s="100">
        <v>14.2</v>
      </c>
      <c r="E46" s="100">
        <v>21.5</v>
      </c>
      <c r="F46" s="100">
        <v>44.2</v>
      </c>
      <c r="G46" s="100">
        <v>3.9</v>
      </c>
      <c r="H46" s="100">
        <v>58</v>
      </c>
      <c r="I46" t="s">
        <v>93</v>
      </c>
      <c r="AI46"/>
      <c r="AJ46"/>
    </row>
    <row r="47" spans="1:40" s="1" customFormat="1" x14ac:dyDescent="0.25">
      <c r="A47" s="99" t="s">
        <v>94</v>
      </c>
      <c r="B47" s="99" t="s">
        <v>95</v>
      </c>
      <c r="C47" s="99" t="s">
        <v>96</v>
      </c>
      <c r="D47" s="99">
        <f>AVERAGE(D44:D46)</f>
        <v>10.333333333333334</v>
      </c>
      <c r="E47" s="99">
        <f>AVERAGE(E44:E46)</f>
        <v>14.466666666666667</v>
      </c>
      <c r="F47" s="99">
        <f t="shared" ref="F47" si="0">AVERAGE(F44:F46)</f>
        <v>27.400000000000002</v>
      </c>
      <c r="G47" s="101">
        <f>AVERAGE(G44:G46)</f>
        <v>8.4333333333333336</v>
      </c>
      <c r="H47" s="99"/>
      <c r="I47" s="1" t="s">
        <v>97</v>
      </c>
    </row>
    <row r="48" spans="1:40" x14ac:dyDescent="0.25">
      <c r="A48" t="s">
        <v>98</v>
      </c>
      <c r="AI48"/>
      <c r="AJ48"/>
    </row>
    <row r="49" spans="1:36" x14ac:dyDescent="0.25">
      <c r="A49" t="s">
        <v>99</v>
      </c>
      <c r="AI49"/>
      <c r="AJ49"/>
    </row>
    <row r="50" spans="1:36" x14ac:dyDescent="0.25">
      <c r="A50" t="s">
        <v>100</v>
      </c>
      <c r="AI50"/>
      <c r="AJ50"/>
    </row>
    <row r="51" spans="1:36" x14ac:dyDescent="0.25">
      <c r="AI51"/>
      <c r="AJ51"/>
    </row>
    <row r="52" spans="1:36" x14ac:dyDescent="0.25">
      <c r="AI52"/>
      <c r="AJ52"/>
    </row>
    <row r="53" spans="1:36" x14ac:dyDescent="0.25">
      <c r="AI53"/>
      <c r="AJ53"/>
    </row>
    <row r="54" spans="1:36" x14ac:dyDescent="0.25">
      <c r="AI54"/>
      <c r="AJ54"/>
    </row>
    <row r="55" spans="1:36" x14ac:dyDescent="0.25">
      <c r="AI55"/>
      <c r="AJ55"/>
    </row>
  </sheetData>
  <hyperlinks>
    <hyperlink ref="AI3" r:id="rId1" xr:uid="{F2F2CE00-8E60-2C49-AF08-5B9EB8BED7D1}"/>
    <hyperlink ref="AI4:AI36" r:id="rId2" display="https://www.bnef.com/flagships/lcoe" xr:uid="{8E98A55B-B32E-4B4F-AE59-C62C0DD9B123}"/>
    <hyperlink ref="AI38" r:id="rId3" display="https://www.oecd-nea.org/jcms/pl_51110/projected-costs-of-generating-electricity-2020-edition" xr:uid="{6843DA57-D101-C746-AE95-85C652F36ABB}"/>
    <hyperlink ref="AI39" r:id="rId4" display="https://www.irena.org/publications/2022/Jul/Renewable-Power-Generation-Costs-in-2021" xr:uid="{0CD10D15-00B3-794F-8419-31A37DC2EB22}"/>
    <hyperlink ref="AI40" r:id="rId5" display="https://www.irena.org/publications/2022/Jul/Renewable-Power-Generation-Costs-in-2021" xr:uid="{D7690ED3-0921-2945-A154-88D6468CD3DF}"/>
    <hyperlink ref="AI2" r:id="rId6" xr:uid="{DBB7FE2C-1370-C544-8EE3-378486D12923}"/>
    <hyperlink ref="AI37" r:id="rId7" display="https://www.oecd-nea.org/jcms/pl_51110/projected-costs-of-generating-electricity-2020-edition" xr:uid="{A9D053AE-E774-2049-94AD-E8398BDB144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00A40-351E-EE4C-92AD-3BC93D7F11F0}">
  <sheetPr codeName="Sheet4"/>
  <dimension ref="A1:AR27"/>
  <sheetViews>
    <sheetView workbookViewId="0"/>
  </sheetViews>
  <sheetFormatPr defaultColWidth="10.625" defaultRowHeight="15.75" x14ac:dyDescent="0.25"/>
  <cols>
    <col min="1" max="1" width="10.625" style="10"/>
    <col min="2" max="2" width="69.625" style="10" bestFit="1" customWidth="1"/>
    <col min="3" max="3" width="12" style="10" bestFit="1" customWidth="1"/>
    <col min="4" max="4" width="12.625" style="10" bestFit="1" customWidth="1"/>
    <col min="5" max="5" width="11.5" style="10" customWidth="1"/>
    <col min="6" max="16384" width="10.625" style="10"/>
  </cols>
  <sheetData>
    <row r="1" spans="1:44" x14ac:dyDescent="0.2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row>
    <row r="2" spans="1:44" ht="20.25" thickBot="1" x14ac:dyDescent="0.35">
      <c r="A2" s="9"/>
      <c r="B2" s="11" t="s">
        <v>101</v>
      </c>
      <c r="C2" s="11"/>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row>
    <row r="3" spans="1:44" ht="16.5" thickTop="1" x14ac:dyDescent="0.25">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row>
    <row r="4" spans="1:44" x14ac:dyDescent="0.25">
      <c r="A4" s="9"/>
      <c r="B4" s="10" t="s">
        <v>102</v>
      </c>
      <c r="C4" s="10" t="s">
        <v>103</v>
      </c>
      <c r="D4" s="12"/>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row>
    <row r="5" spans="1:44" x14ac:dyDescent="0.25">
      <c r="A5" s="9"/>
      <c r="B5" s="9" t="s">
        <v>6</v>
      </c>
      <c r="C5" s="13">
        <v>2022</v>
      </c>
      <c r="D5" s="14">
        <v>2023</v>
      </c>
      <c r="E5" s="14">
        <v>2024</v>
      </c>
      <c r="F5" s="14">
        <v>2025</v>
      </c>
      <c r="G5" s="14">
        <v>2026</v>
      </c>
      <c r="H5" s="14">
        <v>2027</v>
      </c>
      <c r="I5" s="14">
        <v>2028</v>
      </c>
      <c r="J5" s="14">
        <v>2029</v>
      </c>
      <c r="K5" s="14">
        <v>2030</v>
      </c>
      <c r="L5" s="14">
        <v>2031</v>
      </c>
      <c r="M5" s="14">
        <v>2032</v>
      </c>
      <c r="N5" s="14">
        <v>2033</v>
      </c>
      <c r="O5" s="14">
        <v>2034</v>
      </c>
      <c r="P5" s="14">
        <v>2035</v>
      </c>
      <c r="Q5" s="14">
        <v>2036</v>
      </c>
      <c r="R5" s="14">
        <v>2037</v>
      </c>
      <c r="S5" s="14">
        <v>2038</v>
      </c>
      <c r="T5" s="14">
        <v>2039</v>
      </c>
      <c r="U5" s="14">
        <v>2040</v>
      </c>
      <c r="V5" s="14">
        <v>2041</v>
      </c>
      <c r="W5" s="14">
        <v>2042</v>
      </c>
      <c r="X5" s="14">
        <v>2043</v>
      </c>
      <c r="Y5" s="14">
        <v>2044</v>
      </c>
      <c r="Z5" s="14">
        <v>2045</v>
      </c>
      <c r="AA5" s="14">
        <v>2046</v>
      </c>
      <c r="AB5" s="14">
        <v>2047</v>
      </c>
      <c r="AC5" s="14">
        <v>2048</v>
      </c>
      <c r="AD5" s="14">
        <v>2049</v>
      </c>
      <c r="AE5" s="14">
        <v>2050</v>
      </c>
      <c r="AF5" s="9" t="s">
        <v>104</v>
      </c>
      <c r="AG5" s="15"/>
      <c r="AH5" s="15"/>
      <c r="AI5" s="15"/>
      <c r="AJ5" s="15"/>
      <c r="AK5" s="15"/>
      <c r="AL5" s="15"/>
      <c r="AM5" s="15"/>
      <c r="AN5" s="15"/>
      <c r="AO5" s="15"/>
      <c r="AP5" s="15"/>
      <c r="AQ5" s="15"/>
      <c r="AR5" s="15"/>
    </row>
    <row r="6" spans="1:44" x14ac:dyDescent="0.25">
      <c r="A6" s="16"/>
      <c r="B6" s="16" t="s">
        <v>105</v>
      </c>
      <c r="C6" s="17">
        <v>79</v>
      </c>
      <c r="D6" s="18">
        <v>70</v>
      </c>
      <c r="E6" s="18">
        <v>64</v>
      </c>
      <c r="F6" s="18">
        <v>55</v>
      </c>
      <c r="G6" s="18">
        <v>52</v>
      </c>
      <c r="H6" s="18">
        <v>48</v>
      </c>
      <c r="I6" s="18">
        <v>44</v>
      </c>
      <c r="J6" s="18">
        <v>42</v>
      </c>
      <c r="K6" s="18">
        <v>38</v>
      </c>
      <c r="L6" s="18">
        <v>39</v>
      </c>
      <c r="M6" s="18">
        <v>35</v>
      </c>
      <c r="N6" s="18">
        <v>34</v>
      </c>
      <c r="O6" s="18">
        <v>34</v>
      </c>
      <c r="P6" s="18">
        <v>33</v>
      </c>
      <c r="Q6" s="18">
        <v>33</v>
      </c>
      <c r="R6" s="18">
        <v>30</v>
      </c>
      <c r="S6" s="18">
        <v>32</v>
      </c>
      <c r="T6" s="18">
        <v>32</v>
      </c>
      <c r="U6" s="18">
        <v>31</v>
      </c>
      <c r="V6" s="18">
        <v>31</v>
      </c>
      <c r="W6" s="18">
        <v>31</v>
      </c>
      <c r="X6" s="18">
        <v>28</v>
      </c>
      <c r="Y6" s="18">
        <v>30</v>
      </c>
      <c r="Z6" s="18">
        <v>30</v>
      </c>
      <c r="AA6" s="18">
        <v>30</v>
      </c>
      <c r="AB6" s="18">
        <v>30</v>
      </c>
      <c r="AC6" s="18">
        <v>27</v>
      </c>
      <c r="AD6" s="18">
        <v>29</v>
      </c>
      <c r="AE6" s="18">
        <v>29</v>
      </c>
      <c r="AF6" s="16"/>
      <c r="AG6" s="19"/>
      <c r="AH6" s="19"/>
      <c r="AI6" s="19"/>
      <c r="AJ6" s="19"/>
      <c r="AK6" s="19"/>
      <c r="AL6" s="19"/>
      <c r="AM6" s="19"/>
      <c r="AN6" s="19"/>
      <c r="AO6" s="19"/>
      <c r="AP6" s="19"/>
      <c r="AQ6" s="19"/>
      <c r="AR6" s="19"/>
    </row>
    <row r="7" spans="1:44" x14ac:dyDescent="0.25">
      <c r="A7" s="20"/>
      <c r="B7" s="20" t="s">
        <v>106</v>
      </c>
      <c r="C7" s="21">
        <v>84</v>
      </c>
      <c r="D7" s="22">
        <v>75</v>
      </c>
      <c r="E7" s="22">
        <v>68</v>
      </c>
      <c r="F7" s="22">
        <v>59</v>
      </c>
      <c r="G7" s="22">
        <v>55</v>
      </c>
      <c r="H7" s="22">
        <v>51</v>
      </c>
      <c r="I7" s="22">
        <v>47</v>
      </c>
      <c r="J7" s="22">
        <v>45</v>
      </c>
      <c r="K7" s="23">
        <v>40.53</v>
      </c>
      <c r="L7" s="22">
        <v>42</v>
      </c>
      <c r="M7" s="22">
        <v>37</v>
      </c>
      <c r="N7" s="22">
        <v>36</v>
      </c>
      <c r="O7" s="22">
        <v>36</v>
      </c>
      <c r="P7" s="22">
        <v>35</v>
      </c>
      <c r="Q7" s="22">
        <v>35</v>
      </c>
      <c r="R7" s="22">
        <v>32</v>
      </c>
      <c r="S7" s="22">
        <v>34</v>
      </c>
      <c r="T7" s="22">
        <v>34</v>
      </c>
      <c r="U7" s="22">
        <v>33</v>
      </c>
      <c r="V7" s="22">
        <v>33</v>
      </c>
      <c r="W7" s="22">
        <v>33</v>
      </c>
      <c r="X7" s="22">
        <v>30</v>
      </c>
      <c r="Y7" s="22">
        <v>32</v>
      </c>
      <c r="Z7" s="22">
        <v>32</v>
      </c>
      <c r="AA7" s="22">
        <v>32</v>
      </c>
      <c r="AB7" s="22">
        <v>32</v>
      </c>
      <c r="AC7" s="22">
        <v>29</v>
      </c>
      <c r="AD7" s="22">
        <v>31</v>
      </c>
      <c r="AE7" s="22">
        <v>31</v>
      </c>
      <c r="AF7" s="20"/>
      <c r="AG7" s="24"/>
      <c r="AH7" s="24"/>
      <c r="AI7" s="24"/>
      <c r="AJ7" s="24"/>
      <c r="AK7" s="24"/>
      <c r="AL7" s="24"/>
      <c r="AM7" s="24"/>
      <c r="AN7" s="24"/>
      <c r="AO7" s="24"/>
      <c r="AP7" s="24"/>
      <c r="AQ7" s="24"/>
      <c r="AR7" s="24"/>
    </row>
    <row r="8" spans="1:44" x14ac:dyDescent="0.25">
      <c r="A8" s="12"/>
      <c r="B8" s="12"/>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12"/>
      <c r="AG8" s="25"/>
      <c r="AH8" s="25"/>
      <c r="AI8" s="25"/>
      <c r="AJ8" s="25"/>
      <c r="AK8" s="25"/>
      <c r="AL8" s="25"/>
      <c r="AM8" s="25"/>
      <c r="AN8" s="25"/>
      <c r="AO8" s="25"/>
      <c r="AP8" s="25"/>
      <c r="AQ8" s="25"/>
      <c r="AR8" s="25"/>
    </row>
    <row r="9" spans="1:44" x14ac:dyDescent="0.25">
      <c r="A9" s="12"/>
      <c r="B9" s="12" t="s">
        <v>107</v>
      </c>
      <c r="C9" s="12"/>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12"/>
      <c r="AG9" s="25"/>
      <c r="AH9" s="25"/>
      <c r="AI9" s="25"/>
      <c r="AJ9" s="25"/>
      <c r="AK9" s="25"/>
      <c r="AL9" s="25"/>
      <c r="AM9" s="25"/>
      <c r="AN9" s="25"/>
      <c r="AO9" s="25"/>
      <c r="AP9" s="25"/>
      <c r="AQ9" s="25"/>
      <c r="AR9" s="25"/>
    </row>
    <row r="10" spans="1:44" x14ac:dyDescent="0.25">
      <c r="A10" s="12"/>
      <c r="B10" s="12" t="s">
        <v>108</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25"/>
      <c r="AH10" s="25"/>
      <c r="AI10" s="25"/>
      <c r="AJ10" s="25"/>
      <c r="AK10" s="25"/>
      <c r="AL10" s="25"/>
      <c r="AM10" s="25"/>
      <c r="AN10" s="25"/>
      <c r="AO10" s="25"/>
      <c r="AP10" s="25"/>
      <c r="AQ10" s="25"/>
      <c r="AR10" s="25"/>
    </row>
    <row r="11" spans="1:44" x14ac:dyDescent="0.25">
      <c r="A11" s="12"/>
      <c r="B11" s="12" t="s">
        <v>109</v>
      </c>
      <c r="C11" s="26">
        <v>374</v>
      </c>
      <c r="D11" s="26">
        <v>327</v>
      </c>
      <c r="E11" s="26">
        <v>284</v>
      </c>
      <c r="F11" s="26">
        <v>250</v>
      </c>
      <c r="G11" s="26">
        <v>228</v>
      </c>
      <c r="H11" s="26">
        <v>208</v>
      </c>
      <c r="I11" s="26">
        <v>192</v>
      </c>
      <c r="J11" s="26">
        <v>183</v>
      </c>
      <c r="K11" s="26">
        <v>175</v>
      </c>
      <c r="L11" s="26">
        <v>169</v>
      </c>
      <c r="M11" s="26">
        <v>161</v>
      </c>
      <c r="N11" s="26">
        <v>157</v>
      </c>
      <c r="O11" s="26">
        <v>151</v>
      </c>
      <c r="P11" s="26">
        <v>147</v>
      </c>
      <c r="Q11" s="26">
        <v>146</v>
      </c>
      <c r="R11" s="26">
        <v>143</v>
      </c>
      <c r="S11" s="26">
        <v>142</v>
      </c>
      <c r="T11" s="26">
        <v>139</v>
      </c>
      <c r="U11" s="26">
        <v>138</v>
      </c>
      <c r="V11" s="26">
        <v>138</v>
      </c>
      <c r="W11" s="26">
        <v>137</v>
      </c>
      <c r="X11" s="26">
        <v>137</v>
      </c>
      <c r="Y11" s="26">
        <v>136</v>
      </c>
      <c r="Z11" s="26">
        <v>136</v>
      </c>
      <c r="AA11" s="26">
        <v>136</v>
      </c>
      <c r="AB11" s="26">
        <v>135</v>
      </c>
      <c r="AC11" s="26">
        <v>135</v>
      </c>
      <c r="AD11" s="26">
        <v>132</v>
      </c>
      <c r="AE11" s="26">
        <v>132</v>
      </c>
      <c r="AF11" s="12"/>
      <c r="AG11" s="25"/>
      <c r="AH11" s="25"/>
      <c r="AI11" s="25"/>
      <c r="AJ11" s="25"/>
      <c r="AK11" s="25"/>
      <c r="AL11" s="25"/>
      <c r="AM11" s="25"/>
      <c r="AN11" s="25"/>
      <c r="AO11" s="25"/>
      <c r="AP11" s="25"/>
      <c r="AQ11" s="25"/>
      <c r="AR11" s="25"/>
    </row>
    <row r="12" spans="1:44" x14ac:dyDescent="0.25">
      <c r="A12" s="12"/>
      <c r="B12" s="12" t="s">
        <v>110</v>
      </c>
      <c r="C12" s="12"/>
      <c r="D12" s="12"/>
      <c r="E12" s="12"/>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12"/>
      <c r="AG12" s="25"/>
      <c r="AH12" s="25"/>
      <c r="AI12" s="25"/>
      <c r="AJ12" s="25"/>
      <c r="AK12" s="25"/>
      <c r="AL12" s="25"/>
      <c r="AM12" s="25"/>
      <c r="AN12" s="25"/>
      <c r="AO12" s="25"/>
      <c r="AP12" s="25"/>
      <c r="AQ12" s="25"/>
      <c r="AR12" s="25"/>
    </row>
    <row r="13" spans="1:44" x14ac:dyDescent="0.25">
      <c r="A13" s="9"/>
      <c r="B13" s="12" t="s">
        <v>109</v>
      </c>
      <c r="C13" s="26">
        <v>79</v>
      </c>
      <c r="D13" s="26">
        <v>70</v>
      </c>
      <c r="E13" s="26">
        <v>64</v>
      </c>
      <c r="F13" s="26">
        <v>55</v>
      </c>
      <c r="G13" s="26">
        <v>52</v>
      </c>
      <c r="H13" s="26">
        <v>48</v>
      </c>
      <c r="I13" s="26">
        <v>44</v>
      </c>
      <c r="J13" s="26">
        <v>42</v>
      </c>
      <c r="K13" s="26">
        <v>38</v>
      </c>
      <c r="L13" s="26">
        <v>39</v>
      </c>
      <c r="M13" s="26">
        <v>35</v>
      </c>
      <c r="N13" s="26">
        <v>34</v>
      </c>
      <c r="O13" s="26">
        <v>34</v>
      </c>
      <c r="P13" s="26">
        <v>33</v>
      </c>
      <c r="Q13" s="26">
        <v>33</v>
      </c>
      <c r="R13" s="26">
        <v>30</v>
      </c>
      <c r="S13" s="26">
        <v>32</v>
      </c>
      <c r="T13" s="26">
        <v>32</v>
      </c>
      <c r="U13" s="26">
        <v>31</v>
      </c>
      <c r="V13" s="26">
        <v>31</v>
      </c>
      <c r="W13" s="26">
        <v>31</v>
      </c>
      <c r="X13" s="26">
        <v>28</v>
      </c>
      <c r="Y13" s="26">
        <v>30</v>
      </c>
      <c r="Z13" s="26">
        <v>30</v>
      </c>
      <c r="AA13" s="26">
        <v>30</v>
      </c>
      <c r="AB13" s="26">
        <v>30</v>
      </c>
      <c r="AC13" s="26">
        <v>27</v>
      </c>
      <c r="AD13" s="26">
        <v>29</v>
      </c>
      <c r="AE13" s="26">
        <v>29</v>
      </c>
      <c r="AF13" s="9"/>
      <c r="AG13" s="9"/>
      <c r="AH13" s="9"/>
      <c r="AI13" s="9"/>
      <c r="AJ13" s="9"/>
      <c r="AK13" s="9"/>
      <c r="AL13" s="9"/>
      <c r="AM13" s="9"/>
      <c r="AN13" s="9"/>
      <c r="AO13" s="9"/>
      <c r="AP13" s="9"/>
      <c r="AQ13" s="9"/>
      <c r="AR13" s="9"/>
    </row>
    <row r="14" spans="1:44" x14ac:dyDescent="0.25">
      <c r="A14" s="9"/>
      <c r="B14" s="12" t="s">
        <v>111</v>
      </c>
      <c r="C14" s="12"/>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9"/>
      <c r="AG14" s="9"/>
      <c r="AH14" s="9"/>
      <c r="AI14" s="9"/>
      <c r="AJ14" s="9"/>
      <c r="AK14" s="9"/>
      <c r="AL14" s="9"/>
      <c r="AM14" s="9"/>
      <c r="AN14" s="9"/>
      <c r="AO14" s="9"/>
      <c r="AP14" s="9"/>
      <c r="AQ14" s="9"/>
      <c r="AR14" s="9"/>
    </row>
    <row r="15" spans="1:44" x14ac:dyDescent="0.25">
      <c r="A15" s="9"/>
      <c r="B15" s="12" t="s">
        <v>109</v>
      </c>
      <c r="C15" s="26">
        <v>116</v>
      </c>
      <c r="D15" s="26">
        <v>107</v>
      </c>
      <c r="E15" s="26">
        <v>102</v>
      </c>
      <c r="F15" s="26">
        <v>97</v>
      </c>
      <c r="G15" s="26">
        <v>94</v>
      </c>
      <c r="H15" s="26">
        <v>91</v>
      </c>
      <c r="I15" s="26">
        <v>88</v>
      </c>
      <c r="J15" s="26">
        <v>86</v>
      </c>
      <c r="K15" s="26">
        <v>54</v>
      </c>
      <c r="L15" s="26">
        <v>53</v>
      </c>
      <c r="M15" s="26">
        <v>52</v>
      </c>
      <c r="N15" s="26">
        <v>51</v>
      </c>
      <c r="O15" s="26">
        <v>50</v>
      </c>
      <c r="P15" s="26">
        <v>49</v>
      </c>
      <c r="Q15" s="26">
        <v>48</v>
      </c>
      <c r="R15" s="26">
        <v>47</v>
      </c>
      <c r="S15" s="26">
        <v>46</v>
      </c>
      <c r="T15" s="26">
        <v>45</v>
      </c>
      <c r="U15" s="26">
        <v>44</v>
      </c>
      <c r="V15" s="26">
        <v>44</v>
      </c>
      <c r="W15" s="26">
        <v>43</v>
      </c>
      <c r="X15" s="26">
        <v>43</v>
      </c>
      <c r="Y15" s="26">
        <v>42</v>
      </c>
      <c r="Z15" s="26">
        <v>42</v>
      </c>
      <c r="AA15" s="26">
        <v>41</v>
      </c>
      <c r="AB15" s="26">
        <v>40</v>
      </c>
      <c r="AC15" s="26">
        <v>40</v>
      </c>
      <c r="AD15" s="26">
        <v>40</v>
      </c>
      <c r="AE15" s="26">
        <v>40</v>
      </c>
      <c r="AF15" s="9"/>
      <c r="AG15" s="9"/>
      <c r="AH15" s="9"/>
      <c r="AI15" s="9"/>
      <c r="AJ15" s="9"/>
      <c r="AK15" s="9"/>
      <c r="AL15" s="9"/>
      <c r="AM15" s="9"/>
      <c r="AN15" s="9"/>
      <c r="AO15" s="9"/>
      <c r="AP15" s="9"/>
      <c r="AQ15" s="9"/>
      <c r="AR15" s="9"/>
    </row>
    <row r="16" spans="1:44" x14ac:dyDescent="0.25">
      <c r="A16" s="9"/>
      <c r="B16" s="9"/>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9"/>
      <c r="AG16" s="9"/>
      <c r="AH16" s="9"/>
      <c r="AI16" s="9"/>
      <c r="AJ16" s="9"/>
      <c r="AK16" s="9"/>
      <c r="AL16" s="9"/>
      <c r="AM16" s="9"/>
      <c r="AN16" s="9"/>
      <c r="AO16" s="9"/>
      <c r="AP16" s="9"/>
      <c r="AQ16" s="9"/>
      <c r="AR16" s="9"/>
    </row>
    <row r="17" spans="1:44" x14ac:dyDescent="0.25">
      <c r="A17" s="9"/>
      <c r="B17" s="9"/>
      <c r="C17" s="9"/>
      <c r="D17" s="9"/>
      <c r="E17" s="9"/>
      <c r="F17" s="9"/>
      <c r="G17" s="9"/>
      <c r="H17" s="9"/>
      <c r="I17" s="9"/>
      <c r="J17" s="9"/>
      <c r="K17" s="9"/>
      <c r="L17" s="9"/>
      <c r="M17" s="9"/>
      <c r="N17" s="27"/>
      <c r="O17" s="28"/>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ht="20.25" thickBot="1" x14ac:dyDescent="0.35">
      <c r="A18" s="9"/>
      <c r="B18" s="11" t="s">
        <v>112</v>
      </c>
      <c r="C18" s="11"/>
      <c r="D18" s="11"/>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row>
    <row r="19" spans="1:44" ht="16.5" thickTop="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row>
    <row r="20" spans="1:44" x14ac:dyDescent="0.25">
      <c r="A20" s="9"/>
      <c r="B20" s="9"/>
      <c r="C20" s="9"/>
      <c r="D20" s="9"/>
      <c r="F20" s="9"/>
      <c r="G20" s="9" t="s">
        <v>38</v>
      </c>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row>
    <row r="21" spans="1:44" x14ac:dyDescent="0.25">
      <c r="A21" s="9"/>
      <c r="B21" s="9" t="s">
        <v>112</v>
      </c>
      <c r="C21" s="29">
        <v>7.0000000000000007E-2</v>
      </c>
      <c r="D21" s="9"/>
      <c r="F21" s="9"/>
      <c r="G21" s="9" t="s">
        <v>113</v>
      </c>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row>
    <row r="22" spans="1:44" x14ac:dyDescent="0.2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row>
    <row r="23" spans="1:44"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row>
    <row r="24" spans="1:44" x14ac:dyDescent="0.25">
      <c r="A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row>
    <row r="25" spans="1:44"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row>
    <row r="26" spans="1:44"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row>
    <row r="27" spans="1:44"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861D5-92D2-D641-8B69-D340B89E733B}">
  <dimension ref="A1:D17"/>
  <sheetViews>
    <sheetView workbookViewId="0">
      <selection sqref="A1:C1"/>
    </sheetView>
  </sheetViews>
  <sheetFormatPr defaultColWidth="11.125" defaultRowHeight="15.75" x14ac:dyDescent="0.25"/>
  <cols>
    <col min="2" max="2" width="14" bestFit="1" customWidth="1"/>
    <col min="3" max="3" width="12" bestFit="1" customWidth="1"/>
  </cols>
  <sheetData>
    <row r="1" spans="1:4" x14ac:dyDescent="0.25">
      <c r="A1" s="144" t="s">
        <v>114</v>
      </c>
      <c r="B1" s="144"/>
      <c r="C1" s="144"/>
    </row>
    <row r="2" spans="1:4" x14ac:dyDescent="0.25">
      <c r="A2" t="s">
        <v>115</v>
      </c>
      <c r="B2" t="s">
        <v>116</v>
      </c>
    </row>
    <row r="3" spans="1:4" x14ac:dyDescent="0.25">
      <c r="A3">
        <v>406</v>
      </c>
      <c r="B3">
        <v>79</v>
      </c>
    </row>
    <row r="4" spans="1:4" x14ac:dyDescent="0.25">
      <c r="A4">
        <v>358</v>
      </c>
      <c r="B4">
        <v>29</v>
      </c>
    </row>
    <row r="6" spans="1:4" x14ac:dyDescent="0.25">
      <c r="A6" t="s">
        <v>117</v>
      </c>
      <c r="B6">
        <f>(A3-A4)/(B3-B4)</f>
        <v>0.96</v>
      </c>
      <c r="C6" t="s">
        <v>118</v>
      </c>
    </row>
    <row r="9" spans="1:4" x14ac:dyDescent="0.25">
      <c r="A9" s="144" t="s">
        <v>119</v>
      </c>
      <c r="B9" s="144"/>
    </row>
    <row r="10" spans="1:4" x14ac:dyDescent="0.25">
      <c r="B10">
        <v>2024</v>
      </c>
      <c r="C10">
        <v>2050</v>
      </c>
    </row>
    <row r="11" spans="1:4" x14ac:dyDescent="0.25">
      <c r="A11" t="s">
        <v>120</v>
      </c>
      <c r="B11">
        <v>116</v>
      </c>
      <c r="C11">
        <v>40</v>
      </c>
      <c r="D11" t="s">
        <v>111</v>
      </c>
    </row>
    <row r="12" spans="1:4" x14ac:dyDescent="0.25">
      <c r="A12" t="s">
        <v>121</v>
      </c>
      <c r="B12">
        <v>64</v>
      </c>
      <c r="C12">
        <v>29</v>
      </c>
    </row>
    <row r="14" spans="1:4" x14ac:dyDescent="0.25">
      <c r="A14" s="144" t="s">
        <v>122</v>
      </c>
      <c r="B14" s="144"/>
    </row>
    <row r="15" spans="1:4" x14ac:dyDescent="0.25">
      <c r="B15">
        <v>2024</v>
      </c>
      <c r="C15">
        <v>2050</v>
      </c>
    </row>
    <row r="16" spans="1:4" x14ac:dyDescent="0.25">
      <c r="A16" t="s">
        <v>120</v>
      </c>
      <c r="B16">
        <v>1477</v>
      </c>
      <c r="C16">
        <v>362</v>
      </c>
    </row>
    <row r="17" spans="1:4" x14ac:dyDescent="0.25">
      <c r="A17" t="s">
        <v>121</v>
      </c>
      <c r="B17">
        <v>1284</v>
      </c>
      <c r="C17">
        <v>246</v>
      </c>
      <c r="D17" t="s">
        <v>123</v>
      </c>
    </row>
  </sheetData>
  <mergeCells count="3">
    <mergeCell ref="A1:C1"/>
    <mergeCell ref="A9:B9"/>
    <mergeCell ref="A14:B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5CED7-41F6-FF44-BBF4-DBE0D457C1E0}">
  <sheetPr codeName="Sheet5"/>
  <dimension ref="A2:C2"/>
  <sheetViews>
    <sheetView workbookViewId="0"/>
  </sheetViews>
  <sheetFormatPr defaultColWidth="11.125" defaultRowHeight="15.75" x14ac:dyDescent="0.25"/>
  <cols>
    <col min="1" max="1" width="13" bestFit="1" customWidth="1"/>
    <col min="2" max="2" width="68.5" bestFit="1" customWidth="1"/>
  </cols>
  <sheetData>
    <row r="2" spans="1:3" x14ac:dyDescent="0.25">
      <c r="A2" t="s">
        <v>5</v>
      </c>
      <c r="B2" t="s">
        <v>39</v>
      </c>
      <c r="C2" t="s">
        <v>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19E9D-493B-4DCE-A933-2A9A9AF40246}">
  <dimension ref="A1:AD57"/>
  <sheetViews>
    <sheetView zoomScale="91" zoomScaleNormal="95" workbookViewId="0">
      <pane ySplit="1" topLeftCell="A2" activePane="bottomLeft" state="frozen"/>
      <selection pane="bottomLeft" activeCell="S31" sqref="S31"/>
    </sheetView>
  </sheetViews>
  <sheetFormatPr defaultColWidth="8.875" defaultRowHeight="15.75" outlineLevelCol="2" x14ac:dyDescent="0.25"/>
  <cols>
    <col min="1" max="1" width="9.125" bestFit="1" customWidth="1"/>
    <col min="2" max="2" width="26.125" customWidth="1" outlineLevel="1"/>
    <col min="3" max="3" width="8.875" hidden="1" customWidth="1" outlineLevel="2"/>
    <col min="4" max="4" width="7" hidden="1" customWidth="1" outlineLevel="2"/>
    <col min="5" max="5" width="11.625" hidden="1" customWidth="1" outlineLevel="2"/>
    <col min="6" max="6" width="16.625" hidden="1" customWidth="1" outlineLevel="2"/>
    <col min="7" max="8" width="8.875" hidden="1" customWidth="1" outlineLevel="2"/>
    <col min="9" max="9" width="10.625" hidden="1" customWidth="1" outlineLevel="2"/>
    <col min="10" max="10" width="8.375" bestFit="1" customWidth="1" outlineLevel="1" collapsed="1"/>
    <col min="12" max="13" width="8" customWidth="1"/>
    <col min="14" max="15" width="16.625" customWidth="1"/>
    <col min="16" max="16" width="20.625" customWidth="1"/>
    <col min="17" max="17" width="7" bestFit="1" customWidth="1"/>
    <col min="18" max="18" width="19.125" bestFit="1" customWidth="1"/>
    <col min="19" max="19" width="37.75" customWidth="1"/>
    <col min="20" max="20" width="34.25" customWidth="1"/>
    <col min="21" max="21" width="33.875" customWidth="1"/>
    <col min="22" max="22" width="15.125" bestFit="1" customWidth="1"/>
    <col min="23" max="23" width="20.625" bestFit="1" customWidth="1"/>
    <col min="24" max="30" width="8.625" bestFit="1" customWidth="1"/>
  </cols>
  <sheetData>
    <row r="1" spans="1:30" x14ac:dyDescent="0.25">
      <c r="A1" s="1" t="s">
        <v>124</v>
      </c>
      <c r="B1" s="80" t="s">
        <v>125</v>
      </c>
      <c r="C1" s="80" t="s">
        <v>126</v>
      </c>
      <c r="D1" s="80" t="s">
        <v>127</v>
      </c>
      <c r="E1" s="80" t="s">
        <v>128</v>
      </c>
      <c r="F1" s="80" t="s">
        <v>129</v>
      </c>
      <c r="G1" s="80" t="s">
        <v>130</v>
      </c>
      <c r="H1" s="81" t="s">
        <v>131</v>
      </c>
      <c r="I1" s="81" t="s">
        <v>132</v>
      </c>
      <c r="J1" s="81" t="s">
        <v>133</v>
      </c>
      <c r="K1" s="81" t="s">
        <v>134</v>
      </c>
      <c r="L1" s="81" t="s">
        <v>135</v>
      </c>
      <c r="M1" s="81" t="s">
        <v>136</v>
      </c>
      <c r="N1" s="81" t="s">
        <v>137</v>
      </c>
      <c r="O1" s="1" t="s">
        <v>138</v>
      </c>
      <c r="P1" s="81" t="s">
        <v>139</v>
      </c>
      <c r="Q1" s="81" t="s">
        <v>140</v>
      </c>
      <c r="R1" s="82" t="s">
        <v>141</v>
      </c>
      <c r="S1" s="82" t="s">
        <v>142</v>
      </c>
      <c r="T1" s="82" t="s">
        <v>143</v>
      </c>
      <c r="U1" s="82" t="s">
        <v>144</v>
      </c>
      <c r="V1" s="82" t="s">
        <v>145</v>
      </c>
      <c r="W1" s="82" t="s">
        <v>146</v>
      </c>
      <c r="X1" s="82" t="s">
        <v>147</v>
      </c>
      <c r="Y1" s="82" t="s">
        <v>148</v>
      </c>
      <c r="Z1" s="82" t="s">
        <v>149</v>
      </c>
      <c r="AA1" s="82"/>
      <c r="AB1" s="82"/>
      <c r="AC1" s="82"/>
      <c r="AD1" s="82"/>
    </row>
    <row r="2" spans="1:30" x14ac:dyDescent="0.25">
      <c r="A2" t="s">
        <v>150</v>
      </c>
      <c r="B2" t="s">
        <v>151</v>
      </c>
      <c r="C2" t="s">
        <v>152</v>
      </c>
      <c r="D2" t="s">
        <v>153</v>
      </c>
      <c r="E2">
        <v>2023</v>
      </c>
      <c r="F2" t="s">
        <v>154</v>
      </c>
      <c r="H2" t="s">
        <v>155</v>
      </c>
      <c r="L2" t="s">
        <v>156</v>
      </c>
      <c r="M2" t="s">
        <v>157</v>
      </c>
      <c r="N2" t="s">
        <v>158</v>
      </c>
      <c r="O2">
        <v>2022</v>
      </c>
      <c r="P2" t="s">
        <v>159</v>
      </c>
      <c r="Q2" t="s">
        <v>160</v>
      </c>
      <c r="S2" t="s">
        <v>161</v>
      </c>
      <c r="T2" t="s">
        <v>162</v>
      </c>
      <c r="U2" t="s">
        <v>163</v>
      </c>
      <c r="V2" t="s">
        <v>164</v>
      </c>
      <c r="W2" s="60" t="s">
        <v>165</v>
      </c>
    </row>
    <row r="3" spans="1:30" x14ac:dyDescent="0.25">
      <c r="A3" t="s">
        <v>150</v>
      </c>
      <c r="B3" t="s">
        <v>151</v>
      </c>
      <c r="C3" t="s">
        <v>152</v>
      </c>
      <c r="D3" t="s">
        <v>153</v>
      </c>
      <c r="E3">
        <v>2023</v>
      </c>
      <c r="F3" t="s">
        <v>154</v>
      </c>
      <c r="H3" t="s">
        <v>155</v>
      </c>
      <c r="L3" t="s">
        <v>156</v>
      </c>
      <c r="M3" t="s">
        <v>157</v>
      </c>
      <c r="N3" t="s">
        <v>166</v>
      </c>
      <c r="O3">
        <v>2022</v>
      </c>
      <c r="P3" t="s">
        <v>167</v>
      </c>
      <c r="Q3" t="s">
        <v>160</v>
      </c>
      <c r="S3" t="s">
        <v>161</v>
      </c>
      <c r="T3" t="s">
        <v>162</v>
      </c>
      <c r="U3" t="s">
        <v>168</v>
      </c>
      <c r="V3" t="s">
        <v>164</v>
      </c>
      <c r="W3" s="60" t="s">
        <v>165</v>
      </c>
    </row>
    <row r="4" spans="1:30" x14ac:dyDescent="0.25">
      <c r="A4" t="s">
        <v>150</v>
      </c>
      <c r="B4" t="s">
        <v>151</v>
      </c>
      <c r="C4" t="s">
        <v>152</v>
      </c>
      <c r="D4" t="s">
        <v>153</v>
      </c>
      <c r="E4">
        <v>2023</v>
      </c>
      <c r="F4" t="s">
        <v>154</v>
      </c>
      <c r="H4" t="s">
        <v>155</v>
      </c>
      <c r="L4" t="s">
        <v>156</v>
      </c>
      <c r="M4" t="s">
        <v>157</v>
      </c>
      <c r="N4" t="s">
        <v>169</v>
      </c>
      <c r="O4">
        <v>2022</v>
      </c>
      <c r="P4" t="s">
        <v>159</v>
      </c>
      <c r="Q4" t="s">
        <v>160</v>
      </c>
      <c r="S4" t="s">
        <v>170</v>
      </c>
      <c r="T4" t="s">
        <v>171</v>
      </c>
      <c r="U4" t="s">
        <v>172</v>
      </c>
      <c r="V4" t="s">
        <v>164</v>
      </c>
      <c r="W4" s="60"/>
    </row>
    <row r="5" spans="1:30" x14ac:dyDescent="0.25">
      <c r="A5" t="s">
        <v>150</v>
      </c>
      <c r="B5" t="s">
        <v>151</v>
      </c>
      <c r="C5" t="s">
        <v>152</v>
      </c>
      <c r="D5" t="s">
        <v>153</v>
      </c>
      <c r="E5">
        <v>2023</v>
      </c>
      <c r="F5" t="s">
        <v>154</v>
      </c>
      <c r="H5" t="s">
        <v>155</v>
      </c>
      <c r="L5" t="s">
        <v>156</v>
      </c>
      <c r="M5" t="s">
        <v>157</v>
      </c>
      <c r="N5" t="s">
        <v>173</v>
      </c>
      <c r="O5">
        <v>2022</v>
      </c>
      <c r="P5" t="s">
        <v>159</v>
      </c>
      <c r="Q5" t="s">
        <v>160</v>
      </c>
      <c r="S5" t="s">
        <v>174</v>
      </c>
      <c r="T5" t="s">
        <v>171</v>
      </c>
      <c r="U5" t="s">
        <v>175</v>
      </c>
      <c r="V5" t="s">
        <v>164</v>
      </c>
      <c r="W5" s="60"/>
    </row>
    <row r="6" spans="1:30" x14ac:dyDescent="0.25">
      <c r="A6" t="s">
        <v>150</v>
      </c>
      <c r="B6" t="s">
        <v>151</v>
      </c>
      <c r="C6" t="s">
        <v>152</v>
      </c>
      <c r="D6" t="s">
        <v>153</v>
      </c>
      <c r="E6">
        <v>2023</v>
      </c>
      <c r="F6" t="s">
        <v>154</v>
      </c>
      <c r="H6" t="s">
        <v>155</v>
      </c>
      <c r="L6" t="s">
        <v>176</v>
      </c>
      <c r="M6" t="s">
        <v>177</v>
      </c>
      <c r="N6" t="s">
        <v>158</v>
      </c>
      <c r="O6">
        <v>2050</v>
      </c>
      <c r="P6" t="s">
        <v>159</v>
      </c>
      <c r="Q6" t="s">
        <v>160</v>
      </c>
      <c r="S6" t="s">
        <v>178</v>
      </c>
      <c r="T6" t="s">
        <v>179</v>
      </c>
      <c r="U6" t="s">
        <v>168</v>
      </c>
      <c r="V6" t="s">
        <v>164</v>
      </c>
      <c r="W6" s="60"/>
    </row>
    <row r="7" spans="1:30" x14ac:dyDescent="0.25">
      <c r="A7" t="s">
        <v>150</v>
      </c>
      <c r="B7" t="s">
        <v>151</v>
      </c>
      <c r="C7" t="s">
        <v>152</v>
      </c>
      <c r="D7" t="s">
        <v>153</v>
      </c>
      <c r="E7">
        <v>2023</v>
      </c>
      <c r="F7" t="s">
        <v>154</v>
      </c>
      <c r="H7" t="s">
        <v>155</v>
      </c>
      <c r="L7" t="s">
        <v>176</v>
      </c>
      <c r="M7" t="s">
        <v>177</v>
      </c>
      <c r="N7" t="s">
        <v>166</v>
      </c>
      <c r="O7">
        <v>2050</v>
      </c>
      <c r="P7" t="s">
        <v>167</v>
      </c>
      <c r="Q7" t="s">
        <v>160</v>
      </c>
      <c r="S7" t="s">
        <v>180</v>
      </c>
      <c r="T7" t="s">
        <v>179</v>
      </c>
      <c r="U7" t="s">
        <v>181</v>
      </c>
      <c r="V7" t="s">
        <v>164</v>
      </c>
      <c r="W7" s="60"/>
    </row>
    <row r="8" spans="1:30" x14ac:dyDescent="0.25">
      <c r="A8" t="s">
        <v>150</v>
      </c>
      <c r="B8" t="s">
        <v>151</v>
      </c>
      <c r="C8" t="s">
        <v>152</v>
      </c>
      <c r="D8" t="s">
        <v>153</v>
      </c>
      <c r="E8">
        <v>2023</v>
      </c>
      <c r="F8" t="s">
        <v>154</v>
      </c>
      <c r="H8" t="s">
        <v>155</v>
      </c>
      <c r="L8" t="s">
        <v>176</v>
      </c>
      <c r="M8" t="s">
        <v>177</v>
      </c>
      <c r="N8" t="s">
        <v>169</v>
      </c>
      <c r="O8">
        <v>2050</v>
      </c>
      <c r="P8" t="s">
        <v>159</v>
      </c>
      <c r="Q8" t="s">
        <v>160</v>
      </c>
      <c r="S8" t="s">
        <v>182</v>
      </c>
      <c r="T8" t="s">
        <v>179</v>
      </c>
      <c r="U8" t="s">
        <v>183</v>
      </c>
      <c r="V8" t="s">
        <v>164</v>
      </c>
      <c r="W8" s="60"/>
    </row>
    <row r="9" spans="1:30" x14ac:dyDescent="0.25">
      <c r="A9" t="s">
        <v>150</v>
      </c>
      <c r="B9" t="s">
        <v>151</v>
      </c>
      <c r="C9" t="s">
        <v>152</v>
      </c>
      <c r="D9" t="s">
        <v>153</v>
      </c>
      <c r="E9">
        <v>2023</v>
      </c>
      <c r="F9" t="s">
        <v>154</v>
      </c>
      <c r="H9" t="s">
        <v>155</v>
      </c>
      <c r="L9" t="s">
        <v>176</v>
      </c>
      <c r="M9" t="s">
        <v>177</v>
      </c>
      <c r="N9" t="s">
        <v>173</v>
      </c>
      <c r="O9">
        <v>2050</v>
      </c>
      <c r="P9" t="s">
        <v>159</v>
      </c>
      <c r="Q9" t="s">
        <v>160</v>
      </c>
      <c r="S9" t="s">
        <v>184</v>
      </c>
      <c r="T9" t="s">
        <v>179</v>
      </c>
      <c r="U9" t="s">
        <v>175</v>
      </c>
      <c r="V9" t="s">
        <v>164</v>
      </c>
      <c r="W9" s="60"/>
    </row>
    <row r="10" spans="1:30" x14ac:dyDescent="0.25">
      <c r="A10" t="s">
        <v>150</v>
      </c>
      <c r="B10" t="s">
        <v>185</v>
      </c>
      <c r="C10" t="s">
        <v>186</v>
      </c>
      <c r="D10" t="s">
        <v>187</v>
      </c>
      <c r="E10">
        <v>2024</v>
      </c>
      <c r="F10" t="s">
        <v>188</v>
      </c>
      <c r="H10" t="s">
        <v>155</v>
      </c>
      <c r="L10" t="s">
        <v>156</v>
      </c>
      <c r="M10" t="s">
        <v>157</v>
      </c>
      <c r="N10" t="s">
        <v>158</v>
      </c>
      <c r="O10">
        <v>2022</v>
      </c>
      <c r="P10" t="s">
        <v>189</v>
      </c>
      <c r="Q10" t="s">
        <v>160</v>
      </c>
      <c r="S10" t="s">
        <v>190</v>
      </c>
      <c r="T10" t="s">
        <v>162</v>
      </c>
      <c r="U10" t="s">
        <v>163</v>
      </c>
      <c r="V10" t="s">
        <v>164</v>
      </c>
      <c r="W10" s="60"/>
    </row>
    <row r="11" spans="1:30" x14ac:dyDescent="0.25">
      <c r="A11" t="s">
        <v>150</v>
      </c>
      <c r="B11" t="s">
        <v>185</v>
      </c>
      <c r="C11" t="s">
        <v>186</v>
      </c>
      <c r="D11" t="s">
        <v>187</v>
      </c>
      <c r="E11">
        <v>2024</v>
      </c>
      <c r="F11" t="s">
        <v>188</v>
      </c>
      <c r="H11" t="s">
        <v>155</v>
      </c>
      <c r="L11" t="s">
        <v>176</v>
      </c>
      <c r="M11" t="s">
        <v>177</v>
      </c>
      <c r="N11" t="s">
        <v>158</v>
      </c>
      <c r="O11">
        <v>2050</v>
      </c>
      <c r="P11" t="s">
        <v>189</v>
      </c>
      <c r="Q11" t="s">
        <v>160</v>
      </c>
      <c r="S11" t="s">
        <v>190</v>
      </c>
      <c r="T11" t="s">
        <v>162</v>
      </c>
      <c r="U11" t="s">
        <v>163</v>
      </c>
      <c r="V11" t="s">
        <v>164</v>
      </c>
      <c r="W11" s="60"/>
    </row>
    <row r="12" spans="1:30" x14ac:dyDescent="0.25">
      <c r="A12" t="s">
        <v>150</v>
      </c>
      <c r="B12" t="s">
        <v>185</v>
      </c>
      <c r="C12" t="s">
        <v>186</v>
      </c>
      <c r="D12" t="s">
        <v>187</v>
      </c>
      <c r="E12">
        <v>2024</v>
      </c>
      <c r="F12" t="s">
        <v>188</v>
      </c>
      <c r="H12" t="s">
        <v>155</v>
      </c>
      <c r="L12" t="s">
        <v>156</v>
      </c>
      <c r="M12" t="s">
        <v>157</v>
      </c>
      <c r="N12" t="s">
        <v>166</v>
      </c>
      <c r="O12">
        <v>2022</v>
      </c>
      <c r="P12" t="s">
        <v>189</v>
      </c>
      <c r="Q12" t="s">
        <v>160</v>
      </c>
      <c r="S12" t="s">
        <v>190</v>
      </c>
      <c r="T12" t="s">
        <v>162</v>
      </c>
      <c r="U12" t="s">
        <v>191</v>
      </c>
      <c r="V12" t="s">
        <v>164</v>
      </c>
      <c r="W12" s="60"/>
    </row>
    <row r="13" spans="1:30" x14ac:dyDescent="0.25">
      <c r="A13" t="s">
        <v>150</v>
      </c>
      <c r="B13" t="s">
        <v>185</v>
      </c>
      <c r="C13" t="s">
        <v>186</v>
      </c>
      <c r="D13" t="s">
        <v>187</v>
      </c>
      <c r="E13">
        <v>2024</v>
      </c>
      <c r="F13" t="s">
        <v>188</v>
      </c>
      <c r="H13" t="s">
        <v>155</v>
      </c>
      <c r="L13" t="s">
        <v>176</v>
      </c>
      <c r="M13" t="s">
        <v>177</v>
      </c>
      <c r="N13" t="s">
        <v>166</v>
      </c>
      <c r="O13">
        <v>2050</v>
      </c>
      <c r="P13" t="s">
        <v>189</v>
      </c>
      <c r="Q13" t="s">
        <v>160</v>
      </c>
      <c r="S13" t="s">
        <v>192</v>
      </c>
      <c r="T13" t="s">
        <v>162</v>
      </c>
      <c r="U13" t="s">
        <v>193</v>
      </c>
      <c r="V13" t="s">
        <v>164</v>
      </c>
      <c r="W13" s="60"/>
    </row>
    <row r="14" spans="1:30" x14ac:dyDescent="0.25">
      <c r="A14" t="s">
        <v>150</v>
      </c>
      <c r="B14" t="s">
        <v>185</v>
      </c>
      <c r="C14" t="s">
        <v>186</v>
      </c>
      <c r="D14" t="s">
        <v>187</v>
      </c>
      <c r="E14">
        <v>2024</v>
      </c>
      <c r="F14" t="s">
        <v>188</v>
      </c>
      <c r="H14" t="s">
        <v>155</v>
      </c>
      <c r="L14" t="s">
        <v>156</v>
      </c>
      <c r="M14" t="s">
        <v>157</v>
      </c>
      <c r="N14" t="s">
        <v>173</v>
      </c>
      <c r="O14">
        <v>2022</v>
      </c>
      <c r="P14" t="s">
        <v>189</v>
      </c>
      <c r="Q14" t="s">
        <v>160</v>
      </c>
      <c r="S14" t="s">
        <v>194</v>
      </c>
      <c r="T14" t="s">
        <v>195</v>
      </c>
      <c r="U14" t="s">
        <v>196</v>
      </c>
      <c r="V14" t="s">
        <v>164</v>
      </c>
      <c r="W14" s="60"/>
    </row>
    <row r="15" spans="1:30" x14ac:dyDescent="0.25">
      <c r="A15" t="s">
        <v>150</v>
      </c>
      <c r="B15" t="s">
        <v>185</v>
      </c>
      <c r="C15" t="s">
        <v>186</v>
      </c>
      <c r="D15" t="s">
        <v>187</v>
      </c>
      <c r="E15">
        <v>2024</v>
      </c>
      <c r="F15" t="s">
        <v>188</v>
      </c>
      <c r="H15" t="s">
        <v>155</v>
      </c>
      <c r="L15" t="s">
        <v>176</v>
      </c>
      <c r="M15" t="s">
        <v>177</v>
      </c>
      <c r="N15" t="s">
        <v>173</v>
      </c>
      <c r="O15">
        <v>2050</v>
      </c>
      <c r="P15" t="s">
        <v>189</v>
      </c>
      <c r="Q15" t="s">
        <v>160</v>
      </c>
      <c r="S15" t="s">
        <v>197</v>
      </c>
      <c r="T15" t="s">
        <v>198</v>
      </c>
      <c r="U15" t="s">
        <v>196</v>
      </c>
      <c r="V15" t="s">
        <v>164</v>
      </c>
      <c r="W15" s="60"/>
    </row>
    <row r="16" spans="1:30" x14ac:dyDescent="0.25">
      <c r="A16" t="s">
        <v>150</v>
      </c>
      <c r="B16" t="s">
        <v>199</v>
      </c>
      <c r="C16" t="s">
        <v>200</v>
      </c>
      <c r="D16" t="s">
        <v>201</v>
      </c>
      <c r="E16">
        <v>2020</v>
      </c>
      <c r="F16" t="s">
        <v>202</v>
      </c>
      <c r="H16" t="s">
        <v>155</v>
      </c>
      <c r="L16" t="s">
        <v>203</v>
      </c>
      <c r="M16" t="s">
        <v>157</v>
      </c>
      <c r="N16" t="s">
        <v>166</v>
      </c>
      <c r="O16">
        <v>2022</v>
      </c>
      <c r="P16" t="s">
        <v>159</v>
      </c>
      <c r="Q16" t="s">
        <v>160</v>
      </c>
      <c r="S16" s="35" t="s">
        <v>204</v>
      </c>
      <c r="V16" t="s">
        <v>205</v>
      </c>
      <c r="W16" s="60"/>
      <c r="X16" t="s">
        <v>206</v>
      </c>
      <c r="Y16" t="s">
        <v>207</v>
      </c>
      <c r="Z16" t="s">
        <v>196</v>
      </c>
    </row>
    <row r="17" spans="1:26" x14ac:dyDescent="0.25">
      <c r="A17" t="s">
        <v>150</v>
      </c>
      <c r="B17" t="s">
        <v>208</v>
      </c>
      <c r="C17" t="s">
        <v>152</v>
      </c>
      <c r="D17" t="s">
        <v>209</v>
      </c>
      <c r="E17">
        <v>2022</v>
      </c>
      <c r="F17" t="s">
        <v>210</v>
      </c>
      <c r="H17" t="s">
        <v>155</v>
      </c>
      <c r="L17" t="s">
        <v>211</v>
      </c>
      <c r="M17" t="s">
        <v>177</v>
      </c>
      <c r="N17" t="s">
        <v>166</v>
      </c>
      <c r="O17">
        <v>2022</v>
      </c>
      <c r="P17" t="s">
        <v>212</v>
      </c>
      <c r="Q17" t="s">
        <v>160</v>
      </c>
      <c r="S17" s="35" t="s">
        <v>204</v>
      </c>
      <c r="V17" t="s">
        <v>205</v>
      </c>
      <c r="W17" s="60"/>
      <c r="X17" t="s">
        <v>213</v>
      </c>
      <c r="Y17" t="s">
        <v>207</v>
      </c>
      <c r="Z17" t="s">
        <v>196</v>
      </c>
    </row>
    <row r="18" spans="1:26" x14ac:dyDescent="0.25">
      <c r="A18" t="s">
        <v>150</v>
      </c>
      <c r="B18" t="s">
        <v>214</v>
      </c>
      <c r="C18" t="s">
        <v>215</v>
      </c>
      <c r="D18" t="s">
        <v>216</v>
      </c>
      <c r="E18">
        <v>2019</v>
      </c>
      <c r="F18" t="s">
        <v>217</v>
      </c>
      <c r="H18" t="s">
        <v>155</v>
      </c>
      <c r="M18" t="s">
        <v>157</v>
      </c>
      <c r="N18" t="s">
        <v>158</v>
      </c>
      <c r="S18" t="s">
        <v>218</v>
      </c>
      <c r="T18" t="s">
        <v>219</v>
      </c>
      <c r="U18" t="s">
        <v>196</v>
      </c>
      <c r="V18" t="s">
        <v>220</v>
      </c>
      <c r="W18" s="60"/>
    </row>
    <row r="19" spans="1:26" x14ac:dyDescent="0.25">
      <c r="A19" t="s">
        <v>150</v>
      </c>
      <c r="B19" t="s">
        <v>214</v>
      </c>
      <c r="C19" t="s">
        <v>215</v>
      </c>
      <c r="D19" t="s">
        <v>216</v>
      </c>
      <c r="E19">
        <v>2019</v>
      </c>
      <c r="F19" t="s">
        <v>217</v>
      </c>
      <c r="H19" t="s">
        <v>155</v>
      </c>
      <c r="M19" t="s">
        <v>157</v>
      </c>
      <c r="N19" t="s">
        <v>166</v>
      </c>
      <c r="S19" t="s">
        <v>221</v>
      </c>
      <c r="T19" t="s">
        <v>219</v>
      </c>
      <c r="U19" t="s">
        <v>222</v>
      </c>
      <c r="V19" t="s">
        <v>220</v>
      </c>
      <c r="W19" s="60"/>
    </row>
    <row r="20" spans="1:26" x14ac:dyDescent="0.25">
      <c r="A20" t="s">
        <v>150</v>
      </c>
      <c r="B20" t="s">
        <v>223</v>
      </c>
      <c r="C20" t="s">
        <v>224</v>
      </c>
      <c r="D20" t="s">
        <v>225</v>
      </c>
      <c r="E20">
        <v>2013</v>
      </c>
      <c r="F20" t="s">
        <v>226</v>
      </c>
      <c r="H20" t="s">
        <v>155</v>
      </c>
      <c r="M20" t="s">
        <v>157</v>
      </c>
      <c r="N20" t="s">
        <v>158</v>
      </c>
      <c r="S20" s="35" t="s">
        <v>204</v>
      </c>
      <c r="V20" t="s">
        <v>205</v>
      </c>
      <c r="W20" s="60"/>
    </row>
    <row r="21" spans="1:26" x14ac:dyDescent="0.25">
      <c r="A21" t="s">
        <v>150</v>
      </c>
      <c r="B21" t="s">
        <v>227</v>
      </c>
      <c r="C21" t="s">
        <v>200</v>
      </c>
      <c r="D21" t="s">
        <v>228</v>
      </c>
      <c r="E21">
        <v>2014</v>
      </c>
      <c r="F21" s="49" t="s">
        <v>229</v>
      </c>
      <c r="H21" t="s">
        <v>155</v>
      </c>
      <c r="M21" t="s">
        <v>157</v>
      </c>
      <c r="N21" t="s">
        <v>158</v>
      </c>
      <c r="S21" s="35" t="s">
        <v>204</v>
      </c>
      <c r="V21" t="s">
        <v>205</v>
      </c>
      <c r="W21" s="60"/>
    </row>
    <row r="22" spans="1:26" x14ac:dyDescent="0.25">
      <c r="A22" t="s">
        <v>150</v>
      </c>
      <c r="B22" t="s">
        <v>230</v>
      </c>
      <c r="C22" t="s">
        <v>200</v>
      </c>
      <c r="D22" t="s">
        <v>231</v>
      </c>
      <c r="E22">
        <v>2024</v>
      </c>
      <c r="F22" t="s">
        <v>232</v>
      </c>
      <c r="H22" t="s">
        <v>155</v>
      </c>
      <c r="M22" t="s">
        <v>157</v>
      </c>
      <c r="N22" t="s">
        <v>233</v>
      </c>
      <c r="S22" s="35" t="s">
        <v>204</v>
      </c>
      <c r="V22" t="s">
        <v>205</v>
      </c>
      <c r="W22" s="60"/>
    </row>
    <row r="23" spans="1:26" x14ac:dyDescent="0.25">
      <c r="A23" t="s">
        <v>150</v>
      </c>
      <c r="B23" t="s">
        <v>230</v>
      </c>
      <c r="C23" t="s">
        <v>200</v>
      </c>
      <c r="D23" t="s">
        <v>231</v>
      </c>
      <c r="E23">
        <v>2024</v>
      </c>
      <c r="F23" t="s">
        <v>232</v>
      </c>
      <c r="H23" t="s">
        <v>155</v>
      </c>
      <c r="M23" t="s">
        <v>157</v>
      </c>
      <c r="N23" t="s">
        <v>233</v>
      </c>
      <c r="S23" s="35" t="s">
        <v>204</v>
      </c>
      <c r="V23" t="s">
        <v>205</v>
      </c>
      <c r="W23" s="60"/>
    </row>
    <row r="24" spans="1:26" x14ac:dyDescent="0.25">
      <c r="A24" t="s">
        <v>150</v>
      </c>
      <c r="B24" t="s">
        <v>234</v>
      </c>
      <c r="C24" t="s">
        <v>200</v>
      </c>
      <c r="D24" t="s">
        <v>235</v>
      </c>
      <c r="E24">
        <v>2024</v>
      </c>
      <c r="F24" t="s">
        <v>236</v>
      </c>
      <c r="H24" t="s">
        <v>155</v>
      </c>
      <c r="M24" t="s">
        <v>157</v>
      </c>
      <c r="N24" t="s">
        <v>166</v>
      </c>
      <c r="S24" t="s">
        <v>237</v>
      </c>
      <c r="T24" t="s">
        <v>238</v>
      </c>
      <c r="U24" t="s">
        <v>239</v>
      </c>
      <c r="V24" t="s">
        <v>164</v>
      </c>
      <c r="W24" s="60"/>
    </row>
    <row r="25" spans="1:26" x14ac:dyDescent="0.25">
      <c r="A25" t="s">
        <v>150</v>
      </c>
      <c r="B25" t="s">
        <v>240</v>
      </c>
      <c r="C25" t="s">
        <v>241</v>
      </c>
      <c r="D25" t="s">
        <v>242</v>
      </c>
      <c r="E25">
        <v>2021</v>
      </c>
      <c r="F25" t="s">
        <v>243</v>
      </c>
      <c r="H25" t="s">
        <v>155</v>
      </c>
      <c r="L25" t="s">
        <v>211</v>
      </c>
      <c r="M25" t="s">
        <v>157</v>
      </c>
      <c r="N25" s="58" t="s">
        <v>158</v>
      </c>
      <c r="O25">
        <v>2021</v>
      </c>
      <c r="Q25" t="s">
        <v>160</v>
      </c>
      <c r="S25" t="s">
        <v>244</v>
      </c>
      <c r="T25" t="s">
        <v>245</v>
      </c>
      <c r="U25" t="s">
        <v>246</v>
      </c>
      <c r="V25" t="s">
        <v>220</v>
      </c>
      <c r="W25" s="60"/>
    </row>
    <row r="26" spans="1:26" x14ac:dyDescent="0.25">
      <c r="A26" t="s">
        <v>150</v>
      </c>
      <c r="B26" t="s">
        <v>247</v>
      </c>
      <c r="C26" t="s">
        <v>200</v>
      </c>
      <c r="D26" t="s">
        <v>248</v>
      </c>
      <c r="E26">
        <v>2023</v>
      </c>
      <c r="F26" t="s">
        <v>249</v>
      </c>
      <c r="H26" t="s">
        <v>155</v>
      </c>
      <c r="M26" t="s">
        <v>157</v>
      </c>
      <c r="N26" t="s">
        <v>166</v>
      </c>
      <c r="S26" s="35" t="s">
        <v>204</v>
      </c>
      <c r="V26" t="s">
        <v>205</v>
      </c>
      <c r="W26" s="60"/>
    </row>
    <row r="27" spans="1:26" x14ac:dyDescent="0.25">
      <c r="A27" t="s">
        <v>150</v>
      </c>
      <c r="B27" t="s">
        <v>247</v>
      </c>
      <c r="C27" t="s">
        <v>200</v>
      </c>
      <c r="D27" t="s">
        <v>248</v>
      </c>
      <c r="E27">
        <v>2023</v>
      </c>
      <c r="F27" t="s">
        <v>249</v>
      </c>
      <c r="H27" t="s">
        <v>155</v>
      </c>
      <c r="M27" t="s">
        <v>157</v>
      </c>
      <c r="N27" t="s">
        <v>250</v>
      </c>
      <c r="S27" s="35" t="s">
        <v>204</v>
      </c>
      <c r="V27" t="s">
        <v>205</v>
      </c>
      <c r="W27" s="60"/>
    </row>
    <row r="28" spans="1:26" s="48" customFormat="1" x14ac:dyDescent="0.25">
      <c r="A28" s="48" t="s">
        <v>150</v>
      </c>
      <c r="B28" s="48" t="s">
        <v>251</v>
      </c>
      <c r="C28" s="48" t="s">
        <v>252</v>
      </c>
      <c r="D28" s="48" t="s">
        <v>253</v>
      </c>
      <c r="E28" s="48">
        <v>2019</v>
      </c>
      <c r="F28" s="48" t="s">
        <v>254</v>
      </c>
      <c r="H28" s="48" t="s">
        <v>155</v>
      </c>
      <c r="N28" s="48" t="s">
        <v>166</v>
      </c>
      <c r="S28" s="35" t="s">
        <v>204</v>
      </c>
      <c r="W28" s="90"/>
    </row>
    <row r="29" spans="1:26" x14ac:dyDescent="0.25">
      <c r="A29" t="s">
        <v>150</v>
      </c>
      <c r="B29" t="s">
        <v>255</v>
      </c>
      <c r="C29" t="s">
        <v>256</v>
      </c>
      <c r="D29" t="s">
        <v>257</v>
      </c>
      <c r="E29">
        <v>2011</v>
      </c>
      <c r="F29" t="s">
        <v>258</v>
      </c>
      <c r="H29" t="s">
        <v>155</v>
      </c>
      <c r="M29" t="s">
        <v>157</v>
      </c>
      <c r="N29" t="s">
        <v>259</v>
      </c>
      <c r="S29" s="35" t="s">
        <v>204</v>
      </c>
      <c r="V29" t="s">
        <v>205</v>
      </c>
      <c r="W29" s="60"/>
    </row>
    <row r="30" spans="1:26" s="48" customFormat="1" x14ac:dyDescent="0.25">
      <c r="A30" s="48" t="s">
        <v>260</v>
      </c>
      <c r="B30" s="90" t="s">
        <v>261</v>
      </c>
      <c r="C30" s="48" t="s">
        <v>262</v>
      </c>
      <c r="D30" s="48" t="s">
        <v>263</v>
      </c>
      <c r="E30" s="48">
        <v>2021</v>
      </c>
      <c r="F30" s="48" t="s">
        <v>264</v>
      </c>
      <c r="H30" s="48" t="s">
        <v>155</v>
      </c>
      <c r="I30" s="48" t="s">
        <v>265</v>
      </c>
      <c r="L30" s="48" t="s">
        <v>266</v>
      </c>
      <c r="S30" s="35" t="s">
        <v>204</v>
      </c>
      <c r="W30" s="90"/>
    </row>
    <row r="31" spans="1:26" x14ac:dyDescent="0.25">
      <c r="A31" t="s">
        <v>150</v>
      </c>
      <c r="B31" t="s">
        <v>267</v>
      </c>
      <c r="C31" t="s">
        <v>268</v>
      </c>
      <c r="D31" t="s">
        <v>269</v>
      </c>
      <c r="E31">
        <v>2023</v>
      </c>
      <c r="F31" t="s">
        <v>270</v>
      </c>
      <c r="H31" t="s">
        <v>155</v>
      </c>
      <c r="M31" t="s">
        <v>157</v>
      </c>
      <c r="N31" t="s">
        <v>158</v>
      </c>
      <c r="S31" s="35" t="s">
        <v>204</v>
      </c>
      <c r="V31" t="s">
        <v>205</v>
      </c>
      <c r="W31" s="60"/>
    </row>
    <row r="32" spans="1:26" x14ac:dyDescent="0.25">
      <c r="A32" t="s">
        <v>150</v>
      </c>
      <c r="B32" t="s">
        <v>267</v>
      </c>
      <c r="C32" t="s">
        <v>268</v>
      </c>
      <c r="D32" t="s">
        <v>269</v>
      </c>
      <c r="E32">
        <v>2023</v>
      </c>
      <c r="F32" t="s">
        <v>270</v>
      </c>
      <c r="H32" t="s">
        <v>155</v>
      </c>
      <c r="M32" t="s">
        <v>157</v>
      </c>
      <c r="N32" t="s">
        <v>166</v>
      </c>
      <c r="S32" s="35" t="s">
        <v>204</v>
      </c>
      <c r="V32" t="s">
        <v>205</v>
      </c>
      <c r="W32" s="60"/>
    </row>
    <row r="33" spans="1:23" x14ac:dyDescent="0.25">
      <c r="A33" t="s">
        <v>150</v>
      </c>
      <c r="B33" t="s">
        <v>271</v>
      </c>
      <c r="C33" t="s">
        <v>272</v>
      </c>
      <c r="D33" t="s">
        <v>273</v>
      </c>
      <c r="E33">
        <v>2022</v>
      </c>
      <c r="F33" t="s">
        <v>274</v>
      </c>
      <c r="H33" t="s">
        <v>155</v>
      </c>
      <c r="M33" t="s">
        <v>157</v>
      </c>
      <c r="N33" t="s">
        <v>158</v>
      </c>
      <c r="S33" s="35" t="s">
        <v>204</v>
      </c>
      <c r="V33" t="s">
        <v>205</v>
      </c>
      <c r="W33" s="60"/>
    </row>
    <row r="34" spans="1:23" x14ac:dyDescent="0.25">
      <c r="A34" t="s">
        <v>150</v>
      </c>
      <c r="B34" t="s">
        <v>275</v>
      </c>
      <c r="C34" t="s">
        <v>186</v>
      </c>
      <c r="D34" t="s">
        <v>276</v>
      </c>
      <c r="E34">
        <v>2018</v>
      </c>
      <c r="F34" t="s">
        <v>277</v>
      </c>
      <c r="H34" t="s">
        <v>155</v>
      </c>
      <c r="M34" t="s">
        <v>157</v>
      </c>
      <c r="N34" t="s">
        <v>158</v>
      </c>
      <c r="S34" s="35" t="s">
        <v>204</v>
      </c>
      <c r="V34" t="s">
        <v>205</v>
      </c>
      <c r="W34" s="60"/>
    </row>
    <row r="35" spans="1:23" x14ac:dyDescent="0.25">
      <c r="A35" t="s">
        <v>150</v>
      </c>
      <c r="B35" t="s">
        <v>278</v>
      </c>
      <c r="C35" t="s">
        <v>279</v>
      </c>
      <c r="D35" t="s">
        <v>280</v>
      </c>
      <c r="E35">
        <v>2024</v>
      </c>
      <c r="F35" t="s">
        <v>281</v>
      </c>
      <c r="H35" t="s">
        <v>155</v>
      </c>
      <c r="M35" t="s">
        <v>157</v>
      </c>
      <c r="N35" t="s">
        <v>166</v>
      </c>
      <c r="O35">
        <v>2023</v>
      </c>
      <c r="P35" t="s">
        <v>282</v>
      </c>
      <c r="Q35" t="s">
        <v>160</v>
      </c>
      <c r="S35" t="s">
        <v>283</v>
      </c>
      <c r="T35" t="s">
        <v>162</v>
      </c>
      <c r="U35" t="s">
        <v>168</v>
      </c>
      <c r="V35" t="s">
        <v>284</v>
      </c>
      <c r="W35" s="60"/>
    </row>
    <row r="36" spans="1:23" x14ac:dyDescent="0.25">
      <c r="A36" t="s">
        <v>150</v>
      </c>
      <c r="B36" t="s">
        <v>285</v>
      </c>
      <c r="C36" t="s">
        <v>286</v>
      </c>
      <c r="D36" t="s">
        <v>287</v>
      </c>
      <c r="E36">
        <v>2024</v>
      </c>
      <c r="F36" t="s">
        <v>288</v>
      </c>
      <c r="H36" t="s">
        <v>155</v>
      </c>
      <c r="M36" t="s">
        <v>157</v>
      </c>
      <c r="N36" t="s">
        <v>158</v>
      </c>
      <c r="S36" s="35" t="s">
        <v>204</v>
      </c>
      <c r="V36" t="s">
        <v>205</v>
      </c>
      <c r="W36" s="60"/>
    </row>
    <row r="37" spans="1:23" x14ac:dyDescent="0.25">
      <c r="A37" t="s">
        <v>150</v>
      </c>
      <c r="B37" t="s">
        <v>285</v>
      </c>
      <c r="C37" t="s">
        <v>286</v>
      </c>
      <c r="D37" t="s">
        <v>287</v>
      </c>
      <c r="E37">
        <v>2024</v>
      </c>
      <c r="F37" t="s">
        <v>288</v>
      </c>
      <c r="H37" t="s">
        <v>155</v>
      </c>
      <c r="M37" t="s">
        <v>157</v>
      </c>
      <c r="N37" t="s">
        <v>169</v>
      </c>
      <c r="S37" s="35" t="s">
        <v>204</v>
      </c>
      <c r="V37" t="s">
        <v>205</v>
      </c>
      <c r="W37" s="60"/>
    </row>
    <row r="38" spans="1:23" x14ac:dyDescent="0.25">
      <c r="A38" t="s">
        <v>150</v>
      </c>
      <c r="B38" t="s">
        <v>285</v>
      </c>
      <c r="C38" t="s">
        <v>286</v>
      </c>
      <c r="D38" t="s">
        <v>287</v>
      </c>
      <c r="E38">
        <v>2024</v>
      </c>
      <c r="F38" t="s">
        <v>288</v>
      </c>
      <c r="H38" t="s">
        <v>155</v>
      </c>
      <c r="M38" t="s">
        <v>157</v>
      </c>
      <c r="N38" t="s">
        <v>166</v>
      </c>
      <c r="S38" s="35" t="s">
        <v>204</v>
      </c>
      <c r="V38" t="s">
        <v>205</v>
      </c>
      <c r="W38" s="60"/>
    </row>
    <row r="39" spans="1:23" x14ac:dyDescent="0.25">
      <c r="A39" t="s">
        <v>150</v>
      </c>
      <c r="B39" t="s">
        <v>285</v>
      </c>
      <c r="C39" t="s">
        <v>286</v>
      </c>
      <c r="D39" t="s">
        <v>287</v>
      </c>
      <c r="E39">
        <v>2024</v>
      </c>
      <c r="F39" t="s">
        <v>288</v>
      </c>
      <c r="H39" t="s">
        <v>155</v>
      </c>
      <c r="M39" t="s">
        <v>157</v>
      </c>
      <c r="N39" t="s">
        <v>289</v>
      </c>
      <c r="S39" s="35" t="s">
        <v>204</v>
      </c>
      <c r="V39" t="s">
        <v>205</v>
      </c>
      <c r="W39" s="60"/>
    </row>
    <row r="40" spans="1:23" s="48" customFormat="1" x14ac:dyDescent="0.25">
      <c r="A40" s="48" t="s">
        <v>150</v>
      </c>
      <c r="B40" s="48" t="s">
        <v>290</v>
      </c>
      <c r="C40" s="48" t="s">
        <v>291</v>
      </c>
      <c r="D40" s="48" t="s">
        <v>292</v>
      </c>
      <c r="E40" s="48">
        <v>2020</v>
      </c>
      <c r="F40" s="48" t="s">
        <v>293</v>
      </c>
      <c r="H40" s="48" t="s">
        <v>155</v>
      </c>
      <c r="S40" s="35" t="s">
        <v>204</v>
      </c>
      <c r="W40" s="90"/>
    </row>
    <row r="41" spans="1:23" x14ac:dyDescent="0.25">
      <c r="A41" t="s">
        <v>150</v>
      </c>
      <c r="B41" t="s">
        <v>294</v>
      </c>
      <c r="C41" t="s">
        <v>295</v>
      </c>
      <c r="D41" t="s">
        <v>296</v>
      </c>
      <c r="E41">
        <v>2020</v>
      </c>
      <c r="F41" t="s">
        <v>297</v>
      </c>
      <c r="H41" t="s">
        <v>155</v>
      </c>
      <c r="M41" t="s">
        <v>157</v>
      </c>
      <c r="N41" s="58" t="s">
        <v>298</v>
      </c>
      <c r="S41" t="s">
        <v>299</v>
      </c>
      <c r="U41" t="s">
        <v>300</v>
      </c>
      <c r="V41" t="s">
        <v>220</v>
      </c>
      <c r="W41" s="60"/>
    </row>
    <row r="42" spans="1:23" x14ac:dyDescent="0.25">
      <c r="A42" t="s">
        <v>150</v>
      </c>
      <c r="B42" t="s">
        <v>301</v>
      </c>
      <c r="C42" t="s">
        <v>186</v>
      </c>
      <c r="D42" t="s">
        <v>302</v>
      </c>
      <c r="E42">
        <v>2023</v>
      </c>
      <c r="F42" t="s">
        <v>303</v>
      </c>
      <c r="H42" t="s">
        <v>155</v>
      </c>
      <c r="M42" t="s">
        <v>157</v>
      </c>
      <c r="N42" t="s">
        <v>166</v>
      </c>
      <c r="S42" s="35" t="s">
        <v>204</v>
      </c>
      <c r="T42" t="s">
        <v>304</v>
      </c>
      <c r="U42" t="s">
        <v>305</v>
      </c>
      <c r="V42" t="s">
        <v>306</v>
      </c>
      <c r="W42" s="60"/>
    </row>
    <row r="43" spans="1:23" x14ac:dyDescent="0.25">
      <c r="A43" t="s">
        <v>150</v>
      </c>
      <c r="B43" t="s">
        <v>307</v>
      </c>
      <c r="C43" t="s">
        <v>308</v>
      </c>
      <c r="D43" t="s">
        <v>309</v>
      </c>
      <c r="E43">
        <v>2023</v>
      </c>
      <c r="F43" t="s">
        <v>310</v>
      </c>
      <c r="H43" t="s">
        <v>155</v>
      </c>
      <c r="M43" t="s">
        <v>157</v>
      </c>
      <c r="S43" s="35" t="s">
        <v>204</v>
      </c>
      <c r="V43" t="s">
        <v>205</v>
      </c>
      <c r="W43" s="60"/>
    </row>
    <row r="44" spans="1:23" x14ac:dyDescent="0.25">
      <c r="A44" t="s">
        <v>150</v>
      </c>
      <c r="B44" t="s">
        <v>311</v>
      </c>
      <c r="C44" t="s">
        <v>312</v>
      </c>
      <c r="D44" t="s">
        <v>313</v>
      </c>
      <c r="E44">
        <v>2020</v>
      </c>
      <c r="F44" t="s">
        <v>314</v>
      </c>
      <c r="H44" t="s">
        <v>155</v>
      </c>
      <c r="M44" t="s">
        <v>157</v>
      </c>
      <c r="S44" s="35" t="s">
        <v>204</v>
      </c>
      <c r="V44" t="s">
        <v>205</v>
      </c>
      <c r="W44" s="60"/>
    </row>
    <row r="45" spans="1:23" x14ac:dyDescent="0.25">
      <c r="A45" t="s">
        <v>150</v>
      </c>
      <c r="B45" t="s">
        <v>315</v>
      </c>
      <c r="C45" t="s">
        <v>316</v>
      </c>
      <c r="D45" t="s">
        <v>317</v>
      </c>
      <c r="E45">
        <v>2022</v>
      </c>
      <c r="F45" t="s">
        <v>318</v>
      </c>
      <c r="H45" t="s">
        <v>155</v>
      </c>
      <c r="M45" t="s">
        <v>157</v>
      </c>
      <c r="S45" s="35" t="s">
        <v>204</v>
      </c>
      <c r="V45" t="s">
        <v>205</v>
      </c>
      <c r="W45" s="60"/>
    </row>
    <row r="46" spans="1:23" s="48" customFormat="1" x14ac:dyDescent="0.25">
      <c r="A46" s="48" t="s">
        <v>150</v>
      </c>
      <c r="B46" s="48" t="s">
        <v>319</v>
      </c>
      <c r="C46" s="48" t="s">
        <v>291</v>
      </c>
      <c r="D46" s="48" t="s">
        <v>320</v>
      </c>
      <c r="E46" s="48">
        <v>2017</v>
      </c>
      <c r="F46" s="48" t="s">
        <v>321</v>
      </c>
      <c r="H46" s="48" t="s">
        <v>155</v>
      </c>
      <c r="S46" s="35" t="s">
        <v>204</v>
      </c>
      <c r="W46" s="90"/>
    </row>
    <row r="47" spans="1:23" x14ac:dyDescent="0.25">
      <c r="A47" t="s">
        <v>260</v>
      </c>
      <c r="B47" s="60" t="s">
        <v>322</v>
      </c>
      <c r="C47" t="s">
        <v>295</v>
      </c>
      <c r="D47" t="s">
        <v>323</v>
      </c>
      <c r="E47">
        <v>2019</v>
      </c>
      <c r="F47" t="s">
        <v>324</v>
      </c>
      <c r="H47" t="s">
        <v>155</v>
      </c>
      <c r="I47" t="s">
        <v>265</v>
      </c>
      <c r="L47" s="48" t="s">
        <v>325</v>
      </c>
      <c r="M47" s="48"/>
      <c r="S47" s="35" t="s">
        <v>204</v>
      </c>
      <c r="W47" s="60"/>
    </row>
    <row r="48" spans="1:23" x14ac:dyDescent="0.25">
      <c r="A48" t="s">
        <v>260</v>
      </c>
      <c r="B48" s="60" t="s">
        <v>326</v>
      </c>
      <c r="C48" t="s">
        <v>295</v>
      </c>
      <c r="D48" t="s">
        <v>327</v>
      </c>
      <c r="E48">
        <v>2021</v>
      </c>
      <c r="F48" t="s">
        <v>328</v>
      </c>
      <c r="H48" t="s">
        <v>155</v>
      </c>
      <c r="I48" t="s">
        <v>265</v>
      </c>
      <c r="L48" s="48" t="s">
        <v>325</v>
      </c>
      <c r="M48" s="48"/>
      <c r="S48" s="35" t="s">
        <v>204</v>
      </c>
      <c r="W48" s="60"/>
    </row>
    <row r="49" spans="1:26" x14ac:dyDescent="0.25">
      <c r="A49" t="s">
        <v>150</v>
      </c>
      <c r="B49" s="3" t="s">
        <v>329</v>
      </c>
      <c r="C49" t="s">
        <v>330</v>
      </c>
      <c r="D49" t="s">
        <v>331</v>
      </c>
      <c r="E49">
        <v>2024</v>
      </c>
      <c r="F49" s="50" t="s">
        <v>332</v>
      </c>
      <c r="H49" t="s">
        <v>155</v>
      </c>
      <c r="M49" t="s">
        <v>157</v>
      </c>
      <c r="N49" t="s">
        <v>166</v>
      </c>
      <c r="O49">
        <v>2025</v>
      </c>
      <c r="S49" s="35" t="s">
        <v>204</v>
      </c>
      <c r="V49" t="s">
        <v>205</v>
      </c>
      <c r="W49" s="60"/>
      <c r="X49" t="s">
        <v>206</v>
      </c>
      <c r="Y49" t="s">
        <v>333</v>
      </c>
      <c r="Z49" t="s">
        <v>334</v>
      </c>
    </row>
    <row r="50" spans="1:26" x14ac:dyDescent="0.25">
      <c r="A50" t="s">
        <v>150</v>
      </c>
      <c r="B50" s="3" t="s">
        <v>329</v>
      </c>
      <c r="C50" t="s">
        <v>330</v>
      </c>
      <c r="D50" t="s">
        <v>331</v>
      </c>
      <c r="E50">
        <v>2024</v>
      </c>
      <c r="F50" s="50" t="s">
        <v>332</v>
      </c>
      <c r="H50" t="s">
        <v>155</v>
      </c>
      <c r="M50" t="s">
        <v>177</v>
      </c>
      <c r="N50" t="s">
        <v>166</v>
      </c>
      <c r="O50">
        <v>2050</v>
      </c>
      <c r="S50" s="35" t="s">
        <v>204</v>
      </c>
      <c r="V50" t="s">
        <v>205</v>
      </c>
      <c r="W50" s="60"/>
      <c r="X50" t="s">
        <v>206</v>
      </c>
      <c r="Y50" t="s">
        <v>333</v>
      </c>
      <c r="Z50" t="s">
        <v>334</v>
      </c>
    </row>
    <row r="51" spans="1:26" x14ac:dyDescent="0.25">
      <c r="A51" t="s">
        <v>150</v>
      </c>
      <c r="B51" s="3" t="s">
        <v>329</v>
      </c>
      <c r="C51" t="s">
        <v>330</v>
      </c>
      <c r="D51" t="s">
        <v>331</v>
      </c>
      <c r="E51">
        <v>2024</v>
      </c>
      <c r="F51" s="50" t="s">
        <v>332</v>
      </c>
      <c r="H51" t="s">
        <v>155</v>
      </c>
      <c r="M51" t="s">
        <v>157</v>
      </c>
      <c r="N51" t="s">
        <v>233</v>
      </c>
      <c r="O51">
        <v>2025</v>
      </c>
      <c r="S51" s="35" t="s">
        <v>204</v>
      </c>
      <c r="V51" t="s">
        <v>205</v>
      </c>
      <c r="W51" s="60"/>
      <c r="X51" t="s">
        <v>335</v>
      </c>
      <c r="Y51" t="s">
        <v>207</v>
      </c>
      <c r="Z51" t="s">
        <v>334</v>
      </c>
    </row>
    <row r="52" spans="1:26" x14ac:dyDescent="0.25">
      <c r="A52" t="s">
        <v>150</v>
      </c>
      <c r="B52" s="3" t="s">
        <v>329</v>
      </c>
      <c r="C52" t="s">
        <v>330</v>
      </c>
      <c r="D52" t="s">
        <v>331</v>
      </c>
      <c r="E52">
        <v>2024</v>
      </c>
      <c r="F52" s="50" t="s">
        <v>332</v>
      </c>
      <c r="H52" t="s">
        <v>155</v>
      </c>
      <c r="M52" t="s">
        <v>177</v>
      </c>
      <c r="N52" t="s">
        <v>233</v>
      </c>
      <c r="O52">
        <v>2050</v>
      </c>
      <c r="S52" s="35" t="s">
        <v>204</v>
      </c>
      <c r="V52" t="s">
        <v>205</v>
      </c>
      <c r="W52" s="60"/>
      <c r="X52" t="s">
        <v>335</v>
      </c>
      <c r="Y52" t="s">
        <v>207</v>
      </c>
      <c r="Z52" t="s">
        <v>334</v>
      </c>
    </row>
    <row r="53" spans="1:26" x14ac:dyDescent="0.25">
      <c r="A53" t="s">
        <v>150</v>
      </c>
      <c r="B53" t="s">
        <v>336</v>
      </c>
      <c r="C53" t="s">
        <v>330</v>
      </c>
      <c r="D53" t="s">
        <v>337</v>
      </c>
      <c r="E53">
        <v>2022</v>
      </c>
      <c r="F53" s="50" t="s">
        <v>338</v>
      </c>
      <c r="H53" t="s">
        <v>155</v>
      </c>
      <c r="M53" t="s">
        <v>157</v>
      </c>
      <c r="N53" t="s">
        <v>158</v>
      </c>
      <c r="S53" t="s">
        <v>339</v>
      </c>
      <c r="T53" t="s">
        <v>340</v>
      </c>
      <c r="U53" t="s">
        <v>341</v>
      </c>
      <c r="V53" t="s">
        <v>164</v>
      </c>
      <c r="W53" s="60"/>
    </row>
    <row r="54" spans="1:26" x14ac:dyDescent="0.25">
      <c r="A54" t="s">
        <v>150</v>
      </c>
      <c r="B54" t="s">
        <v>342</v>
      </c>
      <c r="C54" t="s">
        <v>330</v>
      </c>
      <c r="D54" t="s">
        <v>337</v>
      </c>
      <c r="E54">
        <v>2022</v>
      </c>
      <c r="F54" s="50" t="s">
        <v>343</v>
      </c>
      <c r="H54" t="s">
        <v>155</v>
      </c>
      <c r="M54" t="s">
        <v>157</v>
      </c>
      <c r="N54" t="s">
        <v>166</v>
      </c>
      <c r="S54" t="s">
        <v>344</v>
      </c>
      <c r="T54" t="s">
        <v>162</v>
      </c>
      <c r="W54" s="60"/>
    </row>
    <row r="55" spans="1:26" x14ac:dyDescent="0.25">
      <c r="A55" t="s">
        <v>150</v>
      </c>
      <c r="B55" t="s">
        <v>345</v>
      </c>
      <c r="C55" t="s">
        <v>330</v>
      </c>
      <c r="D55" t="s">
        <v>346</v>
      </c>
      <c r="E55">
        <v>2019</v>
      </c>
      <c r="F55" s="50" t="s">
        <v>347</v>
      </c>
      <c r="H55" t="s">
        <v>155</v>
      </c>
      <c r="M55" t="s">
        <v>157</v>
      </c>
      <c r="N55" t="s">
        <v>158</v>
      </c>
      <c r="S55" s="35" t="s">
        <v>204</v>
      </c>
      <c r="V55" t="s">
        <v>205</v>
      </c>
      <c r="W55" s="60"/>
    </row>
    <row r="56" spans="1:26" x14ac:dyDescent="0.25">
      <c r="A56" t="s">
        <v>150</v>
      </c>
      <c r="B56" t="s">
        <v>345</v>
      </c>
      <c r="C56" t="s">
        <v>330</v>
      </c>
      <c r="D56" t="s">
        <v>346</v>
      </c>
      <c r="E56">
        <v>2019</v>
      </c>
      <c r="F56" s="50" t="s">
        <v>347</v>
      </c>
      <c r="H56" t="s">
        <v>155</v>
      </c>
      <c r="M56" t="s">
        <v>157</v>
      </c>
      <c r="N56" s="55" t="s">
        <v>166</v>
      </c>
      <c r="S56" s="35" t="s">
        <v>204</v>
      </c>
      <c r="V56" t="s">
        <v>205</v>
      </c>
      <c r="W56" s="60"/>
    </row>
    <row r="57" spans="1:26" x14ac:dyDescent="0.25">
      <c r="A57" t="s">
        <v>150</v>
      </c>
      <c r="B57" t="s">
        <v>348</v>
      </c>
      <c r="C57" t="s">
        <v>330</v>
      </c>
      <c r="D57" t="s">
        <v>349</v>
      </c>
      <c r="E57">
        <v>2011</v>
      </c>
      <c r="F57" s="50" t="s">
        <v>350</v>
      </c>
      <c r="H57" t="s">
        <v>155</v>
      </c>
      <c r="M57" t="s">
        <v>157</v>
      </c>
      <c r="N57" t="s">
        <v>158</v>
      </c>
      <c r="S57" t="s">
        <v>205</v>
      </c>
      <c r="W57" s="60"/>
    </row>
  </sheetData>
  <hyperlinks>
    <hyperlink ref="F21" r:id="rId1" tooltip="DOI URL" display="https://doi.org/10.1021/es502887y" xr:uid="{19F35533-2838-4BEB-A3EC-D50DAEAFBC18}"/>
    <hyperlink ref="F53" r:id="rId2" display="https://netl.doe.gov/projects/files/DirectAirCaptureCaseStudiesSolventSystem_083122.pdf" xr:uid="{EE637D5A-ACC1-41B6-9B04-E911975B5793}"/>
    <hyperlink ref="F54" r:id="rId3" display="https://www.netl.doe.gov/projects/files/DirectAirCaptureCaseStudiesSorbentSystem_070822.pdf" xr:uid="{70BBBF93-181C-4257-9AFB-D25E1759CBE4}"/>
    <hyperlink ref="F49" r:id="rId4" display="https://roads2removal.org/" xr:uid="{DB10EEA2-9E4A-49EE-BB83-68C3BB1CF2D4}"/>
    <hyperlink ref="F56" r:id="rId5" xr:uid="{1BED5A20-1119-4DA9-A240-49E64FDB3765}"/>
    <hyperlink ref="F57" r:id="rId6" display="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xr:uid="{EF88B945-FE3E-49FA-8059-B3B61AA41B12}"/>
    <hyperlink ref="C33" r:id="rId7" tooltip="Go to Carbon Capture Science &amp; Technology on ScienceDirect" display="https://www.sciencedirect.com/journal/carbon-capture-science-and-technology" xr:uid="{58D2BBB2-CA12-4137-A4B4-488DABB1CCBA}"/>
    <hyperlink ref="C35" r:id="rId8" tooltip="Go to Renewable and Sustainable Energy Reviews on ScienceDirect" display="https://www.sciencedirect.com/journal/renewable-and-sustainable-energy-reviews" xr:uid="{461ECCB7-F442-4952-8419-0E196C0F5139}"/>
    <hyperlink ref="F52" r:id="rId9" display="https://roads2removal.org/" xr:uid="{CA335E47-7CA0-49A6-903F-9449B21A569C}"/>
    <hyperlink ref="F55" r:id="rId10" xr:uid="{55B773D9-F7BD-42AA-B86C-0240C64A6F64}"/>
    <hyperlink ref="F50" r:id="rId11" display="https://roads2removal.org/" xr:uid="{9768CAAD-B1EA-4470-BB34-4CF025E5FC08}"/>
    <hyperlink ref="F51" r:id="rId12" display="https://roads2removal.org/" xr:uid="{02DA1BB8-0729-4DF9-8D43-DB334DD23965}"/>
  </hyperlinks>
  <pageMargins left="0.7" right="0.7" top="0.75" bottom="0.75" header="0.3" footer="0.3"/>
  <legacyDrawing r:id="rId1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68075-C79E-496E-8470-A0201C505FA7}">
  <sheetPr filterMode="1"/>
  <dimension ref="A1:AL54"/>
  <sheetViews>
    <sheetView workbookViewId="0">
      <selection activeCell="B50" sqref="B50:L54"/>
    </sheetView>
  </sheetViews>
  <sheetFormatPr defaultColWidth="11.125" defaultRowHeight="15.75" x14ac:dyDescent="0.25"/>
  <cols>
    <col min="1" max="1" width="23.125" customWidth="1"/>
    <col min="2" max="2" width="9.125" customWidth="1"/>
    <col min="3" max="3" width="16" customWidth="1"/>
    <col min="4" max="4" width="12.5" customWidth="1"/>
    <col min="6" max="6" width="18.5" customWidth="1"/>
    <col min="7" max="7" width="13.625" bestFit="1" customWidth="1"/>
    <col min="9" max="9" width="17.5" bestFit="1" customWidth="1"/>
    <col min="11" max="11" width="30.875" customWidth="1"/>
    <col min="12" max="12" width="26.75" customWidth="1"/>
    <col min="13" max="13" width="18" bestFit="1" customWidth="1"/>
    <col min="14" max="14" width="18" customWidth="1"/>
    <col min="15" max="15" width="18.5" bestFit="1" customWidth="1"/>
    <col min="17" max="17" width="17.5" bestFit="1" customWidth="1"/>
    <col min="18" max="18" width="18.125" customWidth="1"/>
    <col min="19" max="22" width="20.125" customWidth="1"/>
    <col min="24" max="25" width="17.5" customWidth="1"/>
    <col min="26" max="28" width="15.125" customWidth="1"/>
    <col min="29" max="29" width="22.5" bestFit="1" customWidth="1"/>
    <col min="30" max="31" width="22.5" customWidth="1"/>
    <col min="32" max="32" width="37.625" customWidth="1"/>
    <col min="33" max="33" width="19" bestFit="1" customWidth="1"/>
    <col min="34" max="34" width="19" customWidth="1"/>
    <col min="36" max="36" width="33.625" customWidth="1"/>
  </cols>
  <sheetData>
    <row r="1" spans="1:38" s="51" customFormat="1" x14ac:dyDescent="0.25">
      <c r="A1" s="1" t="s">
        <v>4</v>
      </c>
      <c r="B1" s="1" t="s">
        <v>124</v>
      </c>
      <c r="C1" s="1" t="s">
        <v>351</v>
      </c>
      <c r="D1" s="1" t="s">
        <v>352</v>
      </c>
      <c r="E1" s="1" t="s">
        <v>129</v>
      </c>
      <c r="F1" s="1" t="s">
        <v>137</v>
      </c>
      <c r="G1" s="1" t="s">
        <v>353</v>
      </c>
      <c r="H1" s="1" t="s">
        <v>134</v>
      </c>
      <c r="I1" s="1" t="s">
        <v>354</v>
      </c>
      <c r="J1" s="1"/>
      <c r="K1" s="1" t="s">
        <v>355</v>
      </c>
      <c r="L1" s="1"/>
      <c r="M1" s="1"/>
      <c r="N1" s="1"/>
      <c r="O1" s="1"/>
      <c r="P1" s="1"/>
      <c r="Q1" s="1"/>
      <c r="R1" s="1"/>
      <c r="S1" s="1"/>
      <c r="T1" s="1"/>
      <c r="U1" s="1"/>
      <c r="V1" s="1"/>
      <c r="W1" s="1"/>
      <c r="X1" s="1"/>
      <c r="Y1" s="1"/>
      <c r="Z1" s="1"/>
      <c r="AA1" s="1"/>
      <c r="AB1" s="1"/>
      <c r="AC1" s="1"/>
      <c r="AD1" s="1"/>
      <c r="AE1" s="1"/>
      <c r="AF1" s="1"/>
      <c r="AG1" s="1"/>
      <c r="AH1" s="1"/>
      <c r="AI1" s="1"/>
      <c r="AJ1" s="1"/>
      <c r="AK1" s="1"/>
      <c r="AL1" s="1"/>
    </row>
    <row r="2" spans="1:38" s="117" customFormat="1" x14ac:dyDescent="0.25">
      <c r="A2" s="117" t="s">
        <v>151</v>
      </c>
      <c r="B2" s="117" t="s">
        <v>150</v>
      </c>
      <c r="C2" s="117" t="s">
        <v>356</v>
      </c>
      <c r="D2" s="117" t="s">
        <v>357</v>
      </c>
      <c r="E2" s="117" t="s">
        <v>154</v>
      </c>
      <c r="F2" s="117" t="s">
        <v>158</v>
      </c>
      <c r="G2" s="117" t="s">
        <v>358</v>
      </c>
      <c r="H2" s="117" t="s">
        <v>359</v>
      </c>
      <c r="I2" s="117">
        <v>0.98</v>
      </c>
      <c r="R2" s="118"/>
      <c r="AI2" s="119"/>
    </row>
    <row r="3" spans="1:38" s="117" customFormat="1" x14ac:dyDescent="0.25">
      <c r="A3" s="117" t="s">
        <v>151</v>
      </c>
      <c r="B3" s="117" t="s">
        <v>150</v>
      </c>
      <c r="C3" s="117" t="s">
        <v>356</v>
      </c>
      <c r="D3" s="117" t="s">
        <v>357</v>
      </c>
      <c r="E3" s="117" t="s">
        <v>154</v>
      </c>
      <c r="F3" s="117" t="s">
        <v>166</v>
      </c>
      <c r="G3" s="117" t="s">
        <v>360</v>
      </c>
      <c r="H3" s="117" t="s">
        <v>359</v>
      </c>
      <c r="I3" s="117">
        <f>46000/10^6</f>
        <v>4.5999999999999999E-2</v>
      </c>
      <c r="R3" s="118"/>
      <c r="AI3" s="119"/>
    </row>
    <row r="4" spans="1:38" s="117" customFormat="1" x14ac:dyDescent="0.25">
      <c r="A4" s="117" t="s">
        <v>151</v>
      </c>
      <c r="B4" s="117" t="s">
        <v>150</v>
      </c>
      <c r="C4" s="117" t="s">
        <v>356</v>
      </c>
      <c r="D4" s="117" t="s">
        <v>357</v>
      </c>
      <c r="E4" s="117" t="s">
        <v>154</v>
      </c>
      <c r="F4" s="117" t="s">
        <v>169</v>
      </c>
      <c r="G4" s="117" t="s">
        <v>169</v>
      </c>
      <c r="H4" s="117" t="s">
        <v>359</v>
      </c>
      <c r="I4" s="117">
        <f>960/10^6</f>
        <v>9.6000000000000002E-4</v>
      </c>
      <c r="R4" s="118"/>
      <c r="AI4" s="119"/>
    </row>
    <row r="5" spans="1:38" s="117" customFormat="1" x14ac:dyDescent="0.25">
      <c r="A5" s="117" t="s">
        <v>151</v>
      </c>
      <c r="B5" s="117" t="s">
        <v>150</v>
      </c>
      <c r="C5" s="117" t="s">
        <v>356</v>
      </c>
      <c r="D5" s="117" t="s">
        <v>357</v>
      </c>
      <c r="E5" s="117" t="s">
        <v>154</v>
      </c>
      <c r="F5" s="117" t="s">
        <v>173</v>
      </c>
      <c r="G5" s="117" t="s">
        <v>361</v>
      </c>
      <c r="H5" s="117" t="s">
        <v>359</v>
      </c>
      <c r="I5" s="117">
        <f>1100000/10^6</f>
        <v>1.1000000000000001</v>
      </c>
      <c r="R5" s="118"/>
      <c r="AD5" s="120"/>
      <c r="AI5" s="119"/>
    </row>
    <row r="6" spans="1:38" s="117" customFormat="1" x14ac:dyDescent="0.25">
      <c r="A6" s="117" t="s">
        <v>185</v>
      </c>
      <c r="B6" s="117" t="s">
        <v>150</v>
      </c>
      <c r="C6" s="117" t="s">
        <v>362</v>
      </c>
      <c r="D6" s="117" t="s">
        <v>357</v>
      </c>
      <c r="E6" s="117" t="s">
        <v>188</v>
      </c>
      <c r="F6" s="117" t="s">
        <v>158</v>
      </c>
      <c r="G6" s="117" t="s">
        <v>358</v>
      </c>
      <c r="H6" s="117" t="s">
        <v>363</v>
      </c>
      <c r="I6" s="117">
        <f>500000/10^6</f>
        <v>0.5</v>
      </c>
      <c r="R6" s="121"/>
    </row>
    <row r="7" spans="1:38" s="117" customFormat="1" x14ac:dyDescent="0.25">
      <c r="A7" s="117" t="s">
        <v>185</v>
      </c>
      <c r="B7" s="117" t="s">
        <v>150</v>
      </c>
      <c r="C7" s="117" t="s">
        <v>362</v>
      </c>
      <c r="D7" s="117" t="s">
        <v>357</v>
      </c>
      <c r="E7" s="117" t="s">
        <v>188</v>
      </c>
      <c r="F7" s="117" t="s">
        <v>166</v>
      </c>
      <c r="G7" s="117" t="s">
        <v>360</v>
      </c>
      <c r="H7" s="117" t="s">
        <v>363</v>
      </c>
      <c r="I7" s="117">
        <f>4000/10^6</f>
        <v>4.0000000000000001E-3</v>
      </c>
      <c r="O7" s="122"/>
      <c r="R7" s="121"/>
    </row>
    <row r="8" spans="1:38" s="117" customFormat="1" x14ac:dyDescent="0.25">
      <c r="A8" s="117" t="s">
        <v>185</v>
      </c>
      <c r="B8" s="117" t="s">
        <v>150</v>
      </c>
      <c r="C8" s="117" t="s">
        <v>362</v>
      </c>
      <c r="D8" s="117" t="s">
        <v>357</v>
      </c>
      <c r="E8" s="117" t="s">
        <v>188</v>
      </c>
      <c r="F8" s="117" t="s">
        <v>173</v>
      </c>
      <c r="G8" s="117" t="s">
        <v>364</v>
      </c>
      <c r="H8" s="117" t="s">
        <v>363</v>
      </c>
      <c r="I8" s="117">
        <f>1000/10^6</f>
        <v>1E-3</v>
      </c>
      <c r="R8" s="121"/>
      <c r="AD8" s="120"/>
    </row>
    <row r="9" spans="1:38" s="2" customFormat="1" hidden="1" x14ac:dyDescent="0.25">
      <c r="A9" s="2" t="s">
        <v>199</v>
      </c>
      <c r="B9" s="2" t="s">
        <v>365</v>
      </c>
      <c r="C9" s="2" t="s">
        <v>366</v>
      </c>
      <c r="D9" s="2" t="s">
        <v>357</v>
      </c>
      <c r="E9" s="2" t="s">
        <v>202</v>
      </c>
      <c r="F9" s="2" t="s">
        <v>166</v>
      </c>
      <c r="G9" s="2" t="s">
        <v>166</v>
      </c>
      <c r="H9" s="2">
        <v>2023</v>
      </c>
      <c r="I9" s="2">
        <v>0.1</v>
      </c>
      <c r="K9" s="2" t="s">
        <v>367</v>
      </c>
      <c r="R9" s="113"/>
      <c r="W9" s="114"/>
      <c r="AF9" s="115"/>
    </row>
    <row r="10" spans="1:38" s="2" customFormat="1" hidden="1" x14ac:dyDescent="0.25">
      <c r="A10" s="2" t="s">
        <v>208</v>
      </c>
      <c r="B10" s="2" t="s">
        <v>365</v>
      </c>
      <c r="C10" s="2" t="s">
        <v>366</v>
      </c>
      <c r="D10" s="2" t="s">
        <v>357</v>
      </c>
      <c r="E10" s="2" t="s">
        <v>210</v>
      </c>
      <c r="F10" s="2" t="s">
        <v>166</v>
      </c>
      <c r="G10" s="2" t="s">
        <v>166</v>
      </c>
      <c r="H10" s="2">
        <v>2022</v>
      </c>
      <c r="I10" s="2" t="s">
        <v>368</v>
      </c>
      <c r="K10" s="2" t="s">
        <v>367</v>
      </c>
      <c r="L10" s="2" t="s">
        <v>369</v>
      </c>
      <c r="R10" s="113"/>
      <c r="AI10" s="116"/>
    </row>
    <row r="11" spans="1:38" s="117" customFormat="1" x14ac:dyDescent="0.25">
      <c r="A11" s="117" t="s">
        <v>214</v>
      </c>
      <c r="B11" s="117" t="s">
        <v>150</v>
      </c>
      <c r="C11" s="117" t="s">
        <v>362</v>
      </c>
      <c r="D11" s="117" t="s">
        <v>357</v>
      </c>
      <c r="E11" s="117" t="s">
        <v>217</v>
      </c>
      <c r="F11" s="117" t="s">
        <v>158</v>
      </c>
      <c r="G11" s="117" t="s">
        <v>158</v>
      </c>
      <c r="H11" s="117" t="s">
        <v>370</v>
      </c>
      <c r="I11" s="117">
        <v>1</v>
      </c>
      <c r="R11" s="121"/>
      <c r="AI11" s="119"/>
    </row>
    <row r="12" spans="1:38" s="117" customFormat="1" x14ac:dyDescent="0.25">
      <c r="A12" s="117" t="s">
        <v>214</v>
      </c>
      <c r="B12" s="117" t="s">
        <v>150</v>
      </c>
      <c r="C12" s="117" t="s">
        <v>362</v>
      </c>
      <c r="D12" s="117" t="s">
        <v>357</v>
      </c>
      <c r="E12" s="117" t="s">
        <v>217</v>
      </c>
      <c r="F12" s="117" t="s">
        <v>166</v>
      </c>
      <c r="G12" s="117" t="s">
        <v>166</v>
      </c>
      <c r="H12" s="117" t="s">
        <v>370</v>
      </c>
      <c r="I12" s="117">
        <v>0.36</v>
      </c>
      <c r="R12" s="121"/>
      <c r="AI12" s="119"/>
    </row>
    <row r="13" spans="1:38" s="2" customFormat="1" hidden="1" x14ac:dyDescent="0.25">
      <c r="A13" s="2" t="s">
        <v>223</v>
      </c>
      <c r="B13" s="2" t="s">
        <v>365</v>
      </c>
      <c r="C13" s="2" t="s">
        <v>362</v>
      </c>
      <c r="D13" s="2" t="s">
        <v>357</v>
      </c>
      <c r="E13" s="2" t="s">
        <v>226</v>
      </c>
      <c r="F13" s="2" t="s">
        <v>158</v>
      </c>
      <c r="G13" s="2" t="s">
        <v>358</v>
      </c>
      <c r="H13" s="2" t="s">
        <v>371</v>
      </c>
      <c r="I13" s="2">
        <v>1</v>
      </c>
      <c r="R13" s="123"/>
      <c r="X13" s="123"/>
      <c r="Y13" s="124"/>
      <c r="Z13" s="124"/>
      <c r="AA13" s="124"/>
      <c r="AB13" s="124"/>
    </row>
    <row r="14" spans="1:38" s="2" customFormat="1" hidden="1" x14ac:dyDescent="0.25">
      <c r="A14" s="2" t="s">
        <v>227</v>
      </c>
      <c r="B14" s="2" t="s">
        <v>365</v>
      </c>
      <c r="C14" s="2" t="s">
        <v>362</v>
      </c>
      <c r="D14" s="2" t="s">
        <v>357</v>
      </c>
      <c r="E14" s="125" t="s">
        <v>229</v>
      </c>
      <c r="F14" s="2" t="s">
        <v>158</v>
      </c>
      <c r="G14" s="2" t="s">
        <v>358</v>
      </c>
      <c r="H14" s="2" t="s">
        <v>371</v>
      </c>
      <c r="I14" s="2">
        <v>1</v>
      </c>
      <c r="R14" s="123"/>
      <c r="X14" s="123"/>
      <c r="Z14" s="124"/>
      <c r="AA14" s="124"/>
      <c r="AB14" s="124"/>
      <c r="AL14" s="2" t="s">
        <v>372</v>
      </c>
    </row>
    <row r="15" spans="1:38" s="2" customFormat="1" hidden="1" x14ac:dyDescent="0.25">
      <c r="A15" s="2" t="s">
        <v>230</v>
      </c>
      <c r="B15" s="2" t="s">
        <v>365</v>
      </c>
      <c r="C15" s="2" t="s">
        <v>362</v>
      </c>
      <c r="D15" s="2" t="s">
        <v>357</v>
      </c>
      <c r="E15" s="2" t="s">
        <v>232</v>
      </c>
      <c r="F15" s="2" t="s">
        <v>233</v>
      </c>
      <c r="G15" s="2" t="s">
        <v>373</v>
      </c>
      <c r="H15" s="2">
        <v>2022</v>
      </c>
      <c r="I15" s="2">
        <v>1</v>
      </c>
      <c r="R15" s="126"/>
      <c r="AI15" s="116"/>
      <c r="AL15" s="127"/>
    </row>
    <row r="16" spans="1:38" s="2" customFormat="1" hidden="1" x14ac:dyDescent="0.25">
      <c r="A16" s="2" t="s">
        <v>230</v>
      </c>
      <c r="B16" s="2" t="s">
        <v>365</v>
      </c>
      <c r="C16" s="2" t="s">
        <v>362</v>
      </c>
      <c r="D16" s="2" t="s">
        <v>357</v>
      </c>
      <c r="E16" s="2" t="s">
        <v>232</v>
      </c>
      <c r="F16" s="2" t="s">
        <v>233</v>
      </c>
      <c r="G16" s="2" t="s">
        <v>374</v>
      </c>
      <c r="H16" s="2">
        <v>2022</v>
      </c>
      <c r="I16" s="2">
        <v>1.48</v>
      </c>
      <c r="R16" s="126"/>
      <c r="AI16" s="116"/>
      <c r="AL16" s="127"/>
    </row>
    <row r="17" spans="1:36" s="2" customFormat="1" hidden="1" x14ac:dyDescent="0.25">
      <c r="A17" s="2" t="s">
        <v>234</v>
      </c>
      <c r="B17" s="2" t="s">
        <v>365</v>
      </c>
      <c r="C17" s="2" t="s">
        <v>362</v>
      </c>
      <c r="D17" s="2" t="s">
        <v>357</v>
      </c>
      <c r="E17" s="2" t="s">
        <v>236</v>
      </c>
      <c r="F17" s="2" t="s">
        <v>166</v>
      </c>
      <c r="G17" s="2" t="s">
        <v>375</v>
      </c>
      <c r="H17" s="2">
        <v>2023</v>
      </c>
      <c r="I17" s="2">
        <v>1</v>
      </c>
      <c r="R17" s="123"/>
      <c r="AI17" s="116"/>
    </row>
    <row r="18" spans="1:36" s="128" customFormat="1" hidden="1" x14ac:dyDescent="0.25">
      <c r="A18" s="128" t="s">
        <v>240</v>
      </c>
      <c r="B18" s="128" t="s">
        <v>365</v>
      </c>
      <c r="C18" s="128" t="s">
        <v>366</v>
      </c>
      <c r="D18" s="128" t="s">
        <v>357</v>
      </c>
      <c r="E18" s="128" t="s">
        <v>243</v>
      </c>
      <c r="F18" s="128" t="s">
        <v>158</v>
      </c>
      <c r="H18" s="128">
        <v>2020</v>
      </c>
      <c r="I18" s="128">
        <v>1</v>
      </c>
      <c r="R18" s="129"/>
      <c r="W18" s="130"/>
    </row>
    <row r="19" spans="1:36" s="2" customFormat="1" hidden="1" x14ac:dyDescent="0.25">
      <c r="A19" s="2" t="s">
        <v>247</v>
      </c>
      <c r="B19" s="2" t="s">
        <v>365</v>
      </c>
      <c r="C19" s="2" t="s">
        <v>362</v>
      </c>
      <c r="D19" s="2" t="s">
        <v>357</v>
      </c>
      <c r="E19" s="2" t="s">
        <v>249</v>
      </c>
      <c r="F19" s="2" t="s">
        <v>166</v>
      </c>
      <c r="G19" s="2" t="s">
        <v>376</v>
      </c>
      <c r="H19" s="2">
        <v>2023</v>
      </c>
      <c r="I19" s="2">
        <f>1000/10^6</f>
        <v>1E-3</v>
      </c>
      <c r="K19" s="2" t="s">
        <v>367</v>
      </c>
      <c r="R19" s="123"/>
      <c r="X19" s="123"/>
    </row>
    <row r="20" spans="1:36" s="2" customFormat="1" hidden="1" x14ac:dyDescent="0.25">
      <c r="A20" s="2" t="s">
        <v>247</v>
      </c>
      <c r="B20" s="2" t="s">
        <v>365</v>
      </c>
      <c r="C20" s="2" t="s">
        <v>362</v>
      </c>
      <c r="D20" s="2" t="s">
        <v>357</v>
      </c>
      <c r="E20" s="2" t="s">
        <v>249</v>
      </c>
      <c r="F20" s="2" t="s">
        <v>250</v>
      </c>
      <c r="G20" s="2" t="s">
        <v>377</v>
      </c>
      <c r="H20" s="2">
        <v>2023</v>
      </c>
      <c r="I20" s="2">
        <f>1000/10^6</f>
        <v>1E-3</v>
      </c>
      <c r="R20" s="123"/>
      <c r="X20" s="123"/>
    </row>
    <row r="21" spans="1:36" s="127" customFormat="1" hidden="1" x14ac:dyDescent="0.25">
      <c r="A21" s="127" t="s">
        <v>251</v>
      </c>
      <c r="B21" s="127" t="s">
        <v>365</v>
      </c>
      <c r="D21" s="127" t="s">
        <v>357</v>
      </c>
      <c r="E21" s="127" t="s">
        <v>254</v>
      </c>
      <c r="F21" s="127" t="s">
        <v>166</v>
      </c>
      <c r="AG21" s="2"/>
      <c r="AH21" s="2"/>
    </row>
    <row r="22" spans="1:36" s="2" customFormat="1" hidden="1" x14ac:dyDescent="0.25">
      <c r="A22" s="2" t="s">
        <v>255</v>
      </c>
      <c r="B22" s="2" t="s">
        <v>365</v>
      </c>
      <c r="C22" s="2" t="s">
        <v>366</v>
      </c>
      <c r="D22" s="2" t="s">
        <v>357</v>
      </c>
      <c r="E22" s="2" t="s">
        <v>258</v>
      </c>
      <c r="F22" s="2" t="s">
        <v>259</v>
      </c>
      <c r="G22" s="2" t="s">
        <v>378</v>
      </c>
      <c r="H22" s="2">
        <v>2011</v>
      </c>
      <c r="I22" s="2">
        <v>1</v>
      </c>
      <c r="K22" s="2" t="s">
        <v>367</v>
      </c>
      <c r="L22" s="2" t="s">
        <v>379</v>
      </c>
      <c r="R22" s="113"/>
      <c r="W22" s="131"/>
      <c r="X22" s="123"/>
      <c r="Z22" s="124"/>
      <c r="AA22" s="124"/>
      <c r="AB22" s="124"/>
      <c r="AF22" s="115"/>
    </row>
    <row r="23" spans="1:36" s="2" customFormat="1" hidden="1" x14ac:dyDescent="0.25">
      <c r="A23" s="2" t="s">
        <v>267</v>
      </c>
      <c r="B23" s="2" t="s">
        <v>365</v>
      </c>
      <c r="C23" s="2" t="s">
        <v>366</v>
      </c>
      <c r="D23" s="2" t="s">
        <v>357</v>
      </c>
      <c r="E23" s="2" t="s">
        <v>270</v>
      </c>
      <c r="F23" s="2" t="s">
        <v>158</v>
      </c>
      <c r="G23" s="2" t="s">
        <v>158</v>
      </c>
      <c r="H23" s="2">
        <v>2023</v>
      </c>
      <c r="I23" s="2">
        <v>1</v>
      </c>
      <c r="K23" s="2" t="s">
        <v>380</v>
      </c>
      <c r="X23" s="123"/>
      <c r="AI23" s="116"/>
    </row>
    <row r="24" spans="1:36" s="2" customFormat="1" hidden="1" x14ac:dyDescent="0.25">
      <c r="A24" s="2" t="s">
        <v>267</v>
      </c>
      <c r="B24" s="2" t="s">
        <v>365</v>
      </c>
      <c r="C24" s="2" t="s">
        <v>366</v>
      </c>
      <c r="D24" s="2" t="s">
        <v>357</v>
      </c>
      <c r="E24" s="2" t="s">
        <v>270</v>
      </c>
      <c r="F24" s="2" t="s">
        <v>166</v>
      </c>
      <c r="G24" s="2" t="s">
        <v>166</v>
      </c>
      <c r="H24" s="2">
        <v>2023</v>
      </c>
      <c r="I24" s="2" t="s">
        <v>381</v>
      </c>
      <c r="K24" s="2" t="s">
        <v>380</v>
      </c>
      <c r="X24" s="123"/>
      <c r="AI24" s="116"/>
    </row>
    <row r="25" spans="1:36" s="60" customFormat="1" hidden="1" x14ac:dyDescent="0.25">
      <c r="A25" s="60" t="s">
        <v>271</v>
      </c>
      <c r="B25" s="60" t="s">
        <v>365</v>
      </c>
      <c r="D25" s="60" t="s">
        <v>357</v>
      </c>
      <c r="E25" s="60" t="s">
        <v>274</v>
      </c>
      <c r="F25" s="60" t="s">
        <v>158</v>
      </c>
      <c r="G25" s="60" t="s">
        <v>382</v>
      </c>
      <c r="K25" s="60" t="s">
        <v>383</v>
      </c>
      <c r="AI25" s="93"/>
    </row>
    <row r="26" spans="1:36" s="117" customFormat="1" x14ac:dyDescent="0.25">
      <c r="A26" s="117" t="s">
        <v>275</v>
      </c>
      <c r="B26" s="117" t="s">
        <v>150</v>
      </c>
      <c r="C26" s="117" t="s">
        <v>362</v>
      </c>
      <c r="D26" s="117" t="s">
        <v>357</v>
      </c>
      <c r="E26" s="117" t="s">
        <v>277</v>
      </c>
      <c r="F26" s="117" t="s">
        <v>158</v>
      </c>
      <c r="G26" s="117" t="s">
        <v>358</v>
      </c>
      <c r="H26" s="117" t="s">
        <v>384</v>
      </c>
      <c r="I26" s="117">
        <v>1</v>
      </c>
      <c r="X26" s="138"/>
    </row>
    <row r="27" spans="1:36" s="2" customFormat="1" hidden="1" x14ac:dyDescent="0.25">
      <c r="A27" s="2" t="s">
        <v>278</v>
      </c>
      <c r="B27" s="2" t="s">
        <v>365</v>
      </c>
      <c r="C27" s="2" t="s">
        <v>366</v>
      </c>
      <c r="D27" s="2" t="s">
        <v>357</v>
      </c>
      <c r="E27" s="2" t="s">
        <v>281</v>
      </c>
      <c r="F27" s="2" t="s">
        <v>166</v>
      </c>
      <c r="G27" s="2" t="s">
        <v>166</v>
      </c>
      <c r="H27" s="2">
        <v>2024</v>
      </c>
      <c r="I27" s="2">
        <v>1</v>
      </c>
      <c r="K27" s="2" t="s">
        <v>385</v>
      </c>
      <c r="R27" s="126"/>
      <c r="X27" s="123"/>
    </row>
    <row r="28" spans="1:36" hidden="1" x14ac:dyDescent="0.25">
      <c r="A28" s="88" t="s">
        <v>285</v>
      </c>
      <c r="B28" s="60"/>
      <c r="C28" s="60" t="s">
        <v>366</v>
      </c>
      <c r="D28" s="60" t="s">
        <v>357</v>
      </c>
      <c r="E28" s="60" t="s">
        <v>288</v>
      </c>
      <c r="F28" s="60" t="s">
        <v>158</v>
      </c>
      <c r="G28" s="60" t="s">
        <v>386</v>
      </c>
      <c r="H28" s="60">
        <v>2023</v>
      </c>
      <c r="I28" s="60"/>
      <c r="R28" s="54"/>
      <c r="AI28" s="53"/>
      <c r="AJ28" s="48"/>
    </row>
    <row r="29" spans="1:36" hidden="1" x14ac:dyDescent="0.25">
      <c r="A29" s="88" t="s">
        <v>285</v>
      </c>
      <c r="B29" s="60"/>
      <c r="C29" s="60" t="s">
        <v>366</v>
      </c>
      <c r="D29" s="60" t="s">
        <v>357</v>
      </c>
      <c r="E29" s="60" t="s">
        <v>288</v>
      </c>
      <c r="F29" s="60" t="s">
        <v>169</v>
      </c>
      <c r="G29" s="60" t="s">
        <v>387</v>
      </c>
      <c r="H29" s="60">
        <v>2023</v>
      </c>
      <c r="I29" s="60"/>
      <c r="R29" s="54"/>
      <c r="AI29" s="53"/>
      <c r="AJ29" s="48"/>
    </row>
    <row r="30" spans="1:36" hidden="1" x14ac:dyDescent="0.25">
      <c r="A30" s="88" t="s">
        <v>285</v>
      </c>
      <c r="B30" s="60"/>
      <c r="C30" s="60" t="s">
        <v>366</v>
      </c>
      <c r="D30" s="60" t="s">
        <v>357</v>
      </c>
      <c r="E30" s="60" t="s">
        <v>288</v>
      </c>
      <c r="F30" s="60" t="s">
        <v>166</v>
      </c>
      <c r="G30" s="60" t="s">
        <v>388</v>
      </c>
      <c r="H30" s="60">
        <v>2023</v>
      </c>
      <c r="I30" s="60"/>
      <c r="R30" s="54"/>
      <c r="AI30" s="53"/>
      <c r="AJ30" s="48"/>
    </row>
    <row r="31" spans="1:36" ht="25.9" hidden="1" customHeight="1" x14ac:dyDescent="0.25">
      <c r="A31" s="88" t="s">
        <v>285</v>
      </c>
      <c r="B31" s="60"/>
      <c r="C31" s="60" t="s">
        <v>366</v>
      </c>
      <c r="D31" s="60" t="s">
        <v>357</v>
      </c>
      <c r="E31" s="60" t="s">
        <v>288</v>
      </c>
      <c r="F31" s="60" t="s">
        <v>289</v>
      </c>
      <c r="G31" s="60" t="s">
        <v>389</v>
      </c>
      <c r="H31" s="60">
        <v>2023</v>
      </c>
      <c r="I31" s="60"/>
      <c r="R31" s="54"/>
      <c r="AD31" s="3"/>
      <c r="AI31" s="53"/>
      <c r="AJ31" s="48"/>
    </row>
    <row r="32" spans="1:36" s="48" customFormat="1" hidden="1" x14ac:dyDescent="0.25">
      <c r="A32" s="48" t="s">
        <v>290</v>
      </c>
      <c r="B32" s="48" t="s">
        <v>365</v>
      </c>
      <c r="D32" s="48" t="s">
        <v>357</v>
      </c>
      <c r="E32" s="48" t="s">
        <v>293</v>
      </c>
      <c r="AG32"/>
      <c r="AH32"/>
      <c r="AI32" s="87"/>
    </row>
    <row r="33" spans="1:35" s="112" customFormat="1" hidden="1" x14ac:dyDescent="0.25">
      <c r="A33" s="112" t="s">
        <v>294</v>
      </c>
      <c r="B33" s="112" t="s">
        <v>365</v>
      </c>
      <c r="C33" s="112" t="s">
        <v>366</v>
      </c>
      <c r="D33" s="112" t="s">
        <v>357</v>
      </c>
      <c r="E33" s="112" t="s">
        <v>297</v>
      </c>
      <c r="F33" s="112" t="s">
        <v>298</v>
      </c>
      <c r="G33" s="112" t="s">
        <v>390</v>
      </c>
      <c r="H33" s="112">
        <v>2020</v>
      </c>
      <c r="I33" s="112" t="s">
        <v>391</v>
      </c>
      <c r="K33" s="112" t="s">
        <v>392</v>
      </c>
      <c r="L33" s="41"/>
      <c r="X33" s="132"/>
    </row>
    <row r="34" spans="1:35" s="2" customFormat="1" hidden="1" x14ac:dyDescent="0.25">
      <c r="A34" s="2" t="s">
        <v>301</v>
      </c>
      <c r="B34" s="2" t="s">
        <v>365</v>
      </c>
      <c r="C34" s="2" t="s">
        <v>362</v>
      </c>
      <c r="D34" s="2" t="s">
        <v>357</v>
      </c>
      <c r="E34" s="2" t="s">
        <v>303</v>
      </c>
      <c r="F34" s="2" t="s">
        <v>166</v>
      </c>
      <c r="G34" s="2" t="s">
        <v>393</v>
      </c>
      <c r="H34" s="2">
        <v>2023</v>
      </c>
      <c r="I34" s="127" t="s">
        <v>394</v>
      </c>
      <c r="Q34" s="127"/>
      <c r="AI34" s="116"/>
    </row>
    <row r="35" spans="1:35" s="2" customFormat="1" hidden="1" x14ac:dyDescent="0.25">
      <c r="A35" s="2" t="s">
        <v>307</v>
      </c>
      <c r="B35" s="2" t="s">
        <v>365</v>
      </c>
      <c r="C35" s="2" t="s">
        <v>366</v>
      </c>
      <c r="D35" s="2" t="s">
        <v>357</v>
      </c>
      <c r="E35" s="2" t="s">
        <v>310</v>
      </c>
      <c r="F35" s="2" t="s">
        <v>166</v>
      </c>
      <c r="G35" s="2" t="s">
        <v>395</v>
      </c>
      <c r="H35" s="2">
        <v>2023</v>
      </c>
      <c r="I35" s="2">
        <v>1</v>
      </c>
    </row>
    <row r="36" spans="1:35" s="2" customFormat="1" hidden="1" x14ac:dyDescent="0.25">
      <c r="A36" s="2" t="s">
        <v>311</v>
      </c>
      <c r="B36" s="2" t="s">
        <v>365</v>
      </c>
      <c r="C36" s="2" t="s">
        <v>366</v>
      </c>
      <c r="D36" s="2" t="s">
        <v>357</v>
      </c>
      <c r="E36" s="2" t="s">
        <v>314</v>
      </c>
      <c r="F36" s="2" t="s">
        <v>173</v>
      </c>
      <c r="G36" s="2" t="s">
        <v>395</v>
      </c>
      <c r="H36" s="2">
        <v>2020</v>
      </c>
      <c r="I36" s="2">
        <v>1</v>
      </c>
      <c r="R36" s="126"/>
      <c r="X36" s="133"/>
      <c r="AA36" s="134"/>
    </row>
    <row r="37" spans="1:35" s="2" customFormat="1" hidden="1" x14ac:dyDescent="0.25">
      <c r="A37" s="2" t="s">
        <v>315</v>
      </c>
      <c r="B37" s="2" t="s">
        <v>365</v>
      </c>
      <c r="C37" s="2" t="s">
        <v>366</v>
      </c>
      <c r="D37" s="2" t="s">
        <v>357</v>
      </c>
      <c r="E37" s="2" t="s">
        <v>318</v>
      </c>
      <c r="F37" s="2" t="s">
        <v>158</v>
      </c>
      <c r="H37" s="2">
        <v>2022</v>
      </c>
      <c r="I37" s="2">
        <v>8.0000000000000002E-3</v>
      </c>
      <c r="R37" s="126"/>
    </row>
    <row r="38" spans="1:35" s="2" customFormat="1" hidden="1" x14ac:dyDescent="0.25">
      <c r="A38" s="127" t="s">
        <v>319</v>
      </c>
      <c r="B38" s="127" t="s">
        <v>365</v>
      </c>
      <c r="C38" s="127"/>
      <c r="D38" s="127" t="s">
        <v>357</v>
      </c>
      <c r="E38" s="127" t="s">
        <v>321</v>
      </c>
      <c r="F38" s="127"/>
    </row>
    <row r="39" spans="1:35" s="117" customFormat="1" x14ac:dyDescent="0.25">
      <c r="A39" s="122" t="s">
        <v>329</v>
      </c>
      <c r="B39" s="122" t="s">
        <v>150</v>
      </c>
      <c r="C39" s="117" t="s">
        <v>366</v>
      </c>
      <c r="D39" s="117" t="s">
        <v>330</v>
      </c>
      <c r="E39" s="140" t="s">
        <v>332</v>
      </c>
      <c r="F39" s="117" t="s">
        <v>166</v>
      </c>
      <c r="G39" s="117" t="s">
        <v>166</v>
      </c>
      <c r="H39" s="117" t="s">
        <v>396</v>
      </c>
      <c r="I39" s="117">
        <f>1000/10^6</f>
        <v>1E-3</v>
      </c>
      <c r="R39" s="141"/>
      <c r="X39" s="141"/>
    </row>
    <row r="40" spans="1:35" s="117" customFormat="1" x14ac:dyDescent="0.25">
      <c r="A40" s="122" t="s">
        <v>329</v>
      </c>
      <c r="B40" s="122" t="s">
        <v>150</v>
      </c>
      <c r="C40" s="117" t="s">
        <v>366</v>
      </c>
      <c r="D40" s="117" t="s">
        <v>330</v>
      </c>
      <c r="E40" s="140" t="s">
        <v>332</v>
      </c>
      <c r="F40" s="117" t="s">
        <v>233</v>
      </c>
      <c r="G40" s="117" t="s">
        <v>358</v>
      </c>
      <c r="H40" s="117" t="s">
        <v>396</v>
      </c>
      <c r="I40" s="117">
        <v>1</v>
      </c>
      <c r="R40" s="141"/>
      <c r="X40" s="141"/>
      <c r="AD40" s="142"/>
      <c r="AE40" s="120"/>
      <c r="AF40" s="142"/>
    </row>
    <row r="41" spans="1:35" s="2" customFormat="1" hidden="1" x14ac:dyDescent="0.25">
      <c r="A41" s="124" t="s">
        <v>336</v>
      </c>
      <c r="B41" s="124" t="s">
        <v>365</v>
      </c>
      <c r="C41" s="2" t="s">
        <v>362</v>
      </c>
      <c r="D41" s="2" t="s">
        <v>330</v>
      </c>
      <c r="E41" s="125" t="s">
        <v>338</v>
      </c>
      <c r="F41" s="2" t="s">
        <v>158</v>
      </c>
      <c r="G41" s="2" t="s">
        <v>358</v>
      </c>
      <c r="H41" s="2">
        <v>2022</v>
      </c>
      <c r="I41" s="2" t="s">
        <v>397</v>
      </c>
      <c r="X41" s="123"/>
      <c r="AD41" s="135"/>
      <c r="AE41" s="43"/>
    </row>
    <row r="42" spans="1:35" s="2" customFormat="1" hidden="1" x14ac:dyDescent="0.25">
      <c r="A42" s="124" t="s">
        <v>342</v>
      </c>
      <c r="B42" s="124" t="s">
        <v>365</v>
      </c>
      <c r="C42" s="2" t="s">
        <v>362</v>
      </c>
      <c r="D42" s="2" t="s">
        <v>330</v>
      </c>
      <c r="E42" s="125" t="s">
        <v>343</v>
      </c>
      <c r="F42" s="2" t="s">
        <v>166</v>
      </c>
      <c r="G42" s="2" t="s">
        <v>398</v>
      </c>
      <c r="H42" s="2">
        <v>2022</v>
      </c>
      <c r="I42" s="2" t="s">
        <v>399</v>
      </c>
      <c r="X42" s="123"/>
      <c r="AE42" s="43"/>
    </row>
    <row r="43" spans="1:35" s="137" customFormat="1" hidden="1" x14ac:dyDescent="0.25">
      <c r="A43" s="124" t="s">
        <v>345</v>
      </c>
      <c r="B43" s="124" t="s">
        <v>365</v>
      </c>
      <c r="C43" s="124" t="s">
        <v>362</v>
      </c>
      <c r="D43" s="124" t="s">
        <v>330</v>
      </c>
      <c r="E43" s="136" t="s">
        <v>347</v>
      </c>
      <c r="F43" s="124" t="s">
        <v>158</v>
      </c>
      <c r="G43" s="2" t="s">
        <v>358</v>
      </c>
      <c r="H43" s="2">
        <v>2019</v>
      </c>
      <c r="I43" s="2">
        <v>1000000</v>
      </c>
      <c r="K43" s="2"/>
      <c r="L43" s="2"/>
      <c r="M43" s="2"/>
      <c r="N43" s="2"/>
      <c r="O43" s="2"/>
      <c r="P43" s="2"/>
      <c r="Q43" s="2"/>
      <c r="R43" s="2"/>
      <c r="S43" s="2"/>
      <c r="T43" s="2"/>
      <c r="U43" s="2"/>
      <c r="V43" s="2"/>
      <c r="X43" s="2"/>
      <c r="Y43" s="2"/>
      <c r="Z43" s="2"/>
      <c r="AD43" s="2"/>
      <c r="AF43" s="124"/>
      <c r="AG43" s="2"/>
      <c r="AH43" s="2"/>
    </row>
    <row r="44" spans="1:35" s="137" customFormat="1" hidden="1" x14ac:dyDescent="0.25">
      <c r="A44" s="124" t="s">
        <v>345</v>
      </c>
      <c r="B44" s="124" t="s">
        <v>365</v>
      </c>
      <c r="C44" s="124" t="s">
        <v>362</v>
      </c>
      <c r="D44" s="124" t="s">
        <v>330</v>
      </c>
      <c r="E44" s="136" t="s">
        <v>347</v>
      </c>
      <c r="F44" s="124" t="s">
        <v>166</v>
      </c>
      <c r="G44" s="2" t="s">
        <v>166</v>
      </c>
      <c r="H44" s="2">
        <v>2019</v>
      </c>
      <c r="I44" s="2">
        <v>1000000</v>
      </c>
      <c r="K44" s="2"/>
      <c r="L44" s="2"/>
      <c r="M44" s="2"/>
      <c r="N44" s="2"/>
      <c r="O44" s="2"/>
      <c r="P44" s="2"/>
      <c r="Q44" s="2"/>
      <c r="R44" s="2"/>
      <c r="S44" s="2"/>
      <c r="T44" s="2"/>
      <c r="U44" s="2"/>
      <c r="V44" s="2"/>
      <c r="X44" s="2"/>
      <c r="Y44" s="2"/>
      <c r="Z44" s="2"/>
      <c r="AD44" s="2"/>
      <c r="AF44" s="124"/>
      <c r="AG44" s="2"/>
      <c r="AH44" s="2"/>
    </row>
    <row r="45" spans="1:35" s="2" customFormat="1" hidden="1" x14ac:dyDescent="0.25">
      <c r="A45" s="2" t="s">
        <v>348</v>
      </c>
      <c r="B45" s="2" t="s">
        <v>365</v>
      </c>
      <c r="C45" s="2" t="s">
        <v>362</v>
      </c>
      <c r="D45" s="2" t="s">
        <v>330</v>
      </c>
      <c r="E45" s="125" t="s">
        <v>350</v>
      </c>
      <c r="F45" s="2" t="s">
        <v>158</v>
      </c>
      <c r="G45" s="2" t="s">
        <v>358</v>
      </c>
      <c r="H45" s="2" t="s">
        <v>400</v>
      </c>
      <c r="R45" s="123"/>
      <c r="X45" s="123"/>
    </row>
    <row r="46" spans="1:35" x14ac:dyDescent="0.25">
      <c r="A46" s="48"/>
    </row>
    <row r="50" spans="2:12" x14ac:dyDescent="0.25">
      <c r="B50" s="143" t="s">
        <v>35</v>
      </c>
      <c r="C50" s="143" t="s">
        <v>401</v>
      </c>
      <c r="D50" s="143">
        <v>2025</v>
      </c>
      <c r="E50" s="143">
        <v>2030</v>
      </c>
      <c r="F50" s="143">
        <v>2035</v>
      </c>
      <c r="G50" s="143">
        <v>2040</v>
      </c>
      <c r="H50" s="143">
        <v>2045</v>
      </c>
      <c r="I50" s="143">
        <v>2050</v>
      </c>
      <c r="J50" s="143">
        <v>2055</v>
      </c>
      <c r="K50" s="143">
        <v>2060</v>
      </c>
      <c r="L50" s="143" t="s">
        <v>8</v>
      </c>
    </row>
    <row r="51" spans="2:12" x14ac:dyDescent="0.25">
      <c r="B51" s="143" t="s">
        <v>402</v>
      </c>
      <c r="C51" s="143" t="s">
        <v>403</v>
      </c>
      <c r="D51" s="143"/>
      <c r="E51" s="143"/>
      <c r="F51" s="143"/>
      <c r="G51" s="143"/>
      <c r="H51" s="143"/>
      <c r="I51" s="143"/>
      <c r="J51" s="143"/>
      <c r="K51" s="143"/>
      <c r="L51" s="143" t="s">
        <v>29</v>
      </c>
    </row>
    <row r="52" spans="2:12" x14ac:dyDescent="0.25">
      <c r="B52" s="143"/>
      <c r="C52" s="143" t="s">
        <v>404</v>
      </c>
      <c r="D52" s="143"/>
      <c r="E52" s="143"/>
      <c r="F52" s="143"/>
      <c r="G52" s="143"/>
      <c r="H52" s="143"/>
      <c r="I52" s="143"/>
      <c r="J52" s="143"/>
      <c r="K52" s="143"/>
      <c r="L52" s="143" t="s">
        <v>29</v>
      </c>
    </row>
    <row r="53" spans="2:12" x14ac:dyDescent="0.25">
      <c r="B53" s="143" t="s">
        <v>405</v>
      </c>
      <c r="C53" s="143" t="s">
        <v>403</v>
      </c>
      <c r="D53" s="143"/>
      <c r="E53" s="143"/>
      <c r="F53" s="143"/>
      <c r="G53" s="143"/>
      <c r="H53" s="143"/>
      <c r="I53" s="143"/>
      <c r="J53" s="143"/>
      <c r="K53" s="143"/>
      <c r="L53" s="143" t="s">
        <v>29</v>
      </c>
    </row>
    <row r="54" spans="2:12" x14ac:dyDescent="0.25">
      <c r="B54" s="143"/>
      <c r="C54" s="143" t="s">
        <v>404</v>
      </c>
      <c r="D54" s="143"/>
      <c r="E54" s="143"/>
      <c r="F54" s="143"/>
      <c r="G54" s="143"/>
      <c r="H54" s="143"/>
      <c r="I54" s="143"/>
      <c r="J54" s="143"/>
      <c r="K54" s="143"/>
      <c r="L54" s="143" t="s">
        <v>29</v>
      </c>
    </row>
  </sheetData>
  <autoFilter ref="A1:AL45" xr:uid="{99968075-C79E-496E-8470-A0201C505FA7}">
    <filterColumn colId="1">
      <filters>
        <filter val="y"/>
      </filters>
    </filterColumn>
  </autoFilter>
  <conditionalFormatting sqref="AG1:AH1048576">
    <cfRule type="cellIs" dxfId="5" priority="1" operator="equal">
      <formula>"will exclude"</formula>
    </cfRule>
    <cfRule type="cellIs" dxfId="4" priority="2" operator="equal">
      <formula>"Awaiting reply"</formula>
    </cfRule>
    <cfRule type="containsText" dxfId="3" priority="3" operator="containsText" text="completed">
      <formula>NOT(ISERROR(SEARCH("completed",AG1)))</formula>
    </cfRule>
  </conditionalFormatting>
  <hyperlinks>
    <hyperlink ref="E14" r:id="rId1" tooltip="DOI URL" display="https://doi.org/10.1021/es502887y" xr:uid="{9B0C36E3-8CB0-46F3-B579-0CBFB85DF283}"/>
    <hyperlink ref="E41" r:id="rId2" display="https://netl.doe.gov/projects/files/DirectAirCaptureCaseStudiesSolventSystem_083122.pdf" xr:uid="{BFF92FDF-8F9B-4216-A3CE-5B38C72FA026}"/>
    <hyperlink ref="E42" r:id="rId3" display="https://www.netl.doe.gov/projects/files/DirectAirCaptureCaseStudiesSorbentSystem_070822.pdf" xr:uid="{B6070F7D-1CB5-437F-AE21-F388112D931E}"/>
    <hyperlink ref="E39" r:id="rId4" display="https://roads2removal.org/" xr:uid="{DCCF5E4B-DCA2-415D-A257-0D0CB7A3702C}"/>
    <hyperlink ref="E43" r:id="rId5" xr:uid="{FA6A06F5-FB3F-4088-BFE1-F5E74AB324E4}"/>
    <hyperlink ref="E45" r:id="rId6" display="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xr:uid="{A4E6B9FF-3D62-4316-905F-02219C203823}"/>
    <hyperlink ref="E40" r:id="rId7" display="https://roads2removal.org/" xr:uid="{62A9C3AE-AB06-40AA-AA2F-4E73C83CB224}"/>
    <hyperlink ref="E44" r:id="rId8" xr:uid="{B91E911E-B96F-4504-BA6C-A3F2DE47CF69}"/>
  </hyperlinks>
  <pageMargins left="0.7" right="0.7" top="0.75" bottom="0.75" header="0.3" footer="0.3"/>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E050F-07F8-FE48-85C0-51954A76FC24}">
  <sheetPr codeName="Sheet6" filterMode="1"/>
  <dimension ref="A1:AL47"/>
  <sheetViews>
    <sheetView topLeftCell="L1" zoomScale="74" workbookViewId="0">
      <pane ySplit="1" topLeftCell="A2" activePane="bottomLeft" state="frozen"/>
      <selection pane="bottomLeft" activeCell="U50" sqref="U50"/>
    </sheetView>
  </sheetViews>
  <sheetFormatPr defaultColWidth="11.125" defaultRowHeight="15.75" x14ac:dyDescent="0.25"/>
  <cols>
    <col min="1" max="1" width="23.125" customWidth="1"/>
    <col min="2" max="2" width="9.125" customWidth="1"/>
    <col min="4" max="4" width="12.5" customWidth="1"/>
    <col min="6" max="6" width="18.5" customWidth="1"/>
    <col min="7" max="7" width="13.625" bestFit="1" customWidth="1"/>
    <col min="9" max="9" width="13.5" bestFit="1" customWidth="1"/>
    <col min="11" max="11" width="6.875" customWidth="1"/>
    <col min="12" max="12" width="26.75" customWidth="1"/>
    <col min="13" max="13" width="18" bestFit="1" customWidth="1"/>
    <col min="14" max="14" width="18" customWidth="1"/>
    <col min="15" max="15" width="18.5" bestFit="1" customWidth="1"/>
    <col min="17" max="17" width="17.5" bestFit="1" customWidth="1"/>
    <col min="18" max="18" width="18.125" customWidth="1"/>
    <col min="19" max="22" width="20.125" customWidth="1"/>
    <col min="24" max="25" width="17.5" customWidth="1"/>
    <col min="26" max="28" width="15.125" customWidth="1"/>
    <col min="29" max="29" width="22.5" bestFit="1" customWidth="1"/>
    <col min="30" max="31" width="22.5" customWidth="1"/>
    <col min="32" max="32" width="37.625" customWidth="1"/>
    <col min="33" max="33" width="19" bestFit="1" customWidth="1"/>
    <col min="34" max="34" width="19" customWidth="1"/>
    <col min="36" max="36" width="33.625" customWidth="1"/>
  </cols>
  <sheetData>
    <row r="1" spans="1:38" s="51" customFormat="1" x14ac:dyDescent="0.25">
      <c r="A1" s="1" t="s">
        <v>4</v>
      </c>
      <c r="B1" s="1" t="s">
        <v>124</v>
      </c>
      <c r="C1" s="1" t="s">
        <v>351</v>
      </c>
      <c r="D1" s="1" t="s">
        <v>352</v>
      </c>
      <c r="E1" s="1" t="s">
        <v>129</v>
      </c>
      <c r="F1" s="1" t="s">
        <v>137</v>
      </c>
      <c r="G1" s="1" t="s">
        <v>353</v>
      </c>
      <c r="H1" s="1" t="s">
        <v>134</v>
      </c>
      <c r="I1" s="1" t="s">
        <v>406</v>
      </c>
      <c r="J1" s="1" t="s">
        <v>407</v>
      </c>
      <c r="K1" s="1" t="s">
        <v>408</v>
      </c>
      <c r="L1" s="1" t="s">
        <v>133</v>
      </c>
      <c r="M1" s="1" t="s">
        <v>409</v>
      </c>
      <c r="N1" s="1" t="s">
        <v>410</v>
      </c>
      <c r="O1" s="1" t="s">
        <v>411</v>
      </c>
      <c r="P1" s="1" t="s">
        <v>8</v>
      </c>
      <c r="Q1" s="1" t="s">
        <v>354</v>
      </c>
      <c r="R1" s="1" t="s">
        <v>412</v>
      </c>
      <c r="S1" s="1" t="s">
        <v>413</v>
      </c>
      <c r="T1" s="1" t="s">
        <v>414</v>
      </c>
      <c r="U1" s="1" t="s">
        <v>415</v>
      </c>
      <c r="V1" s="1" t="s">
        <v>416</v>
      </c>
      <c r="W1" s="1" t="s">
        <v>417</v>
      </c>
      <c r="X1" s="1" t="s">
        <v>284</v>
      </c>
      <c r="Y1" s="1" t="s">
        <v>418</v>
      </c>
      <c r="Z1" s="1" t="s">
        <v>419</v>
      </c>
      <c r="AA1" s="1" t="s">
        <v>420</v>
      </c>
      <c r="AB1" s="1" t="s">
        <v>421</v>
      </c>
      <c r="AC1" s="1" t="s">
        <v>422</v>
      </c>
      <c r="AD1" s="1" t="s">
        <v>423</v>
      </c>
      <c r="AE1" s="1" t="s">
        <v>145</v>
      </c>
      <c r="AF1" s="1" t="s">
        <v>424</v>
      </c>
      <c r="AG1" s="1" t="s">
        <v>425</v>
      </c>
      <c r="AH1" s="1" t="s">
        <v>426</v>
      </c>
      <c r="AI1" s="1" t="s">
        <v>427</v>
      </c>
      <c r="AJ1" s="1" t="s">
        <v>428</v>
      </c>
      <c r="AK1" s="1" t="s">
        <v>429</v>
      </c>
      <c r="AL1" s="1"/>
    </row>
    <row r="2" spans="1:38" x14ac:dyDescent="0.25">
      <c r="A2" t="s">
        <v>151</v>
      </c>
      <c r="B2" t="s">
        <v>150</v>
      </c>
      <c r="C2" t="s">
        <v>356</v>
      </c>
      <c r="D2" t="s">
        <v>357</v>
      </c>
      <c r="E2" t="s">
        <v>154</v>
      </c>
      <c r="F2" t="s">
        <v>158</v>
      </c>
      <c r="G2" t="s">
        <v>358</v>
      </c>
      <c r="H2" t="s">
        <v>359</v>
      </c>
      <c r="I2" t="s">
        <v>430</v>
      </c>
      <c r="J2" s="35" t="s">
        <v>431</v>
      </c>
      <c r="K2" t="s">
        <v>368</v>
      </c>
      <c r="L2" t="s">
        <v>432</v>
      </c>
      <c r="M2" t="s">
        <v>433</v>
      </c>
      <c r="N2" t="s">
        <v>368</v>
      </c>
      <c r="O2" t="s">
        <v>434</v>
      </c>
      <c r="P2" t="s">
        <v>435</v>
      </c>
      <c r="Q2">
        <v>0.98</v>
      </c>
      <c r="R2" s="52" t="s">
        <v>436</v>
      </c>
      <c r="S2" t="s">
        <v>437</v>
      </c>
      <c r="T2" t="s">
        <v>438</v>
      </c>
      <c r="U2" t="s">
        <v>439</v>
      </c>
      <c r="V2" t="s">
        <v>440</v>
      </c>
      <c r="W2" t="s">
        <v>441</v>
      </c>
      <c r="X2" t="s">
        <v>442</v>
      </c>
      <c r="Y2">
        <v>25</v>
      </c>
      <c r="Z2" t="s">
        <v>443</v>
      </c>
      <c r="AA2" t="s">
        <v>444</v>
      </c>
      <c r="AB2" t="s">
        <v>445</v>
      </c>
      <c r="AC2" t="s">
        <v>446</v>
      </c>
      <c r="AD2" t="s">
        <v>447</v>
      </c>
      <c r="AF2" t="s">
        <v>448</v>
      </c>
      <c r="AG2" t="s">
        <v>449</v>
      </c>
      <c r="AH2" t="s">
        <v>449</v>
      </c>
      <c r="AI2" s="53">
        <v>45548</v>
      </c>
      <c r="AK2" t="s">
        <v>450</v>
      </c>
    </row>
    <row r="3" spans="1:38" x14ac:dyDescent="0.25">
      <c r="A3" t="s">
        <v>151</v>
      </c>
      <c r="B3" t="s">
        <v>150</v>
      </c>
      <c r="C3" t="s">
        <v>356</v>
      </c>
      <c r="D3" t="s">
        <v>357</v>
      </c>
      <c r="E3" t="s">
        <v>154</v>
      </c>
      <c r="F3" t="s">
        <v>166</v>
      </c>
      <c r="G3" t="s">
        <v>360</v>
      </c>
      <c r="H3" t="s">
        <v>359</v>
      </c>
      <c r="I3" t="s">
        <v>430</v>
      </c>
      <c r="J3" s="35" t="s">
        <v>451</v>
      </c>
      <c r="K3" t="s">
        <v>368</v>
      </c>
      <c r="L3" t="s">
        <v>432</v>
      </c>
      <c r="M3" t="s">
        <v>452</v>
      </c>
      <c r="N3" t="s">
        <v>368</v>
      </c>
      <c r="O3" t="s">
        <v>453</v>
      </c>
      <c r="P3" t="s">
        <v>435</v>
      </c>
      <c r="Q3">
        <f>46000/10^6</f>
        <v>4.5999999999999999E-2</v>
      </c>
      <c r="R3" s="52" t="s">
        <v>436</v>
      </c>
      <c r="S3" t="s">
        <v>437</v>
      </c>
      <c r="T3" t="s">
        <v>438</v>
      </c>
      <c r="U3" t="s">
        <v>439</v>
      </c>
      <c r="V3" t="s">
        <v>440</v>
      </c>
      <c r="W3" t="s">
        <v>441</v>
      </c>
      <c r="X3" t="s">
        <v>442</v>
      </c>
      <c r="Y3">
        <v>25</v>
      </c>
      <c r="Z3" t="s">
        <v>443</v>
      </c>
      <c r="AA3" t="s">
        <v>444</v>
      </c>
      <c r="AB3" t="s">
        <v>445</v>
      </c>
      <c r="AD3" t="s">
        <v>454</v>
      </c>
      <c r="AF3" t="s">
        <v>448</v>
      </c>
      <c r="AG3" t="s">
        <v>449</v>
      </c>
      <c r="AH3" t="s">
        <v>449</v>
      </c>
      <c r="AI3" s="53"/>
    </row>
    <row r="4" spans="1:38" x14ac:dyDescent="0.25">
      <c r="A4" t="s">
        <v>151</v>
      </c>
      <c r="B4" t="s">
        <v>150</v>
      </c>
      <c r="C4" t="s">
        <v>356</v>
      </c>
      <c r="D4" t="s">
        <v>357</v>
      </c>
      <c r="E4" t="s">
        <v>154</v>
      </c>
      <c r="F4" t="s">
        <v>169</v>
      </c>
      <c r="G4" t="s">
        <v>169</v>
      </c>
      <c r="H4" t="s">
        <v>359</v>
      </c>
      <c r="I4" t="s">
        <v>430</v>
      </c>
      <c r="J4" s="35" t="s">
        <v>455</v>
      </c>
      <c r="K4" t="s">
        <v>368</v>
      </c>
      <c r="L4" t="s">
        <v>432</v>
      </c>
      <c r="M4" t="s">
        <v>456</v>
      </c>
      <c r="N4" t="s">
        <v>368</v>
      </c>
      <c r="O4" t="s">
        <v>457</v>
      </c>
      <c r="P4" t="s">
        <v>435</v>
      </c>
      <c r="Q4">
        <f>960/10^6</f>
        <v>9.6000000000000002E-4</v>
      </c>
      <c r="R4" s="52" t="s">
        <v>436</v>
      </c>
      <c r="S4" t="s">
        <v>437</v>
      </c>
      <c r="T4" t="s">
        <v>438</v>
      </c>
      <c r="U4" t="s">
        <v>439</v>
      </c>
      <c r="V4" t="s">
        <v>440</v>
      </c>
      <c r="W4" t="s">
        <v>441</v>
      </c>
      <c r="X4" t="s">
        <v>442</v>
      </c>
      <c r="Y4">
        <v>25</v>
      </c>
      <c r="Z4" t="s">
        <v>443</v>
      </c>
      <c r="AA4" t="s">
        <v>444</v>
      </c>
      <c r="AB4" t="s">
        <v>445</v>
      </c>
      <c r="AD4" t="s">
        <v>290</v>
      </c>
      <c r="AF4" t="s">
        <v>448</v>
      </c>
      <c r="AG4" t="s">
        <v>449</v>
      </c>
      <c r="AH4" t="s">
        <v>449</v>
      </c>
      <c r="AI4" s="53"/>
    </row>
    <row r="5" spans="1:38" x14ac:dyDescent="0.25">
      <c r="A5" t="s">
        <v>151</v>
      </c>
      <c r="B5" t="s">
        <v>150</v>
      </c>
      <c r="C5" t="s">
        <v>356</v>
      </c>
      <c r="D5" t="s">
        <v>357</v>
      </c>
      <c r="E5" t="s">
        <v>154</v>
      </c>
      <c r="F5" t="s">
        <v>173</v>
      </c>
      <c r="G5" t="s">
        <v>361</v>
      </c>
      <c r="H5" t="s">
        <v>359</v>
      </c>
      <c r="I5" t="s">
        <v>430</v>
      </c>
      <c r="J5" s="35" t="s">
        <v>431</v>
      </c>
      <c r="K5" t="s">
        <v>368</v>
      </c>
      <c r="L5" t="s">
        <v>432</v>
      </c>
      <c r="M5" t="s">
        <v>458</v>
      </c>
      <c r="N5" t="s">
        <v>368</v>
      </c>
      <c r="O5" t="s">
        <v>459</v>
      </c>
      <c r="P5" t="s">
        <v>435</v>
      </c>
      <c r="Q5">
        <f>1100000/10^6</f>
        <v>1.1000000000000001</v>
      </c>
      <c r="R5" s="52" t="s">
        <v>436</v>
      </c>
      <c r="S5" t="s">
        <v>437</v>
      </c>
      <c r="T5" t="s">
        <v>438</v>
      </c>
      <c r="U5" t="s">
        <v>439</v>
      </c>
      <c r="V5" t="s">
        <v>440</v>
      </c>
      <c r="W5" t="s">
        <v>441</v>
      </c>
      <c r="X5" t="s">
        <v>442</v>
      </c>
      <c r="Y5">
        <v>25</v>
      </c>
      <c r="Z5" t="s">
        <v>443</v>
      </c>
      <c r="AA5" t="s">
        <v>460</v>
      </c>
      <c r="AB5" t="s">
        <v>445</v>
      </c>
      <c r="AD5" s="58" t="s">
        <v>461</v>
      </c>
      <c r="AF5" t="s">
        <v>448</v>
      </c>
      <c r="AG5" t="s">
        <v>449</v>
      </c>
      <c r="AH5" t="s">
        <v>449</v>
      </c>
      <c r="AI5" s="53"/>
    </row>
    <row r="6" spans="1:38" x14ac:dyDescent="0.25">
      <c r="A6" t="s">
        <v>185</v>
      </c>
      <c r="B6" t="s">
        <v>150</v>
      </c>
      <c r="C6" t="s">
        <v>362</v>
      </c>
      <c r="D6" t="s">
        <v>357</v>
      </c>
      <c r="E6" t="s">
        <v>188</v>
      </c>
      <c r="F6" t="s">
        <v>158</v>
      </c>
      <c r="G6" t="s">
        <v>358</v>
      </c>
      <c r="H6" t="s">
        <v>363</v>
      </c>
      <c r="I6" t="s">
        <v>462</v>
      </c>
      <c r="J6">
        <v>8</v>
      </c>
      <c r="K6">
        <v>8</v>
      </c>
      <c r="L6" t="s">
        <v>432</v>
      </c>
      <c r="M6" t="s">
        <v>463</v>
      </c>
      <c r="N6" t="s">
        <v>368</v>
      </c>
      <c r="O6" t="s">
        <v>464</v>
      </c>
      <c r="P6" t="s">
        <v>435</v>
      </c>
      <c r="Q6">
        <f>500000/10^6</f>
        <v>0.5</v>
      </c>
      <c r="R6" s="4">
        <v>7.0000000000000007E-2</v>
      </c>
      <c r="S6" t="s">
        <v>465</v>
      </c>
      <c r="T6" t="s">
        <v>466</v>
      </c>
      <c r="U6" t="s">
        <v>467</v>
      </c>
      <c r="V6" t="s">
        <v>468</v>
      </c>
      <c r="W6">
        <v>8760</v>
      </c>
      <c r="X6" t="s">
        <v>469</v>
      </c>
      <c r="Y6">
        <v>25</v>
      </c>
      <c r="Z6" t="s">
        <v>443</v>
      </c>
      <c r="AA6" t="s">
        <v>470</v>
      </c>
      <c r="AB6" t="s">
        <v>471</v>
      </c>
      <c r="AD6" t="s">
        <v>447</v>
      </c>
      <c r="AG6" t="s">
        <v>472</v>
      </c>
      <c r="AH6" t="s">
        <v>449</v>
      </c>
      <c r="AK6" t="s">
        <v>450</v>
      </c>
    </row>
    <row r="7" spans="1:38" x14ac:dyDescent="0.25">
      <c r="A7" t="s">
        <v>185</v>
      </c>
      <c r="B7" t="s">
        <v>150</v>
      </c>
      <c r="C7" t="s">
        <v>362</v>
      </c>
      <c r="D7" t="s">
        <v>357</v>
      </c>
      <c r="E7" t="s">
        <v>188</v>
      </c>
      <c r="F7" t="s">
        <v>166</v>
      </c>
      <c r="G7" t="s">
        <v>360</v>
      </c>
      <c r="H7" t="s">
        <v>363</v>
      </c>
      <c r="I7" t="s">
        <v>462</v>
      </c>
      <c r="J7">
        <v>12</v>
      </c>
      <c r="K7">
        <v>12</v>
      </c>
      <c r="L7" t="s">
        <v>432</v>
      </c>
      <c r="M7" t="s">
        <v>473</v>
      </c>
      <c r="N7" t="s">
        <v>368</v>
      </c>
      <c r="O7" s="3" t="s">
        <v>474</v>
      </c>
      <c r="P7" t="s">
        <v>435</v>
      </c>
      <c r="Q7">
        <f>4000/10^6</f>
        <v>4.0000000000000001E-3</v>
      </c>
      <c r="R7" s="4">
        <v>7.0000000000000007E-2</v>
      </c>
      <c r="S7" t="s">
        <v>465</v>
      </c>
      <c r="T7" t="s">
        <v>466</v>
      </c>
      <c r="U7" t="s">
        <v>467</v>
      </c>
      <c r="V7" t="s">
        <v>368</v>
      </c>
      <c r="W7">
        <v>8760</v>
      </c>
      <c r="X7" t="s">
        <v>475</v>
      </c>
      <c r="Y7">
        <v>25</v>
      </c>
      <c r="Z7" t="s">
        <v>443</v>
      </c>
      <c r="AA7" t="s">
        <v>470</v>
      </c>
      <c r="AB7" t="s">
        <v>471</v>
      </c>
      <c r="AD7" t="s">
        <v>50</v>
      </c>
      <c r="AG7" t="s">
        <v>472</v>
      </c>
      <c r="AH7" t="s">
        <v>449</v>
      </c>
      <c r="AK7" t="s">
        <v>450</v>
      </c>
    </row>
    <row r="8" spans="1:38" x14ac:dyDescent="0.25">
      <c r="A8" t="s">
        <v>185</v>
      </c>
      <c r="B8" t="s">
        <v>150</v>
      </c>
      <c r="C8" t="s">
        <v>362</v>
      </c>
      <c r="D8" t="s">
        <v>357</v>
      </c>
      <c r="E8" t="s">
        <v>188</v>
      </c>
      <c r="F8" t="s">
        <v>173</v>
      </c>
      <c r="G8" t="s">
        <v>364</v>
      </c>
      <c r="H8" t="s">
        <v>363</v>
      </c>
      <c r="I8" t="s">
        <v>462</v>
      </c>
      <c r="J8">
        <v>14</v>
      </c>
      <c r="K8">
        <v>14</v>
      </c>
      <c r="L8" t="s">
        <v>432</v>
      </c>
      <c r="M8" t="s">
        <v>476</v>
      </c>
      <c r="N8" t="s">
        <v>368</v>
      </c>
      <c r="O8" t="s">
        <v>477</v>
      </c>
      <c r="P8" t="s">
        <v>435</v>
      </c>
      <c r="Q8">
        <f>1000/10^6</f>
        <v>1E-3</v>
      </c>
      <c r="R8" s="4">
        <v>7.0000000000000007E-2</v>
      </c>
      <c r="S8" t="s">
        <v>465</v>
      </c>
      <c r="T8" t="s">
        <v>466</v>
      </c>
      <c r="U8" t="s">
        <v>467</v>
      </c>
      <c r="V8" t="s">
        <v>368</v>
      </c>
      <c r="W8">
        <v>8760</v>
      </c>
      <c r="X8" t="s">
        <v>469</v>
      </c>
      <c r="Y8">
        <v>25</v>
      </c>
      <c r="Z8" t="s">
        <v>443</v>
      </c>
      <c r="AA8" t="s">
        <v>470</v>
      </c>
      <c r="AB8" t="s">
        <v>471</v>
      </c>
      <c r="AD8" s="58" t="s">
        <v>478</v>
      </c>
      <c r="AG8" t="s">
        <v>472</v>
      </c>
      <c r="AH8" t="s">
        <v>449</v>
      </c>
      <c r="AK8" t="s">
        <v>450</v>
      </c>
    </row>
    <row r="9" spans="1:38" hidden="1" x14ac:dyDescent="0.25">
      <c r="A9" t="s">
        <v>199</v>
      </c>
      <c r="B9" t="s">
        <v>150</v>
      </c>
      <c r="C9" t="s">
        <v>366</v>
      </c>
      <c r="D9" t="s">
        <v>357</v>
      </c>
      <c r="E9" t="s">
        <v>202</v>
      </c>
      <c r="F9" t="s">
        <v>166</v>
      </c>
      <c r="G9" t="s">
        <v>166</v>
      </c>
      <c r="H9">
        <v>2023</v>
      </c>
      <c r="I9" t="s">
        <v>462</v>
      </c>
      <c r="J9" s="35" t="s">
        <v>479</v>
      </c>
      <c r="K9" t="s">
        <v>368</v>
      </c>
      <c r="L9" t="s">
        <v>480</v>
      </c>
      <c r="M9" t="s">
        <v>481</v>
      </c>
      <c r="N9" t="s">
        <v>368</v>
      </c>
      <c r="O9" t="s">
        <v>368</v>
      </c>
      <c r="P9" t="s">
        <v>435</v>
      </c>
      <c r="Q9">
        <v>0.1</v>
      </c>
      <c r="R9" s="4" t="s">
        <v>482</v>
      </c>
      <c r="S9" t="s">
        <v>483</v>
      </c>
      <c r="T9" t="s">
        <v>484</v>
      </c>
      <c r="U9" t="s">
        <v>485</v>
      </c>
      <c r="V9" t="s">
        <v>486</v>
      </c>
      <c r="W9" s="30">
        <v>7920</v>
      </c>
      <c r="X9">
        <v>0.9</v>
      </c>
      <c r="Y9">
        <v>10</v>
      </c>
      <c r="Z9" t="s">
        <v>443</v>
      </c>
      <c r="AA9" t="s">
        <v>487</v>
      </c>
      <c r="AB9" t="s">
        <v>487</v>
      </c>
      <c r="AC9" t="s">
        <v>334</v>
      </c>
      <c r="AD9" t="s">
        <v>488</v>
      </c>
      <c r="AE9" t="s">
        <v>489</v>
      </c>
      <c r="AF9" s="3"/>
      <c r="AG9" t="s">
        <v>449</v>
      </c>
    </row>
    <row r="10" spans="1:38" hidden="1" x14ac:dyDescent="0.25">
      <c r="A10" t="s">
        <v>208</v>
      </c>
      <c r="B10" t="s">
        <v>150</v>
      </c>
      <c r="C10" t="s">
        <v>366</v>
      </c>
      <c r="D10" t="s">
        <v>357</v>
      </c>
      <c r="E10" t="s">
        <v>210</v>
      </c>
      <c r="F10" t="s">
        <v>166</v>
      </c>
      <c r="G10" t="s">
        <v>166</v>
      </c>
      <c r="H10">
        <v>2022</v>
      </c>
      <c r="I10" t="s">
        <v>462</v>
      </c>
      <c r="J10" t="s">
        <v>368</v>
      </c>
      <c r="K10" t="s">
        <v>368</v>
      </c>
      <c r="L10" t="s">
        <v>432</v>
      </c>
      <c r="M10" t="s">
        <v>490</v>
      </c>
      <c r="N10" t="s">
        <v>368</v>
      </c>
      <c r="O10" t="s">
        <v>368</v>
      </c>
      <c r="P10" t="s">
        <v>435</v>
      </c>
      <c r="Q10" t="s">
        <v>368</v>
      </c>
      <c r="R10" s="4" t="s">
        <v>491</v>
      </c>
      <c r="S10" t="s">
        <v>492</v>
      </c>
      <c r="T10" t="s">
        <v>486</v>
      </c>
      <c r="U10" t="s">
        <v>493</v>
      </c>
      <c r="V10" t="s">
        <v>486</v>
      </c>
      <c r="W10" t="s">
        <v>486</v>
      </c>
      <c r="X10">
        <v>0.9</v>
      </c>
      <c r="Y10">
        <v>25</v>
      </c>
      <c r="Z10" t="s">
        <v>494</v>
      </c>
      <c r="AA10" t="s">
        <v>368</v>
      </c>
      <c r="AB10" t="s">
        <v>368</v>
      </c>
      <c r="AC10" t="s">
        <v>446</v>
      </c>
      <c r="AD10" t="s">
        <v>488</v>
      </c>
      <c r="AE10" t="s">
        <v>489</v>
      </c>
      <c r="AG10" t="s">
        <v>449</v>
      </c>
      <c r="AI10" s="53">
        <v>45552</v>
      </c>
      <c r="AJ10" t="s">
        <v>495</v>
      </c>
    </row>
    <row r="11" spans="1:38" x14ac:dyDescent="0.25">
      <c r="A11" t="s">
        <v>214</v>
      </c>
      <c r="B11" t="s">
        <v>150</v>
      </c>
      <c r="C11" t="s">
        <v>362</v>
      </c>
      <c r="D11" t="s">
        <v>357</v>
      </c>
      <c r="E11" t="s">
        <v>217</v>
      </c>
      <c r="F11" t="s">
        <v>158</v>
      </c>
      <c r="G11" t="s">
        <v>158</v>
      </c>
      <c r="H11" t="s">
        <v>370</v>
      </c>
      <c r="I11" t="s">
        <v>496</v>
      </c>
      <c r="J11" t="s">
        <v>497</v>
      </c>
      <c r="K11" s="54">
        <v>0.03</v>
      </c>
      <c r="L11" t="s">
        <v>480</v>
      </c>
      <c r="M11">
        <v>268</v>
      </c>
      <c r="N11" t="s">
        <v>368</v>
      </c>
      <c r="O11" t="s">
        <v>498</v>
      </c>
      <c r="P11" t="s">
        <v>499</v>
      </c>
      <c r="Q11">
        <v>1</v>
      </c>
      <c r="R11" s="4">
        <v>7.0000000000000007E-2</v>
      </c>
      <c r="S11" t="s">
        <v>500</v>
      </c>
      <c r="T11" t="s">
        <v>486</v>
      </c>
      <c r="U11" t="s">
        <v>501</v>
      </c>
      <c r="V11" t="s">
        <v>486</v>
      </c>
      <c r="W11">
        <v>8000</v>
      </c>
      <c r="Y11" t="s">
        <v>502</v>
      </c>
      <c r="Z11" t="s">
        <v>503</v>
      </c>
      <c r="AG11" t="s">
        <v>449</v>
      </c>
      <c r="AH11" t="s">
        <v>449</v>
      </c>
      <c r="AI11" s="53">
        <v>45546</v>
      </c>
      <c r="AK11" t="s">
        <v>450</v>
      </c>
    </row>
    <row r="12" spans="1:38" x14ac:dyDescent="0.25">
      <c r="A12" t="s">
        <v>214</v>
      </c>
      <c r="B12" t="s">
        <v>150</v>
      </c>
      <c r="C12" t="s">
        <v>362</v>
      </c>
      <c r="D12" t="s">
        <v>357</v>
      </c>
      <c r="E12" t="s">
        <v>217</v>
      </c>
      <c r="F12" t="s">
        <v>166</v>
      </c>
      <c r="G12" t="s">
        <v>166</v>
      </c>
      <c r="H12" t="s">
        <v>370</v>
      </c>
      <c r="I12" t="s">
        <v>496</v>
      </c>
      <c r="J12" t="s">
        <v>497</v>
      </c>
      <c r="K12" s="5">
        <v>3.6999999999999998E-2</v>
      </c>
      <c r="L12" t="s">
        <v>480</v>
      </c>
      <c r="M12">
        <v>222</v>
      </c>
      <c r="N12" t="s">
        <v>368</v>
      </c>
      <c r="O12" t="s">
        <v>504</v>
      </c>
      <c r="P12" t="s">
        <v>499</v>
      </c>
      <c r="Q12">
        <v>0.36</v>
      </c>
      <c r="R12" s="4">
        <v>7.0000000000000007E-2</v>
      </c>
      <c r="S12" t="s">
        <v>500</v>
      </c>
      <c r="T12" t="s">
        <v>486</v>
      </c>
      <c r="U12" t="s">
        <v>505</v>
      </c>
      <c r="V12" t="s">
        <v>486</v>
      </c>
      <c r="W12">
        <v>8000</v>
      </c>
      <c r="Y12" t="s">
        <v>506</v>
      </c>
      <c r="Z12" t="s">
        <v>503</v>
      </c>
      <c r="AG12" t="s">
        <v>449</v>
      </c>
      <c r="AH12" t="s">
        <v>449</v>
      </c>
      <c r="AI12" s="53"/>
    </row>
    <row r="13" spans="1:38" hidden="1" x14ac:dyDescent="0.25">
      <c r="A13" t="s">
        <v>223</v>
      </c>
      <c r="B13" t="s">
        <v>150</v>
      </c>
      <c r="C13" t="s">
        <v>362</v>
      </c>
      <c r="D13" t="s">
        <v>357</v>
      </c>
      <c r="E13" t="s">
        <v>226</v>
      </c>
      <c r="F13" t="s">
        <v>158</v>
      </c>
      <c r="G13" t="s">
        <v>358</v>
      </c>
      <c r="H13" t="s">
        <v>371</v>
      </c>
      <c r="I13" t="s">
        <v>507</v>
      </c>
      <c r="J13" t="s">
        <v>368</v>
      </c>
      <c r="K13" t="s">
        <v>368</v>
      </c>
      <c r="L13" t="s">
        <v>508</v>
      </c>
      <c r="M13" t="s">
        <v>509</v>
      </c>
      <c r="N13" t="s">
        <v>368</v>
      </c>
      <c r="O13" t="s">
        <v>368</v>
      </c>
      <c r="P13" t="s">
        <v>435</v>
      </c>
      <c r="Q13">
        <v>1</v>
      </c>
      <c r="R13" s="54">
        <v>0.12</v>
      </c>
      <c r="S13" t="s">
        <v>510</v>
      </c>
      <c r="T13" t="s">
        <v>511</v>
      </c>
      <c r="U13" t="s">
        <v>512</v>
      </c>
      <c r="V13" t="s">
        <v>513</v>
      </c>
      <c r="W13">
        <v>8000</v>
      </c>
      <c r="X13" s="54">
        <v>0.9</v>
      </c>
      <c r="Y13" s="55">
        <v>20</v>
      </c>
      <c r="Z13" s="55" t="s">
        <v>514</v>
      </c>
      <c r="AA13" s="55"/>
      <c r="AB13" s="55"/>
      <c r="AD13" t="s">
        <v>515</v>
      </c>
      <c r="AF13" t="s">
        <v>516</v>
      </c>
      <c r="AG13" t="s">
        <v>449</v>
      </c>
    </row>
    <row r="14" spans="1:38" hidden="1" x14ac:dyDescent="0.25">
      <c r="A14" t="s">
        <v>227</v>
      </c>
      <c r="B14" t="s">
        <v>150</v>
      </c>
      <c r="C14" t="s">
        <v>362</v>
      </c>
      <c r="D14" t="s">
        <v>357</v>
      </c>
      <c r="E14" s="49" t="s">
        <v>229</v>
      </c>
      <c r="F14" t="s">
        <v>158</v>
      </c>
      <c r="G14" t="s">
        <v>358</v>
      </c>
      <c r="H14" t="s">
        <v>371</v>
      </c>
      <c r="I14" t="s">
        <v>507</v>
      </c>
      <c r="J14" t="s">
        <v>368</v>
      </c>
      <c r="K14" t="s">
        <v>368</v>
      </c>
      <c r="L14" t="s">
        <v>508</v>
      </c>
      <c r="M14">
        <v>580</v>
      </c>
      <c r="N14" t="s">
        <v>368</v>
      </c>
      <c r="O14" t="s">
        <v>368</v>
      </c>
      <c r="P14" t="s">
        <v>435</v>
      </c>
      <c r="Q14">
        <v>1</v>
      </c>
      <c r="R14" s="54">
        <v>0.12</v>
      </c>
      <c r="S14" t="s">
        <v>510</v>
      </c>
      <c r="T14" t="s">
        <v>511</v>
      </c>
      <c r="U14" t="s">
        <v>512</v>
      </c>
      <c r="V14" t="s">
        <v>513</v>
      </c>
      <c r="W14">
        <v>8000</v>
      </c>
      <c r="X14" s="54">
        <v>0.9</v>
      </c>
      <c r="Y14">
        <v>20</v>
      </c>
      <c r="Z14" s="55" t="s">
        <v>514</v>
      </c>
      <c r="AA14" s="55"/>
      <c r="AB14" s="55"/>
      <c r="AF14" t="s">
        <v>517</v>
      </c>
      <c r="AG14" t="s">
        <v>449</v>
      </c>
      <c r="AK14" t="s">
        <v>450</v>
      </c>
      <c r="AL14" t="s">
        <v>372</v>
      </c>
    </row>
    <row r="15" spans="1:38" hidden="1" x14ac:dyDescent="0.25">
      <c r="A15" t="s">
        <v>230</v>
      </c>
      <c r="B15" t="s">
        <v>150</v>
      </c>
      <c r="C15" t="s">
        <v>362</v>
      </c>
      <c r="D15" t="s">
        <v>357</v>
      </c>
      <c r="E15" t="s">
        <v>232</v>
      </c>
      <c r="F15" t="s">
        <v>233</v>
      </c>
      <c r="G15" t="s">
        <v>373</v>
      </c>
      <c r="H15">
        <v>2022</v>
      </c>
      <c r="I15" t="s">
        <v>462</v>
      </c>
      <c r="J15" t="s">
        <v>368</v>
      </c>
      <c r="K15" t="s">
        <v>368</v>
      </c>
      <c r="L15" t="s">
        <v>432</v>
      </c>
      <c r="M15" t="s">
        <v>518</v>
      </c>
      <c r="N15" t="s">
        <v>368</v>
      </c>
      <c r="O15" t="s">
        <v>368</v>
      </c>
      <c r="P15" t="s">
        <v>435</v>
      </c>
      <c r="Q15">
        <v>1</v>
      </c>
      <c r="R15" s="5">
        <v>4.2000000000000003E-2</v>
      </c>
      <c r="S15" t="s">
        <v>519</v>
      </c>
      <c r="T15" t="s">
        <v>511</v>
      </c>
      <c r="U15" t="s">
        <v>520</v>
      </c>
      <c r="V15" t="s">
        <v>521</v>
      </c>
      <c r="X15">
        <v>0.9</v>
      </c>
      <c r="Y15">
        <v>25</v>
      </c>
      <c r="Z15" t="s">
        <v>522</v>
      </c>
      <c r="AA15" t="s">
        <v>368</v>
      </c>
      <c r="AB15" t="s">
        <v>523</v>
      </c>
      <c r="AD15" t="s">
        <v>447</v>
      </c>
      <c r="AG15" t="s">
        <v>449</v>
      </c>
      <c r="AI15" s="53">
        <v>45546</v>
      </c>
      <c r="AK15" t="s">
        <v>450</v>
      </c>
      <c r="AL15" s="48"/>
    </row>
    <row r="16" spans="1:38" hidden="1" x14ac:dyDescent="0.25">
      <c r="A16" t="s">
        <v>230</v>
      </c>
      <c r="B16" t="s">
        <v>150</v>
      </c>
      <c r="C16" t="s">
        <v>362</v>
      </c>
      <c r="D16" t="s">
        <v>357</v>
      </c>
      <c r="E16" t="s">
        <v>232</v>
      </c>
      <c r="F16" t="s">
        <v>233</v>
      </c>
      <c r="G16" t="s">
        <v>374</v>
      </c>
      <c r="H16">
        <v>2022</v>
      </c>
      <c r="I16" t="s">
        <v>462</v>
      </c>
      <c r="J16" t="s">
        <v>368</v>
      </c>
      <c r="K16" t="s">
        <v>368</v>
      </c>
      <c r="L16" t="s">
        <v>432</v>
      </c>
      <c r="M16" t="s">
        <v>524</v>
      </c>
      <c r="N16" t="s">
        <v>368</v>
      </c>
      <c r="O16" t="s">
        <v>368</v>
      </c>
      <c r="P16" t="s">
        <v>435</v>
      </c>
      <c r="Q16">
        <v>1.48</v>
      </c>
      <c r="R16" s="5">
        <v>4.2000000000000003E-2</v>
      </c>
      <c r="S16" t="s">
        <v>368</v>
      </c>
      <c r="T16" t="s">
        <v>511</v>
      </c>
      <c r="U16" t="s">
        <v>525</v>
      </c>
      <c r="V16" t="s">
        <v>513</v>
      </c>
      <c r="X16">
        <v>0.9</v>
      </c>
      <c r="Y16">
        <v>25</v>
      </c>
      <c r="Z16" t="s">
        <v>522</v>
      </c>
      <c r="AA16" t="s">
        <v>368</v>
      </c>
      <c r="AB16" t="s">
        <v>523</v>
      </c>
      <c r="AD16" t="s">
        <v>447</v>
      </c>
      <c r="AG16" t="s">
        <v>449</v>
      </c>
      <c r="AI16" s="53">
        <v>45546</v>
      </c>
      <c r="AK16" t="s">
        <v>450</v>
      </c>
      <c r="AL16" s="48"/>
    </row>
    <row r="17" spans="1:37" hidden="1" x14ac:dyDescent="0.25">
      <c r="A17" t="s">
        <v>234</v>
      </c>
      <c r="B17" t="s">
        <v>150</v>
      </c>
      <c r="C17" t="s">
        <v>362</v>
      </c>
      <c r="D17" t="s">
        <v>357</v>
      </c>
      <c r="E17" t="s">
        <v>236</v>
      </c>
      <c r="F17" t="s">
        <v>166</v>
      </c>
      <c r="G17" t="s">
        <v>375</v>
      </c>
      <c r="H17">
        <v>2023</v>
      </c>
      <c r="I17" t="s">
        <v>526</v>
      </c>
      <c r="J17" t="s">
        <v>368</v>
      </c>
      <c r="K17" t="s">
        <v>368</v>
      </c>
      <c r="L17" t="s">
        <v>432</v>
      </c>
      <c r="M17" t="s">
        <v>527</v>
      </c>
      <c r="N17" t="s">
        <v>368</v>
      </c>
      <c r="O17" t="s">
        <v>368</v>
      </c>
      <c r="P17" t="s">
        <v>499</v>
      </c>
      <c r="Q17">
        <v>1</v>
      </c>
      <c r="R17" s="54">
        <v>5.0999999999999997E-2</v>
      </c>
      <c r="S17" t="s">
        <v>528</v>
      </c>
      <c r="T17" t="s">
        <v>529</v>
      </c>
      <c r="U17" t="s">
        <v>530</v>
      </c>
      <c r="V17" t="s">
        <v>511</v>
      </c>
      <c r="W17">
        <v>8000</v>
      </c>
      <c r="Y17">
        <v>20</v>
      </c>
      <c r="Z17" t="s">
        <v>443</v>
      </c>
      <c r="AA17" t="s">
        <v>531</v>
      </c>
      <c r="AB17" t="s">
        <v>532</v>
      </c>
      <c r="AG17" t="s">
        <v>449</v>
      </c>
      <c r="AI17" s="53">
        <v>45547</v>
      </c>
      <c r="AJ17" t="s">
        <v>533</v>
      </c>
    </row>
    <row r="18" spans="1:37" s="58" customFormat="1" hidden="1" x14ac:dyDescent="0.25">
      <c r="A18" s="58" t="s">
        <v>240</v>
      </c>
      <c r="C18" s="58" t="s">
        <v>366</v>
      </c>
      <c r="D18" s="58" t="s">
        <v>357</v>
      </c>
      <c r="E18" s="58" t="s">
        <v>243</v>
      </c>
      <c r="F18" s="58" t="s">
        <v>158</v>
      </c>
      <c r="H18" s="58">
        <v>2020</v>
      </c>
      <c r="I18" s="58" t="s">
        <v>430</v>
      </c>
      <c r="J18" s="58" t="s">
        <v>368</v>
      </c>
      <c r="K18" s="58" t="s">
        <v>368</v>
      </c>
      <c r="L18" s="58" t="s">
        <v>432</v>
      </c>
      <c r="M18" s="58" t="s">
        <v>534</v>
      </c>
      <c r="N18" s="58" t="s">
        <v>368</v>
      </c>
      <c r="O18" s="58" t="s">
        <v>368</v>
      </c>
      <c r="P18" s="58" t="s">
        <v>435</v>
      </c>
      <c r="Q18" s="58">
        <v>1</v>
      </c>
      <c r="R18" s="71">
        <v>8.5000000000000006E-2</v>
      </c>
      <c r="S18" s="58" t="s">
        <v>535</v>
      </c>
      <c r="T18" s="58" t="s">
        <v>536</v>
      </c>
      <c r="U18" s="58" t="s">
        <v>537</v>
      </c>
      <c r="V18" s="58" t="s">
        <v>468</v>
      </c>
      <c r="W18" s="72">
        <v>7884</v>
      </c>
      <c r="X18" s="58">
        <v>0.9</v>
      </c>
      <c r="Y18" s="58">
        <v>20</v>
      </c>
      <c r="Z18" s="58" t="s">
        <v>503</v>
      </c>
      <c r="AA18" s="58" t="s">
        <v>368</v>
      </c>
      <c r="AB18" s="58" t="s">
        <v>368</v>
      </c>
      <c r="AC18" s="58" t="s">
        <v>538</v>
      </c>
      <c r="AD18" s="58" t="s">
        <v>539</v>
      </c>
      <c r="AE18" s="58" t="s">
        <v>540</v>
      </c>
      <c r="AF18" s="58" t="s">
        <v>541</v>
      </c>
      <c r="AG18" s="58" t="s">
        <v>449</v>
      </c>
    </row>
    <row r="19" spans="1:37" hidden="1" x14ac:dyDescent="0.25">
      <c r="A19" t="s">
        <v>247</v>
      </c>
      <c r="B19" t="s">
        <v>150</v>
      </c>
      <c r="C19" t="s">
        <v>362</v>
      </c>
      <c r="D19" t="s">
        <v>357</v>
      </c>
      <c r="E19" t="s">
        <v>249</v>
      </c>
      <c r="F19" t="s">
        <v>166</v>
      </c>
      <c r="G19" t="s">
        <v>376</v>
      </c>
      <c r="H19">
        <v>2023</v>
      </c>
      <c r="I19" t="s">
        <v>462</v>
      </c>
      <c r="J19" t="s">
        <v>368</v>
      </c>
      <c r="K19" t="s">
        <v>368</v>
      </c>
      <c r="L19" t="s">
        <v>480</v>
      </c>
      <c r="M19" t="s">
        <v>542</v>
      </c>
      <c r="N19" t="s">
        <v>368</v>
      </c>
      <c r="O19" t="s">
        <v>368</v>
      </c>
      <c r="P19" t="s">
        <v>435</v>
      </c>
      <c r="Q19">
        <f>1000/10^6</f>
        <v>1E-3</v>
      </c>
      <c r="R19" s="54">
        <v>0.12</v>
      </c>
      <c r="S19" t="s">
        <v>543</v>
      </c>
      <c r="T19" t="s">
        <v>544</v>
      </c>
      <c r="U19" t="s">
        <v>368</v>
      </c>
      <c r="V19" t="s">
        <v>368</v>
      </c>
      <c r="X19" s="54">
        <v>1</v>
      </c>
      <c r="Y19">
        <v>20</v>
      </c>
      <c r="Z19" t="s">
        <v>545</v>
      </c>
      <c r="AB19" t="s">
        <v>523</v>
      </c>
      <c r="AF19" t="s">
        <v>546</v>
      </c>
      <c r="AG19" t="s">
        <v>449</v>
      </c>
    </row>
    <row r="20" spans="1:37" hidden="1" x14ac:dyDescent="0.25">
      <c r="A20" t="s">
        <v>247</v>
      </c>
      <c r="B20" t="s">
        <v>150</v>
      </c>
      <c r="C20" t="s">
        <v>362</v>
      </c>
      <c r="D20" t="s">
        <v>357</v>
      </c>
      <c r="E20" t="s">
        <v>249</v>
      </c>
      <c r="F20" t="s">
        <v>250</v>
      </c>
      <c r="G20" t="s">
        <v>377</v>
      </c>
      <c r="H20">
        <v>2023</v>
      </c>
      <c r="I20" t="s">
        <v>462</v>
      </c>
      <c r="J20" t="s">
        <v>368</v>
      </c>
      <c r="K20" t="s">
        <v>368</v>
      </c>
      <c r="L20" t="s">
        <v>480</v>
      </c>
      <c r="M20" t="s">
        <v>547</v>
      </c>
      <c r="N20" t="s">
        <v>368</v>
      </c>
      <c r="O20" t="s">
        <v>368</v>
      </c>
      <c r="P20" t="s">
        <v>435</v>
      </c>
      <c r="Q20">
        <f>1000/10^6</f>
        <v>1E-3</v>
      </c>
      <c r="R20" s="54">
        <v>0.12</v>
      </c>
      <c r="S20" t="s">
        <v>543</v>
      </c>
      <c r="T20" t="s">
        <v>544</v>
      </c>
      <c r="U20" t="s">
        <v>368</v>
      </c>
      <c r="V20" t="s">
        <v>368</v>
      </c>
      <c r="X20" s="54">
        <v>1</v>
      </c>
      <c r="Y20">
        <v>20</v>
      </c>
      <c r="Z20" t="s">
        <v>545</v>
      </c>
      <c r="AB20" t="s">
        <v>523</v>
      </c>
      <c r="AF20" t="s">
        <v>546</v>
      </c>
      <c r="AG20" t="s">
        <v>449</v>
      </c>
    </row>
    <row r="21" spans="1:37" s="48" customFormat="1" hidden="1" x14ac:dyDescent="0.25">
      <c r="A21" s="48" t="s">
        <v>251</v>
      </c>
      <c r="B21" s="48" t="s">
        <v>365</v>
      </c>
      <c r="D21" s="48" t="s">
        <v>357</v>
      </c>
      <c r="E21" s="48" t="s">
        <v>254</v>
      </c>
      <c r="F21" s="48" t="s">
        <v>166</v>
      </c>
      <c r="AF21" s="48" t="s">
        <v>548</v>
      </c>
      <c r="AG21" t="s">
        <v>549</v>
      </c>
      <c r="AH21"/>
    </row>
    <row r="22" spans="1:37" hidden="1" x14ac:dyDescent="0.25">
      <c r="A22" t="s">
        <v>255</v>
      </c>
      <c r="B22" t="s">
        <v>150</v>
      </c>
      <c r="C22" t="s">
        <v>366</v>
      </c>
      <c r="D22" t="s">
        <v>357</v>
      </c>
      <c r="E22" t="s">
        <v>258</v>
      </c>
      <c r="F22" t="s">
        <v>259</v>
      </c>
      <c r="G22" t="s">
        <v>378</v>
      </c>
      <c r="H22">
        <v>2011</v>
      </c>
      <c r="I22" t="s">
        <v>550</v>
      </c>
      <c r="J22" t="s">
        <v>368</v>
      </c>
      <c r="K22" t="s">
        <v>368</v>
      </c>
      <c r="L22" t="s">
        <v>551</v>
      </c>
      <c r="M22" t="s">
        <v>552</v>
      </c>
      <c r="N22" t="s">
        <v>368</v>
      </c>
      <c r="O22" t="s">
        <v>368</v>
      </c>
      <c r="P22" t="s">
        <v>435</v>
      </c>
      <c r="Q22">
        <v>1</v>
      </c>
      <c r="R22" s="4">
        <v>0.1</v>
      </c>
      <c r="S22" t="s">
        <v>553</v>
      </c>
      <c r="T22" t="s">
        <v>486</v>
      </c>
      <c r="U22" t="s">
        <v>554</v>
      </c>
      <c r="V22" t="s">
        <v>368</v>
      </c>
      <c r="W22" s="56">
        <v>7900</v>
      </c>
      <c r="X22" s="54">
        <v>0.9</v>
      </c>
      <c r="Y22">
        <v>30</v>
      </c>
      <c r="Z22" s="55" t="s">
        <v>514</v>
      </c>
      <c r="AA22" s="55" t="s">
        <v>368</v>
      </c>
      <c r="AB22" s="55" t="s">
        <v>368</v>
      </c>
      <c r="AC22" t="s">
        <v>446</v>
      </c>
      <c r="AD22" t="s">
        <v>488</v>
      </c>
      <c r="AE22" t="s">
        <v>555</v>
      </c>
      <c r="AF22" s="3"/>
      <c r="AG22" t="s">
        <v>449</v>
      </c>
    </row>
    <row r="23" spans="1:37" hidden="1" x14ac:dyDescent="0.25">
      <c r="A23" t="s">
        <v>267</v>
      </c>
      <c r="B23" t="s">
        <v>150</v>
      </c>
      <c r="C23" t="s">
        <v>366</v>
      </c>
      <c r="D23" t="s">
        <v>357</v>
      </c>
      <c r="E23" t="s">
        <v>270</v>
      </c>
      <c r="F23" t="s">
        <v>158</v>
      </c>
      <c r="G23" t="s">
        <v>158</v>
      </c>
      <c r="H23">
        <v>2023</v>
      </c>
      <c r="I23" t="s">
        <v>462</v>
      </c>
      <c r="J23" t="s">
        <v>368</v>
      </c>
      <c r="K23" t="s">
        <v>368</v>
      </c>
      <c r="L23" t="s">
        <v>432</v>
      </c>
      <c r="M23" t="s">
        <v>556</v>
      </c>
      <c r="N23" t="s">
        <v>368</v>
      </c>
      <c r="O23" t="s">
        <v>368</v>
      </c>
      <c r="P23" t="s">
        <v>435</v>
      </c>
      <c r="Q23">
        <v>1</v>
      </c>
      <c r="R23" t="s">
        <v>557</v>
      </c>
      <c r="S23" t="s">
        <v>558</v>
      </c>
      <c r="T23" t="s">
        <v>559</v>
      </c>
      <c r="U23" t="s">
        <v>560</v>
      </c>
      <c r="V23" t="s">
        <v>468</v>
      </c>
      <c r="W23">
        <v>7884</v>
      </c>
      <c r="X23" s="54">
        <v>0.9</v>
      </c>
      <c r="Y23">
        <v>20</v>
      </c>
      <c r="Z23" t="s">
        <v>561</v>
      </c>
      <c r="AA23" t="s">
        <v>368</v>
      </c>
      <c r="AB23" t="s">
        <v>368</v>
      </c>
      <c r="AC23" t="s">
        <v>562</v>
      </c>
      <c r="AE23" t="s">
        <v>563</v>
      </c>
      <c r="AF23" t="s">
        <v>564</v>
      </c>
      <c r="AG23" t="s">
        <v>449</v>
      </c>
      <c r="AI23" s="53" t="s">
        <v>565</v>
      </c>
      <c r="AJ23" t="s">
        <v>566</v>
      </c>
    </row>
    <row r="24" spans="1:37" hidden="1" x14ac:dyDescent="0.25">
      <c r="A24" t="s">
        <v>267</v>
      </c>
      <c r="B24" t="s">
        <v>150</v>
      </c>
      <c r="C24" t="s">
        <v>366</v>
      </c>
      <c r="D24" t="s">
        <v>357</v>
      </c>
      <c r="E24" t="s">
        <v>270</v>
      </c>
      <c r="F24" t="s">
        <v>166</v>
      </c>
      <c r="G24" t="s">
        <v>166</v>
      </c>
      <c r="H24">
        <v>2023</v>
      </c>
      <c r="I24" t="s">
        <v>462</v>
      </c>
      <c r="J24" t="s">
        <v>368</v>
      </c>
      <c r="K24" t="s">
        <v>368</v>
      </c>
      <c r="L24" t="s">
        <v>432</v>
      </c>
      <c r="M24" t="s">
        <v>567</v>
      </c>
      <c r="N24" t="s">
        <v>368</v>
      </c>
      <c r="O24" t="s">
        <v>368</v>
      </c>
      <c r="P24" t="s">
        <v>435</v>
      </c>
      <c r="Q24" t="s">
        <v>381</v>
      </c>
      <c r="R24" t="s">
        <v>557</v>
      </c>
      <c r="S24" t="s">
        <v>558</v>
      </c>
      <c r="T24" t="s">
        <v>559</v>
      </c>
      <c r="U24" t="s">
        <v>560</v>
      </c>
      <c r="V24" t="s">
        <v>468</v>
      </c>
      <c r="W24">
        <v>7884</v>
      </c>
      <c r="X24" s="54">
        <v>0.9</v>
      </c>
      <c r="Y24">
        <v>40</v>
      </c>
      <c r="Z24" t="s">
        <v>561</v>
      </c>
      <c r="AA24" t="s">
        <v>368</v>
      </c>
      <c r="AB24" t="s">
        <v>368</v>
      </c>
      <c r="AC24" t="s">
        <v>562</v>
      </c>
      <c r="AE24" t="s">
        <v>563</v>
      </c>
      <c r="AF24" t="s">
        <v>564</v>
      </c>
      <c r="AG24" t="s">
        <v>449</v>
      </c>
      <c r="AI24" s="53" t="s">
        <v>565</v>
      </c>
      <c r="AJ24" t="s">
        <v>566</v>
      </c>
    </row>
    <row r="25" spans="1:37" s="60" customFormat="1" hidden="1" x14ac:dyDescent="0.25">
      <c r="A25" s="60" t="s">
        <v>271</v>
      </c>
      <c r="D25" s="60" t="s">
        <v>357</v>
      </c>
      <c r="E25" s="60" t="s">
        <v>274</v>
      </c>
      <c r="F25" s="60" t="s">
        <v>158</v>
      </c>
      <c r="G25" s="60" t="s">
        <v>382</v>
      </c>
      <c r="AF25" s="60" t="s">
        <v>568</v>
      </c>
      <c r="AG25" s="60" t="s">
        <v>569</v>
      </c>
      <c r="AI25" s="93" t="s">
        <v>565</v>
      </c>
      <c r="AK25" s="60" t="s">
        <v>570</v>
      </c>
    </row>
    <row r="26" spans="1:37" x14ac:dyDescent="0.25">
      <c r="A26" t="s">
        <v>275</v>
      </c>
      <c r="B26" t="s">
        <v>150</v>
      </c>
      <c r="C26" t="s">
        <v>362</v>
      </c>
      <c r="D26" t="s">
        <v>357</v>
      </c>
      <c r="E26" t="s">
        <v>277</v>
      </c>
      <c r="F26" t="s">
        <v>158</v>
      </c>
      <c r="G26" t="s">
        <v>358</v>
      </c>
      <c r="H26" t="s">
        <v>384</v>
      </c>
      <c r="I26" t="s">
        <v>571</v>
      </c>
      <c r="J26" t="s">
        <v>368</v>
      </c>
      <c r="K26" t="s">
        <v>368</v>
      </c>
      <c r="L26" t="s">
        <v>480</v>
      </c>
      <c r="M26" t="s">
        <v>572</v>
      </c>
      <c r="N26" t="s">
        <v>368</v>
      </c>
      <c r="O26" t="s">
        <v>573</v>
      </c>
      <c r="P26" t="s">
        <v>435</v>
      </c>
      <c r="Q26">
        <v>1</v>
      </c>
      <c r="R26" t="s">
        <v>574</v>
      </c>
      <c r="S26" t="s">
        <v>575</v>
      </c>
      <c r="T26" t="s">
        <v>511</v>
      </c>
      <c r="U26" t="s">
        <v>576</v>
      </c>
      <c r="V26" t="s">
        <v>468</v>
      </c>
      <c r="X26" s="54">
        <v>0.9</v>
      </c>
      <c r="Y26">
        <v>25</v>
      </c>
      <c r="Z26" t="s">
        <v>577</v>
      </c>
      <c r="AF26" t="s">
        <v>578</v>
      </c>
      <c r="AG26" t="s">
        <v>449</v>
      </c>
      <c r="AH26" t="s">
        <v>449</v>
      </c>
      <c r="AK26" t="s">
        <v>579</v>
      </c>
    </row>
    <row r="27" spans="1:37" hidden="1" x14ac:dyDescent="0.25">
      <c r="A27" t="s">
        <v>278</v>
      </c>
      <c r="B27" t="s">
        <v>150</v>
      </c>
      <c r="C27" t="s">
        <v>366</v>
      </c>
      <c r="D27" t="s">
        <v>357</v>
      </c>
      <c r="E27" t="s">
        <v>281</v>
      </c>
      <c r="F27" t="s">
        <v>166</v>
      </c>
      <c r="G27" t="s">
        <v>166</v>
      </c>
      <c r="H27">
        <v>2024</v>
      </c>
      <c r="I27" t="s">
        <v>526</v>
      </c>
      <c r="J27" t="s">
        <v>368</v>
      </c>
      <c r="K27" t="s">
        <v>368</v>
      </c>
      <c r="L27" t="s">
        <v>480</v>
      </c>
      <c r="M27">
        <v>1014</v>
      </c>
      <c r="N27" t="s">
        <v>368</v>
      </c>
      <c r="O27" t="s">
        <v>368</v>
      </c>
      <c r="P27" t="s">
        <v>499</v>
      </c>
      <c r="Q27">
        <v>1</v>
      </c>
      <c r="R27" s="5">
        <v>0.06</v>
      </c>
      <c r="S27" t="s">
        <v>580</v>
      </c>
      <c r="T27" t="s">
        <v>581</v>
      </c>
      <c r="U27" t="s">
        <v>368</v>
      </c>
      <c r="V27" t="s">
        <v>582</v>
      </c>
      <c r="W27">
        <v>8760</v>
      </c>
      <c r="X27" s="54">
        <v>1</v>
      </c>
      <c r="Y27">
        <v>25</v>
      </c>
      <c r="Z27" t="s">
        <v>443</v>
      </c>
      <c r="AA27" t="s">
        <v>368</v>
      </c>
      <c r="AB27" t="s">
        <v>368</v>
      </c>
      <c r="AC27" t="s">
        <v>446</v>
      </c>
      <c r="AF27" t="s">
        <v>583</v>
      </c>
      <c r="AG27" t="s">
        <v>449</v>
      </c>
      <c r="AH27" t="s">
        <v>449</v>
      </c>
      <c r="AK27" t="s">
        <v>584</v>
      </c>
    </row>
    <row r="28" spans="1:37" hidden="1" x14ac:dyDescent="0.25">
      <c r="A28" s="88" t="s">
        <v>285</v>
      </c>
      <c r="B28" s="60"/>
      <c r="C28" s="60" t="s">
        <v>366</v>
      </c>
      <c r="D28" s="60" t="s">
        <v>357</v>
      </c>
      <c r="E28" s="60" t="s">
        <v>288</v>
      </c>
      <c r="F28" s="60" t="s">
        <v>158</v>
      </c>
      <c r="G28" s="60" t="s">
        <v>386</v>
      </c>
      <c r="H28" s="60">
        <v>2023</v>
      </c>
      <c r="I28" s="60" t="s">
        <v>430</v>
      </c>
      <c r="J28" s="60"/>
      <c r="K28" s="60"/>
      <c r="L28" s="60" t="s">
        <v>480</v>
      </c>
      <c r="M28" s="60"/>
      <c r="N28" s="60"/>
      <c r="O28" s="60"/>
      <c r="P28" s="60" t="s">
        <v>435</v>
      </c>
      <c r="Q28" s="60"/>
      <c r="R28" s="89">
        <v>7.0000000000000007E-2</v>
      </c>
      <c r="S28" s="60"/>
      <c r="T28" s="60"/>
      <c r="U28" s="60"/>
      <c r="V28" s="60"/>
      <c r="W28" s="60"/>
      <c r="X28" s="60"/>
      <c r="Y28" s="60">
        <v>20</v>
      </c>
      <c r="Z28" s="60" t="s">
        <v>577</v>
      </c>
      <c r="AA28" s="60"/>
      <c r="AB28" s="60"/>
      <c r="AC28" s="60"/>
      <c r="AD28" s="60" t="s">
        <v>447</v>
      </c>
      <c r="AE28" s="60"/>
      <c r="AF28" s="60" t="s">
        <v>585</v>
      </c>
      <c r="AG28" t="s">
        <v>569</v>
      </c>
      <c r="AI28" s="53" t="s">
        <v>565</v>
      </c>
      <c r="AJ28" s="48" t="s">
        <v>586</v>
      </c>
      <c r="AK28" t="s">
        <v>587</v>
      </c>
    </row>
    <row r="29" spans="1:37" hidden="1" x14ac:dyDescent="0.25">
      <c r="A29" s="88" t="s">
        <v>285</v>
      </c>
      <c r="B29" s="60"/>
      <c r="C29" s="60" t="s">
        <v>366</v>
      </c>
      <c r="D29" s="60" t="s">
        <v>357</v>
      </c>
      <c r="E29" s="60" t="s">
        <v>288</v>
      </c>
      <c r="F29" s="60" t="s">
        <v>169</v>
      </c>
      <c r="G29" s="60" t="s">
        <v>387</v>
      </c>
      <c r="H29" s="60">
        <v>2023</v>
      </c>
      <c r="I29" s="60" t="s">
        <v>430</v>
      </c>
      <c r="J29" s="60"/>
      <c r="K29" s="60"/>
      <c r="L29" s="60" t="s">
        <v>480</v>
      </c>
      <c r="M29" s="60"/>
      <c r="N29" s="60"/>
      <c r="O29" s="60"/>
      <c r="P29" s="60" t="s">
        <v>435</v>
      </c>
      <c r="Q29" s="60"/>
      <c r="R29" s="89">
        <v>7.0000000000000007E-2</v>
      </c>
      <c r="S29" s="60"/>
      <c r="T29" s="60"/>
      <c r="U29" s="60"/>
      <c r="V29" s="60"/>
      <c r="W29" s="60"/>
      <c r="X29" s="60"/>
      <c r="Y29" s="60">
        <v>20</v>
      </c>
      <c r="Z29" s="60" t="s">
        <v>577</v>
      </c>
      <c r="AA29" s="60"/>
      <c r="AB29" s="60"/>
      <c r="AC29" s="60"/>
      <c r="AD29" s="60" t="s">
        <v>588</v>
      </c>
      <c r="AE29" s="60"/>
      <c r="AF29" s="60" t="s">
        <v>585</v>
      </c>
      <c r="AG29" t="s">
        <v>569</v>
      </c>
      <c r="AI29" s="53" t="s">
        <v>565</v>
      </c>
      <c r="AJ29" s="48" t="s">
        <v>586</v>
      </c>
      <c r="AK29" t="s">
        <v>587</v>
      </c>
    </row>
    <row r="30" spans="1:37" hidden="1" x14ac:dyDescent="0.25">
      <c r="A30" s="88" t="s">
        <v>285</v>
      </c>
      <c r="B30" s="60"/>
      <c r="C30" s="60" t="s">
        <v>366</v>
      </c>
      <c r="D30" s="60" t="s">
        <v>357</v>
      </c>
      <c r="E30" s="60" t="s">
        <v>288</v>
      </c>
      <c r="F30" s="60" t="s">
        <v>166</v>
      </c>
      <c r="G30" s="60" t="s">
        <v>388</v>
      </c>
      <c r="H30" s="60">
        <v>2023</v>
      </c>
      <c r="I30" s="60" t="s">
        <v>430</v>
      </c>
      <c r="J30" s="60"/>
      <c r="K30" s="60"/>
      <c r="L30" s="60" t="s">
        <v>480</v>
      </c>
      <c r="M30" s="60"/>
      <c r="N30" s="60"/>
      <c r="O30" s="60"/>
      <c r="P30" s="60" t="s">
        <v>435</v>
      </c>
      <c r="Q30" s="60"/>
      <c r="R30" s="89">
        <v>7.0000000000000007E-2</v>
      </c>
      <c r="S30" s="60"/>
      <c r="T30" s="60"/>
      <c r="U30" s="60"/>
      <c r="V30" s="60"/>
      <c r="W30" s="60"/>
      <c r="X30" s="60"/>
      <c r="Y30" s="60">
        <v>20</v>
      </c>
      <c r="Z30" s="60" t="s">
        <v>577</v>
      </c>
      <c r="AA30" s="60"/>
      <c r="AB30" s="60"/>
      <c r="AC30" s="60"/>
      <c r="AD30" s="60" t="s">
        <v>589</v>
      </c>
      <c r="AE30" s="60"/>
      <c r="AF30" s="60" t="s">
        <v>585</v>
      </c>
      <c r="AG30" t="s">
        <v>569</v>
      </c>
      <c r="AI30" s="53" t="s">
        <v>565</v>
      </c>
      <c r="AJ30" s="48" t="s">
        <v>586</v>
      </c>
      <c r="AK30" t="s">
        <v>587</v>
      </c>
    </row>
    <row r="31" spans="1:37" ht="25.9" hidden="1" customHeight="1" x14ac:dyDescent="0.25">
      <c r="A31" s="88" t="s">
        <v>285</v>
      </c>
      <c r="B31" s="60"/>
      <c r="C31" s="60" t="s">
        <v>366</v>
      </c>
      <c r="D31" s="60" t="s">
        <v>357</v>
      </c>
      <c r="E31" s="60" t="s">
        <v>288</v>
      </c>
      <c r="F31" s="60" t="s">
        <v>289</v>
      </c>
      <c r="G31" s="60" t="s">
        <v>389</v>
      </c>
      <c r="H31" s="60">
        <v>2023</v>
      </c>
      <c r="I31" s="60" t="s">
        <v>430</v>
      </c>
      <c r="J31" s="60"/>
      <c r="K31" s="60"/>
      <c r="L31" s="60" t="s">
        <v>480</v>
      </c>
      <c r="M31" s="60"/>
      <c r="N31" s="60"/>
      <c r="O31" s="60"/>
      <c r="P31" s="60" t="s">
        <v>435</v>
      </c>
      <c r="Q31" s="60"/>
      <c r="R31" s="89">
        <v>7.0000000000000007E-2</v>
      </c>
      <c r="S31" s="60"/>
      <c r="T31" s="60"/>
      <c r="U31" s="60"/>
      <c r="V31" s="60"/>
      <c r="W31" s="60"/>
      <c r="X31" s="60"/>
      <c r="Y31" s="60">
        <v>20</v>
      </c>
      <c r="Z31" s="60" t="s">
        <v>577</v>
      </c>
      <c r="AA31" s="60"/>
      <c r="AB31" s="60"/>
      <c r="AC31" s="60"/>
      <c r="AD31" s="110" t="s">
        <v>590</v>
      </c>
      <c r="AE31" s="60"/>
      <c r="AF31" s="60" t="s">
        <v>585</v>
      </c>
      <c r="AG31" t="s">
        <v>569</v>
      </c>
      <c r="AI31" s="53" t="s">
        <v>565</v>
      </c>
      <c r="AJ31" s="48" t="s">
        <v>586</v>
      </c>
      <c r="AK31" t="s">
        <v>587</v>
      </c>
    </row>
    <row r="32" spans="1:37" s="48" customFormat="1" hidden="1" x14ac:dyDescent="0.25">
      <c r="A32" s="48" t="s">
        <v>290</v>
      </c>
      <c r="D32" s="48" t="s">
        <v>357</v>
      </c>
      <c r="E32" s="48" t="s">
        <v>293</v>
      </c>
      <c r="AF32" s="48" t="s">
        <v>585</v>
      </c>
      <c r="AG32" t="s">
        <v>549</v>
      </c>
      <c r="AH32"/>
      <c r="AI32" s="87" t="s">
        <v>565</v>
      </c>
      <c r="AK32" s="48" t="s">
        <v>587</v>
      </c>
    </row>
    <row r="33" spans="1:37" s="58" customFormat="1" hidden="1" x14ac:dyDescent="0.25">
      <c r="A33" s="58" t="s">
        <v>294</v>
      </c>
      <c r="C33" s="58" t="s">
        <v>366</v>
      </c>
      <c r="D33" s="58" t="s">
        <v>357</v>
      </c>
      <c r="E33" s="58" t="s">
        <v>297</v>
      </c>
      <c r="F33" s="58" t="s">
        <v>298</v>
      </c>
      <c r="G33" s="58" t="s">
        <v>390</v>
      </c>
      <c r="H33" s="58">
        <v>2020</v>
      </c>
      <c r="I33" s="58" t="s">
        <v>430</v>
      </c>
      <c r="J33" s="58" t="s">
        <v>368</v>
      </c>
      <c r="K33" s="58" t="s">
        <v>368</v>
      </c>
      <c r="L33" t="s">
        <v>480</v>
      </c>
      <c r="M33" s="58" t="s">
        <v>591</v>
      </c>
      <c r="N33" s="58" t="s">
        <v>592</v>
      </c>
      <c r="O33" s="58" t="s">
        <v>368</v>
      </c>
      <c r="P33" s="58" t="s">
        <v>435</v>
      </c>
      <c r="Q33" s="58" t="s">
        <v>391</v>
      </c>
      <c r="R33" s="58" t="s">
        <v>593</v>
      </c>
      <c r="S33" s="58" t="s">
        <v>594</v>
      </c>
      <c r="T33" s="58" t="s">
        <v>595</v>
      </c>
      <c r="U33" s="58" t="s">
        <v>596</v>
      </c>
      <c r="V33" s="58" t="s">
        <v>468</v>
      </c>
      <c r="W33" s="58" t="s">
        <v>368</v>
      </c>
      <c r="X33" s="59">
        <v>0.9</v>
      </c>
      <c r="Y33" s="58">
        <v>20</v>
      </c>
      <c r="Z33" s="58" t="s">
        <v>577</v>
      </c>
      <c r="AA33" s="58" t="s">
        <v>368</v>
      </c>
      <c r="AB33" s="58" t="s">
        <v>368</v>
      </c>
      <c r="AC33" s="58" t="s">
        <v>368</v>
      </c>
      <c r="AG33" s="58" t="s">
        <v>449</v>
      </c>
    </row>
    <row r="34" spans="1:37" hidden="1" x14ac:dyDescent="0.25">
      <c r="A34" t="s">
        <v>301</v>
      </c>
      <c r="C34" t="s">
        <v>362</v>
      </c>
      <c r="D34" t="s">
        <v>357</v>
      </c>
      <c r="E34" t="s">
        <v>303</v>
      </c>
      <c r="F34" t="s">
        <v>166</v>
      </c>
      <c r="G34" t="s">
        <v>393</v>
      </c>
      <c r="H34">
        <v>2023</v>
      </c>
      <c r="I34" t="s">
        <v>462</v>
      </c>
      <c r="J34" t="s">
        <v>368</v>
      </c>
      <c r="K34" t="s">
        <v>368</v>
      </c>
      <c r="L34" t="s">
        <v>480</v>
      </c>
      <c r="M34">
        <v>160</v>
      </c>
      <c r="N34" t="s">
        <v>368</v>
      </c>
      <c r="O34" t="s">
        <v>368</v>
      </c>
      <c r="P34" t="s">
        <v>435</v>
      </c>
      <c r="Q34" s="48" t="s">
        <v>394</v>
      </c>
      <c r="R34" t="s">
        <v>368</v>
      </c>
      <c r="S34" t="s">
        <v>597</v>
      </c>
      <c r="T34" t="s">
        <v>598</v>
      </c>
      <c r="U34" t="s">
        <v>599</v>
      </c>
      <c r="V34" t="s">
        <v>599</v>
      </c>
      <c r="W34" t="s">
        <v>368</v>
      </c>
      <c r="X34" t="s">
        <v>368</v>
      </c>
      <c r="Y34">
        <v>10</v>
      </c>
      <c r="Z34" t="s">
        <v>577</v>
      </c>
      <c r="AF34" t="s">
        <v>600</v>
      </c>
      <c r="AG34" t="s">
        <v>449</v>
      </c>
      <c r="AI34" s="53">
        <v>45559</v>
      </c>
    </row>
    <row r="35" spans="1:37" hidden="1" x14ac:dyDescent="0.25">
      <c r="A35" t="s">
        <v>307</v>
      </c>
      <c r="C35" t="s">
        <v>366</v>
      </c>
      <c r="D35" t="s">
        <v>357</v>
      </c>
      <c r="E35" t="s">
        <v>310</v>
      </c>
      <c r="F35" t="s">
        <v>166</v>
      </c>
      <c r="G35" t="s">
        <v>395</v>
      </c>
      <c r="H35">
        <v>2023</v>
      </c>
      <c r="I35" t="s">
        <v>601</v>
      </c>
      <c r="J35" t="s">
        <v>368</v>
      </c>
      <c r="K35" t="s">
        <v>368</v>
      </c>
      <c r="L35" t="s">
        <v>480</v>
      </c>
      <c r="M35" t="s">
        <v>602</v>
      </c>
      <c r="N35" t="s">
        <v>368</v>
      </c>
      <c r="O35" t="s">
        <v>368</v>
      </c>
      <c r="P35" t="s">
        <v>435</v>
      </c>
      <c r="Q35">
        <v>1</v>
      </c>
      <c r="R35" t="s">
        <v>603</v>
      </c>
      <c r="S35" t="s">
        <v>604</v>
      </c>
      <c r="T35" t="s">
        <v>605</v>
      </c>
      <c r="U35" t="s">
        <v>606</v>
      </c>
      <c r="V35" t="s">
        <v>605</v>
      </c>
      <c r="W35">
        <v>8760</v>
      </c>
      <c r="X35" t="s">
        <v>442</v>
      </c>
      <c r="Y35">
        <v>30</v>
      </c>
      <c r="Z35" t="s">
        <v>607</v>
      </c>
      <c r="AA35" t="s">
        <v>608</v>
      </c>
      <c r="AC35" t="s">
        <v>368</v>
      </c>
      <c r="AD35" t="s">
        <v>609</v>
      </c>
      <c r="AE35" t="s">
        <v>610</v>
      </c>
      <c r="AG35" t="s">
        <v>449</v>
      </c>
    </row>
    <row r="36" spans="1:37" hidden="1" x14ac:dyDescent="0.25">
      <c r="A36" t="s">
        <v>311</v>
      </c>
      <c r="C36" t="s">
        <v>366</v>
      </c>
      <c r="D36" t="s">
        <v>357</v>
      </c>
      <c r="E36" t="s">
        <v>314</v>
      </c>
      <c r="F36" t="s">
        <v>173</v>
      </c>
      <c r="G36" t="s">
        <v>395</v>
      </c>
      <c r="H36">
        <v>2020</v>
      </c>
      <c r="I36" t="s">
        <v>611</v>
      </c>
      <c r="J36" t="s">
        <v>368</v>
      </c>
      <c r="K36" t="s">
        <v>368</v>
      </c>
      <c r="L36" t="s">
        <v>480</v>
      </c>
      <c r="M36" t="s">
        <v>612</v>
      </c>
      <c r="N36" t="s">
        <v>368</v>
      </c>
      <c r="O36" t="s">
        <v>368</v>
      </c>
      <c r="P36" t="s">
        <v>435</v>
      </c>
      <c r="Q36">
        <v>1</v>
      </c>
      <c r="R36" s="5">
        <v>0.10879999999999999</v>
      </c>
      <c r="S36" t="s">
        <v>613</v>
      </c>
      <c r="T36" t="s">
        <v>511</v>
      </c>
      <c r="U36" t="s">
        <v>614</v>
      </c>
      <c r="V36" t="s">
        <v>486</v>
      </c>
      <c r="W36">
        <v>8760</v>
      </c>
      <c r="X36" s="84" t="s">
        <v>442</v>
      </c>
      <c r="Y36" t="s">
        <v>368</v>
      </c>
      <c r="Z36" t="s">
        <v>607</v>
      </c>
      <c r="AA36" s="83" t="s">
        <v>615</v>
      </c>
      <c r="AC36" t="s">
        <v>368</v>
      </c>
      <c r="AD36" t="s">
        <v>609</v>
      </c>
      <c r="AE36" t="s">
        <v>610</v>
      </c>
      <c r="AG36" t="s">
        <v>449</v>
      </c>
    </row>
    <row r="37" spans="1:37" hidden="1" x14ac:dyDescent="0.25">
      <c r="A37" t="s">
        <v>315</v>
      </c>
      <c r="C37" t="s">
        <v>366</v>
      </c>
      <c r="D37" t="s">
        <v>357</v>
      </c>
      <c r="E37" t="s">
        <v>318</v>
      </c>
      <c r="F37" t="s">
        <v>158</v>
      </c>
      <c r="H37">
        <v>2022</v>
      </c>
      <c r="I37" t="s">
        <v>430</v>
      </c>
      <c r="J37" t="s">
        <v>368</v>
      </c>
      <c r="K37" t="s">
        <v>368</v>
      </c>
      <c r="L37" t="s">
        <v>480</v>
      </c>
      <c r="M37" t="s">
        <v>616</v>
      </c>
      <c r="N37" t="s">
        <v>368</v>
      </c>
      <c r="O37" t="s">
        <v>368</v>
      </c>
      <c r="P37" t="s">
        <v>435</v>
      </c>
      <c r="Q37">
        <v>8.0000000000000002E-3</v>
      </c>
      <c r="R37" s="5">
        <v>5.5599999999999997E-2</v>
      </c>
      <c r="S37" t="s">
        <v>510</v>
      </c>
      <c r="T37" t="s">
        <v>486</v>
      </c>
      <c r="U37" t="s">
        <v>599</v>
      </c>
      <c r="V37" t="s">
        <v>368</v>
      </c>
      <c r="W37">
        <v>7884</v>
      </c>
      <c r="X37" t="s">
        <v>442</v>
      </c>
      <c r="Y37">
        <v>25</v>
      </c>
      <c r="Z37" t="s">
        <v>577</v>
      </c>
      <c r="AA37" t="s">
        <v>368</v>
      </c>
      <c r="AB37" t="s">
        <v>368</v>
      </c>
      <c r="AC37" t="s">
        <v>368</v>
      </c>
      <c r="AD37" t="s">
        <v>488</v>
      </c>
      <c r="AE37" t="s">
        <v>610</v>
      </c>
      <c r="AG37" t="s">
        <v>449</v>
      </c>
    </row>
    <row r="38" spans="1:37" hidden="1" x14ac:dyDescent="0.25">
      <c r="A38" s="48" t="s">
        <v>319</v>
      </c>
      <c r="B38" s="48"/>
      <c r="C38" s="48"/>
      <c r="D38" s="48" t="s">
        <v>357</v>
      </c>
      <c r="E38" s="48" t="s">
        <v>321</v>
      </c>
      <c r="F38" s="48"/>
    </row>
    <row r="39" spans="1:37" x14ac:dyDescent="0.25">
      <c r="A39" s="3" t="s">
        <v>329</v>
      </c>
      <c r="B39" s="3"/>
      <c r="C39" t="s">
        <v>366</v>
      </c>
      <c r="D39" t="s">
        <v>330</v>
      </c>
      <c r="E39" s="50" t="s">
        <v>332</v>
      </c>
      <c r="F39" t="s">
        <v>166</v>
      </c>
      <c r="G39" t="s">
        <v>166</v>
      </c>
      <c r="H39" t="s">
        <v>396</v>
      </c>
      <c r="I39" t="s">
        <v>617</v>
      </c>
      <c r="J39" s="5" t="s">
        <v>618</v>
      </c>
      <c r="K39" t="s">
        <v>368</v>
      </c>
      <c r="L39" t="s">
        <v>432</v>
      </c>
      <c r="M39" t="s">
        <v>619</v>
      </c>
      <c r="N39" t="s">
        <v>368</v>
      </c>
      <c r="O39" t="s">
        <v>620</v>
      </c>
      <c r="P39" t="s">
        <v>435</v>
      </c>
      <c r="Q39">
        <f>1000/10^6</f>
        <v>1E-3</v>
      </c>
      <c r="R39" s="5" t="s">
        <v>482</v>
      </c>
      <c r="S39" t="s">
        <v>621</v>
      </c>
      <c r="T39" t="s">
        <v>622</v>
      </c>
      <c r="U39" t="s">
        <v>623</v>
      </c>
      <c r="V39" t="s">
        <v>468</v>
      </c>
      <c r="W39" t="s">
        <v>368</v>
      </c>
      <c r="X39" s="5">
        <v>0.9</v>
      </c>
      <c r="Y39">
        <v>20</v>
      </c>
      <c r="Z39" t="s">
        <v>443</v>
      </c>
      <c r="AA39" t="s">
        <v>624</v>
      </c>
      <c r="AB39" t="s">
        <v>523</v>
      </c>
      <c r="AD39" t="s">
        <v>625</v>
      </c>
      <c r="AE39" t="s">
        <v>610</v>
      </c>
      <c r="AF39" t="s">
        <v>626</v>
      </c>
      <c r="AG39" t="s">
        <v>449</v>
      </c>
    </row>
    <row r="40" spans="1:37" x14ac:dyDescent="0.25">
      <c r="A40" s="3" t="s">
        <v>329</v>
      </c>
      <c r="B40" s="3"/>
      <c r="C40" t="s">
        <v>366</v>
      </c>
      <c r="D40" t="s">
        <v>330</v>
      </c>
      <c r="E40" s="50" t="s">
        <v>332</v>
      </c>
      <c r="F40" t="s">
        <v>233</v>
      </c>
      <c r="G40" t="s">
        <v>358</v>
      </c>
      <c r="H40" t="s">
        <v>396</v>
      </c>
      <c r="I40" t="s">
        <v>617</v>
      </c>
      <c r="J40" s="5" t="s">
        <v>618</v>
      </c>
      <c r="K40" t="s">
        <v>368</v>
      </c>
      <c r="L40" t="s">
        <v>432</v>
      </c>
      <c r="M40" t="s">
        <v>627</v>
      </c>
      <c r="N40" t="s">
        <v>368</v>
      </c>
      <c r="O40">
        <v>124</v>
      </c>
      <c r="P40" t="s">
        <v>435</v>
      </c>
      <c r="Q40">
        <v>1</v>
      </c>
      <c r="R40" s="5" t="s">
        <v>482</v>
      </c>
      <c r="S40" t="s">
        <v>621</v>
      </c>
      <c r="T40" t="s">
        <v>622</v>
      </c>
      <c r="U40" t="s">
        <v>623</v>
      </c>
      <c r="V40" t="s">
        <v>468</v>
      </c>
      <c r="W40" t="s">
        <v>368</v>
      </c>
      <c r="X40" s="5">
        <v>0.9</v>
      </c>
      <c r="Y40">
        <v>20</v>
      </c>
      <c r="Z40" t="s">
        <v>443</v>
      </c>
      <c r="AA40" t="s">
        <v>624</v>
      </c>
      <c r="AB40" t="s">
        <v>523</v>
      </c>
      <c r="AD40" s="9" t="s">
        <v>628</v>
      </c>
      <c r="AE40" s="58" t="s">
        <v>610</v>
      </c>
      <c r="AF40" s="9" t="s">
        <v>629</v>
      </c>
      <c r="AG40" t="s">
        <v>449</v>
      </c>
    </row>
    <row r="41" spans="1:37" hidden="1" x14ac:dyDescent="0.25">
      <c r="A41" s="55" t="s">
        <v>336</v>
      </c>
      <c r="B41" s="55" t="s">
        <v>150</v>
      </c>
      <c r="C41" t="s">
        <v>362</v>
      </c>
      <c r="D41" t="s">
        <v>330</v>
      </c>
      <c r="E41" s="50" t="s">
        <v>338</v>
      </c>
      <c r="F41" t="s">
        <v>158</v>
      </c>
      <c r="G41" t="s">
        <v>358</v>
      </c>
      <c r="H41">
        <v>2022</v>
      </c>
      <c r="I41" t="s">
        <v>430</v>
      </c>
      <c r="J41" t="s">
        <v>368</v>
      </c>
      <c r="K41" t="s">
        <v>368</v>
      </c>
      <c r="L41" t="s">
        <v>432</v>
      </c>
      <c r="M41" t="s">
        <v>630</v>
      </c>
      <c r="N41" t="s">
        <v>368</v>
      </c>
      <c r="O41" t="s">
        <v>368</v>
      </c>
      <c r="P41" t="s">
        <v>435</v>
      </c>
      <c r="Q41" t="s">
        <v>397</v>
      </c>
      <c r="S41" t="s">
        <v>368</v>
      </c>
      <c r="T41" t="s">
        <v>368</v>
      </c>
      <c r="U41" t="s">
        <v>631</v>
      </c>
      <c r="V41" t="s">
        <v>468</v>
      </c>
      <c r="X41" s="54" t="s">
        <v>632</v>
      </c>
      <c r="Y41" t="s">
        <v>633</v>
      </c>
      <c r="Z41" t="s">
        <v>634</v>
      </c>
      <c r="AA41" t="s">
        <v>635</v>
      </c>
      <c r="AC41" t="s">
        <v>368</v>
      </c>
      <c r="AD41" s="9" t="s">
        <v>636</v>
      </c>
      <c r="AE41" s="35" t="s">
        <v>637</v>
      </c>
      <c r="AF41" t="s">
        <v>638</v>
      </c>
      <c r="AG41" t="s">
        <v>449</v>
      </c>
    </row>
    <row r="42" spans="1:37" hidden="1" x14ac:dyDescent="0.25">
      <c r="A42" s="55" t="s">
        <v>342</v>
      </c>
      <c r="B42" s="55" t="s">
        <v>150</v>
      </c>
      <c r="C42" t="s">
        <v>362</v>
      </c>
      <c r="D42" t="s">
        <v>330</v>
      </c>
      <c r="E42" s="50" t="s">
        <v>343</v>
      </c>
      <c r="F42" t="s">
        <v>166</v>
      </c>
      <c r="G42" t="s">
        <v>398</v>
      </c>
      <c r="H42">
        <v>2022</v>
      </c>
      <c r="I42" t="s">
        <v>430</v>
      </c>
      <c r="J42" t="s">
        <v>368</v>
      </c>
      <c r="K42" t="s">
        <v>368</v>
      </c>
      <c r="L42" t="s">
        <v>432</v>
      </c>
      <c r="M42" t="s">
        <v>639</v>
      </c>
      <c r="N42" t="s">
        <v>368</v>
      </c>
      <c r="O42" t="s">
        <v>368</v>
      </c>
      <c r="P42" t="s">
        <v>435</v>
      </c>
      <c r="Q42" t="s">
        <v>399</v>
      </c>
      <c r="S42" t="s">
        <v>640</v>
      </c>
      <c r="T42" t="s">
        <v>641</v>
      </c>
      <c r="U42" t="s">
        <v>599</v>
      </c>
      <c r="V42" t="s">
        <v>599</v>
      </c>
      <c r="X42" s="54" t="s">
        <v>632</v>
      </c>
      <c r="Z42" t="s">
        <v>634</v>
      </c>
      <c r="AA42" t="s">
        <v>642</v>
      </c>
      <c r="AC42" t="s">
        <v>368</v>
      </c>
      <c r="AE42" s="35" t="s">
        <v>643</v>
      </c>
      <c r="AG42" t="s">
        <v>449</v>
      </c>
    </row>
    <row r="43" spans="1:37" s="92" customFormat="1" hidden="1" x14ac:dyDescent="0.25">
      <c r="A43" s="55" t="s">
        <v>345</v>
      </c>
      <c r="B43" s="55"/>
      <c r="C43" s="55" t="s">
        <v>362</v>
      </c>
      <c r="D43" s="55" t="s">
        <v>330</v>
      </c>
      <c r="E43" s="91" t="s">
        <v>347</v>
      </c>
      <c r="F43" s="55" t="s">
        <v>158</v>
      </c>
      <c r="G43" t="s">
        <v>358</v>
      </c>
      <c r="H43">
        <v>2019</v>
      </c>
      <c r="I43" t="s">
        <v>644</v>
      </c>
      <c r="J43" t="s">
        <v>368</v>
      </c>
      <c r="K43" t="s">
        <v>368</v>
      </c>
      <c r="L43" t="s">
        <v>432</v>
      </c>
      <c r="M43" t="s">
        <v>645</v>
      </c>
      <c r="N43" t="s">
        <v>368</v>
      </c>
      <c r="O43" t="s">
        <v>368</v>
      </c>
      <c r="P43" t="s">
        <v>435</v>
      </c>
      <c r="Q43">
        <v>1000000</v>
      </c>
      <c r="R43">
        <v>0.11550000000000001</v>
      </c>
      <c r="S43" t="s">
        <v>640</v>
      </c>
      <c r="T43" t="s">
        <v>511</v>
      </c>
      <c r="U43">
        <v>3.25</v>
      </c>
      <c r="V43" t="s">
        <v>468</v>
      </c>
      <c r="X43" t="s">
        <v>511</v>
      </c>
      <c r="Y43">
        <v>30</v>
      </c>
      <c r="Z43" t="s">
        <v>577</v>
      </c>
      <c r="AD43" t="s">
        <v>646</v>
      </c>
      <c r="AF43" s="55" t="s">
        <v>647</v>
      </c>
      <c r="AG43" t="s">
        <v>449</v>
      </c>
      <c r="AH43"/>
      <c r="AK43" s="92" t="s">
        <v>648</v>
      </c>
    </row>
    <row r="44" spans="1:37" s="92" customFormat="1" hidden="1" x14ac:dyDescent="0.25">
      <c r="A44" s="55" t="s">
        <v>345</v>
      </c>
      <c r="B44" s="55"/>
      <c r="C44" s="55" t="s">
        <v>362</v>
      </c>
      <c r="D44" s="55" t="s">
        <v>330</v>
      </c>
      <c r="E44" s="91" t="s">
        <v>347</v>
      </c>
      <c r="F44" s="55" t="s">
        <v>166</v>
      </c>
      <c r="G44" t="s">
        <v>166</v>
      </c>
      <c r="H44">
        <v>2019</v>
      </c>
      <c r="I44" t="s">
        <v>644</v>
      </c>
      <c r="J44" t="s">
        <v>368</v>
      </c>
      <c r="K44" t="s">
        <v>368</v>
      </c>
      <c r="L44" t="s">
        <v>432</v>
      </c>
      <c r="M44" t="s">
        <v>649</v>
      </c>
      <c r="N44" t="s">
        <v>368</v>
      </c>
      <c r="O44" t="s">
        <v>368</v>
      </c>
      <c r="P44" t="s">
        <v>435</v>
      </c>
      <c r="Q44">
        <v>1000000</v>
      </c>
      <c r="R44" t="s">
        <v>304</v>
      </c>
      <c r="S44" t="s">
        <v>640</v>
      </c>
      <c r="T44" t="s">
        <v>650</v>
      </c>
      <c r="U44" t="s">
        <v>651</v>
      </c>
      <c r="V44" t="s">
        <v>652</v>
      </c>
      <c r="X44" t="s">
        <v>511</v>
      </c>
      <c r="Y44" t="s">
        <v>511</v>
      </c>
      <c r="Z44" t="s">
        <v>577</v>
      </c>
      <c r="AD44" t="s">
        <v>488</v>
      </c>
      <c r="AF44" s="55" t="s">
        <v>653</v>
      </c>
      <c r="AG44" t="s">
        <v>449</v>
      </c>
      <c r="AH44"/>
    </row>
    <row r="45" spans="1:37" hidden="1" x14ac:dyDescent="0.25">
      <c r="A45" t="s">
        <v>348</v>
      </c>
      <c r="B45" t="s">
        <v>150</v>
      </c>
      <c r="C45" t="s">
        <v>362</v>
      </c>
      <c r="D45" t="s">
        <v>330</v>
      </c>
      <c r="E45" s="50" t="s">
        <v>350</v>
      </c>
      <c r="F45" t="s">
        <v>158</v>
      </c>
      <c r="G45" t="s">
        <v>358</v>
      </c>
      <c r="H45" t="s">
        <v>400</v>
      </c>
      <c r="I45" t="s">
        <v>507</v>
      </c>
      <c r="J45" t="s">
        <v>368</v>
      </c>
      <c r="K45" t="s">
        <v>368</v>
      </c>
      <c r="L45" t="s">
        <v>508</v>
      </c>
      <c r="M45" t="s">
        <v>654</v>
      </c>
      <c r="O45" t="s">
        <v>368</v>
      </c>
      <c r="Q45" s="60"/>
      <c r="R45" s="54">
        <v>0.12</v>
      </c>
      <c r="S45" t="s">
        <v>510</v>
      </c>
      <c r="T45" t="s">
        <v>511</v>
      </c>
      <c r="U45" t="s">
        <v>512</v>
      </c>
      <c r="V45" t="s">
        <v>468</v>
      </c>
      <c r="W45" t="s">
        <v>511</v>
      </c>
      <c r="X45" s="54">
        <v>0.9</v>
      </c>
      <c r="Y45">
        <v>20</v>
      </c>
      <c r="Z45" t="s">
        <v>514</v>
      </c>
      <c r="AG45" t="s">
        <v>449</v>
      </c>
      <c r="AK45" t="s">
        <v>450</v>
      </c>
    </row>
    <row r="46" spans="1:37" hidden="1" x14ac:dyDescent="0.25">
      <c r="A46" s="48"/>
    </row>
    <row r="47" spans="1:37" hidden="1" x14ac:dyDescent="0.25"/>
  </sheetData>
  <autoFilter ref="A1:AL47" xr:uid="{2E9E050F-07F8-FE48-85C0-51954A76FC24}">
    <filterColumn colId="0">
      <filters>
        <filter val="Fasihi et al. 2019"/>
        <filter val="Keith et al. 2018"/>
        <filter val="Pett-Ridge et al. 2024"/>
        <filter val="Sievert et al. 2024"/>
        <filter val="Young et al. 2023"/>
      </filters>
    </filterColumn>
  </autoFilter>
  <conditionalFormatting sqref="AG1:AH1048576">
    <cfRule type="cellIs" dxfId="2" priority="1" operator="equal">
      <formula>"will exclude"</formula>
    </cfRule>
    <cfRule type="cellIs" dxfId="1" priority="2" operator="equal">
      <formula>"Awaiting reply"</formula>
    </cfRule>
    <cfRule type="containsText" dxfId="0" priority="3" operator="containsText" text="completed">
      <formula>NOT(ISERROR(SEARCH("completed",AG1)))</formula>
    </cfRule>
  </conditionalFormatting>
  <hyperlinks>
    <hyperlink ref="E14" r:id="rId1" tooltip="DOI URL" display="https://doi.org/10.1021/es502887y" xr:uid="{0CD5E680-9C17-4C4D-A3DB-B0E51C3993DB}"/>
    <hyperlink ref="E41" r:id="rId2" display="https://netl.doe.gov/projects/files/DirectAirCaptureCaseStudiesSolventSystem_083122.pdf" xr:uid="{62FE8C65-06E5-42AE-8539-B7701489EEEB}"/>
    <hyperlink ref="E42" r:id="rId3" display="https://www.netl.doe.gov/projects/files/DirectAirCaptureCaseStudiesSorbentSystem_070822.pdf" xr:uid="{4203186C-E690-4B28-8196-6AD9C622D6CD}"/>
    <hyperlink ref="E39" r:id="rId4" display="https://roads2removal.org/" xr:uid="{F48BF7DA-53DA-44FC-B4B8-35F703C64E81}"/>
    <hyperlink ref="E43" r:id="rId5" xr:uid="{D37915C0-790E-4D05-ABD8-4E3AFDCAFB43}"/>
    <hyperlink ref="E45" r:id="rId6" display="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xr:uid="{95C550B3-A593-4291-B8C4-C35D7AC8CAC2}"/>
    <hyperlink ref="E40" r:id="rId7" display="https://roads2removal.org/" xr:uid="{E7F0F2B7-5398-45D9-82BF-A232D8BCBA3B}"/>
    <hyperlink ref="E44" r:id="rId8" xr:uid="{B0FD87B4-2D73-4456-9946-D959C728556C}"/>
  </hyperlinks>
  <pageMargins left="0.7" right="0.7" top="0.75" bottom="0.75" header="0.3" footer="0.3"/>
  <pageSetup paperSize="9" orientation="portrait" horizontalDpi="1200" verticalDpi="1200" r:id="rId9"/>
  <legacyDrawing r:id="rId1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99AC-5C89-CE47-B699-CCA57CE6E758}">
  <sheetPr codeName="Sheet7" filterMode="1">
    <tabColor theme="4" tint="0.39997558519241921"/>
  </sheetPr>
  <dimension ref="A1:W180"/>
  <sheetViews>
    <sheetView topLeftCell="I12" zoomScale="63" workbookViewId="0">
      <selection activeCell="O43" sqref="O43"/>
    </sheetView>
  </sheetViews>
  <sheetFormatPr defaultColWidth="11.125" defaultRowHeight="15.75" x14ac:dyDescent="0.25"/>
  <cols>
    <col min="1" max="1" width="19.125" bestFit="1" customWidth="1"/>
    <col min="2" max="2" width="14.5" customWidth="1"/>
    <col min="4" max="4" width="40.125" bestFit="1" customWidth="1"/>
    <col min="5" max="5" width="14.625" customWidth="1"/>
    <col min="6" max="6" width="8.875" customWidth="1"/>
    <col min="7" max="7" width="19.625" customWidth="1"/>
    <col min="8" max="8" width="12" customWidth="1"/>
    <col min="9" max="9" width="18" customWidth="1"/>
    <col min="10" max="10" width="15.375" customWidth="1"/>
    <col min="11" max="11" width="13.625" customWidth="1"/>
    <col min="12" max="13" width="24.125" customWidth="1"/>
    <col min="14" max="14" width="17.625" bestFit="1" customWidth="1"/>
    <col min="15" max="15" width="18.125" bestFit="1" customWidth="1"/>
    <col min="16" max="22" width="18.125" customWidth="1"/>
  </cols>
  <sheetData>
    <row r="1" spans="1:23" x14ac:dyDescent="0.25">
      <c r="L1" s="144" t="s">
        <v>655</v>
      </c>
      <c r="M1" s="144"/>
      <c r="N1" s="144"/>
      <c r="O1" t="s">
        <v>656</v>
      </c>
      <c r="P1" s="144" t="s">
        <v>657</v>
      </c>
      <c r="Q1" s="144"/>
      <c r="R1" s="144"/>
    </row>
    <row r="2" spans="1:23" x14ac:dyDescent="0.25">
      <c r="A2" t="s">
        <v>4</v>
      </c>
      <c r="B2" t="s">
        <v>138</v>
      </c>
      <c r="C2" t="s">
        <v>129</v>
      </c>
      <c r="D2" t="s">
        <v>137</v>
      </c>
      <c r="E2" t="s">
        <v>353</v>
      </c>
      <c r="F2" t="s">
        <v>658</v>
      </c>
      <c r="G2" t="s">
        <v>659</v>
      </c>
      <c r="H2" t="s">
        <v>660</v>
      </c>
      <c r="I2" t="s">
        <v>661</v>
      </c>
      <c r="J2" t="s">
        <v>662</v>
      </c>
      <c r="K2" t="s">
        <v>663</v>
      </c>
      <c r="L2" t="s">
        <v>664</v>
      </c>
      <c r="M2" t="s">
        <v>665</v>
      </c>
      <c r="N2" t="s">
        <v>666</v>
      </c>
      <c r="O2" t="s">
        <v>667</v>
      </c>
      <c r="P2" t="s">
        <v>334</v>
      </c>
      <c r="Q2" t="s">
        <v>668</v>
      </c>
      <c r="R2" t="s">
        <v>335</v>
      </c>
      <c r="S2" s="4" t="s">
        <v>669</v>
      </c>
      <c r="T2" s="4" t="s">
        <v>670</v>
      </c>
      <c r="U2" s="4" t="s">
        <v>671</v>
      </c>
      <c r="V2" s="4" t="s">
        <v>672</v>
      </c>
      <c r="W2" t="s">
        <v>424</v>
      </c>
    </row>
    <row r="3" spans="1:23" hidden="1" x14ac:dyDescent="0.25">
      <c r="A3" t="s">
        <v>151</v>
      </c>
      <c r="B3">
        <v>2022</v>
      </c>
      <c r="C3" t="str">
        <f>'Study Parameters'!E2</f>
        <v>10.1016/j.oneear.2023.06.004</v>
      </c>
      <c r="D3" t="s">
        <v>158</v>
      </c>
      <c r="E3" t="s">
        <v>358</v>
      </c>
      <c r="F3" t="s">
        <v>430</v>
      </c>
      <c r="G3">
        <v>2019</v>
      </c>
      <c r="H3" t="s">
        <v>673</v>
      </c>
      <c r="I3" t="s">
        <v>4</v>
      </c>
      <c r="J3" t="s">
        <v>432</v>
      </c>
      <c r="K3">
        <f>'Study Parameters'!Q2</f>
        <v>0.98</v>
      </c>
      <c r="L3" s="30">
        <f>'[1]Young results solar_LS'!$I$2* ((1+Inputs!$C$5) ^ (2023-G3))</f>
        <v>564.48964946547915</v>
      </c>
      <c r="M3" s="30"/>
      <c r="O3" s="30">
        <f>'[1]Inputs and TEA calculations'!$I$2* ((1+Inputs!$C$5) ^ (2023-G3))</f>
        <v>414.8542592918007</v>
      </c>
    </row>
    <row r="4" spans="1:23" hidden="1" x14ac:dyDescent="0.25">
      <c r="A4" t="s">
        <v>151</v>
      </c>
      <c r="B4">
        <v>2022</v>
      </c>
      <c r="C4" t="s">
        <v>154</v>
      </c>
      <c r="D4" t="s">
        <v>158</v>
      </c>
      <c r="E4" t="s">
        <v>358</v>
      </c>
      <c r="F4" t="s">
        <v>430</v>
      </c>
      <c r="G4">
        <v>2019</v>
      </c>
      <c r="H4" t="s">
        <v>673</v>
      </c>
      <c r="I4" t="s">
        <v>674</v>
      </c>
      <c r="J4" t="s">
        <v>432</v>
      </c>
      <c r="K4">
        <f>'Study Parameters'!Q2</f>
        <v>0.98</v>
      </c>
      <c r="L4" s="30">
        <f>'[1]Young results solar_LS'!$I$3* ((1+Inputs!$C$5) ^ (2023-G4))</f>
        <v>387.8998806365733</v>
      </c>
      <c r="M4" s="30"/>
      <c r="O4" s="30">
        <f>'[1]Inputs and TEA calculations'!$I$3* ((1+Inputs!$C$5) ^ (2023-G4))</f>
        <v>342.50358359189738</v>
      </c>
    </row>
    <row r="5" spans="1:23" hidden="1" x14ac:dyDescent="0.25">
      <c r="A5" t="s">
        <v>151</v>
      </c>
      <c r="B5">
        <v>2022</v>
      </c>
      <c r="C5" t="s">
        <v>154</v>
      </c>
      <c r="D5" t="s">
        <v>158</v>
      </c>
      <c r="E5" t="s">
        <v>358</v>
      </c>
      <c r="F5" t="s">
        <v>430</v>
      </c>
      <c r="G5">
        <v>2019</v>
      </c>
      <c r="H5" t="s">
        <v>673</v>
      </c>
      <c r="I5" t="s">
        <v>675</v>
      </c>
      <c r="J5" t="s">
        <v>432</v>
      </c>
      <c r="K5">
        <f>'Study Parameters'!Q2</f>
        <v>0.98</v>
      </c>
      <c r="L5" s="30">
        <f>'[1]Young results solar_LS'!$I$4* ((1+Inputs!$C$5) ^ (2023-G5))</f>
        <v>849.35817008357492</v>
      </c>
      <c r="M5" s="30"/>
      <c r="O5" s="30">
        <f>'[1]Inputs and TEA calculations'!$I$4* ((1+Inputs!$C$5) ^ (2023-G5))</f>
        <v>523.95174204407829</v>
      </c>
    </row>
    <row r="6" spans="1:23" x14ac:dyDescent="0.25">
      <c r="A6" t="s">
        <v>151</v>
      </c>
      <c r="B6">
        <v>2050</v>
      </c>
      <c r="C6" t="s">
        <v>154</v>
      </c>
      <c r="D6" t="s">
        <v>158</v>
      </c>
      <c r="E6" t="s">
        <v>358</v>
      </c>
      <c r="F6" t="s">
        <v>430</v>
      </c>
      <c r="G6">
        <v>2019</v>
      </c>
      <c r="H6" t="s">
        <v>673</v>
      </c>
      <c r="I6" t="s">
        <v>4</v>
      </c>
      <c r="J6" t="s">
        <v>432</v>
      </c>
      <c r="K6">
        <v>1000</v>
      </c>
      <c r="L6" s="30">
        <f>'[2]Young results solar_LS'!$I$15* ((1+Inputs!$C$5) ^ (2023-G3))</f>
        <v>307.14252592459331</v>
      </c>
      <c r="M6" s="30"/>
      <c r="O6" s="30">
        <f>'[2]Inputs and TEA calculations'!$I$15* ((1+Inputs!$C$5) ^ (2023-G3))</f>
        <v>187.76196330078002</v>
      </c>
    </row>
    <row r="7" spans="1:23" x14ac:dyDescent="0.25">
      <c r="A7" t="s">
        <v>151</v>
      </c>
      <c r="B7">
        <v>2050</v>
      </c>
      <c r="C7" t="s">
        <v>154</v>
      </c>
      <c r="D7" t="s">
        <v>158</v>
      </c>
      <c r="E7" t="s">
        <v>358</v>
      </c>
      <c r="F7" t="s">
        <v>430</v>
      </c>
      <c r="G7">
        <v>2019</v>
      </c>
      <c r="H7" t="s">
        <v>673</v>
      </c>
      <c r="I7" t="s">
        <v>674</v>
      </c>
      <c r="J7" t="s">
        <v>432</v>
      </c>
      <c r="K7">
        <v>1000</v>
      </c>
      <c r="L7" s="30">
        <f>'[2]Young results solar_LS'!$I$16* ((1+Inputs!$C$5) ^ (2023-G3))</f>
        <v>162.78468605357452</v>
      </c>
      <c r="M7" s="30"/>
      <c r="O7" s="30">
        <f>'[2]Inputs and TEA calculations'!$I$16* ((1+Inputs!$C$5) ^ (2023-G3))</f>
        <v>125.3246363550643</v>
      </c>
    </row>
    <row r="8" spans="1:23" x14ac:dyDescent="0.25">
      <c r="A8" t="s">
        <v>151</v>
      </c>
      <c r="B8">
        <v>2050</v>
      </c>
      <c r="C8" t="s">
        <v>154</v>
      </c>
      <c r="D8" t="s">
        <v>158</v>
      </c>
      <c r="E8" t="s">
        <v>358</v>
      </c>
      <c r="F8" t="s">
        <v>430</v>
      </c>
      <c r="G8">
        <v>2019</v>
      </c>
      <c r="H8" t="s">
        <v>673</v>
      </c>
      <c r="I8" t="s">
        <v>675</v>
      </c>
      <c r="J8" t="s">
        <v>432</v>
      </c>
      <c r="K8">
        <v>1000</v>
      </c>
      <c r="L8" s="30">
        <f>'[2]Young results solar_LS'!$I$17* ((1+Inputs!$C$5) ^ (2023-G3))</f>
        <v>659.95769038813012</v>
      </c>
      <c r="M8" s="30"/>
      <c r="O8" s="30">
        <f>'[2]Inputs and TEA calculations'!$I$17* ((1+Inputs!$C$5) ^ (2023-G3))</f>
        <v>343.38562228042122</v>
      </c>
    </row>
    <row r="9" spans="1:23" hidden="1" x14ac:dyDescent="0.25">
      <c r="A9" t="str">
        <f>'Study Parameters'!A3</f>
        <v>Young et al. 2023</v>
      </c>
      <c r="B9">
        <v>2022</v>
      </c>
      <c r="C9" t="str">
        <f>'Study Parameters'!E3</f>
        <v>10.1016/j.oneear.2023.06.004</v>
      </c>
      <c r="D9" t="str">
        <f>'Study Parameters'!F3</f>
        <v>Solid sorbent</v>
      </c>
      <c r="E9" t="str">
        <f>'Study Parameters'!G3</f>
        <v>Solid sorbent DAC using temperature vacuum swing adsorption</v>
      </c>
      <c r="F9" t="str">
        <f>'Study Parameters'!I3</f>
        <v>2019 USD</v>
      </c>
      <c r="G9">
        <v>2019</v>
      </c>
      <c r="H9" t="s">
        <v>673</v>
      </c>
      <c r="I9" t="s">
        <v>4</v>
      </c>
      <c r="J9" t="s">
        <v>432</v>
      </c>
      <c r="K9">
        <f>'Study Parameters'!Q3</f>
        <v>4.5999999999999999E-2</v>
      </c>
      <c r="L9" s="30">
        <f>'[3]Copy of Young results solar_SS'!$I$2* ((1+Inputs!$C$5) ^ (2023-G9))</f>
        <v>2531.3604612486406</v>
      </c>
      <c r="M9" s="30"/>
      <c r="N9" s="30"/>
      <c r="O9" s="30">
        <f>'[3]Inputs and TEA calculations'!$I$2* ((1+Inputs!$C$5) ^ (2023-G9))</f>
        <v>2060.169523488109</v>
      </c>
    </row>
    <row r="10" spans="1:23" hidden="1" x14ac:dyDescent="0.25">
      <c r="A10" t="s">
        <v>151</v>
      </c>
      <c r="B10">
        <v>2022</v>
      </c>
      <c r="C10" t="s">
        <v>154</v>
      </c>
      <c r="D10" t="s">
        <v>166</v>
      </c>
      <c r="E10" t="s">
        <v>360</v>
      </c>
      <c r="F10" t="s">
        <v>430</v>
      </c>
      <c r="G10">
        <v>2019</v>
      </c>
      <c r="H10" t="s">
        <v>673</v>
      </c>
      <c r="I10" t="s">
        <v>674</v>
      </c>
      <c r="J10" t="s">
        <v>432</v>
      </c>
      <c r="K10">
        <v>4.5999999999999999E-2</v>
      </c>
      <c r="L10" s="30">
        <f>'[3]Copy of Young results solar_SS'!$I$3* ((1+Inputs!$C$5) ^ (2023-G10))</f>
        <v>1564.9496468118368</v>
      </c>
      <c r="M10" s="30"/>
      <c r="N10" s="30"/>
      <c r="O10" s="30">
        <f>'[3]Inputs and TEA calculations'!$I$3* ((1+Inputs!$C$5) ^ (2023-G10))</f>
        <v>1488.7216799143798</v>
      </c>
    </row>
    <row r="11" spans="1:23" hidden="1" x14ac:dyDescent="0.25">
      <c r="A11" t="s">
        <v>151</v>
      </c>
      <c r="B11">
        <v>2022</v>
      </c>
      <c r="C11" t="s">
        <v>154</v>
      </c>
      <c r="D11" t="s">
        <v>166</v>
      </c>
      <c r="E11" t="s">
        <v>360</v>
      </c>
      <c r="F11" t="s">
        <v>430</v>
      </c>
      <c r="G11">
        <v>2019</v>
      </c>
      <c r="H11" t="s">
        <v>673</v>
      </c>
      <c r="I11" t="s">
        <v>675</v>
      </c>
      <c r="J11" t="s">
        <v>432</v>
      </c>
      <c r="K11">
        <v>4.5999999999999999E-2</v>
      </c>
      <c r="L11" s="30">
        <f>'[3]Copy of Young results solar_SS'!$I$4* ((1+Inputs!$C$5) ^ (2023-G11))</f>
        <v>3697.1555944673496</v>
      </c>
      <c r="M11" s="30"/>
      <c r="N11" s="30"/>
      <c r="O11" s="30">
        <f>'[3]Inputs and TEA calculations'!$I$4* ((1+Inputs!$C$5) ^ (2023-G11))</f>
        <v>2729.5646158724885</v>
      </c>
    </row>
    <row r="12" spans="1:23" x14ac:dyDescent="0.25">
      <c r="A12" t="s">
        <v>151</v>
      </c>
      <c r="B12">
        <v>2050</v>
      </c>
      <c r="C12" t="s">
        <v>154</v>
      </c>
      <c r="D12" t="s">
        <v>166</v>
      </c>
      <c r="E12" t="s">
        <v>360</v>
      </c>
      <c r="F12" t="s">
        <v>430</v>
      </c>
      <c r="G12">
        <v>2019</v>
      </c>
      <c r="H12" t="s">
        <v>673</v>
      </c>
      <c r="I12" t="s">
        <v>4</v>
      </c>
      <c r="J12" t="s">
        <v>432</v>
      </c>
      <c r="K12">
        <v>1000</v>
      </c>
      <c r="L12" s="30">
        <f>'[4]Copy of Young results solar_SS'!$I$15* ((1+Inputs!$C$5) ^ (2023-G12))</f>
        <v>336.88679502123603</v>
      </c>
      <c r="M12" s="30"/>
      <c r="N12" s="30"/>
      <c r="O12" s="30">
        <f>'[4]Inputs and TEA calculations'!$I$15* ((1+Inputs!$C$5) ^ (2023-G12))</f>
        <v>257.10710559724805</v>
      </c>
    </row>
    <row r="13" spans="1:23" x14ac:dyDescent="0.25">
      <c r="A13" t="s">
        <v>151</v>
      </c>
      <c r="B13">
        <v>2050</v>
      </c>
      <c r="C13" t="s">
        <v>154</v>
      </c>
      <c r="D13" t="s">
        <v>166</v>
      </c>
      <c r="E13" t="s">
        <v>360</v>
      </c>
      <c r="F13" t="s">
        <v>430</v>
      </c>
      <c r="G13">
        <v>2019</v>
      </c>
      <c r="H13" t="s">
        <v>673</v>
      </c>
      <c r="I13" t="s">
        <v>674</v>
      </c>
      <c r="J13" t="s">
        <v>432</v>
      </c>
      <c r="K13">
        <v>1000</v>
      </c>
      <c r="L13" s="30">
        <f>'[4]Copy of Young results solar_SS'!$I$16* ((1+Inputs!$C$5) ^ (2023-G13))</f>
        <v>175.93258894278239</v>
      </c>
      <c r="M13" s="30"/>
      <c r="N13" s="30"/>
      <c r="O13" s="30">
        <f>'[4]Inputs and TEA calculations'!$I$16* ((1+Inputs!$C$5) ^ (2023-G13))</f>
        <v>145.42705154035619</v>
      </c>
    </row>
    <row r="14" spans="1:23" x14ac:dyDescent="0.25">
      <c r="A14" t="s">
        <v>151</v>
      </c>
      <c r="B14">
        <v>2050</v>
      </c>
      <c r="C14" t="s">
        <v>154</v>
      </c>
      <c r="D14" t="s">
        <v>166</v>
      </c>
      <c r="E14" t="s">
        <v>360</v>
      </c>
      <c r="F14" t="s">
        <v>430</v>
      </c>
      <c r="G14">
        <v>2019</v>
      </c>
      <c r="H14" t="s">
        <v>673</v>
      </c>
      <c r="I14" t="s">
        <v>675</v>
      </c>
      <c r="J14" t="s">
        <v>432</v>
      </c>
      <c r="K14">
        <v>1000</v>
      </c>
      <c r="L14" s="30">
        <f>'[4]Copy of Young results solar_SS'!$I$17* ((1+Inputs!$C$5) ^ (2023-G14))</f>
        <v>879.987608883652</v>
      </c>
      <c r="M14" s="30"/>
      <c r="N14" s="30"/>
      <c r="O14" s="30">
        <f>'[4]Inputs and TEA calculations'!$I$17* ((1+Inputs!$C$5) ^ (2023-G14))</f>
        <v>575.32086973372702</v>
      </c>
    </row>
    <row r="15" spans="1:23" hidden="1" x14ac:dyDescent="0.25">
      <c r="A15" t="str">
        <f>'Study Parameters'!A4</f>
        <v>Young et al. 2023</v>
      </c>
      <c r="B15">
        <v>2022</v>
      </c>
      <c r="C15" t="str">
        <f>'Study Parameters'!E4</f>
        <v>10.1016/j.oneear.2023.06.004</v>
      </c>
      <c r="D15" t="str">
        <f>'Study Parameters'!F4</f>
        <v>Liquid solvent with electrochemical regeneration</v>
      </c>
      <c r="E15" t="str">
        <f>'Study Parameters'!G4</f>
        <v>Liquid solvent with electrochemical regeneration</v>
      </c>
      <c r="F15" t="str">
        <f>'Study Parameters'!I4</f>
        <v>2019 USD</v>
      </c>
      <c r="G15">
        <v>2019</v>
      </c>
      <c r="H15" t="s">
        <v>673</v>
      </c>
      <c r="I15" t="s">
        <v>4</v>
      </c>
      <c r="J15" t="s">
        <v>432</v>
      </c>
      <c r="K15">
        <f>'Study Parameters'!Q4</f>
        <v>9.6000000000000002E-4</v>
      </c>
      <c r="L15" s="30">
        <f>'[5]Young results solar_electrochem'!$I$2* ((1+Inputs!$C$5) ^ (2023-G15))</f>
        <v>2001.3635218101065</v>
      </c>
      <c r="M15" s="30"/>
      <c r="O15" s="139">
        <f>'[5]Inputs and TEA calculations'!$I$2* ((1+Inputs!$C$5) ^ (2023-G15))</f>
        <v>1308.9151041939408</v>
      </c>
    </row>
    <row r="16" spans="1:23" hidden="1" x14ac:dyDescent="0.25">
      <c r="A16" t="s">
        <v>151</v>
      </c>
      <c r="B16">
        <v>2022</v>
      </c>
      <c r="C16" t="s">
        <v>154</v>
      </c>
      <c r="D16" t="s">
        <v>169</v>
      </c>
      <c r="E16" t="s">
        <v>169</v>
      </c>
      <c r="F16" t="s">
        <v>430</v>
      </c>
      <c r="G16">
        <v>2019</v>
      </c>
      <c r="H16" t="s">
        <v>673</v>
      </c>
      <c r="I16" t="s">
        <v>674</v>
      </c>
      <c r="J16" t="s">
        <v>432</v>
      </c>
      <c r="K16">
        <v>9.6000000000000002E-4</v>
      </c>
      <c r="L16" s="30">
        <f>'[5]Young results solar_electrochem'!$I$3* ((1+Inputs!$C$5) ^ (2023-G16))</f>
        <v>1565.3014869205219</v>
      </c>
      <c r="M16" s="30"/>
      <c r="O16" s="139">
        <f>'[5]Inputs and TEA calculations'!$I$3* ((1+Inputs!$C$5) ^ (2023-G15))</f>
        <v>1185.9075603382862</v>
      </c>
    </row>
    <row r="17" spans="1:15" hidden="1" x14ac:dyDescent="0.25">
      <c r="A17" t="s">
        <v>151</v>
      </c>
      <c r="B17">
        <v>2022</v>
      </c>
      <c r="C17" t="s">
        <v>154</v>
      </c>
      <c r="D17" t="s">
        <v>169</v>
      </c>
      <c r="E17" t="s">
        <v>169</v>
      </c>
      <c r="F17" t="s">
        <v>430</v>
      </c>
      <c r="G17">
        <v>2019</v>
      </c>
      <c r="H17" t="s">
        <v>673</v>
      </c>
      <c r="I17" t="s">
        <v>675</v>
      </c>
      <c r="J17" t="s">
        <v>432</v>
      </c>
      <c r="K17">
        <v>9.6000000000000002E-4</v>
      </c>
      <c r="L17" s="30">
        <f>'[5]Young results solar_electrochem'!$I$4* ((1+Inputs!$C$5) ^ (2023-G17))</f>
        <v>2770.145129544921</v>
      </c>
      <c r="M17" s="30"/>
      <c r="O17" s="139">
        <f>'[5]Inputs and TEA calculations'!$I$4* ((1+Inputs!$C$5) ^ (2023-G15))</f>
        <v>1518.5576325147504</v>
      </c>
    </row>
    <row r="18" spans="1:15" x14ac:dyDescent="0.25">
      <c r="A18" t="s">
        <v>151</v>
      </c>
      <c r="B18">
        <v>2050</v>
      </c>
      <c r="C18" t="s">
        <v>154</v>
      </c>
      <c r="D18" t="s">
        <v>169</v>
      </c>
      <c r="E18" t="s">
        <v>169</v>
      </c>
      <c r="F18" t="s">
        <v>430</v>
      </c>
      <c r="G18">
        <v>2019</v>
      </c>
      <c r="H18" t="s">
        <v>673</v>
      </c>
      <c r="I18" t="s">
        <v>4</v>
      </c>
      <c r="J18" t="s">
        <v>432</v>
      </c>
      <c r="K18">
        <v>1000</v>
      </c>
      <c r="L18" s="30">
        <f>'[6]Young results solar_electrochem'!$I$15* ((1+Inputs!$C$5) ^ (2023-G17))</f>
        <v>978.01181022586809</v>
      </c>
      <c r="M18" s="30"/>
      <c r="O18" s="139">
        <f>'[6]Inputs and TEA calculations'!$I$2* ((1+Inputs!$C$5) ^ (2023-G18))</f>
        <v>1293.4845632433239</v>
      </c>
    </row>
    <row r="19" spans="1:15" x14ac:dyDescent="0.25">
      <c r="A19" t="s">
        <v>151</v>
      </c>
      <c r="B19">
        <v>2050</v>
      </c>
      <c r="C19" t="s">
        <v>154</v>
      </c>
      <c r="D19" t="s">
        <v>169</v>
      </c>
      <c r="E19" t="s">
        <v>169</v>
      </c>
      <c r="F19" t="s">
        <v>430</v>
      </c>
      <c r="G19">
        <v>2019</v>
      </c>
      <c r="H19" t="s">
        <v>673</v>
      </c>
      <c r="I19" t="s">
        <v>674</v>
      </c>
      <c r="J19" t="s">
        <v>432</v>
      </c>
      <c r="K19">
        <v>1000</v>
      </c>
      <c r="L19" s="30">
        <f>'[6]Young results solar_electrochem'!$I$16* ((1+Inputs!$C$5) ^ (2023-G17))</f>
        <v>513.58354346091437</v>
      </c>
      <c r="M19" s="30"/>
      <c r="O19" s="139">
        <f>'[6]Inputs and TEA calculations'!$I$3* ((1+Inputs!$C$5) ^ (2023-G19))</f>
        <v>1170.4713874998199</v>
      </c>
    </row>
    <row r="20" spans="1:15" x14ac:dyDescent="0.25">
      <c r="A20" t="s">
        <v>151</v>
      </c>
      <c r="B20">
        <v>2050</v>
      </c>
      <c r="C20" t="s">
        <v>154</v>
      </c>
      <c r="D20" t="s">
        <v>169</v>
      </c>
      <c r="E20" t="s">
        <v>169</v>
      </c>
      <c r="F20" t="s">
        <v>430</v>
      </c>
      <c r="G20">
        <v>2019</v>
      </c>
      <c r="H20" t="s">
        <v>673</v>
      </c>
      <c r="I20" t="s">
        <v>675</v>
      </c>
      <c r="J20" t="s">
        <v>432</v>
      </c>
      <c r="K20">
        <v>1000</v>
      </c>
      <c r="L20" s="30">
        <f>'[6]Young results solar_electrochem'!$I$17* ((1+Inputs!$C$5) ^ (2023-G17))</f>
        <v>2166.1251021560388</v>
      </c>
      <c r="M20" s="30"/>
      <c r="O20" s="139">
        <f>'[6]Inputs and TEA calculations'!$I$4* ((1+Inputs!$C$5) ^ (2023-G20))</f>
        <v>1503.1364780438823</v>
      </c>
    </row>
    <row r="21" spans="1:15" hidden="1" x14ac:dyDescent="0.25">
      <c r="A21" t="str">
        <f>'Study Parameters'!A5</f>
        <v>Young et al. 2023</v>
      </c>
      <c r="B21">
        <v>2022</v>
      </c>
      <c r="C21" t="str">
        <f>'Study Parameters'!E5</f>
        <v>10.1016/j.oneear.2023.06.004</v>
      </c>
      <c r="D21" t="str">
        <f>'Study Parameters'!F5</f>
        <v>Ambient weathering</v>
      </c>
      <c r="E21" t="str">
        <f>'Study Parameters'!G5</f>
        <v>MgO ambient weathering with regeneration via calcination</v>
      </c>
      <c r="F21" t="str">
        <f>'Study Parameters'!I5</f>
        <v>2019 USD</v>
      </c>
      <c r="G21">
        <v>2019</v>
      </c>
      <c r="H21" t="s">
        <v>673</v>
      </c>
      <c r="I21" t="s">
        <v>4</v>
      </c>
      <c r="J21" t="s">
        <v>432</v>
      </c>
      <c r="K21">
        <f>'Study Parameters'!Q5</f>
        <v>1.1000000000000001</v>
      </c>
      <c r="L21" s="30">
        <f>'[7]Copy Young results solar_ambwea'!$I$2* ((1+Inputs!$C$5) ^ (2023-G21))</f>
        <v>619.67662723129013</v>
      </c>
      <c r="M21" s="30"/>
      <c r="O21" s="139">
        <f>'[7]Inputs and TEA calculations'!$I$2* ((1+Inputs!$C$5) ^ (2023-G21))</f>
        <v>484.59306078439545</v>
      </c>
    </row>
    <row r="22" spans="1:15" hidden="1" x14ac:dyDescent="0.25">
      <c r="A22" t="s">
        <v>151</v>
      </c>
      <c r="B22">
        <v>2022</v>
      </c>
      <c r="C22" t="s">
        <v>154</v>
      </c>
      <c r="D22" t="s">
        <v>173</v>
      </c>
      <c r="E22" t="s">
        <v>361</v>
      </c>
      <c r="F22" t="s">
        <v>430</v>
      </c>
      <c r="G22">
        <v>2019</v>
      </c>
      <c r="H22" t="s">
        <v>673</v>
      </c>
      <c r="I22" t="s">
        <v>674</v>
      </c>
      <c r="J22" t="s">
        <v>432</v>
      </c>
      <c r="K22">
        <v>1.1000000000000001</v>
      </c>
      <c r="L22" s="30">
        <f>'[7]Copy Young results solar_ambwea'!$I$3* ((1+Inputs!$C$5) ^ (2023-G22))</f>
        <v>402.73573015360546</v>
      </c>
      <c r="M22" s="30"/>
      <c r="O22" s="139">
        <f>'[7]Inputs and TEA calculations'!$I$3* ((1+Inputs!$C$5) ^ (2023-G22))</f>
        <v>382.81191676230259</v>
      </c>
    </row>
    <row r="23" spans="1:15" hidden="1" x14ac:dyDescent="0.25">
      <c r="A23" t="s">
        <v>151</v>
      </c>
      <c r="B23">
        <v>2022</v>
      </c>
      <c r="C23" t="s">
        <v>154</v>
      </c>
      <c r="D23" t="s">
        <v>173</v>
      </c>
      <c r="E23" t="s">
        <v>361</v>
      </c>
      <c r="F23" t="s">
        <v>430</v>
      </c>
      <c r="G23">
        <v>2019</v>
      </c>
      <c r="H23" t="s">
        <v>673</v>
      </c>
      <c r="I23" t="s">
        <v>675</v>
      </c>
      <c r="J23" t="s">
        <v>432</v>
      </c>
      <c r="K23">
        <v>1.1000000000000001</v>
      </c>
      <c r="L23" s="30">
        <f>'[7]Copy Young results solar_ambwea'!$I$4* ((1+Inputs!$C$5) ^ (2023-G23))</f>
        <v>995.17802520711678</v>
      </c>
      <c r="M23" s="30"/>
      <c r="O23" s="139">
        <f>'[7]Inputs and TEA calculations'!$I$4* ((1+Inputs!$C$5) ^ (2023-G23))</f>
        <v>657.89384726964306</v>
      </c>
    </row>
    <row r="24" spans="1:15" x14ac:dyDescent="0.25">
      <c r="A24" t="s">
        <v>151</v>
      </c>
      <c r="B24">
        <v>2050</v>
      </c>
      <c r="C24" t="s">
        <v>154</v>
      </c>
      <c r="D24" t="s">
        <v>173</v>
      </c>
      <c r="E24" t="s">
        <v>361</v>
      </c>
      <c r="F24" t="s">
        <v>430</v>
      </c>
      <c r="G24">
        <v>2019</v>
      </c>
      <c r="H24" t="s">
        <v>673</v>
      </c>
      <c r="I24" t="s">
        <v>4</v>
      </c>
      <c r="J24" t="s">
        <v>432</v>
      </c>
      <c r="K24">
        <v>1000</v>
      </c>
      <c r="L24" s="30">
        <f>'[8]Copy Young results solar_ambwea'!$I$15* ((1+Inputs!$C$5) ^ (2023-G24))</f>
        <v>322.23990712677391</v>
      </c>
      <c r="M24" s="30"/>
      <c r="O24" s="139">
        <f>'[8]Inputs and TEA calculations'!$I$2* ((1+Inputs!$C$5) ^ (2023-G24))</f>
        <v>458.46681714146951</v>
      </c>
    </row>
    <row r="25" spans="1:15" x14ac:dyDescent="0.25">
      <c r="A25" t="s">
        <v>151</v>
      </c>
      <c r="B25">
        <v>2050</v>
      </c>
      <c r="C25" t="s">
        <v>154</v>
      </c>
      <c r="D25" t="s">
        <v>173</v>
      </c>
      <c r="E25" t="s">
        <v>361</v>
      </c>
      <c r="F25" t="s">
        <v>430</v>
      </c>
      <c r="G25">
        <v>2019</v>
      </c>
      <c r="H25" t="s">
        <v>673</v>
      </c>
      <c r="I25" t="s">
        <v>674</v>
      </c>
      <c r="J25" t="s">
        <v>432</v>
      </c>
      <c r="K25">
        <v>1000</v>
      </c>
      <c r="L25" s="30">
        <f>'[8]Copy Young results solar_ambwea'!$I$16* ((1+Inputs!$C$5) ^ (2023-G25))</f>
        <v>162.24612645124</v>
      </c>
      <c r="M25" s="30"/>
      <c r="O25" s="139">
        <f>'[8]Inputs and TEA calculations'!$I$3* ((1+Inputs!$C$5) ^ (2023-G25))</f>
        <v>356.68464646471131</v>
      </c>
    </row>
    <row r="26" spans="1:15" x14ac:dyDescent="0.25">
      <c r="A26" t="s">
        <v>151</v>
      </c>
      <c r="B26">
        <v>2050</v>
      </c>
      <c r="C26" t="s">
        <v>154</v>
      </c>
      <c r="D26" t="s">
        <v>173</v>
      </c>
      <c r="E26" t="s">
        <v>361</v>
      </c>
      <c r="F26" t="s">
        <v>430</v>
      </c>
      <c r="G26">
        <v>2019</v>
      </c>
      <c r="H26" t="s">
        <v>673</v>
      </c>
      <c r="I26" t="s">
        <v>675</v>
      </c>
      <c r="J26" t="s">
        <v>432</v>
      </c>
      <c r="K26">
        <v>1000</v>
      </c>
      <c r="L26" s="30">
        <f>'[8]Copy Young results solar_ambwea'!$I$17* ((1+Inputs!$C$5) ^ (2023-G26))</f>
        <v>742.0903562768932</v>
      </c>
      <c r="M26" s="30"/>
      <c r="O26" s="139">
        <f>'[8]Inputs and TEA calculations'!$I$4* ((1+Inputs!$C$5) ^ (2023-G26))</f>
        <v>631.76931471782575</v>
      </c>
    </row>
    <row r="27" spans="1:15" hidden="1" x14ac:dyDescent="0.25">
      <c r="A27" s="48" t="str">
        <f>'Study Parameters'!A6</f>
        <v>Sievert et al. 2024</v>
      </c>
      <c r="B27">
        <v>2022</v>
      </c>
      <c r="C27" t="str">
        <f>'Study Parameters'!E6</f>
        <v>10.1016/j.joule.2024.02.005</v>
      </c>
      <c r="D27" t="str">
        <f>'Study Parameters'!F6</f>
        <v>Liquid solvent</v>
      </c>
      <c r="E27" t="str">
        <f>'Study Parameters'!G6</f>
        <v>KOH absorption paired with regeneration via Ca looping</v>
      </c>
      <c r="F27" t="str">
        <f>'Study Parameters'!I6</f>
        <v>2022 USD</v>
      </c>
      <c r="G27">
        <v>2022</v>
      </c>
      <c r="H27" t="s">
        <v>673</v>
      </c>
      <c r="I27" t="s">
        <v>4</v>
      </c>
      <c r="J27" t="s">
        <v>432</v>
      </c>
      <c r="K27">
        <f>'Study Parameters'!Q6</f>
        <v>0.5</v>
      </c>
      <c r="L27" s="30">
        <f>[9]LS_summary!$J$2* ((1+Inputs!$C$5) ^ (2022-G27))</f>
        <v>635</v>
      </c>
      <c r="M27" s="30"/>
      <c r="O27" s="30">
        <v>669.94069463308699</v>
      </c>
    </row>
    <row r="28" spans="1:15" hidden="1" x14ac:dyDescent="0.25">
      <c r="A28" t="s">
        <v>185</v>
      </c>
      <c r="B28">
        <v>2022</v>
      </c>
      <c r="C28" t="s">
        <v>188</v>
      </c>
      <c r="D28" t="s">
        <v>158</v>
      </c>
      <c r="E28" t="s">
        <v>358</v>
      </c>
      <c r="F28" t="s">
        <v>462</v>
      </c>
      <c r="G28">
        <v>2022</v>
      </c>
      <c r="H28" t="s">
        <v>673</v>
      </c>
      <c r="I28" t="s">
        <v>674</v>
      </c>
      <c r="J28" t="s">
        <v>432</v>
      </c>
      <c r="K28">
        <f>'Study Parameters'!Q7</f>
        <v>4.0000000000000001E-3</v>
      </c>
      <c r="L28" s="30">
        <f>[9]LS_summary!$R$2* ((1+Inputs!$C$5) ^ (2022-G28))</f>
        <v>527</v>
      </c>
      <c r="M28" s="30"/>
      <c r="O28" s="30">
        <v>521.31303134173265</v>
      </c>
    </row>
    <row r="29" spans="1:15" hidden="1" x14ac:dyDescent="0.25">
      <c r="A29" t="s">
        <v>185</v>
      </c>
      <c r="B29">
        <v>2022</v>
      </c>
      <c r="C29" t="s">
        <v>188</v>
      </c>
      <c r="D29" t="s">
        <v>158</v>
      </c>
      <c r="E29" t="s">
        <v>358</v>
      </c>
      <c r="F29" t="s">
        <v>462</v>
      </c>
      <c r="G29">
        <v>2022</v>
      </c>
      <c r="H29" t="s">
        <v>673</v>
      </c>
      <c r="I29" t="s">
        <v>675</v>
      </c>
      <c r="J29" t="s">
        <v>432</v>
      </c>
      <c r="K29">
        <f>'Study Parameters'!Q8</f>
        <v>1E-3</v>
      </c>
      <c r="L29" s="30">
        <f>[9]LS_summary!$B$2* ((1+Inputs!$C$5) ^ (2022-G29))</f>
        <v>827</v>
      </c>
      <c r="M29" s="30"/>
      <c r="O29" s="30">
        <v>894.39776183919753</v>
      </c>
    </row>
    <row r="30" spans="1:15" x14ac:dyDescent="0.25">
      <c r="A30" t="s">
        <v>185</v>
      </c>
      <c r="B30">
        <v>2050</v>
      </c>
      <c r="C30" t="s">
        <v>188</v>
      </c>
      <c r="D30" t="s">
        <v>158</v>
      </c>
      <c r="E30" t="s">
        <v>358</v>
      </c>
      <c r="F30" t="s">
        <v>462</v>
      </c>
      <c r="G30">
        <v>2022</v>
      </c>
      <c r="H30" t="s">
        <v>673</v>
      </c>
      <c r="I30" t="s">
        <v>4</v>
      </c>
      <c r="J30" t="s">
        <v>432</v>
      </c>
      <c r="K30">
        <v>1000</v>
      </c>
      <c r="L30" s="30">
        <f>[9]LS_summary!$J$51* ((1+Inputs!$C$5) ^ (2022-G30))</f>
        <v>349</v>
      </c>
      <c r="M30" s="30"/>
      <c r="O30" s="30">
        <f>[9]LS_summary!$J$51</f>
        <v>349</v>
      </c>
    </row>
    <row r="31" spans="1:15" x14ac:dyDescent="0.25">
      <c r="A31" t="s">
        <v>185</v>
      </c>
      <c r="B31">
        <v>2050</v>
      </c>
      <c r="C31" t="s">
        <v>188</v>
      </c>
      <c r="D31" t="s">
        <v>158</v>
      </c>
      <c r="E31" t="s">
        <v>358</v>
      </c>
      <c r="F31" t="s">
        <v>462</v>
      </c>
      <c r="G31">
        <v>2022</v>
      </c>
      <c r="H31" t="s">
        <v>673</v>
      </c>
      <c r="I31" t="s">
        <v>674</v>
      </c>
      <c r="J31" t="s">
        <v>432</v>
      </c>
      <c r="K31">
        <v>1000</v>
      </c>
      <c r="L31" s="30">
        <f>[9]LS_summary!$R$51* ((1+Inputs!$C$5) ^ (2022-G31))</f>
        <v>226</v>
      </c>
      <c r="M31" s="30"/>
      <c r="O31" s="30">
        <f>[9]LS_summary!$R$51</f>
        <v>226</v>
      </c>
    </row>
    <row r="32" spans="1:15" x14ac:dyDescent="0.25">
      <c r="A32" t="s">
        <v>185</v>
      </c>
      <c r="B32">
        <v>2050</v>
      </c>
      <c r="C32" t="s">
        <v>188</v>
      </c>
      <c r="D32" t="s">
        <v>158</v>
      </c>
      <c r="E32" t="s">
        <v>358</v>
      </c>
      <c r="F32" t="s">
        <v>462</v>
      </c>
      <c r="G32">
        <v>2022</v>
      </c>
      <c r="H32" t="s">
        <v>673</v>
      </c>
      <c r="I32" t="s">
        <v>675</v>
      </c>
      <c r="J32" t="s">
        <v>432</v>
      </c>
      <c r="K32">
        <v>1000</v>
      </c>
      <c r="L32" s="30">
        <f>[9]LS_summary!$B$51* ((1+Inputs!$C$5) ^ (2022-G32))</f>
        <v>532</v>
      </c>
      <c r="M32" s="30"/>
      <c r="O32" s="30">
        <f>[9]LS_summary!$B$51</f>
        <v>532</v>
      </c>
    </row>
    <row r="33" spans="1:15" hidden="1" x14ac:dyDescent="0.25">
      <c r="A33" t="str">
        <f>'Study Parameters'!A7</f>
        <v>Sievert et al. 2024</v>
      </c>
      <c r="B33">
        <v>2022</v>
      </c>
      <c r="C33" t="str">
        <f>'Study Parameters'!E7</f>
        <v>10.1016/j.joule.2024.02.005</v>
      </c>
      <c r="D33" t="str">
        <f>'Study Parameters'!F7</f>
        <v>Solid sorbent</v>
      </c>
      <c r="E33" t="str">
        <f>'Study Parameters'!G7</f>
        <v>Solid sorbent DAC using temperature vacuum swing adsorption</v>
      </c>
      <c r="F33" t="str">
        <f>'Study Parameters'!I7</f>
        <v>2022 USD</v>
      </c>
      <c r="G33">
        <v>2022</v>
      </c>
      <c r="H33" t="s">
        <v>673</v>
      </c>
      <c r="I33" t="s">
        <v>4</v>
      </c>
      <c r="J33" t="s">
        <v>432</v>
      </c>
      <c r="K33">
        <f>'Study Parameters'!Q7</f>
        <v>4.0000000000000001E-3</v>
      </c>
      <c r="L33" s="30">
        <f>[9]SS_summary!$J$2* ((1+Inputs!$C$5) ^ (2022-G33))</f>
        <v>1279</v>
      </c>
      <c r="M33" s="30"/>
      <c r="O33" s="30">
        <v>1282.314450530346</v>
      </c>
    </row>
    <row r="34" spans="1:15" hidden="1" x14ac:dyDescent="0.25">
      <c r="A34" t="s">
        <v>185</v>
      </c>
      <c r="B34">
        <v>2022</v>
      </c>
      <c r="C34" t="s">
        <v>188</v>
      </c>
      <c r="D34" t="s">
        <v>166</v>
      </c>
      <c r="E34" t="s">
        <v>360</v>
      </c>
      <c r="F34" t="s">
        <v>462</v>
      </c>
      <c r="G34">
        <v>2022</v>
      </c>
      <c r="H34" t="s">
        <v>673</v>
      </c>
      <c r="I34" t="s">
        <v>674</v>
      </c>
      <c r="J34" t="s">
        <v>432</v>
      </c>
      <c r="K34">
        <v>4.0000000000000001E-3</v>
      </c>
      <c r="L34" s="30">
        <f>[9]SS_summary!$R$2* ((1+Inputs!$C$5) ^ (2022-G34))</f>
        <v>1231</v>
      </c>
      <c r="M34" s="30"/>
      <c r="O34" s="30">
        <v>1180.094323057237</v>
      </c>
    </row>
    <row r="35" spans="1:15" hidden="1" x14ac:dyDescent="0.25">
      <c r="A35" t="s">
        <v>185</v>
      </c>
      <c r="B35">
        <v>2022</v>
      </c>
      <c r="C35" t="s">
        <v>188</v>
      </c>
      <c r="D35" t="s">
        <v>166</v>
      </c>
      <c r="E35" t="s">
        <v>360</v>
      </c>
      <c r="F35" t="s">
        <v>462</v>
      </c>
      <c r="G35">
        <v>2022</v>
      </c>
      <c r="H35" t="s">
        <v>673</v>
      </c>
      <c r="I35" t="s">
        <v>675</v>
      </c>
      <c r="J35" t="s">
        <v>432</v>
      </c>
      <c r="K35">
        <v>4.0000000000000001E-3</v>
      </c>
      <c r="L35" s="30">
        <f>[9]SS_summary!$B$2* ((1+Inputs!$C$5) ^ (2022-G35))</f>
        <v>1381</v>
      </c>
      <c r="M35" s="30"/>
      <c r="O35" s="30">
        <v>1392.3242644152151</v>
      </c>
    </row>
    <row r="36" spans="1:15" x14ac:dyDescent="0.25">
      <c r="A36" t="s">
        <v>185</v>
      </c>
      <c r="B36">
        <v>2050</v>
      </c>
      <c r="C36" t="s">
        <v>188</v>
      </c>
      <c r="D36" t="s">
        <v>166</v>
      </c>
      <c r="E36" t="s">
        <v>360</v>
      </c>
      <c r="F36" t="s">
        <v>462</v>
      </c>
      <c r="G36">
        <v>2022</v>
      </c>
      <c r="H36" t="s">
        <v>673</v>
      </c>
      <c r="I36" t="s">
        <v>4</v>
      </c>
      <c r="J36" t="s">
        <v>432</v>
      </c>
      <c r="K36">
        <v>1000</v>
      </c>
      <c r="L36" s="30">
        <f>[9]SS_summary!$J$51* ((1+Inputs!$C$5) ^ (2022-G36))</f>
        <v>441</v>
      </c>
      <c r="M36" s="30"/>
      <c r="O36" s="30">
        <f>[9]SS_summary!$J$51</f>
        <v>441</v>
      </c>
    </row>
    <row r="37" spans="1:15" x14ac:dyDescent="0.25">
      <c r="A37" t="s">
        <v>185</v>
      </c>
      <c r="B37">
        <v>2050</v>
      </c>
      <c r="C37" t="s">
        <v>188</v>
      </c>
      <c r="D37" t="s">
        <v>166</v>
      </c>
      <c r="E37" t="s">
        <v>360</v>
      </c>
      <c r="F37" t="s">
        <v>462</v>
      </c>
      <c r="G37">
        <v>2022</v>
      </c>
      <c r="H37" t="s">
        <v>673</v>
      </c>
      <c r="I37" t="s">
        <v>674</v>
      </c>
      <c r="J37" t="s">
        <v>432</v>
      </c>
      <c r="K37">
        <v>1000</v>
      </c>
      <c r="L37" s="30">
        <f>[9]SS_summary!$R$51* ((1+Inputs!$C$5) ^ (2022-G37))</f>
        <v>308</v>
      </c>
      <c r="M37" s="30"/>
      <c r="O37" s="30">
        <f>'[9]SS_summary_11$MWh'!$R$51</f>
        <v>280</v>
      </c>
    </row>
    <row r="38" spans="1:15" x14ac:dyDescent="0.25">
      <c r="A38" t="s">
        <v>185</v>
      </c>
      <c r="B38">
        <v>2050</v>
      </c>
      <c r="C38" t="s">
        <v>188</v>
      </c>
      <c r="D38" t="s">
        <v>166</v>
      </c>
      <c r="E38" t="s">
        <v>360</v>
      </c>
      <c r="F38" t="s">
        <v>462</v>
      </c>
      <c r="G38">
        <v>2022</v>
      </c>
      <c r="H38" t="s">
        <v>673</v>
      </c>
      <c r="I38" t="s">
        <v>675</v>
      </c>
      <c r="J38" t="s">
        <v>432</v>
      </c>
      <c r="K38">
        <v>1000</v>
      </c>
      <c r="L38" s="30">
        <f>[9]SS_summary!$B$51* ((1+Inputs!$C$5) ^ (2022-G38))</f>
        <v>702</v>
      </c>
      <c r="M38" s="30"/>
      <c r="O38" s="30">
        <f>[9]SS_summary!$B$51</f>
        <v>702</v>
      </c>
    </row>
    <row r="39" spans="1:15" hidden="1" x14ac:dyDescent="0.25">
      <c r="A39" t="str">
        <f>'Study Parameters'!A8</f>
        <v>Sievert et al. 2024</v>
      </c>
      <c r="B39">
        <v>2022</v>
      </c>
      <c r="C39" t="str">
        <f>'Study Parameters'!E8</f>
        <v>10.1016/j.joule.2024.02.005</v>
      </c>
      <c r="D39" t="str">
        <f>'Study Parameters'!F8</f>
        <v>Ambient weathering</v>
      </c>
      <c r="E39" t="str">
        <f>'Study Parameters'!G8</f>
        <v>CaO ambient weathering with regeneration via calcination</v>
      </c>
      <c r="F39" t="str">
        <f>'Study Parameters'!I8</f>
        <v>2022 USD</v>
      </c>
      <c r="G39">
        <v>2022</v>
      </c>
      <c r="H39" t="s">
        <v>673</v>
      </c>
      <c r="I39" t="s">
        <v>4</v>
      </c>
      <c r="J39" t="s">
        <v>432</v>
      </c>
      <c r="K39">
        <f>'Study Parameters'!Q8</f>
        <v>1E-3</v>
      </c>
      <c r="L39" s="30">
        <f>[9]CaO_summary!$J$2* ((1+Inputs!$C$5) ^ (2022-G39))</f>
        <v>2352</v>
      </c>
      <c r="M39" s="30"/>
      <c r="O39" s="30">
        <v>2481.3480043001368</v>
      </c>
    </row>
    <row r="40" spans="1:15" hidden="1" x14ac:dyDescent="0.25">
      <c r="A40" t="s">
        <v>185</v>
      </c>
      <c r="B40">
        <v>2022</v>
      </c>
      <c r="C40" t="s">
        <v>188</v>
      </c>
      <c r="D40" t="s">
        <v>173</v>
      </c>
      <c r="E40" t="s">
        <v>364</v>
      </c>
      <c r="F40" t="s">
        <v>462</v>
      </c>
      <c r="G40">
        <v>2022</v>
      </c>
      <c r="H40" t="s">
        <v>673</v>
      </c>
      <c r="I40" t="s">
        <v>674</v>
      </c>
      <c r="J40" t="s">
        <v>432</v>
      </c>
      <c r="K40">
        <v>1E-3</v>
      </c>
      <c r="L40" s="30">
        <f>[9]CaO_summary!$R$2* ((1+Inputs!$C$5) ^ (2022-G40))</f>
        <v>2155</v>
      </c>
      <c r="M40" s="30"/>
      <c r="O40" s="30">
        <v>2153.1601565847341</v>
      </c>
    </row>
    <row r="41" spans="1:15" hidden="1" x14ac:dyDescent="0.25">
      <c r="A41" t="s">
        <v>185</v>
      </c>
      <c r="B41">
        <v>2022</v>
      </c>
      <c r="C41" t="s">
        <v>188</v>
      </c>
      <c r="D41" t="s">
        <v>173</v>
      </c>
      <c r="E41" t="s">
        <v>364</v>
      </c>
      <c r="F41" t="s">
        <v>462</v>
      </c>
      <c r="G41">
        <v>2022</v>
      </c>
      <c r="H41" t="s">
        <v>673</v>
      </c>
      <c r="I41" t="s">
        <v>675</v>
      </c>
      <c r="J41" t="s">
        <v>432</v>
      </c>
      <c r="K41">
        <v>1E-3</v>
      </c>
      <c r="L41" s="30">
        <f>[9]CaO_summary!$B$2* ((1+Inputs!$C$5) ^ (2022-G41))</f>
        <v>2849</v>
      </c>
      <c r="M41" s="30"/>
      <c r="O41" s="30">
        <v>2874.3199941446942</v>
      </c>
    </row>
    <row r="42" spans="1:15" x14ac:dyDescent="0.25">
      <c r="A42" t="s">
        <v>185</v>
      </c>
      <c r="B42">
        <v>2050</v>
      </c>
      <c r="C42" t="s">
        <v>188</v>
      </c>
      <c r="D42" t="s">
        <v>173</v>
      </c>
      <c r="E42" t="s">
        <v>364</v>
      </c>
      <c r="F42" t="s">
        <v>462</v>
      </c>
      <c r="G42">
        <v>2022</v>
      </c>
      <c r="H42" t="s">
        <v>673</v>
      </c>
      <c r="I42" t="s">
        <v>4</v>
      </c>
      <c r="J42" t="s">
        <v>432</v>
      </c>
      <c r="K42">
        <v>1000</v>
      </c>
      <c r="L42" s="30">
        <f>[9]CaO_summary!$J$51* ((1+Inputs!$C$5) ^ (2022-G42))</f>
        <v>372</v>
      </c>
      <c r="M42" s="30"/>
      <c r="O42" s="30">
        <f>[9]CaO_summary!$J$51</f>
        <v>372</v>
      </c>
    </row>
    <row r="43" spans="1:15" x14ac:dyDescent="0.25">
      <c r="A43" t="s">
        <v>185</v>
      </c>
      <c r="B43">
        <v>2050</v>
      </c>
      <c r="C43" t="s">
        <v>188</v>
      </c>
      <c r="D43" t="s">
        <v>173</v>
      </c>
      <c r="E43" t="s">
        <v>364</v>
      </c>
      <c r="F43" t="s">
        <v>462</v>
      </c>
      <c r="G43">
        <v>2022</v>
      </c>
      <c r="H43" t="s">
        <v>673</v>
      </c>
      <c r="I43" t="s">
        <v>674</v>
      </c>
      <c r="J43" t="s">
        <v>432</v>
      </c>
      <c r="K43">
        <v>1000</v>
      </c>
      <c r="L43" s="30">
        <f>[9]CaO_summary!$R$51* ((1+Inputs!$C$5) ^ (2022-G43))</f>
        <v>318</v>
      </c>
      <c r="M43" s="30"/>
      <c r="O43" s="30">
        <f>'[9]CaO_summary_11$MWh'!$R$51</f>
        <v>260</v>
      </c>
    </row>
    <row r="44" spans="1:15" x14ac:dyDescent="0.25">
      <c r="A44" t="s">
        <v>185</v>
      </c>
      <c r="B44">
        <v>2050</v>
      </c>
      <c r="C44" t="s">
        <v>188</v>
      </c>
      <c r="D44" t="s">
        <v>173</v>
      </c>
      <c r="E44" t="s">
        <v>364</v>
      </c>
      <c r="F44" t="s">
        <v>462</v>
      </c>
      <c r="G44">
        <v>2022</v>
      </c>
      <c r="H44" t="s">
        <v>673</v>
      </c>
      <c r="I44" t="s">
        <v>675</v>
      </c>
      <c r="J44" t="s">
        <v>432</v>
      </c>
      <c r="K44">
        <v>1000</v>
      </c>
      <c r="L44" s="30">
        <f>[9]CaO_summary!$B$51* ((1+Inputs!$C$5) ^ (2022-G44))</f>
        <v>624</v>
      </c>
      <c r="M44" s="30"/>
      <c r="O44" s="30">
        <f>'[9]CaO_summary_11$MWh'!$B$51</f>
        <v>575</v>
      </c>
    </row>
    <row r="45" spans="1:15" hidden="1" x14ac:dyDescent="0.25">
      <c r="A45" t="str">
        <f>'Study Parameters'!A9</f>
        <v>McQueen et al. 2020a</v>
      </c>
      <c r="B45">
        <v>2023</v>
      </c>
      <c r="C45" t="str">
        <f>'Study Parameters'!E9</f>
        <v>10.1021/acs.est.0c00476</v>
      </c>
      <c r="D45" t="s">
        <v>166</v>
      </c>
      <c r="E45" t="s">
        <v>360</v>
      </c>
      <c r="F45" t="s">
        <v>462</v>
      </c>
      <c r="G45">
        <v>2022</v>
      </c>
      <c r="H45" t="s">
        <v>673</v>
      </c>
      <c r="I45" t="s">
        <v>676</v>
      </c>
      <c r="J45" t="s">
        <v>677</v>
      </c>
      <c r="K45" s="73">
        <v>0.1</v>
      </c>
      <c r="L45" s="30">
        <f>[10]Baseline!$B$9* ((1+Inputs!$C$5) ^ (2022-G45))</f>
        <v>243.19087562746984</v>
      </c>
      <c r="M45" s="30">
        <f>'[10]Step 1 LCOE - EE'!$B$10</f>
        <v>281.4604652955673</v>
      </c>
      <c r="N45" s="30">
        <f>'[10]Step 2 WACC'!$B$10</f>
        <v>253.01246179996221</v>
      </c>
      <c r="O45" s="30">
        <f>'[10]Step 3 T&amp;S'!$B$10</f>
        <v>293.01246179996224</v>
      </c>
    </row>
    <row r="46" spans="1:15" hidden="1" x14ac:dyDescent="0.25">
      <c r="A46" t="str">
        <f>'Study Parameters'!A9</f>
        <v>McQueen et al. 2020a</v>
      </c>
      <c r="B46">
        <v>2023</v>
      </c>
      <c r="C46" t="str">
        <f>'Study Parameters'!E9</f>
        <v>10.1021/acs.est.0c00476</v>
      </c>
      <c r="D46" t="str">
        <f>'Study Parameters'!F9</f>
        <v>Solid sorbent</v>
      </c>
      <c r="E46" t="s">
        <v>360</v>
      </c>
      <c r="F46" t="str">
        <f>'Study Parameters'!I9</f>
        <v>2022 USD</v>
      </c>
      <c r="G46">
        <v>2022</v>
      </c>
      <c r="H46" t="s">
        <v>673</v>
      </c>
      <c r="I46" t="s">
        <v>75</v>
      </c>
      <c r="J46" t="s">
        <v>677</v>
      </c>
      <c r="K46" s="73">
        <v>0.1</v>
      </c>
      <c r="L46" s="30">
        <f>[10]Baseline!$B$16* ((1+Inputs!$C$5) ^ (2022-G46))</f>
        <v>220.91190758755869</v>
      </c>
      <c r="M46" s="30">
        <f>'[10]Step 1 LCOE - EE'!$B$18</f>
        <v>255.99089829145115</v>
      </c>
      <c r="N46" s="30">
        <f>'[10]Step 2 WACC'!$B$18</f>
        <v>227.33390287547573</v>
      </c>
      <c r="O46" s="30">
        <f>'[10]Step 3 T&amp;S'!$B$18</f>
        <v>267.3339028754757</v>
      </c>
    </row>
    <row r="47" spans="1:15" hidden="1" x14ac:dyDescent="0.25">
      <c r="A47" t="str">
        <f>'Study Parameters'!A9</f>
        <v>McQueen et al. 2020a</v>
      </c>
      <c r="B47">
        <v>2023</v>
      </c>
      <c r="C47" t="str">
        <f>'Study Parameters'!E9</f>
        <v>10.1021/acs.est.0c00476</v>
      </c>
      <c r="D47" t="str">
        <f>'Study Parameters'!F9</f>
        <v>Solid sorbent</v>
      </c>
      <c r="E47" t="s">
        <v>360</v>
      </c>
      <c r="F47" t="str">
        <f>'Study Parameters'!I9</f>
        <v>2022 USD</v>
      </c>
      <c r="G47">
        <v>2022</v>
      </c>
      <c r="H47" t="s">
        <v>673</v>
      </c>
      <c r="I47" t="s">
        <v>72</v>
      </c>
      <c r="J47" t="s">
        <v>677</v>
      </c>
      <c r="K47" s="73">
        <v>0.1</v>
      </c>
      <c r="L47" s="30">
        <f>[10]Baseline!$B$23* ((1+Inputs!$C$5) ^ (2022-G47))</f>
        <v>252.29289736301058</v>
      </c>
      <c r="M47" s="30">
        <f>'[10]Step 1 LCOE - EE'!$B$26</f>
        <v>291.90515143423369</v>
      </c>
      <c r="N47" s="30">
        <f>'[10]Step 2 WACC'!$B$26</f>
        <v>263.19697040786667</v>
      </c>
      <c r="O47" s="30">
        <f>'[10]Step 3 T&amp;S'!$B$26</f>
        <v>303.19697040786667</v>
      </c>
    </row>
    <row r="48" spans="1:15" hidden="1" x14ac:dyDescent="0.25">
      <c r="A48" t="str">
        <f>'Study Parameters'!$A$10</f>
        <v>Sendi et al. 2022</v>
      </c>
      <c r="B48">
        <v>2022</v>
      </c>
      <c r="C48" t="s">
        <v>210</v>
      </c>
      <c r="D48" t="s">
        <v>166</v>
      </c>
      <c r="E48" t="s">
        <v>166</v>
      </c>
      <c r="F48" t="s">
        <v>462</v>
      </c>
      <c r="G48">
        <v>2022</v>
      </c>
      <c r="H48" t="s">
        <v>673</v>
      </c>
      <c r="I48" t="s">
        <v>678</v>
      </c>
      <c r="K48" s="73"/>
      <c r="L48" s="30">
        <f>[11]Baseline!$B$3* ((1+Inputs!$C$5) ^ (2022-G48))</f>
        <v>195.79914443846775</v>
      </c>
      <c r="M48" s="30">
        <f>'[11]Step 1 LCOE - EE'!$B$10</f>
        <v>237.95480106262713</v>
      </c>
      <c r="N48" s="30">
        <f>'[11]Step 2 WACC'!$B$10</f>
        <v>238.51244114406214</v>
      </c>
      <c r="O48" s="30">
        <f>'[11]Step 3 T&amp;S'!$B$3</f>
        <v>278.51244114406211</v>
      </c>
    </row>
    <row r="49" spans="1:15" hidden="1" x14ac:dyDescent="0.25">
      <c r="A49" t="str">
        <f>'Study Parameters'!$A$10</f>
        <v>Sendi et al. 2022</v>
      </c>
      <c r="B49">
        <v>2022</v>
      </c>
      <c r="C49" t="s">
        <v>210</v>
      </c>
      <c r="D49" t="s">
        <v>166</v>
      </c>
      <c r="E49" t="s">
        <v>166</v>
      </c>
      <c r="F49" t="s">
        <v>462</v>
      </c>
      <c r="G49">
        <v>2022</v>
      </c>
      <c r="H49" t="s">
        <v>673</v>
      </c>
      <c r="I49" t="s">
        <v>679</v>
      </c>
      <c r="K49" s="73"/>
      <c r="L49" s="30">
        <f>[11]Baseline!$B$4* ((1+Inputs!$C$5) ^ (2022-G49))</f>
        <v>180.2232319711996</v>
      </c>
      <c r="M49" s="30">
        <f>'[11]Step 1 LCOE - EE'!$B$11</f>
        <v>236.5428746531436</v>
      </c>
      <c r="N49" s="30">
        <f>'[11]Step 1 LCOE - EE'!$B$11</f>
        <v>236.5428746531436</v>
      </c>
      <c r="O49" s="30">
        <f>'[11]Step 3 T&amp;S'!$B$4</f>
        <v>260.17305813012763</v>
      </c>
    </row>
    <row r="50" spans="1:15" hidden="1" x14ac:dyDescent="0.25">
      <c r="A50" t="str">
        <f>'Study Parameters'!$A$10</f>
        <v>Sendi et al. 2022</v>
      </c>
      <c r="B50">
        <v>2022</v>
      </c>
      <c r="C50" t="s">
        <v>210</v>
      </c>
      <c r="D50" t="s">
        <v>166</v>
      </c>
      <c r="E50" t="s">
        <v>166</v>
      </c>
      <c r="F50" t="s">
        <v>462</v>
      </c>
      <c r="G50">
        <v>2022</v>
      </c>
      <c r="H50" t="s">
        <v>673</v>
      </c>
      <c r="I50" t="s">
        <v>680</v>
      </c>
      <c r="K50" s="73"/>
      <c r="L50" s="30">
        <f>[11]Baseline!$B$5* ((1+Inputs!$C$5) ^ (2022-G50))</f>
        <v>241.93412260542041</v>
      </c>
      <c r="M50" s="30">
        <f>'[11]Step 1 LCOE - EE'!$B$12</f>
        <v>290.12604931223825</v>
      </c>
      <c r="N50" s="30">
        <f>'[11]Step 1 LCOE - EE'!$B$12</f>
        <v>290.12604931223825</v>
      </c>
      <c r="O50" s="30">
        <f>'[11]Step 3 T&amp;S'!$B$5</f>
        <v>334.02175471233329</v>
      </c>
    </row>
    <row r="51" spans="1:15" hidden="1" x14ac:dyDescent="0.25">
      <c r="A51" t="str">
        <f>'Study Parameters'!$A$10</f>
        <v>Sendi et al. 2022</v>
      </c>
      <c r="B51">
        <v>2022</v>
      </c>
      <c r="C51" t="s">
        <v>210</v>
      </c>
      <c r="D51" t="s">
        <v>166</v>
      </c>
      <c r="E51" t="s">
        <v>166</v>
      </c>
      <c r="F51" t="s">
        <v>462</v>
      </c>
      <c r="G51">
        <v>2022</v>
      </c>
      <c r="H51" t="s">
        <v>673</v>
      </c>
      <c r="I51" t="s">
        <v>681</v>
      </c>
      <c r="K51" s="73"/>
      <c r="L51" s="30">
        <f>[11]Baseline!$B$6</f>
        <v>253.04087873301455</v>
      </c>
      <c r="M51" s="30">
        <f>'[11]Step 1 LCOE - EE'!$B$13</f>
        <v>346.94775545674526</v>
      </c>
      <c r="N51" s="30">
        <f>'[11]Step 1 LCOE - EE'!$B$13</f>
        <v>346.94775545674526</v>
      </c>
      <c r="O51" s="30">
        <f>'[11]Step 3 T&amp;S'!$B$6</f>
        <v>347.52430793993972</v>
      </c>
    </row>
    <row r="52" spans="1:15" hidden="1" x14ac:dyDescent="0.25">
      <c r="A52" t="str">
        <f>'Study Parameters'!$A$10</f>
        <v>Sendi et al. 2022</v>
      </c>
      <c r="B52">
        <v>2022</v>
      </c>
      <c r="C52" t="s">
        <v>210</v>
      </c>
      <c r="D52" t="s">
        <v>166</v>
      </c>
      <c r="E52" t="s">
        <v>166</v>
      </c>
      <c r="F52" t="s">
        <v>462</v>
      </c>
      <c r="G52">
        <v>2022</v>
      </c>
      <c r="H52" t="s">
        <v>673</v>
      </c>
      <c r="I52" t="s">
        <v>682</v>
      </c>
      <c r="K52" s="73"/>
      <c r="L52" s="30">
        <f>[11]Baseline!$C$3* ((1+Inputs!$C$5) ^ (2022-G52))</f>
        <v>337.61992148906455</v>
      </c>
      <c r="M52" s="30">
        <f>'[11]Step 1 LCOE - EE'!$C$10</f>
        <v>392.06362812033171</v>
      </c>
      <c r="N52" s="30">
        <f>'[11]Step 1 LCOE - EE'!$C$10</f>
        <v>392.06362812033171</v>
      </c>
      <c r="O52" s="30">
        <f>'[11]Step 3 T&amp;S'!$C$3</f>
        <v>431.20952014305874</v>
      </c>
    </row>
    <row r="53" spans="1:15" hidden="1" x14ac:dyDescent="0.25">
      <c r="A53" t="str">
        <f>'Study Parameters'!$A$10</f>
        <v>Sendi et al. 2022</v>
      </c>
      <c r="B53">
        <v>2022</v>
      </c>
      <c r="C53" t="s">
        <v>210</v>
      </c>
      <c r="D53" t="s">
        <v>166</v>
      </c>
      <c r="E53" t="s">
        <v>166</v>
      </c>
      <c r="F53" t="s">
        <v>462</v>
      </c>
      <c r="G53">
        <v>2022</v>
      </c>
      <c r="H53" t="s">
        <v>673</v>
      </c>
      <c r="I53" t="s">
        <v>683</v>
      </c>
      <c r="K53" s="73"/>
      <c r="L53" s="30">
        <f>[11]Baseline!$C$4* ((1+Inputs!$C$5) ^ (2022-G53))</f>
        <v>314.58902698307497</v>
      </c>
      <c r="M53" s="30">
        <f>'[11]Step 1 LCOE - EE'!$C$11</f>
        <v>394.50572316503008</v>
      </c>
      <c r="N53" s="30">
        <f>'[11]Step 1 LCOE - EE'!$C$11</f>
        <v>394.50572316503008</v>
      </c>
      <c r="O53" s="30">
        <f>'[11]Step 3 T&amp;S'!$C$4</f>
        <v>405.58125796275607</v>
      </c>
    </row>
    <row r="54" spans="1:15" hidden="1" x14ac:dyDescent="0.25">
      <c r="A54" t="str">
        <f>'Study Parameters'!$A$10</f>
        <v>Sendi et al. 2022</v>
      </c>
      <c r="B54">
        <v>2022</v>
      </c>
      <c r="C54" t="s">
        <v>210</v>
      </c>
      <c r="D54" t="s">
        <v>166</v>
      </c>
      <c r="E54" t="s">
        <v>166</v>
      </c>
      <c r="F54" t="s">
        <v>462</v>
      </c>
      <c r="G54">
        <v>2022</v>
      </c>
      <c r="H54" t="s">
        <v>673</v>
      </c>
      <c r="I54" t="s">
        <v>684</v>
      </c>
      <c r="K54" s="73"/>
      <c r="L54" s="30">
        <f>[11]Baseline!$C$5* ((1+Inputs!$C$5) ^ (2022-G54))</f>
        <v>425.41295915949337</v>
      </c>
      <c r="M54" s="30">
        <f>'[11]Step 1 LCOE - EE'!$C$12</f>
        <v>488.54667876866756</v>
      </c>
      <c r="N54" s="30">
        <f>'[11]Step 1 LCOE - EE'!$C$12</f>
        <v>488.54667876866756</v>
      </c>
      <c r="O54" s="30">
        <f>'[11]Step 3 T&amp;S'!$C$5</f>
        <v>532.88151930075014</v>
      </c>
    </row>
    <row r="55" spans="1:15" hidden="1" x14ac:dyDescent="0.25">
      <c r="A55" t="str">
        <f>'Study Parameters'!$A$10</f>
        <v>Sendi et al. 2022</v>
      </c>
      <c r="B55">
        <f>'Study Parameters'!H10</f>
        <v>2022</v>
      </c>
      <c r="C55" t="str">
        <f>'Study Parameters'!E10</f>
        <v>10.1016/j.oneear.2022.09.003</v>
      </c>
      <c r="D55" t="str">
        <f>'Study Parameters'!F10</f>
        <v>Solid sorbent</v>
      </c>
      <c r="E55" t="str">
        <f>'Study Parameters'!G10</f>
        <v>Solid sorbent</v>
      </c>
      <c r="F55" t="str">
        <f>'Study Parameters'!I10</f>
        <v>2022 USD</v>
      </c>
      <c r="G55">
        <v>2022</v>
      </c>
      <c r="H55" t="s">
        <v>673</v>
      </c>
      <c r="I55" t="s">
        <v>685</v>
      </c>
      <c r="L55" s="30">
        <f>[11]Baseline!$C$6* ((1+Inputs!$C$5) ^ (2022-G55))</f>
        <v>482.58604585743416</v>
      </c>
      <c r="M55" s="30">
        <f>'[11]Step 1 LCOE - EE'!$C$13</f>
        <v>632.16735720171778</v>
      </c>
      <c r="N55" s="30">
        <f>'[11]Step 1 LCOE - EE'!$C$13</f>
        <v>632.16735720171778</v>
      </c>
      <c r="O55" s="30">
        <f>'[11]Step 3 T&amp;S'!$C$6</f>
        <v>598.00725415939087</v>
      </c>
    </row>
    <row r="56" spans="1:15" hidden="1" x14ac:dyDescent="0.25">
      <c r="A56" t="str">
        <f>'Study Parameters'!$A$10</f>
        <v>Sendi et al. 2022</v>
      </c>
      <c r="B56">
        <v>2022</v>
      </c>
      <c r="C56" t="s">
        <v>210</v>
      </c>
      <c r="D56" t="s">
        <v>166</v>
      </c>
      <c r="E56" t="s">
        <v>166</v>
      </c>
      <c r="F56" t="s">
        <v>462</v>
      </c>
      <c r="G56">
        <v>2022</v>
      </c>
      <c r="H56" t="s">
        <v>673</v>
      </c>
      <c r="I56" t="s">
        <v>686</v>
      </c>
      <c r="L56" s="30">
        <f>[11]Baseline!$D$3* ((1+Inputs!$C$5) ^ (2022-G56))</f>
        <v>488.01436593001387</v>
      </c>
      <c r="M56" s="30">
        <f>'[11]Step 1 LCOE - EE'!$D$10</f>
        <v>556.5909201633358</v>
      </c>
      <c r="N56" s="30">
        <f>'[11]Step 1 LCOE - EE'!$D$10</f>
        <v>556.5909201633358</v>
      </c>
      <c r="O56" s="30">
        <f>'[11]Step 3 T&amp;S'!$D$3</f>
        <v>594.26871158968584</v>
      </c>
    </row>
    <row r="57" spans="1:15" hidden="1" x14ac:dyDescent="0.25">
      <c r="A57" t="str">
        <f>'Study Parameters'!$A$10</f>
        <v>Sendi et al. 2022</v>
      </c>
      <c r="B57">
        <v>2022</v>
      </c>
      <c r="C57" t="s">
        <v>210</v>
      </c>
      <c r="D57" t="s">
        <v>166</v>
      </c>
      <c r="E57" t="s">
        <v>166</v>
      </c>
      <c r="F57" t="s">
        <v>462</v>
      </c>
      <c r="G57">
        <v>2022</v>
      </c>
      <c r="H57" t="s">
        <v>673</v>
      </c>
      <c r="I57" t="s">
        <v>687</v>
      </c>
      <c r="L57" s="30">
        <f>[11]Baseline!$D$4* ((1+Inputs!$C$5) ^ (2022-G57))</f>
        <v>453.60276346122942</v>
      </c>
      <c r="M57" s="30">
        <f>'[11]Step 1 LCOE - EE'!$D$11</f>
        <v>558.56832845298004</v>
      </c>
      <c r="N57" s="30">
        <f>'[11]Step 1 LCOE - EE'!$D$11</f>
        <v>558.56832845298004</v>
      </c>
      <c r="O57" s="30">
        <f>'[11]Step 3 T&amp;S'!$D$4</f>
        <v>556.61504560775791</v>
      </c>
    </row>
    <row r="58" spans="1:15" hidden="1" x14ac:dyDescent="0.25">
      <c r="A58" t="str">
        <f>'Study Parameters'!$A$10</f>
        <v>Sendi et al. 2022</v>
      </c>
      <c r="B58">
        <v>2022</v>
      </c>
      <c r="C58" t="s">
        <v>210</v>
      </c>
      <c r="D58" t="s">
        <v>166</v>
      </c>
      <c r="E58" t="s">
        <v>166</v>
      </c>
      <c r="F58" t="s">
        <v>462</v>
      </c>
      <c r="G58">
        <v>2022</v>
      </c>
      <c r="H58" t="s">
        <v>673</v>
      </c>
      <c r="I58" t="s">
        <v>688</v>
      </c>
      <c r="L58" s="30">
        <f>[11]Baseline!$D$5* ((1+Inputs!$C$5) ^ (2022-G58))</f>
        <v>620.65519476571251</v>
      </c>
      <c r="M58" s="30">
        <f>'[11]Step 1 LCOE - EE'!$D$12</f>
        <v>701.07244150424765</v>
      </c>
      <c r="N58" s="30">
        <f>'[11]Step 1 LCOE - EE'!$D$12</f>
        <v>701.07244150424765</v>
      </c>
      <c r="O58" s="30">
        <f>'[11]Step 3 T&amp;S'!$D$5</f>
        <v>745.92213758183834</v>
      </c>
    </row>
    <row r="59" spans="1:15" hidden="1" x14ac:dyDescent="0.25">
      <c r="A59" t="str">
        <f>'Study Parameters'!$A$10</f>
        <v>Sendi et al. 2022</v>
      </c>
      <c r="B59">
        <v>2022</v>
      </c>
      <c r="C59" t="s">
        <v>210</v>
      </c>
      <c r="D59" t="s">
        <v>166</v>
      </c>
      <c r="E59" t="s">
        <v>166</v>
      </c>
      <c r="F59" t="s">
        <v>462</v>
      </c>
      <c r="G59">
        <v>2022</v>
      </c>
      <c r="H59" t="s">
        <v>673</v>
      </c>
      <c r="I59" t="s">
        <v>689</v>
      </c>
      <c r="L59" s="30">
        <f>[11]Baseline!$D$6* ((1+Inputs!$C$5) ^ (2022-G59))</f>
        <v>724.43464831783103</v>
      </c>
      <c r="M59" s="30">
        <f>'[11]Step 1 LCOE - EE'!$D$13</f>
        <v>934.25435834426344</v>
      </c>
      <c r="N59" s="30">
        <f>'[11]Step 1 LCOE - EE'!$D$13</f>
        <v>934.25435834426344</v>
      </c>
      <c r="O59" s="30">
        <f>'[11]Step 3 T&amp;S'!$D$6</f>
        <v>863.3220713069054</v>
      </c>
    </row>
    <row r="60" spans="1:15" hidden="1" x14ac:dyDescent="0.25">
      <c r="A60" t="str">
        <f>'Study Parameters'!A11</f>
        <v>Fasihi et al. 2019</v>
      </c>
      <c r="B60">
        <v>2020</v>
      </c>
      <c r="C60" t="str">
        <f>'Study Parameters'!E11</f>
        <v>10.1016/j.jclepro.2019.03.086</v>
      </c>
      <c r="D60" t="str">
        <f>'Study Parameters'!F11</f>
        <v>Liquid solvent</v>
      </c>
      <c r="E60" t="str">
        <f>'Study Parameters'!G11</f>
        <v>Liquid solvent</v>
      </c>
      <c r="F60" t="str">
        <f>'Study Parameters'!I11</f>
        <v>2018 EUR</v>
      </c>
      <c r="G60">
        <v>2018</v>
      </c>
      <c r="H60" t="s">
        <v>673</v>
      </c>
      <c r="I60" t="s">
        <v>676</v>
      </c>
      <c r="J60" t="str">
        <f>'Study Parameters'!L11</f>
        <v>Levelized cost of capture</v>
      </c>
      <c r="K60">
        <v>1.5</v>
      </c>
      <c r="L60" s="30">
        <f>'[12]Base Case LS'!$I$28* ((1+Inputs!$C$5) ^ (2022-G60))</f>
        <v>327.72996608278714</v>
      </c>
      <c r="M60" s="30">
        <f>'[12]Step 1 LCOE LS'!$I$31* ((1+Inputs!$C$5) ^ (2022-G60))</f>
        <v>277.94108353342045</v>
      </c>
      <c r="N60" s="30">
        <f>'[12]Step 2 WACC LS'!$I$31</f>
        <v>252.26048677321859</v>
      </c>
      <c r="O60" s="30">
        <f>'[12]Step 3 T&amp;S LS'!$I$34</f>
        <v>289.21430381427916</v>
      </c>
    </row>
    <row r="61" spans="1:15" hidden="1" x14ac:dyDescent="0.25">
      <c r="A61" t="s">
        <v>214</v>
      </c>
      <c r="B61">
        <v>2020</v>
      </c>
      <c r="C61" t="s">
        <v>217</v>
      </c>
      <c r="D61" t="s">
        <v>158</v>
      </c>
      <c r="E61" t="s">
        <v>158</v>
      </c>
      <c r="F61" t="s">
        <v>496</v>
      </c>
      <c r="G61">
        <v>2018</v>
      </c>
      <c r="H61" t="s">
        <v>673</v>
      </c>
      <c r="I61" t="s">
        <v>690</v>
      </c>
      <c r="J61" t="s">
        <v>480</v>
      </c>
      <c r="K61">
        <v>1.5</v>
      </c>
      <c r="L61" s="104">
        <f>'[12]Base Case LS'!$D$28* ((1+Inputs!$C$5) ^ (2022-G61))</f>
        <v>327.72996608278714</v>
      </c>
      <c r="M61" s="30">
        <f>'[12]Step 1 LCOE LS'!$D$31* ((1+Inputs!$C$5) ^ (2022-G61))</f>
        <v>277.94108353342045</v>
      </c>
      <c r="N61" s="30">
        <f>'[12]Step 2 WACC LS'!$D$31</f>
        <v>252.26048677321859</v>
      </c>
      <c r="O61" s="30">
        <f>'[12]Step 3 T&amp;S LS'!$D$34</f>
        <v>289.21430381427916</v>
      </c>
    </row>
    <row r="62" spans="1:15" x14ac:dyDescent="0.25">
      <c r="A62" t="s">
        <v>214</v>
      </c>
      <c r="B62">
        <v>2050</v>
      </c>
      <c r="C62" t="s">
        <v>217</v>
      </c>
      <c r="D62" t="s">
        <v>158</v>
      </c>
      <c r="E62" t="s">
        <v>158</v>
      </c>
      <c r="F62" t="s">
        <v>496</v>
      </c>
      <c r="G62">
        <v>2018</v>
      </c>
      <c r="H62" t="s">
        <v>673</v>
      </c>
      <c r="I62" t="s">
        <v>676</v>
      </c>
      <c r="J62" t="s">
        <v>480</v>
      </c>
      <c r="K62">
        <v>15357</v>
      </c>
      <c r="L62" s="104">
        <f>'[12]Base Case LS'!$L$28* ((1+Inputs!$C$5) ^ (2022-G62))</f>
        <v>65.583390561999551</v>
      </c>
      <c r="M62" s="30">
        <f>'[12]Step 1 LCOE LS'!$L$31* ((1+Inputs!$C$5) ^ (2022-G62))</f>
        <v>82.867628361829105</v>
      </c>
      <c r="N62" s="30">
        <f>'[12]Step 2 WACC LS'!$L$31</f>
        <v>75.211005161759758</v>
      </c>
      <c r="O62" s="30">
        <f>'[12]Step 3 T&amp;S LS'!$L$34</f>
        <v>98.307140812422617</v>
      </c>
    </row>
    <row r="63" spans="1:15" x14ac:dyDescent="0.25">
      <c r="A63" t="s">
        <v>214</v>
      </c>
      <c r="B63">
        <v>2050</v>
      </c>
      <c r="C63" t="s">
        <v>217</v>
      </c>
      <c r="D63" t="s">
        <v>158</v>
      </c>
      <c r="E63" t="s">
        <v>158</v>
      </c>
      <c r="F63" t="s">
        <v>496</v>
      </c>
      <c r="G63">
        <v>2018</v>
      </c>
      <c r="H63" t="s">
        <v>673</v>
      </c>
      <c r="I63" t="s">
        <v>690</v>
      </c>
      <c r="J63" t="s">
        <v>480</v>
      </c>
      <c r="K63">
        <v>7679</v>
      </c>
      <c r="L63" s="104">
        <f>'[12]Base Case LS'!$G$28* ((1+Inputs!$C$5) ^ (2022-G63))</f>
        <v>86.547859946869096</v>
      </c>
      <c r="M63" s="30">
        <f>'[12]Step 1 LCOE LS'!$G$31* ((1+Inputs!$C$5) ^ (2022-G63))</f>
        <v>105.47047113382258</v>
      </c>
      <c r="N63" s="30">
        <f>'[12]Step 2 WACC LS'!$G$31</f>
        <v>95.725439543447692</v>
      </c>
      <c r="O63" s="30">
        <f>'[12]Step 3 T&amp;S LS'!$G$34</f>
        <v>118.82157519411055</v>
      </c>
    </row>
    <row r="64" spans="1:15" hidden="1" x14ac:dyDescent="0.25">
      <c r="A64" t="str">
        <f>'Study Parameters'!A12</f>
        <v>Fasihi et al. 2019</v>
      </c>
      <c r="B64">
        <v>2020</v>
      </c>
      <c r="C64" t="str">
        <f>'Study Parameters'!E12</f>
        <v>10.1016/j.jclepro.2019.03.086</v>
      </c>
      <c r="D64" t="str">
        <f>'Study Parameters'!F12</f>
        <v>Solid sorbent</v>
      </c>
      <c r="E64" t="str">
        <f>'Study Parameters'!G12</f>
        <v>Solid sorbent</v>
      </c>
      <c r="F64" t="str">
        <f>'Study Parameters'!I12</f>
        <v>2018 EUR</v>
      </c>
      <c r="G64">
        <v>2018</v>
      </c>
      <c r="H64" t="s">
        <v>673</v>
      </c>
      <c r="I64" t="s">
        <v>676</v>
      </c>
      <c r="J64" t="s">
        <v>480</v>
      </c>
      <c r="K64">
        <v>1.5</v>
      </c>
      <c r="L64" s="104">
        <f>'[12]Base Case SS'!$I$28* ((1+Inputs!$C$5) ^ (2022-G64))</f>
        <v>272.30052757664026</v>
      </c>
      <c r="M64" s="30">
        <f>'[12]Step 1 LCOE SS'!$I$31* ((1+Inputs!$C$5) ^ (2022-G64))</f>
        <v>281.53877722718562</v>
      </c>
      <c r="N64" s="30">
        <f>'[12]Step 2 WACC SS'!$I$31</f>
        <v>255.52576857651488</v>
      </c>
      <c r="O64" s="30">
        <f>'[12]Step 3 T&amp;S SS'!$I$34</f>
        <v>292.47958561757542</v>
      </c>
    </row>
    <row r="65" spans="1:15" hidden="1" x14ac:dyDescent="0.25">
      <c r="A65" t="s">
        <v>214</v>
      </c>
      <c r="B65">
        <v>2020</v>
      </c>
      <c r="C65" t="s">
        <v>217</v>
      </c>
      <c r="D65" t="s">
        <v>166</v>
      </c>
      <c r="E65" t="s">
        <v>166</v>
      </c>
      <c r="F65" t="s">
        <v>496</v>
      </c>
      <c r="G65">
        <v>2018</v>
      </c>
      <c r="H65" t="s">
        <v>673</v>
      </c>
      <c r="I65" t="s">
        <v>690</v>
      </c>
      <c r="J65" t="s">
        <v>480</v>
      </c>
      <c r="K65">
        <v>1.5</v>
      </c>
      <c r="L65" s="104">
        <f>'[12]Base Case SS'!$D$28* ((1+Inputs!$C$5) ^ (2022-G65))</f>
        <v>272.30052757664026</v>
      </c>
      <c r="M65" s="30">
        <f>'[12]Step 1 LCOE SS'!$D$31* ((1+Inputs!$C$5) ^ (2022-G65))</f>
        <v>281.53877722718562</v>
      </c>
      <c r="N65" s="30">
        <f>'[12]Step 2 WACC SS'!$D$31</f>
        <v>255.52576857651488</v>
      </c>
      <c r="O65" s="30">
        <f>'[12]Step 3 T&amp;S SS'!$D$34</f>
        <v>292.47958561757542</v>
      </c>
    </row>
    <row r="66" spans="1:15" x14ac:dyDescent="0.25">
      <c r="A66" t="s">
        <v>214</v>
      </c>
      <c r="B66">
        <v>2050</v>
      </c>
      <c r="C66" t="s">
        <v>217</v>
      </c>
      <c r="D66" t="s">
        <v>166</v>
      </c>
      <c r="E66" t="s">
        <v>368</v>
      </c>
      <c r="F66" t="s">
        <v>496</v>
      </c>
      <c r="G66">
        <v>2018</v>
      </c>
      <c r="H66" t="s">
        <v>673</v>
      </c>
      <c r="I66" t="s">
        <v>676</v>
      </c>
      <c r="J66" t="s">
        <v>480</v>
      </c>
      <c r="K66">
        <v>15357</v>
      </c>
      <c r="L66" s="104">
        <f>'[12]Base Case SS'!$L$28* ((1+Inputs!$C$5) ^ (2022-G66))</f>
        <v>47.687620739920739</v>
      </c>
      <c r="M66" s="30">
        <f>'[12]Step 1 LCOE SS'!$L$31* ((1+Inputs!$C$5) ^ (2022-G66))</f>
        <v>74.0443735038629</v>
      </c>
      <c r="N66" s="30">
        <f>'[12]Step 2 WACC SS'!$L$31</f>
        <v>67.202982248777587</v>
      </c>
      <c r="O66" s="30">
        <f>'[12]Step 3 T&amp;S SS'!$L$34</f>
        <v>90.299117899440446</v>
      </c>
    </row>
    <row r="67" spans="1:15" x14ac:dyDescent="0.25">
      <c r="A67" t="s">
        <v>214</v>
      </c>
      <c r="B67">
        <v>2050</v>
      </c>
      <c r="C67" t="s">
        <v>217</v>
      </c>
      <c r="D67" t="s">
        <v>166</v>
      </c>
      <c r="E67" t="s">
        <v>368</v>
      </c>
      <c r="F67" t="s">
        <v>496</v>
      </c>
      <c r="G67">
        <v>2018</v>
      </c>
      <c r="H67" t="s">
        <v>673</v>
      </c>
      <c r="I67" t="s">
        <v>690</v>
      </c>
      <c r="J67" t="s">
        <v>480</v>
      </c>
      <c r="K67">
        <v>7679</v>
      </c>
      <c r="L67" s="104">
        <f>'[12]Base Case SS'!$G$28* ((1+Inputs!$C$5) ^ (2022-G67))</f>
        <v>66.279970905605978</v>
      </c>
      <c r="M67" s="30">
        <f>'[12]Step 1 LCOE SS'!$G$31* ((1+Inputs!$C$5) ^ (2022-G67))</f>
        <v>93.490231058162834</v>
      </c>
      <c r="N67" s="30">
        <f>'[12]Step 2 WACC SS'!$G$31</f>
        <v>84.85212367835156</v>
      </c>
      <c r="O67" s="30">
        <f>'[12]Step 3 T&amp;S SS'!$G$34</f>
        <v>107.94825932901442</v>
      </c>
    </row>
    <row r="68" spans="1:15" hidden="1" x14ac:dyDescent="0.25">
      <c r="A68" t="str">
        <f>'Study Parameters'!A13</f>
        <v>Mazzotti et al. 2013</v>
      </c>
      <c r="B68">
        <v>2008</v>
      </c>
      <c r="C68" t="str">
        <f>'Study Parameters'!E13</f>
        <v>10.1007/s10584-012-0679-y</v>
      </c>
      <c r="D68" t="str">
        <f>'Study Parameters'!F13</f>
        <v>Liquid solvent</v>
      </c>
      <c r="E68" t="str">
        <f>'Study Parameters'!G13</f>
        <v>KOH absorption paired with regeneration via Ca looping</v>
      </c>
      <c r="F68" t="str">
        <f>'Study Parameters'!I13</f>
        <v>2008 USD</v>
      </c>
      <c r="G68">
        <v>2008</v>
      </c>
      <c r="H68" t="s">
        <v>673</v>
      </c>
      <c r="I68" t="s">
        <v>691</v>
      </c>
      <c r="J68" t="s">
        <v>692</v>
      </c>
      <c r="K68">
        <f>'Study Parameters'!Q13</f>
        <v>1</v>
      </c>
      <c r="L68" s="30">
        <f>'[13]Base Case'!$I$75* ((1+Inputs!$C$5) ^ (2022-G70))</f>
        <v>736.05921463997004</v>
      </c>
      <c r="M68" s="30"/>
    </row>
    <row r="69" spans="1:15" hidden="1" x14ac:dyDescent="0.25">
      <c r="A69" t="s">
        <v>223</v>
      </c>
      <c r="B69">
        <v>2008</v>
      </c>
      <c r="C69" t="s">
        <v>226</v>
      </c>
      <c r="D69" t="s">
        <v>158</v>
      </c>
      <c r="E69" t="s">
        <v>358</v>
      </c>
      <c r="F69" t="s">
        <v>507</v>
      </c>
      <c r="G69">
        <v>2008</v>
      </c>
      <c r="H69" t="s">
        <v>673</v>
      </c>
      <c r="I69" t="s">
        <v>693</v>
      </c>
      <c r="J69" t="s">
        <v>692</v>
      </c>
      <c r="K69">
        <v>1</v>
      </c>
      <c r="L69" s="30">
        <f>'[14]Base Case'!$C$58* ((1+Inputs!$C$5) ^ (2022-G71))</f>
        <v>814.56686808331233</v>
      </c>
      <c r="M69" s="30"/>
    </row>
    <row r="70" spans="1:15" hidden="1" x14ac:dyDescent="0.25">
      <c r="A70" t="s">
        <v>223</v>
      </c>
      <c r="B70">
        <v>2008</v>
      </c>
      <c r="C70" t="s">
        <v>226</v>
      </c>
      <c r="D70" t="s">
        <v>158</v>
      </c>
      <c r="E70" t="s">
        <v>358</v>
      </c>
      <c r="F70" t="s">
        <v>507</v>
      </c>
      <c r="G70">
        <v>2008</v>
      </c>
      <c r="H70" t="s">
        <v>673</v>
      </c>
      <c r="I70" t="s">
        <v>694</v>
      </c>
      <c r="J70" t="s">
        <v>692</v>
      </c>
      <c r="K70">
        <v>1</v>
      </c>
      <c r="L70" s="30">
        <f>'[15]Solar L-DAC'!$G$24* ((1+Inputs!$C$5) ^ (2022-G72))</f>
        <v>256.45660434639348</v>
      </c>
      <c r="M70" s="30"/>
    </row>
    <row r="71" spans="1:15" hidden="1" x14ac:dyDescent="0.25">
      <c r="A71" t="str">
        <f>'Study Parameters'!A14</f>
        <v>Zeman 2014</v>
      </c>
      <c r="B71">
        <v>2008</v>
      </c>
      <c r="C71" t="str">
        <f>'Study Parameters'!E14</f>
        <v>10.1021/es502887y</v>
      </c>
      <c r="D71" t="str">
        <f>'Study Parameters'!F14</f>
        <v>Liquid solvent</v>
      </c>
      <c r="E71" t="str">
        <f>'Study Parameters'!G14</f>
        <v>KOH absorption paired with regeneration via Ca looping</v>
      </c>
      <c r="F71" t="str">
        <f>'Study Parameters'!I14</f>
        <v>2008 USD</v>
      </c>
      <c r="G71">
        <v>2008</v>
      </c>
      <c r="H71" t="s">
        <v>673</v>
      </c>
      <c r="I71" t="s">
        <v>4</v>
      </c>
      <c r="J71" t="s">
        <v>692</v>
      </c>
      <c r="K71">
        <f>'Study Parameters'!Q14</f>
        <v>1</v>
      </c>
      <c r="L71" s="30">
        <f>'[15]Solar L-DAC'!$H$24* ((1+Inputs!$C$5) ^ (2022-G73))</f>
        <v>325.04805347717041</v>
      </c>
      <c r="M71" s="30"/>
    </row>
    <row r="72" spans="1:15" hidden="1" x14ac:dyDescent="0.25">
      <c r="A72" t="str">
        <f>'Study Parameters'!A15</f>
        <v>Prats-Salvado et al. 2024</v>
      </c>
      <c r="B72">
        <f>'Study Parameters'!H15</f>
        <v>2022</v>
      </c>
      <c r="C72" t="str">
        <f>'Study Parameters'!E15</f>
        <v>10.1021/acs.est.3c08269</v>
      </c>
      <c r="D72" t="str">
        <f>'Study Parameters'!F15</f>
        <v xml:space="preserve">Liquid solvent </v>
      </c>
      <c r="E72" t="str">
        <f>'Study Parameters'!G15</f>
        <v>Solar thermal powered liquid solvent</v>
      </c>
      <c r="F72" t="str">
        <f>'Study Parameters'!I15</f>
        <v>2022 USD</v>
      </c>
      <c r="G72">
        <v>2022</v>
      </c>
      <c r="H72" t="s">
        <v>673</v>
      </c>
      <c r="I72" t="s">
        <v>695</v>
      </c>
      <c r="J72" t="str">
        <f>'Study Parameters'!L15</f>
        <v>Net removed cost</v>
      </c>
      <c r="K72">
        <f>'Study Parameters'!Q15</f>
        <v>1</v>
      </c>
      <c r="L72" s="30">
        <f>[15]Keith2018_ScenarioA!$D$20* ((1+Inputs!$C$5) ^ (2022-G74))</f>
        <v>310.27517413966501</v>
      </c>
      <c r="M72" s="30"/>
    </row>
    <row r="73" spans="1:15" hidden="1" x14ac:dyDescent="0.25">
      <c r="A73" t="s">
        <v>230</v>
      </c>
      <c r="B73">
        <v>2022</v>
      </c>
      <c r="C73" t="s">
        <v>232</v>
      </c>
      <c r="D73" t="s">
        <v>233</v>
      </c>
      <c r="E73" t="s">
        <v>373</v>
      </c>
      <c r="F73" t="s">
        <v>462</v>
      </c>
      <c r="G73">
        <v>2022</v>
      </c>
      <c r="H73" t="s">
        <v>673</v>
      </c>
      <c r="I73" t="s">
        <v>696</v>
      </c>
      <c r="J73" t="str">
        <f>'Study Parameters'!L16</f>
        <v>Net removed cost</v>
      </c>
      <c r="K73">
        <v>1</v>
      </c>
      <c r="L73" s="30">
        <f>[15]Keith2018_ScenarioA!$E$20* ((1+Inputs!$C$5) ^ (2022-G75))</f>
        <v>435.8114944243153</v>
      </c>
      <c r="M73" s="30"/>
    </row>
    <row r="74" spans="1:15" hidden="1" x14ac:dyDescent="0.25">
      <c r="A74" t="str">
        <f>'Study Parameters'!A16</f>
        <v>Prats-Salvado et al. 2024</v>
      </c>
      <c r="B74">
        <f>'Study Parameters'!H16</f>
        <v>2022</v>
      </c>
      <c r="C74" t="str">
        <f>'Study Parameters'!E16</f>
        <v>10.1021/acs.est.3c08269</v>
      </c>
      <c r="D74" t="str">
        <f>'Study Parameters'!F16</f>
        <v xml:space="preserve">Liquid solvent </v>
      </c>
      <c r="E74" t="str">
        <f>'Study Parameters'!G16</f>
        <v>Conventional: KOH absorption paired with regeneration via Ca looping</v>
      </c>
      <c r="F74" t="str">
        <f>'Study Parameters'!I16</f>
        <v>2022 USD</v>
      </c>
      <c r="G74">
        <v>2022</v>
      </c>
      <c r="H74" t="s">
        <v>673</v>
      </c>
      <c r="I74" t="s">
        <v>697</v>
      </c>
      <c r="J74" t="s">
        <v>432</v>
      </c>
      <c r="K74">
        <f>'Study Parameters'!Q16</f>
        <v>1.48</v>
      </c>
      <c r="L74" s="30">
        <f>'[16]Base Case SS'!$E$23* ((1+Inputs!$C$5) ^ (2022-G76))</f>
        <v>1052.4286997509143</v>
      </c>
      <c r="M74" s="30"/>
    </row>
    <row r="75" spans="1:15" hidden="1" x14ac:dyDescent="0.25">
      <c r="A75" t="s">
        <v>230</v>
      </c>
      <c r="B75">
        <v>2022</v>
      </c>
      <c r="C75" t="s">
        <v>232</v>
      </c>
      <c r="D75" t="s">
        <v>233</v>
      </c>
      <c r="E75" t="s">
        <v>374</v>
      </c>
      <c r="F75" t="s">
        <v>462</v>
      </c>
      <c r="G75">
        <v>2022</v>
      </c>
      <c r="H75" t="s">
        <v>673</v>
      </c>
      <c r="I75" t="s">
        <v>698</v>
      </c>
      <c r="J75" t="s">
        <v>432</v>
      </c>
      <c r="K75">
        <v>1.48</v>
      </c>
      <c r="L75" s="30">
        <f>'[16]Base Case SS'!$F$23* ((1+Inputs!$C$5) ^ (2022-G77))</f>
        <v>812.93819900144138</v>
      </c>
      <c r="M75" s="30"/>
    </row>
    <row r="76" spans="1:15" hidden="1" x14ac:dyDescent="0.25">
      <c r="A76" t="str">
        <f>'Study Parameters'!A17</f>
        <v>Terlouw et al. 2024</v>
      </c>
      <c r="B76">
        <f>'Study Parameters'!H17</f>
        <v>2023</v>
      </c>
      <c r="C76" t="str">
        <f>'Study Parameters'!E17</f>
        <v>10.1021/acs.est.3c10041</v>
      </c>
      <c r="D76" t="str">
        <f>'Study Parameters'!F17</f>
        <v>Solid sorbent</v>
      </c>
      <c r="E76" t="str">
        <f>'Study Parameters'!G17</f>
        <v>Temperature-vacuum swing adsorption (TVSA)</v>
      </c>
      <c r="F76" t="str">
        <f>'Study Parameters'!I17</f>
        <v>2023 EUR</v>
      </c>
      <c r="G76">
        <v>2023</v>
      </c>
      <c r="H76" t="s">
        <v>673</v>
      </c>
      <c r="I76" t="s">
        <v>699</v>
      </c>
      <c r="J76" t="s">
        <v>432</v>
      </c>
      <c r="K76">
        <v>1</v>
      </c>
      <c r="L76" s="30">
        <f>[17]Baseline!$B$11* ((1+Inputs!$C$5) ^ (2022-G78))</f>
        <v>254.43115113964345</v>
      </c>
      <c r="M76" s="62"/>
    </row>
    <row r="77" spans="1:15" hidden="1" x14ac:dyDescent="0.25">
      <c r="A77" t="s">
        <v>234</v>
      </c>
      <c r="B77">
        <v>2023</v>
      </c>
      <c r="C77" t="s">
        <v>236</v>
      </c>
      <c r="D77" t="s">
        <v>166</v>
      </c>
      <c r="E77" t="s">
        <v>375</v>
      </c>
      <c r="F77" t="s">
        <v>526</v>
      </c>
      <c r="G77">
        <v>2023</v>
      </c>
      <c r="H77" t="s">
        <v>673</v>
      </c>
      <c r="I77" t="s">
        <v>700</v>
      </c>
      <c r="J77" t="s">
        <v>432</v>
      </c>
      <c r="K77" s="6">
        <v>1.1275539999999999</v>
      </c>
      <c r="L77" s="30">
        <f>[17]Baseline!$B$15* ((1+Inputs!$C$5) ^ (2022-G79))</f>
        <v>349.94164508285263</v>
      </c>
      <c r="M77" s="62"/>
    </row>
    <row r="78" spans="1:15" hidden="1" x14ac:dyDescent="0.25">
      <c r="A78" t="str">
        <f>'Study Parameters'!A18</f>
        <v>McQueen et al. 2021</v>
      </c>
      <c r="B78">
        <f>'Study Parameters'!H18</f>
        <v>2020</v>
      </c>
      <c r="C78" t="str">
        <f>'Study Parameters'!E18</f>
        <v>10.3389/fclim.2020.618644</v>
      </c>
      <c r="D78" t="str">
        <f>'Study Parameters'!F18</f>
        <v>Liquid solvent</v>
      </c>
      <c r="E78" t="s">
        <v>358</v>
      </c>
      <c r="F78" t="str">
        <f>'Study Parameters'!I18</f>
        <v>2019 USD</v>
      </c>
      <c r="G78">
        <v>2019</v>
      </c>
      <c r="H78" t="s">
        <v>673</v>
      </c>
      <c r="I78" t="s">
        <v>701</v>
      </c>
      <c r="J78" t="s">
        <v>432</v>
      </c>
      <c r="K78">
        <v>1</v>
      </c>
      <c r="L78" s="30">
        <f>[17]Baseline!$B$12* ((1+Inputs!$C$5) ^ (2022-G80))</f>
        <v>400.60217261536002</v>
      </c>
    </row>
    <row r="79" spans="1:15" hidden="1" x14ac:dyDescent="0.25">
      <c r="A79" t="s">
        <v>240</v>
      </c>
      <c r="B79">
        <v>2020</v>
      </c>
      <c r="C79" t="s">
        <v>243</v>
      </c>
      <c r="D79" t="s">
        <v>158</v>
      </c>
      <c r="E79" t="s">
        <v>358</v>
      </c>
      <c r="F79" t="s">
        <v>430</v>
      </c>
      <c r="G79">
        <v>2019</v>
      </c>
      <c r="H79" t="s">
        <v>673</v>
      </c>
      <c r="I79" t="s">
        <v>702</v>
      </c>
      <c r="J79" t="s">
        <v>432</v>
      </c>
      <c r="K79">
        <v>1</v>
      </c>
      <c r="L79" s="30">
        <f>[17]Baseline!$B$16* ((1+Inputs!$C$5) ^ (2022-G81))</f>
        <v>881.5737078159442</v>
      </c>
    </row>
    <row r="80" spans="1:15" hidden="1" x14ac:dyDescent="0.25">
      <c r="A80" t="s">
        <v>240</v>
      </c>
      <c r="B80">
        <v>2020</v>
      </c>
      <c r="C80" t="s">
        <v>243</v>
      </c>
      <c r="D80" t="s">
        <v>158</v>
      </c>
      <c r="E80" t="s">
        <v>358</v>
      </c>
      <c r="F80" t="s">
        <v>430</v>
      </c>
      <c r="G80">
        <v>2019</v>
      </c>
      <c r="H80" t="s">
        <v>673</v>
      </c>
      <c r="I80" t="s">
        <v>703</v>
      </c>
      <c r="J80" t="s">
        <v>432</v>
      </c>
      <c r="K80">
        <v>1</v>
      </c>
      <c r="L80" s="30">
        <f>[17]Baseline!$B$12* ((1+Inputs!$C$5) ^ (2022-G80))</f>
        <v>400.60217261536002</v>
      </c>
    </row>
    <row r="81" spans="1:13" hidden="1" x14ac:dyDescent="0.25">
      <c r="A81" t="s">
        <v>240</v>
      </c>
      <c r="B81">
        <v>2020</v>
      </c>
      <c r="C81" t="s">
        <v>243</v>
      </c>
      <c r="D81" t="s">
        <v>158</v>
      </c>
      <c r="E81" t="s">
        <v>358</v>
      </c>
      <c r="F81" t="s">
        <v>430</v>
      </c>
      <c r="G81">
        <v>2019</v>
      </c>
      <c r="H81" t="s">
        <v>673</v>
      </c>
      <c r="I81" t="s">
        <v>704</v>
      </c>
      <c r="J81" t="s">
        <v>432</v>
      </c>
      <c r="K81">
        <v>1</v>
      </c>
      <c r="L81" s="30">
        <f>[17]Baseline!$B$16* ((1+Inputs!$C$5) ^ (2022-G81))</f>
        <v>881.5737078159442</v>
      </c>
    </row>
    <row r="82" spans="1:13" hidden="1" x14ac:dyDescent="0.25">
      <c r="A82" t="s">
        <v>240</v>
      </c>
      <c r="B82">
        <v>2020</v>
      </c>
      <c r="C82" t="s">
        <v>243</v>
      </c>
      <c r="D82" t="s">
        <v>158</v>
      </c>
      <c r="E82" t="s">
        <v>358</v>
      </c>
      <c r="F82" t="s">
        <v>430</v>
      </c>
      <c r="G82">
        <v>2019</v>
      </c>
      <c r="H82" t="s">
        <v>673</v>
      </c>
      <c r="I82" t="s">
        <v>705</v>
      </c>
      <c r="J82" t="s">
        <v>432</v>
      </c>
      <c r="K82">
        <v>1</v>
      </c>
      <c r="L82" s="30">
        <f>[17]Baseline!$B$26* ((1+Inputs!$C$5) ^ (2022-G82))</f>
        <v>463.06098024892566</v>
      </c>
    </row>
    <row r="83" spans="1:13" hidden="1" x14ac:dyDescent="0.25">
      <c r="A83" t="s">
        <v>240</v>
      </c>
      <c r="B83">
        <v>2020</v>
      </c>
      <c r="C83" t="s">
        <v>243</v>
      </c>
      <c r="D83" t="s">
        <v>158</v>
      </c>
      <c r="E83" t="s">
        <v>358</v>
      </c>
      <c r="F83" t="s">
        <v>430</v>
      </c>
      <c r="G83">
        <v>2019</v>
      </c>
      <c r="H83" t="s">
        <v>673</v>
      </c>
      <c r="I83" t="s">
        <v>706</v>
      </c>
      <c r="J83" t="s">
        <v>432</v>
      </c>
      <c r="K83">
        <v>1</v>
      </c>
      <c r="L83" s="30">
        <f>[17]Baseline!$B$30* ((1+Inputs!$C$5) ^ (2022-G83))</f>
        <v>558.57147419213493</v>
      </c>
    </row>
    <row r="84" spans="1:13" hidden="1" x14ac:dyDescent="0.25">
      <c r="A84" t="s">
        <v>240</v>
      </c>
      <c r="B84">
        <v>2020</v>
      </c>
      <c r="C84" t="s">
        <v>243</v>
      </c>
      <c r="D84" t="s">
        <v>158</v>
      </c>
      <c r="E84" t="s">
        <v>358</v>
      </c>
      <c r="F84" t="s">
        <v>430</v>
      </c>
      <c r="G84">
        <v>2019</v>
      </c>
      <c r="H84" t="s">
        <v>673</v>
      </c>
      <c r="I84" t="s">
        <v>707</v>
      </c>
      <c r="J84" t="s">
        <v>432</v>
      </c>
      <c r="K84">
        <v>1</v>
      </c>
      <c r="L84" s="30">
        <f>[17]Baseline!$B$27* ((1+Inputs!$C$5) ^ (2022-G84))</f>
        <v>777.69611217374995</v>
      </c>
    </row>
    <row r="85" spans="1:13" hidden="1" x14ac:dyDescent="0.25">
      <c r="A85" t="s">
        <v>240</v>
      </c>
      <c r="B85">
        <v>2020</v>
      </c>
      <c r="C85" t="s">
        <v>243</v>
      </c>
      <c r="D85" t="s">
        <v>158</v>
      </c>
      <c r="E85" t="s">
        <v>358</v>
      </c>
      <c r="F85" t="s">
        <v>430</v>
      </c>
      <c r="G85">
        <v>2019</v>
      </c>
      <c r="H85" t="s">
        <v>673</v>
      </c>
      <c r="I85" t="s">
        <v>708</v>
      </c>
      <c r="J85" t="s">
        <v>432</v>
      </c>
      <c r="K85">
        <v>1</v>
      </c>
      <c r="L85" s="30">
        <f>[17]Baseline!$B$31* ((1+Inputs!$C$5) ^ (2022-G85))</f>
        <v>2052.1001665091567</v>
      </c>
    </row>
    <row r="86" spans="1:13" hidden="1" x14ac:dyDescent="0.25">
      <c r="A86" t="str">
        <f>'Study Parameters'!A19</f>
        <v>Datta et al. 2023</v>
      </c>
      <c r="B86">
        <f>'Study Parameters'!H19</f>
        <v>2023</v>
      </c>
      <c r="C86" t="str">
        <f>'Study Parameters'!E19</f>
        <v>10.1021/acs.est.2c05194</v>
      </c>
      <c r="D86" t="str">
        <f>'Study Parameters'!F19</f>
        <v>Solid sorbent</v>
      </c>
      <c r="E86" t="str">
        <f>'Study Parameters'!G19</f>
        <v>Temperature swing adsorption-based DAC</v>
      </c>
      <c r="F86" t="str">
        <f>'Study Parameters'!I19</f>
        <v>2022 USD</v>
      </c>
      <c r="G86">
        <v>2022</v>
      </c>
      <c r="H86" t="s">
        <v>673</v>
      </c>
      <c r="I86" t="s">
        <v>4</v>
      </c>
      <c r="J86" t="str">
        <f>'Study Parameters'!L19</f>
        <v>Levelized cost of capture</v>
      </c>
      <c r="K86">
        <f>'Study Parameters'!Q19</f>
        <v>1E-3</v>
      </c>
      <c r="L86" s="30">
        <f>'[18]Base Case SS'!$B$14* ((1+Inputs!$C$5) ^ (2022-G86))</f>
        <v>225.16987179537728</v>
      </c>
      <c r="M86" s="30"/>
    </row>
    <row r="87" spans="1:13" hidden="1" x14ac:dyDescent="0.25">
      <c r="A87" t="str">
        <f>'Study Parameters'!A20</f>
        <v>Datta et al. 2023</v>
      </c>
      <c r="B87">
        <f>'Study Parameters'!H20</f>
        <v>2023</v>
      </c>
      <c r="C87" t="str">
        <f>'Study Parameters'!E20</f>
        <v>10.1021/acs.est.2c05194</v>
      </c>
      <c r="D87" t="str">
        <f>'Study Parameters'!F20</f>
        <v>Membrane-based m-DAC</v>
      </c>
      <c r="E87" t="str">
        <f>'Study Parameters'!G20</f>
        <v>Membrane-based DAC</v>
      </c>
      <c r="F87" t="str">
        <f>'Study Parameters'!I20</f>
        <v>2022 USD</v>
      </c>
      <c r="G87">
        <v>2022</v>
      </c>
      <c r="H87" t="s">
        <v>673</v>
      </c>
      <c r="I87" t="s">
        <v>4</v>
      </c>
      <c r="J87" t="str">
        <f>'Study Parameters'!L20</f>
        <v>Levelized cost of capture</v>
      </c>
      <c r="K87">
        <f>'Study Parameters'!Q20</f>
        <v>1E-3</v>
      </c>
      <c r="L87" s="30">
        <f>'[18]Base Case Membrane'!$B$13* ((1+Inputs!$C$5) ^ (2022-G87))</f>
        <v>90.328729240821261</v>
      </c>
      <c r="M87" s="30"/>
    </row>
    <row r="88" spans="1:13" hidden="1" x14ac:dyDescent="0.25">
      <c r="A88" t="s">
        <v>255</v>
      </c>
      <c r="B88">
        <v>2011</v>
      </c>
      <c r="C88" t="s">
        <v>258</v>
      </c>
      <c r="D88" t="s">
        <v>166</v>
      </c>
      <c r="E88" t="s">
        <v>259</v>
      </c>
      <c r="F88" t="s">
        <v>550</v>
      </c>
      <c r="G88">
        <v>2011</v>
      </c>
      <c r="H88" t="s">
        <v>673</v>
      </c>
      <c r="I88" t="s">
        <v>709</v>
      </c>
      <c r="J88" t="s">
        <v>551</v>
      </c>
      <c r="K88">
        <v>1</v>
      </c>
      <c r="L88" s="30">
        <f>[19]Baseline!$B$16* ((1+Inputs!$C$5) ^ (2022-G88))</f>
        <v>364.39430717296864</v>
      </c>
      <c r="M88" s="30"/>
    </row>
    <row r="89" spans="1:13" hidden="1" x14ac:dyDescent="0.25">
      <c r="A89" t="s">
        <v>255</v>
      </c>
      <c r="B89">
        <v>2011</v>
      </c>
      <c r="C89" t="s">
        <v>258</v>
      </c>
      <c r="D89" t="s">
        <v>166</v>
      </c>
      <c r="E89" t="s">
        <v>259</v>
      </c>
      <c r="F89" t="s">
        <v>550</v>
      </c>
      <c r="G89">
        <v>2011</v>
      </c>
      <c r="H89" t="s">
        <v>673</v>
      </c>
      <c r="I89" t="s">
        <v>710</v>
      </c>
      <c r="J89" t="s">
        <v>551</v>
      </c>
      <c r="K89">
        <v>1</v>
      </c>
      <c r="L89" s="30">
        <f>[19]Baseline!$B$17* ((1+Inputs!$C$5) ^ (2022-G89))</f>
        <v>355.81577635370695</v>
      </c>
      <c r="M89" s="30"/>
    </row>
    <row r="90" spans="1:13" hidden="1" x14ac:dyDescent="0.25">
      <c r="A90" t="s">
        <v>255</v>
      </c>
      <c r="B90">
        <v>2011</v>
      </c>
      <c r="C90" t="s">
        <v>258</v>
      </c>
      <c r="D90" t="s">
        <v>166</v>
      </c>
      <c r="E90" t="s">
        <v>259</v>
      </c>
      <c r="F90" t="s">
        <v>550</v>
      </c>
      <c r="G90">
        <v>2011</v>
      </c>
      <c r="H90" t="s">
        <v>673</v>
      </c>
      <c r="I90" t="s">
        <v>711</v>
      </c>
      <c r="J90" t="s">
        <v>551</v>
      </c>
      <c r="K90">
        <v>1</v>
      </c>
      <c r="L90" s="30">
        <f>[19]Baseline!$B$18* ((1+Inputs!$C$5) ^ (2022-G90))</f>
        <v>979.38997942744334</v>
      </c>
      <c r="M90" s="30"/>
    </row>
    <row r="91" spans="1:13" hidden="1" x14ac:dyDescent="0.25">
      <c r="A91" t="s">
        <v>255</v>
      </c>
      <c r="B91">
        <v>2011</v>
      </c>
      <c r="C91" t="s">
        <v>258</v>
      </c>
      <c r="D91" t="s">
        <v>166</v>
      </c>
      <c r="E91" t="s">
        <v>259</v>
      </c>
      <c r="F91" t="s">
        <v>550</v>
      </c>
      <c r="G91">
        <v>2011</v>
      </c>
      <c r="H91" t="s">
        <v>673</v>
      </c>
      <c r="I91" t="s">
        <v>712</v>
      </c>
      <c r="J91" t="s">
        <v>551</v>
      </c>
      <c r="K91">
        <v>1</v>
      </c>
      <c r="L91" s="30">
        <f>[19]Baseline!$B$19* ((1+Inputs!$C$5) ^ (2022-G91))</f>
        <v>361.42048628638901</v>
      </c>
      <c r="M91" s="30"/>
    </row>
    <row r="92" spans="1:13" hidden="1" x14ac:dyDescent="0.25">
      <c r="A92" t="s">
        <v>255</v>
      </c>
      <c r="B92">
        <v>2011</v>
      </c>
      <c r="C92" t="s">
        <v>258</v>
      </c>
      <c r="D92" t="s">
        <v>166</v>
      </c>
      <c r="E92" t="s">
        <v>259</v>
      </c>
      <c r="F92" t="s">
        <v>550</v>
      </c>
      <c r="G92">
        <v>2011</v>
      </c>
      <c r="H92" t="s">
        <v>673</v>
      </c>
      <c r="I92" t="s">
        <v>713</v>
      </c>
      <c r="J92" t="s">
        <v>551</v>
      </c>
      <c r="K92">
        <v>1</v>
      </c>
      <c r="L92" s="30">
        <f>[19]Baseline!$B$42* ((1+Inputs!$C$5) ^ (2022-G92))</f>
        <v>1280.6053490927088</v>
      </c>
      <c r="M92" s="30"/>
    </row>
    <row r="93" spans="1:13" hidden="1" x14ac:dyDescent="0.25">
      <c r="A93" t="s">
        <v>255</v>
      </c>
      <c r="B93">
        <v>2011</v>
      </c>
      <c r="C93" t="s">
        <v>258</v>
      </c>
      <c r="D93" t="s">
        <v>166</v>
      </c>
      <c r="E93" t="s">
        <v>259</v>
      </c>
      <c r="F93" t="s">
        <v>550</v>
      </c>
      <c r="G93">
        <v>2011</v>
      </c>
      <c r="H93" t="s">
        <v>673</v>
      </c>
      <c r="I93" t="s">
        <v>714</v>
      </c>
      <c r="J93" t="s">
        <v>551</v>
      </c>
      <c r="K93">
        <v>1</v>
      </c>
      <c r="L93" s="30">
        <f>[19]Baseline!$B$43* ((1+Inputs!$C$5) ^ (2022-G93))</f>
        <v>1299.8365803959118</v>
      </c>
      <c r="M93" s="30"/>
    </row>
    <row r="94" spans="1:13" hidden="1" x14ac:dyDescent="0.25">
      <c r="A94" t="s">
        <v>255</v>
      </c>
      <c r="B94">
        <v>2011</v>
      </c>
      <c r="C94" t="s">
        <v>258</v>
      </c>
      <c r="D94" t="s">
        <v>166</v>
      </c>
      <c r="E94" t="s">
        <v>259</v>
      </c>
      <c r="F94" t="s">
        <v>550</v>
      </c>
      <c r="G94">
        <v>2011</v>
      </c>
      <c r="H94" t="s">
        <v>673</v>
      </c>
      <c r="I94" t="s">
        <v>715</v>
      </c>
      <c r="J94" t="s">
        <v>551</v>
      </c>
      <c r="K94">
        <v>1</v>
      </c>
      <c r="L94" s="30">
        <f>[19]Baseline!$B$44* ((1+Inputs!$C$5) ^ (2022-G94))</f>
        <v>3412.5637097801709</v>
      </c>
      <c r="M94" s="30"/>
    </row>
    <row r="95" spans="1:13" hidden="1" x14ac:dyDescent="0.25">
      <c r="A95" t="s">
        <v>255</v>
      </c>
      <c r="B95">
        <v>2011</v>
      </c>
      <c r="C95" t="s">
        <v>258</v>
      </c>
      <c r="D95" t="s">
        <v>166</v>
      </c>
      <c r="E95" t="s">
        <v>259</v>
      </c>
      <c r="F95" t="s">
        <v>550</v>
      </c>
      <c r="G95">
        <v>2011</v>
      </c>
      <c r="H95" t="s">
        <v>673</v>
      </c>
      <c r="I95" t="s">
        <v>716</v>
      </c>
      <c r="J95" t="s">
        <v>551</v>
      </c>
      <c r="K95">
        <v>1</v>
      </c>
      <c r="L95" s="30">
        <f>[19]Baseline!$B$45* ((1+Inputs!$C$5) ^ (2022-G95))</f>
        <v>1245.9464849814128</v>
      </c>
      <c r="M95" s="30"/>
    </row>
    <row r="96" spans="1:13" hidden="1" x14ac:dyDescent="0.25">
      <c r="A96" t="s">
        <v>255</v>
      </c>
      <c r="B96">
        <v>2011</v>
      </c>
      <c r="C96" t="s">
        <v>258</v>
      </c>
      <c r="D96" t="s">
        <v>166</v>
      </c>
      <c r="E96" t="s">
        <v>259</v>
      </c>
      <c r="F96" t="s">
        <v>550</v>
      </c>
      <c r="G96">
        <v>2011</v>
      </c>
      <c r="H96" t="s">
        <v>673</v>
      </c>
      <c r="I96" t="s">
        <v>717</v>
      </c>
      <c r="J96" t="s">
        <v>551</v>
      </c>
      <c r="K96">
        <v>1</v>
      </c>
      <c r="L96" s="30">
        <f>[19]Baseline!$B$29* ((1+Inputs!$C$5) ^ (2022-G96))</f>
        <v>261.61466710843848</v>
      </c>
      <c r="M96" s="30"/>
    </row>
    <row r="97" spans="1:12" hidden="1" x14ac:dyDescent="0.25">
      <c r="A97" t="str">
        <f>'Study Parameters'!A22</f>
        <v>Simon et al. 2011</v>
      </c>
      <c r="B97">
        <f>'Study Parameters'!H22</f>
        <v>2011</v>
      </c>
      <c r="C97" t="str">
        <f>'Study Parameters'!E22</f>
        <v>10.1016/j.egypro.2011.02.196</v>
      </c>
      <c r="D97" t="s">
        <v>166</v>
      </c>
      <c r="E97" t="s">
        <v>259</v>
      </c>
      <c r="F97" t="str">
        <f>'Study Parameters'!I22</f>
        <v>2011 USD</v>
      </c>
      <c r="G97">
        <v>2011</v>
      </c>
      <c r="H97" t="s">
        <v>673</v>
      </c>
      <c r="I97" t="s">
        <v>718</v>
      </c>
      <c r="J97" t="str">
        <f>'Study Parameters'!L22</f>
        <v>Cost of capture, transport, storage</v>
      </c>
      <c r="K97">
        <v>1</v>
      </c>
      <c r="L97" s="30">
        <f>[19]Baseline!$B$30* ((1+Inputs!$C$5) ^ (2022-G97))</f>
        <v>304.707654655694</v>
      </c>
    </row>
    <row r="98" spans="1:12" hidden="1" x14ac:dyDescent="0.25">
      <c r="A98" t="s">
        <v>255</v>
      </c>
      <c r="B98">
        <v>2011</v>
      </c>
      <c r="C98" t="s">
        <v>258</v>
      </c>
      <c r="D98" t="s">
        <v>166</v>
      </c>
      <c r="E98" t="s">
        <v>259</v>
      </c>
      <c r="F98" t="s">
        <v>550</v>
      </c>
      <c r="G98">
        <v>2011</v>
      </c>
      <c r="H98" t="s">
        <v>673</v>
      </c>
      <c r="I98" t="s">
        <v>719</v>
      </c>
      <c r="J98" t="str">
        <f>'Study Parameters'!L22</f>
        <v>Cost of capture, transport, storage</v>
      </c>
      <c r="K98">
        <v>1</v>
      </c>
      <c r="L98" s="30">
        <f>[19]Baseline!$B$31* ((1+Inputs!$C$5) ^ (2022-G98))</f>
        <v>803.14143939193252</v>
      </c>
    </row>
    <row r="99" spans="1:12" hidden="1" x14ac:dyDescent="0.25">
      <c r="A99" t="s">
        <v>255</v>
      </c>
      <c r="B99">
        <v>2011</v>
      </c>
      <c r="C99" t="s">
        <v>258</v>
      </c>
      <c r="D99" t="s">
        <v>166</v>
      </c>
      <c r="E99" t="s">
        <v>259</v>
      </c>
      <c r="F99" t="s">
        <v>550</v>
      </c>
      <c r="G99">
        <v>2011</v>
      </c>
      <c r="H99" t="s">
        <v>673</v>
      </c>
      <c r="I99" t="s">
        <v>720</v>
      </c>
      <c r="J99" t="str">
        <f>'Study Parameters'!L22</f>
        <v>Cost of capture, transport, storage</v>
      </c>
      <c r="K99">
        <v>1</v>
      </c>
      <c r="L99" s="30">
        <f>[19]Baseline!$B$32* ((1+Inputs!$C$5) ^ (2022-G99))</f>
        <v>329.15418006599049</v>
      </c>
    </row>
    <row r="100" spans="1:12" hidden="1" x14ac:dyDescent="0.25">
      <c r="A100" t="s">
        <v>267</v>
      </c>
      <c r="B100">
        <v>2023</v>
      </c>
      <c r="C100" t="s">
        <v>270</v>
      </c>
      <c r="D100" t="s">
        <v>158</v>
      </c>
      <c r="E100" t="s">
        <v>721</v>
      </c>
      <c r="F100" t="s">
        <v>462</v>
      </c>
      <c r="G100">
        <v>2022</v>
      </c>
      <c r="H100" t="s">
        <v>673</v>
      </c>
      <c r="I100" t="str">
        <f>[20]baseline_output!$C2</f>
        <v>Amino acid salt solution-1c</v>
      </c>
      <c r="K100" s="111">
        <f>[20]baseline_output!$S2</f>
        <v>2.294244E-3</v>
      </c>
      <c r="L100" s="30">
        <f>[20]baseline_output!$BD2</f>
        <v>779.02843503778104</v>
      </c>
    </row>
    <row r="101" spans="1:12" hidden="1" x14ac:dyDescent="0.25">
      <c r="A101" t="s">
        <v>267</v>
      </c>
      <c r="B101">
        <v>2023</v>
      </c>
      <c r="C101" t="s">
        <v>270</v>
      </c>
      <c r="D101" t="s">
        <v>158</v>
      </c>
      <c r="E101" t="s">
        <v>721</v>
      </c>
      <c r="F101" t="s">
        <v>462</v>
      </c>
      <c r="G101">
        <v>2022</v>
      </c>
      <c r="H101" t="s">
        <v>673</v>
      </c>
      <c r="I101" t="str">
        <f>[20]baseline_output!$C3</f>
        <v>Amino acid salt solution-1c</v>
      </c>
      <c r="K101" s="111">
        <f>[20]baseline_output!$S3</f>
        <v>2.294244E-3</v>
      </c>
      <c r="L101" s="30">
        <f>[20]baseline_output!$BD3</f>
        <v>831.75510668257198</v>
      </c>
    </row>
    <row r="102" spans="1:12" hidden="1" x14ac:dyDescent="0.25">
      <c r="A102" t="s">
        <v>267</v>
      </c>
      <c r="B102">
        <v>2023</v>
      </c>
      <c r="C102" t="s">
        <v>270</v>
      </c>
      <c r="D102" t="s">
        <v>158</v>
      </c>
      <c r="E102" t="s">
        <v>158</v>
      </c>
      <c r="F102" t="s">
        <v>462</v>
      </c>
      <c r="G102">
        <v>2022</v>
      </c>
      <c r="H102" t="s">
        <v>673</v>
      </c>
      <c r="I102" t="str">
        <f>[20]baseline_output!$C4</f>
        <v>CE electricity-1a</v>
      </c>
      <c r="K102" s="111">
        <f>[20]baseline_output!$S4</f>
        <v>0.87307416000000004</v>
      </c>
      <c r="L102" s="30">
        <f>[20]baseline_output!$BD4</f>
        <v>317.24671499539198</v>
      </c>
    </row>
    <row r="103" spans="1:12" hidden="1" x14ac:dyDescent="0.25">
      <c r="A103" t="s">
        <v>267</v>
      </c>
      <c r="B103">
        <v>2023</v>
      </c>
      <c r="C103" t="s">
        <v>270</v>
      </c>
      <c r="D103" t="s">
        <v>158</v>
      </c>
      <c r="E103" t="s">
        <v>158</v>
      </c>
      <c r="F103" t="s">
        <v>462</v>
      </c>
      <c r="G103">
        <v>2022</v>
      </c>
      <c r="H103" t="s">
        <v>673</v>
      </c>
      <c r="I103" t="str">
        <f>[20]baseline_output!$C5</f>
        <v>CE electricity-1a</v>
      </c>
      <c r="K103" s="111">
        <f>[20]baseline_output!$S5</f>
        <v>0.87307416000000004</v>
      </c>
      <c r="L103" s="30">
        <f>[20]baseline_output!$BD5</f>
        <v>371.938416568371</v>
      </c>
    </row>
    <row r="104" spans="1:12" hidden="1" x14ac:dyDescent="0.25">
      <c r="A104" t="s">
        <v>267</v>
      </c>
      <c r="B104">
        <v>2023</v>
      </c>
      <c r="C104" t="s">
        <v>270</v>
      </c>
      <c r="D104" t="s">
        <v>158</v>
      </c>
      <c r="E104" t="s">
        <v>158</v>
      </c>
      <c r="F104" t="s">
        <v>462</v>
      </c>
      <c r="G104">
        <v>2022</v>
      </c>
      <c r="H104" t="s">
        <v>673</v>
      </c>
      <c r="I104" t="str">
        <f>[20]baseline_output!$C6</f>
        <v>CE gas-1a</v>
      </c>
      <c r="K104" s="111">
        <f>[20]baseline_output!$S6</f>
        <v>0.87307416000000004</v>
      </c>
      <c r="L104" s="30">
        <f>[20]baseline_output!$BD6</f>
        <v>291.241690193887</v>
      </c>
    </row>
    <row r="105" spans="1:12" hidden="1" x14ac:dyDescent="0.25">
      <c r="A105" t="s">
        <v>267</v>
      </c>
      <c r="B105">
        <v>2023</v>
      </c>
      <c r="C105" t="s">
        <v>270</v>
      </c>
      <c r="D105" t="s">
        <v>158</v>
      </c>
      <c r="E105" t="s">
        <v>158</v>
      </c>
      <c r="F105" t="s">
        <v>462</v>
      </c>
      <c r="G105">
        <v>2022</v>
      </c>
      <c r="H105" t="s">
        <v>673</v>
      </c>
      <c r="I105" t="str">
        <f>[20]baseline_output!$C7</f>
        <v>CE gas-1a</v>
      </c>
      <c r="K105" s="111">
        <f>[20]baseline_output!$S7</f>
        <v>0.87307416000000004</v>
      </c>
      <c r="L105" s="30">
        <f>[20]baseline_output!$BD7</f>
        <v>355.05876736764702</v>
      </c>
    </row>
    <row r="106" spans="1:12" hidden="1" x14ac:dyDescent="0.25">
      <c r="A106" t="s">
        <v>267</v>
      </c>
      <c r="B106">
        <v>2023</v>
      </c>
      <c r="C106" t="s">
        <v>270</v>
      </c>
      <c r="D106" t="s">
        <v>158</v>
      </c>
      <c r="E106" t="s">
        <v>158</v>
      </c>
      <c r="F106" t="s">
        <v>462</v>
      </c>
      <c r="G106">
        <v>2022</v>
      </c>
      <c r="H106" t="s">
        <v>673</v>
      </c>
      <c r="I106" t="str">
        <f>[20]baseline_output!$C8</f>
        <v>CE syngas-1a</v>
      </c>
      <c r="K106" s="111">
        <f>[20]baseline_output!$S8</f>
        <v>0.87307416000000004</v>
      </c>
      <c r="L106" s="30">
        <f>[20]baseline_output!$BD8</f>
        <v>267.11083137986202</v>
      </c>
    </row>
    <row r="107" spans="1:12" hidden="1" x14ac:dyDescent="0.25">
      <c r="A107" t="str">
        <f>'Study Parameters'!A23</f>
        <v>Küng et al. 2023</v>
      </c>
      <c r="B107">
        <f>'Study Parameters'!H23</f>
        <v>2023</v>
      </c>
      <c r="C107" t="str">
        <f>'Study Parameters'!E23</f>
        <v>10.1039/d3ee01008b</v>
      </c>
      <c r="D107" t="str">
        <f>'Study Parameters'!F23</f>
        <v>Liquid solvent</v>
      </c>
      <c r="E107" t="str">
        <f>'Study Parameters'!G23</f>
        <v>Liquid solvent</v>
      </c>
      <c r="F107" t="str">
        <f>'Study Parameters'!I23</f>
        <v>2022 USD</v>
      </c>
      <c r="G107">
        <v>2022</v>
      </c>
      <c r="H107" t="s">
        <v>673</v>
      </c>
      <c r="I107" t="str">
        <f>[20]baseline_output!$C9</f>
        <v>CE syngas-1a</v>
      </c>
      <c r="K107" s="111">
        <f>[20]baseline_output!$S9</f>
        <v>0.87307416000000004</v>
      </c>
      <c r="L107" s="30">
        <f>[20]baseline_output!$BD9</f>
        <v>314.61251708631102</v>
      </c>
    </row>
    <row r="108" spans="1:12" hidden="1" x14ac:dyDescent="0.25">
      <c r="A108" t="s">
        <v>267</v>
      </c>
      <c r="B108">
        <v>2023</v>
      </c>
      <c r="C108" t="s">
        <v>270</v>
      </c>
      <c r="D108" t="s">
        <v>158</v>
      </c>
      <c r="E108" t="s">
        <v>722</v>
      </c>
      <c r="F108" t="s">
        <v>462</v>
      </c>
      <c r="G108">
        <v>2022</v>
      </c>
      <c r="H108" t="s">
        <v>673</v>
      </c>
      <c r="I108" t="str">
        <f>[20]baseline_output!$C10</f>
        <v>MEA-based-1c</v>
      </c>
      <c r="K108" s="111">
        <f>[20]baseline_output!$S10</f>
        <v>2.294244E-3</v>
      </c>
      <c r="L108" s="30">
        <f>[20]baseline_output!$BD10</f>
        <v>1817.71250053524</v>
      </c>
    </row>
    <row r="109" spans="1:12" hidden="1" x14ac:dyDescent="0.25">
      <c r="A109" t="s">
        <v>267</v>
      </c>
      <c r="B109">
        <v>2023</v>
      </c>
      <c r="C109" t="s">
        <v>270</v>
      </c>
      <c r="D109" t="s">
        <v>158</v>
      </c>
      <c r="E109" t="s">
        <v>722</v>
      </c>
      <c r="F109" t="s">
        <v>462</v>
      </c>
      <c r="G109">
        <v>2022</v>
      </c>
      <c r="H109" t="s">
        <v>673</v>
      </c>
      <c r="I109" t="str">
        <f>[20]baseline_output!$C11</f>
        <v>MEA-based-1c</v>
      </c>
      <c r="K109" s="111">
        <f>[20]baseline_output!$S11</f>
        <v>2.294244E-3</v>
      </c>
      <c r="L109" s="30">
        <f>[20]baseline_output!$BD11</f>
        <v>1990.0315112179401</v>
      </c>
    </row>
    <row r="110" spans="1:12" hidden="1" x14ac:dyDescent="0.25">
      <c r="A110" t="s">
        <v>267</v>
      </c>
      <c r="B110">
        <v>2023</v>
      </c>
      <c r="C110" t="s">
        <v>270</v>
      </c>
      <c r="D110" t="s">
        <v>158</v>
      </c>
      <c r="E110" t="s">
        <v>721</v>
      </c>
      <c r="F110" t="s">
        <v>462</v>
      </c>
      <c r="G110">
        <v>2022</v>
      </c>
      <c r="H110" t="s">
        <v>673</v>
      </c>
      <c r="I110" t="str">
        <f>[20]baseline_output!$C20</f>
        <v>Amino acid salt solution-1c</v>
      </c>
      <c r="K110" s="111">
        <f>[20]baseline_output!$S20</f>
        <v>2.294244E-3</v>
      </c>
      <c r="L110" s="30">
        <f>[20]baseline_output!$BD20</f>
        <v>980.75097520117902</v>
      </c>
    </row>
    <row r="111" spans="1:12" hidden="1" x14ac:dyDescent="0.25">
      <c r="A111" t="s">
        <v>267</v>
      </c>
      <c r="B111">
        <v>2023</v>
      </c>
      <c r="C111" t="s">
        <v>270</v>
      </c>
      <c r="D111" t="s">
        <v>158</v>
      </c>
      <c r="E111" t="s">
        <v>721</v>
      </c>
      <c r="F111" t="s">
        <v>462</v>
      </c>
      <c r="G111">
        <v>2022</v>
      </c>
      <c r="H111" t="s">
        <v>673</v>
      </c>
      <c r="I111" t="str">
        <f>[20]baseline_output!$C21</f>
        <v>Amino acid salt solution-1c</v>
      </c>
      <c r="K111" s="111">
        <f>[20]baseline_output!$S21</f>
        <v>2.294244E-3</v>
      </c>
      <c r="L111" s="30">
        <f>[20]baseline_output!$BD21</f>
        <v>1064.51188379418</v>
      </c>
    </row>
    <row r="112" spans="1:12" hidden="1" x14ac:dyDescent="0.25">
      <c r="A112" t="s">
        <v>267</v>
      </c>
      <c r="B112">
        <v>2023</v>
      </c>
      <c r="C112" t="s">
        <v>270</v>
      </c>
      <c r="D112" t="s">
        <v>158</v>
      </c>
      <c r="E112" t="s">
        <v>158</v>
      </c>
      <c r="F112" t="s">
        <v>462</v>
      </c>
      <c r="G112">
        <v>2022</v>
      </c>
      <c r="H112" t="s">
        <v>673</v>
      </c>
      <c r="I112" t="str">
        <f>[20]baseline_output!$C22</f>
        <v>CE electricity-1a</v>
      </c>
      <c r="K112" s="111">
        <f>[20]baseline_output!$S22</f>
        <v>0.87307416000000004</v>
      </c>
      <c r="L112" s="30">
        <f>[20]baseline_output!$BD22</f>
        <v>411.65027432423102</v>
      </c>
    </row>
    <row r="113" spans="1:12" hidden="1" x14ac:dyDescent="0.25">
      <c r="A113" t="s">
        <v>267</v>
      </c>
      <c r="B113">
        <v>2023</v>
      </c>
      <c r="C113" t="s">
        <v>270</v>
      </c>
      <c r="D113" t="s">
        <v>158</v>
      </c>
      <c r="E113" t="s">
        <v>158</v>
      </c>
      <c r="F113" t="s">
        <v>462</v>
      </c>
      <c r="G113">
        <v>2022</v>
      </c>
      <c r="H113" t="s">
        <v>673</v>
      </c>
      <c r="I113" t="str">
        <f>[20]baseline_output!$C23</f>
        <v>CE electricity-1a</v>
      </c>
      <c r="K113" s="111">
        <f>[20]baseline_output!$S23</f>
        <v>0.87307416000000004</v>
      </c>
      <c r="L113" s="30">
        <f>[20]baseline_output!$BD23</f>
        <v>488.64611354083598</v>
      </c>
    </row>
    <row r="114" spans="1:12" hidden="1" x14ac:dyDescent="0.25">
      <c r="A114" t="s">
        <v>267</v>
      </c>
      <c r="B114">
        <v>2023</v>
      </c>
      <c r="C114" t="s">
        <v>270</v>
      </c>
      <c r="D114" t="s">
        <v>158</v>
      </c>
      <c r="E114" t="s">
        <v>158</v>
      </c>
      <c r="F114" t="s">
        <v>462</v>
      </c>
      <c r="G114">
        <v>2022</v>
      </c>
      <c r="H114" t="s">
        <v>673</v>
      </c>
      <c r="I114" t="str">
        <f>[20]baseline_output!$C24</f>
        <v>CE gas-1a</v>
      </c>
      <c r="K114" s="111">
        <f>[20]baseline_output!$S24</f>
        <v>0.87307416000000004</v>
      </c>
      <c r="L114" s="30">
        <f>[20]baseline_output!$BD24</f>
        <v>378.55341271061599</v>
      </c>
    </row>
    <row r="115" spans="1:12" hidden="1" x14ac:dyDescent="0.25">
      <c r="A115" t="s">
        <v>267</v>
      </c>
      <c r="B115">
        <v>2023</v>
      </c>
      <c r="C115" t="s">
        <v>270</v>
      </c>
      <c r="D115" t="s">
        <v>158</v>
      </c>
      <c r="E115" t="s">
        <v>158</v>
      </c>
      <c r="F115" t="s">
        <v>462</v>
      </c>
      <c r="G115">
        <v>2022</v>
      </c>
      <c r="H115" t="s">
        <v>673</v>
      </c>
      <c r="I115" t="str">
        <f>[20]baseline_output!$C25</f>
        <v>CE gas-1a</v>
      </c>
      <c r="K115" s="111">
        <f>[20]baseline_output!$S25</f>
        <v>0.87307416000000004</v>
      </c>
      <c r="L115" s="30">
        <f>[20]baseline_output!$BD25</f>
        <v>468.39609948070898</v>
      </c>
    </row>
    <row r="116" spans="1:12" hidden="1" x14ac:dyDescent="0.25">
      <c r="A116" t="s">
        <v>267</v>
      </c>
      <c r="B116">
        <v>2023</v>
      </c>
      <c r="C116" t="s">
        <v>270</v>
      </c>
      <c r="D116" t="s">
        <v>158</v>
      </c>
      <c r="E116" t="s">
        <v>158</v>
      </c>
      <c r="F116" t="s">
        <v>462</v>
      </c>
      <c r="G116">
        <v>2022</v>
      </c>
      <c r="H116" t="s">
        <v>673</v>
      </c>
      <c r="I116" t="str">
        <f>[20]baseline_output!$C26</f>
        <v>CE syngas-1a</v>
      </c>
      <c r="K116" s="111">
        <f>[20]baseline_output!$S26</f>
        <v>0.87307416000000004</v>
      </c>
      <c r="L116" s="30">
        <f>[20]baseline_output!$BD26</f>
        <v>349.10367628750998</v>
      </c>
    </row>
    <row r="117" spans="1:12" hidden="1" x14ac:dyDescent="0.25">
      <c r="A117" t="s">
        <v>267</v>
      </c>
      <c r="B117">
        <v>2023</v>
      </c>
      <c r="C117" t="s">
        <v>270</v>
      </c>
      <c r="D117" t="s">
        <v>158</v>
      </c>
      <c r="E117" t="s">
        <v>158</v>
      </c>
      <c r="F117" t="s">
        <v>462</v>
      </c>
      <c r="G117">
        <v>2022</v>
      </c>
      <c r="H117" t="s">
        <v>673</v>
      </c>
      <c r="I117" t="str">
        <f>[20]baseline_output!$C27</f>
        <v>CE syngas-1a</v>
      </c>
      <c r="K117" s="111">
        <f>[20]baseline_output!$S27</f>
        <v>0.87307416000000004</v>
      </c>
      <c r="L117" s="30">
        <f>[20]baseline_output!$BD27</f>
        <v>415.97729787873197</v>
      </c>
    </row>
    <row r="118" spans="1:12" hidden="1" x14ac:dyDescent="0.25">
      <c r="A118" t="s">
        <v>267</v>
      </c>
      <c r="B118">
        <v>2023</v>
      </c>
      <c r="C118" t="s">
        <v>270</v>
      </c>
      <c r="D118" t="s">
        <v>158</v>
      </c>
      <c r="E118" t="s">
        <v>722</v>
      </c>
      <c r="F118" t="s">
        <v>462</v>
      </c>
      <c r="G118">
        <v>2022</v>
      </c>
      <c r="H118" t="s">
        <v>673</v>
      </c>
      <c r="I118" t="str">
        <f>[20]baseline_output!$C28</f>
        <v>MEA-based-1c</v>
      </c>
      <c r="K118" s="111">
        <f>[20]baseline_output!$S28</f>
        <v>2.294244E-3</v>
      </c>
      <c r="L118" s="30">
        <f>[20]baseline_output!$BD28</f>
        <v>2476.9733161530498</v>
      </c>
    </row>
    <row r="119" spans="1:12" hidden="1" x14ac:dyDescent="0.25">
      <c r="A119" t="s">
        <v>267</v>
      </c>
      <c r="B119">
        <v>2023</v>
      </c>
      <c r="C119" t="s">
        <v>270</v>
      </c>
      <c r="D119" t="s">
        <v>158</v>
      </c>
      <c r="E119" t="s">
        <v>722</v>
      </c>
      <c r="F119" t="s">
        <v>462</v>
      </c>
      <c r="G119">
        <v>2022</v>
      </c>
      <c r="H119" t="s">
        <v>673</v>
      </c>
      <c r="I119" t="str">
        <f>[20]baseline_output!$C29</f>
        <v>MEA-based-1c</v>
      </c>
      <c r="K119" s="111">
        <f>[20]baseline_output!$S29</f>
        <v>2.294244E-3</v>
      </c>
      <c r="L119" s="30">
        <f>[20]baseline_output!$BD29</f>
        <v>2750.7170677000299</v>
      </c>
    </row>
    <row r="120" spans="1:12" hidden="1" x14ac:dyDescent="0.25">
      <c r="A120" t="str">
        <f>'Study Parameters'!A24</f>
        <v>Küng et al. 2023</v>
      </c>
      <c r="B120">
        <f>'Study Parameters'!H24</f>
        <v>2023</v>
      </c>
      <c r="C120" t="str">
        <f>'Study Parameters'!E24</f>
        <v>10.1039/d3ee01008b</v>
      </c>
      <c r="D120" t="str">
        <f>'Study Parameters'!F24</f>
        <v>Solid sorbent</v>
      </c>
      <c r="E120" t="s">
        <v>723</v>
      </c>
      <c r="F120" t="str">
        <f>'Study Parameters'!I24</f>
        <v>2022 USD</v>
      </c>
      <c r="G120">
        <v>2022</v>
      </c>
      <c r="H120" t="s">
        <v>673</v>
      </c>
      <c r="I120" t="str">
        <f>[20]baseline_output!$C12</f>
        <v>MgO-looping-2a</v>
      </c>
      <c r="K120" s="111">
        <f>[20]baseline_output!$S12</f>
        <v>179.99960400000001</v>
      </c>
      <c r="L120" s="30">
        <f>[20]baseline_output!$BD12</f>
        <v>183.15040372394199</v>
      </c>
    </row>
    <row r="121" spans="1:12" hidden="1" x14ac:dyDescent="0.25">
      <c r="A121" t="s">
        <v>267</v>
      </c>
      <c r="B121">
        <v>2023</v>
      </c>
      <c r="C121" t="s">
        <v>270</v>
      </c>
      <c r="D121" t="s">
        <v>166</v>
      </c>
      <c r="E121" t="s">
        <v>723</v>
      </c>
      <c r="F121" t="s">
        <v>462</v>
      </c>
      <c r="G121">
        <v>2022</v>
      </c>
      <c r="H121" t="s">
        <v>673</v>
      </c>
      <c r="I121" t="str">
        <f>[20]baseline_output!$C13</f>
        <v>MgO-looping-2a</v>
      </c>
      <c r="K121" s="111">
        <f>[20]baseline_output!$S13</f>
        <v>179.99960400000001</v>
      </c>
      <c r="L121" s="30">
        <f>[20]baseline_output!$BD13</f>
        <v>227.07677281852301</v>
      </c>
    </row>
    <row r="122" spans="1:12" hidden="1" x14ac:dyDescent="0.25">
      <c r="A122" t="s">
        <v>267</v>
      </c>
      <c r="B122">
        <v>2023</v>
      </c>
      <c r="C122" t="s">
        <v>270</v>
      </c>
      <c r="D122" t="s">
        <v>166</v>
      </c>
      <c r="E122" t="s">
        <v>723</v>
      </c>
      <c r="F122" t="s">
        <v>462</v>
      </c>
      <c r="G122">
        <v>2022</v>
      </c>
      <c r="H122" t="s">
        <v>673</v>
      </c>
      <c r="I122" t="str">
        <f>[20]baseline_output!$C14</f>
        <v>MgO-looping-2a</v>
      </c>
      <c r="K122" s="111">
        <f>[20]baseline_output!$S14</f>
        <v>64.554192</v>
      </c>
      <c r="L122" s="30">
        <f>[20]baseline_output!$BD14</f>
        <v>61.893630816227301</v>
      </c>
    </row>
    <row r="123" spans="1:12" hidden="1" x14ac:dyDescent="0.25">
      <c r="A123" t="s">
        <v>267</v>
      </c>
      <c r="B123">
        <v>2023</v>
      </c>
      <c r="C123" t="s">
        <v>270</v>
      </c>
      <c r="D123" t="s">
        <v>166</v>
      </c>
      <c r="E123" t="s">
        <v>723</v>
      </c>
      <c r="F123" t="s">
        <v>462</v>
      </c>
      <c r="G123">
        <v>2022</v>
      </c>
      <c r="H123" t="s">
        <v>673</v>
      </c>
      <c r="I123" t="str">
        <f>[20]baseline_output!$C15</f>
        <v>MgO-looping-2a</v>
      </c>
      <c r="K123" s="111">
        <f>[20]baseline_output!$S15</f>
        <v>64.554192</v>
      </c>
      <c r="L123" s="30">
        <f>[20]baseline_output!$BD15</f>
        <v>72.225103599114604</v>
      </c>
    </row>
    <row r="124" spans="1:12" hidden="1" x14ac:dyDescent="0.25">
      <c r="A124" t="s">
        <v>267</v>
      </c>
      <c r="B124">
        <v>2023</v>
      </c>
      <c r="C124" t="s">
        <v>270</v>
      </c>
      <c r="D124" t="s">
        <v>166</v>
      </c>
      <c r="E124" t="s">
        <v>166</v>
      </c>
      <c r="F124" t="s">
        <v>462</v>
      </c>
      <c r="G124">
        <v>2022</v>
      </c>
      <c r="H124" t="s">
        <v>673</v>
      </c>
      <c r="I124" t="str">
        <f>[20]baseline_output!$C16</f>
        <v>Optimistic future projection-2c</v>
      </c>
      <c r="K124" s="111">
        <f>[20]baseline_output!$S16</f>
        <v>3.5998343999999998E-3</v>
      </c>
      <c r="L124" s="30">
        <f>[20]baseline_output!$BD16</f>
        <v>393.65606020680502</v>
      </c>
    </row>
    <row r="125" spans="1:12" hidden="1" x14ac:dyDescent="0.25">
      <c r="A125" t="s">
        <v>267</v>
      </c>
      <c r="B125">
        <v>2023</v>
      </c>
      <c r="C125" t="s">
        <v>270</v>
      </c>
      <c r="D125" t="s">
        <v>166</v>
      </c>
      <c r="E125" t="s">
        <v>166</v>
      </c>
      <c r="F125" t="s">
        <v>462</v>
      </c>
      <c r="G125">
        <v>2022</v>
      </c>
      <c r="H125" t="s">
        <v>673</v>
      </c>
      <c r="I125" t="str">
        <f>[20]baseline_output!$C17</f>
        <v>Optimistic future projection-2c</v>
      </c>
      <c r="K125" s="111">
        <f>[20]baseline_output!$S17</f>
        <v>3.5998343999999998E-3</v>
      </c>
      <c r="L125" s="30">
        <f>[20]baseline_output!$BD17</f>
        <v>503.939346853232</v>
      </c>
    </row>
    <row r="126" spans="1:12" hidden="1" x14ac:dyDescent="0.25">
      <c r="A126" t="s">
        <v>267</v>
      </c>
      <c r="B126">
        <v>2023</v>
      </c>
      <c r="C126" t="s">
        <v>270</v>
      </c>
      <c r="D126" t="s">
        <v>166</v>
      </c>
      <c r="E126" t="s">
        <v>166</v>
      </c>
      <c r="F126" t="s">
        <v>462</v>
      </c>
      <c r="G126">
        <v>2022</v>
      </c>
      <c r="H126" t="s">
        <v>673</v>
      </c>
      <c r="I126" t="str">
        <f>[20]baseline_output!$C18</f>
        <v>Plant data-2c</v>
      </c>
      <c r="K126" s="111">
        <f>[20]baseline_output!$S18</f>
        <v>3.5998343999999998E-3</v>
      </c>
      <c r="L126" s="30">
        <f>[20]baseline_output!$BD18</f>
        <v>406.913082895564</v>
      </c>
    </row>
    <row r="127" spans="1:12" hidden="1" x14ac:dyDescent="0.25">
      <c r="A127" t="s">
        <v>267</v>
      </c>
      <c r="B127">
        <v>2023</v>
      </c>
      <c r="C127" t="s">
        <v>270</v>
      </c>
      <c r="D127" t="s">
        <v>166</v>
      </c>
      <c r="E127" t="s">
        <v>166</v>
      </c>
      <c r="F127" t="s">
        <v>462</v>
      </c>
      <c r="G127">
        <v>2022</v>
      </c>
      <c r="H127" t="s">
        <v>673</v>
      </c>
      <c r="I127" t="str">
        <f>[20]baseline_output!$C19</f>
        <v>Plant data-2c</v>
      </c>
      <c r="K127" s="111">
        <f>[20]baseline_output!$S19</f>
        <v>3.5998343999999998E-3</v>
      </c>
      <c r="L127" s="30">
        <f>[20]baseline_output!$BD19</f>
        <v>517.19636954199098</v>
      </c>
    </row>
    <row r="128" spans="1:12" hidden="1" x14ac:dyDescent="0.25">
      <c r="A128" t="s">
        <v>267</v>
      </c>
      <c r="B128">
        <v>2023</v>
      </c>
      <c r="C128" t="s">
        <v>270</v>
      </c>
      <c r="D128" t="s">
        <v>166</v>
      </c>
      <c r="E128" t="s">
        <v>723</v>
      </c>
      <c r="F128" t="s">
        <v>462</v>
      </c>
      <c r="G128">
        <v>2022</v>
      </c>
      <c r="H128" t="s">
        <v>673</v>
      </c>
      <c r="I128" t="str">
        <f>[20]baseline_output!$C30</f>
        <v>MgO-looping-2a</v>
      </c>
      <c r="K128" s="111">
        <f>[20]baseline_output!$S30</f>
        <v>179.99960400000001</v>
      </c>
      <c r="L128" s="30">
        <f>[20]baseline_output!$BD30</f>
        <v>243.248532930187</v>
      </c>
    </row>
    <row r="129" spans="1:15" hidden="1" x14ac:dyDescent="0.25">
      <c r="A129" t="s">
        <v>267</v>
      </c>
      <c r="B129">
        <v>2023</v>
      </c>
      <c r="C129" t="s">
        <v>270</v>
      </c>
      <c r="D129" t="s">
        <v>166</v>
      </c>
      <c r="E129" t="s">
        <v>723</v>
      </c>
      <c r="F129" t="s">
        <v>462</v>
      </c>
      <c r="G129">
        <v>2022</v>
      </c>
      <c r="H129" t="s">
        <v>673</v>
      </c>
      <c r="I129" t="str">
        <f>[20]baseline_output!$C31</f>
        <v>MgO-looping-2a</v>
      </c>
      <c r="K129" s="111">
        <f>[20]baseline_output!$S31</f>
        <v>179.99960400000001</v>
      </c>
      <c r="L129" s="30">
        <f>[20]baseline_output!$BD31</f>
        <v>305.088767461244</v>
      </c>
    </row>
    <row r="130" spans="1:15" hidden="1" x14ac:dyDescent="0.25">
      <c r="A130" t="s">
        <v>267</v>
      </c>
      <c r="B130">
        <v>2023</v>
      </c>
      <c r="C130" t="s">
        <v>270</v>
      </c>
      <c r="D130" t="s">
        <v>166</v>
      </c>
      <c r="E130" t="s">
        <v>723</v>
      </c>
      <c r="F130" t="s">
        <v>462</v>
      </c>
      <c r="G130">
        <v>2022</v>
      </c>
      <c r="H130" t="s">
        <v>673</v>
      </c>
      <c r="I130" t="str">
        <f>[20]baseline_output!$C32</f>
        <v>MgO-looping-2a</v>
      </c>
      <c r="K130" s="111">
        <f>[20]baseline_output!$S32</f>
        <v>64.554192</v>
      </c>
      <c r="L130" s="30">
        <f>[20]baseline_output!$BD32</f>
        <v>76.028698179975393</v>
      </c>
    </row>
    <row r="131" spans="1:15" hidden="1" x14ac:dyDescent="0.25">
      <c r="A131" t="s">
        <v>267</v>
      </c>
      <c r="B131">
        <v>2023</v>
      </c>
      <c r="C131" t="s">
        <v>270</v>
      </c>
      <c r="D131" t="s">
        <v>166</v>
      </c>
      <c r="E131" t="s">
        <v>723</v>
      </c>
      <c r="F131" t="s">
        <v>462</v>
      </c>
      <c r="G131">
        <v>2022</v>
      </c>
      <c r="H131" t="s">
        <v>673</v>
      </c>
      <c r="I131" t="str">
        <f>[20]baseline_output!$C33</f>
        <v>MgO-looping-2a</v>
      </c>
      <c r="K131" s="111">
        <f>[20]baseline_output!$S33</f>
        <v>64.554192</v>
      </c>
      <c r="L131" s="30">
        <f>[20]baseline_output!$BD33</f>
        <v>90.573508350133693</v>
      </c>
    </row>
    <row r="132" spans="1:15" hidden="1" x14ac:dyDescent="0.25">
      <c r="A132" t="s">
        <v>267</v>
      </c>
      <c r="B132">
        <v>2023</v>
      </c>
      <c r="C132" t="s">
        <v>270</v>
      </c>
      <c r="D132" t="s">
        <v>166</v>
      </c>
      <c r="E132" t="s">
        <v>166</v>
      </c>
      <c r="F132" t="s">
        <v>462</v>
      </c>
      <c r="G132">
        <v>2022</v>
      </c>
      <c r="H132" t="s">
        <v>673</v>
      </c>
      <c r="I132" t="str">
        <f>[20]baseline_output!$C34</f>
        <v>Optimistic future projection-2c</v>
      </c>
      <c r="K132" s="111">
        <f>[20]baseline_output!$S34</f>
        <v>3.5998343999999998E-3</v>
      </c>
      <c r="L132" s="30">
        <f>[20]baseline_output!$BD34</f>
        <v>523.47869237559496</v>
      </c>
    </row>
    <row r="133" spans="1:15" hidden="1" x14ac:dyDescent="0.25">
      <c r="A133" t="s">
        <v>267</v>
      </c>
      <c r="B133">
        <v>2023</v>
      </c>
      <c r="C133" t="s">
        <v>270</v>
      </c>
      <c r="D133" t="s">
        <v>166</v>
      </c>
      <c r="E133" t="s">
        <v>166</v>
      </c>
      <c r="F133" t="s">
        <v>462</v>
      </c>
      <c r="G133">
        <v>2022</v>
      </c>
      <c r="H133" t="s">
        <v>673</v>
      </c>
      <c r="I133" t="str">
        <f>[20]baseline_output!$C35</f>
        <v>Optimistic future projection-2c</v>
      </c>
      <c r="K133" s="111">
        <f>[20]baseline_output!$S35</f>
        <v>3.5998343999999998E-3</v>
      </c>
      <c r="L133" s="30">
        <f>[20]baseline_output!$BD35</f>
        <v>698.67329510641696</v>
      </c>
    </row>
    <row r="134" spans="1:15" hidden="1" x14ac:dyDescent="0.25">
      <c r="A134" t="s">
        <v>267</v>
      </c>
      <c r="B134">
        <v>2023</v>
      </c>
      <c r="C134" t="s">
        <v>270</v>
      </c>
      <c r="D134" t="s">
        <v>166</v>
      </c>
      <c r="E134" t="s">
        <v>166</v>
      </c>
      <c r="F134" t="s">
        <v>462</v>
      </c>
      <c r="G134">
        <v>2022</v>
      </c>
      <c r="H134" t="s">
        <v>673</v>
      </c>
      <c r="I134" t="str">
        <f>[20]baseline_output!$C36</f>
        <v>Plant data-2c</v>
      </c>
      <c r="K134" s="111">
        <f>[20]baseline_output!$S36</f>
        <v>3.5998343999999998E-3</v>
      </c>
      <c r="L134" s="30">
        <f>[20]baseline_output!$BD36</f>
        <v>536.73571506435496</v>
      </c>
    </row>
    <row r="135" spans="1:15" hidden="1" x14ac:dyDescent="0.25">
      <c r="A135" t="s">
        <v>267</v>
      </c>
      <c r="B135">
        <v>2023</v>
      </c>
      <c r="C135" t="s">
        <v>270</v>
      </c>
      <c r="D135" t="s">
        <v>166</v>
      </c>
      <c r="E135" t="s">
        <v>166</v>
      </c>
      <c r="F135" t="s">
        <v>462</v>
      </c>
      <c r="G135">
        <v>2022</v>
      </c>
      <c r="H135" t="s">
        <v>673</v>
      </c>
      <c r="I135" t="str">
        <f>[20]baseline_output!$C37</f>
        <v>Plant data-2c</v>
      </c>
      <c r="K135" s="111">
        <f>[20]baseline_output!$S37</f>
        <v>3.5998343999999998E-3</v>
      </c>
      <c r="L135" s="30">
        <f>[20]baseline_output!$BD37</f>
        <v>711.93031779517605</v>
      </c>
    </row>
    <row r="136" spans="1:15" hidden="1" x14ac:dyDescent="0.25">
      <c r="A136" t="str">
        <f>'Study Parameters'!A25</f>
        <v>Mostafa et al. 2022</v>
      </c>
      <c r="B136">
        <v>2022</v>
      </c>
      <c r="C136" t="str">
        <f>'Study Parameters'!E25</f>
        <v>10.1016/j.ccst.2022.100060</v>
      </c>
      <c r="D136" t="str">
        <f>'Study Parameters'!F25</f>
        <v>Liquid solvent</v>
      </c>
      <c r="E136" t="str">
        <f>'Study Parameters'!G25</f>
        <v>NaOH absorption DAC process paired with regeneration via Ca looping</v>
      </c>
      <c r="F136">
        <f>'Study Parameters'!I25</f>
        <v>0</v>
      </c>
      <c r="L136" s="30"/>
    </row>
    <row r="137" spans="1:15" hidden="1" x14ac:dyDescent="0.25">
      <c r="A137" t="str">
        <f>'Study Parameters'!A26</f>
        <v>Keith et al. 2018</v>
      </c>
      <c r="B137">
        <v>2016</v>
      </c>
      <c r="C137" t="str">
        <f>'Study Parameters'!E26</f>
        <v>10.1016/j.joule.2018.05.006</v>
      </c>
      <c r="D137" t="str">
        <f>'Study Parameters'!F26</f>
        <v>Liquid solvent</v>
      </c>
      <c r="E137" t="str">
        <f>'Study Parameters'!G26</f>
        <v>KOH absorption paired with regeneration via Ca looping</v>
      </c>
      <c r="F137" t="str">
        <f>'Study Parameters'!I26</f>
        <v>2016 USD</v>
      </c>
      <c r="G137">
        <v>2016</v>
      </c>
      <c r="H137" t="s">
        <v>673</v>
      </c>
      <c r="I137" t="s">
        <v>724</v>
      </c>
      <c r="J137" t="str">
        <f>'Study Parameters'!L26</f>
        <v>Levelized cost of capture</v>
      </c>
      <c r="K137">
        <v>1</v>
      </c>
      <c r="L137" s="30">
        <f>[21]Baseline!$B$4* ((1+Inputs!$C$5) ^ (2022-G137))</f>
        <v>194.68375056556192</v>
      </c>
      <c r="M137" s="30">
        <f>'[21]Step 1 LCOE - EE'!$C$24* ((1+Inputs!$C$5) ^ (2022-G137))</f>
        <v>232.21270504482445</v>
      </c>
      <c r="N137" s="30">
        <f>'[21]Step 2 WACC'!$C$24* ((1+Inputs!$C$5) ^ (2022-G137))</f>
        <v>249.41048657524615</v>
      </c>
      <c r="O137" s="30">
        <f>'[21]Step 3 T&amp;S'!$C$27* ((1+Inputs!$C$5) ^ (2022-G137))</f>
        <v>295.67151321600323</v>
      </c>
    </row>
    <row r="138" spans="1:15" hidden="1" x14ac:dyDescent="0.25">
      <c r="A138" t="s">
        <v>275</v>
      </c>
      <c r="B138">
        <v>2016</v>
      </c>
      <c r="C138" t="s">
        <v>277</v>
      </c>
      <c r="D138" t="s">
        <v>158</v>
      </c>
      <c r="E138" t="s">
        <v>358</v>
      </c>
      <c r="F138" t="s">
        <v>571</v>
      </c>
      <c r="G138">
        <v>2016</v>
      </c>
      <c r="H138" t="s">
        <v>673</v>
      </c>
      <c r="I138" t="s">
        <v>725</v>
      </c>
      <c r="K138">
        <v>1</v>
      </c>
      <c r="L138" s="30">
        <f>[21]Baseline!$C$4* ((1+Inputs!$C$5) ^ (2022-G138))</f>
        <v>146.78431177104952</v>
      </c>
      <c r="M138" s="30">
        <f>'[21]Step 1 LCOE - EE'!$D$24* ((1+Inputs!$C$5) ^ (2022-G138))</f>
        <v>180.46881603243236</v>
      </c>
      <c r="N138" s="30">
        <f>'[21]Step 2 WACC'!$D$24* ((1+Inputs!$C$5) ^ (2022-G138))</f>
        <v>192.36920063419888</v>
      </c>
      <c r="O138" s="30">
        <f>'[21]Step 3 T&amp;S'!$D$27* ((1+Inputs!$C$5) ^ (2022-G138))</f>
        <v>238.63022727495593</v>
      </c>
    </row>
    <row r="139" spans="1:15" hidden="1" x14ac:dyDescent="0.25">
      <c r="A139" t="s">
        <v>275</v>
      </c>
      <c r="B139">
        <v>2016</v>
      </c>
      <c r="C139" t="s">
        <v>277</v>
      </c>
      <c r="D139" t="s">
        <v>158</v>
      </c>
      <c r="E139" t="s">
        <v>358</v>
      </c>
      <c r="F139" t="s">
        <v>571</v>
      </c>
      <c r="G139">
        <v>2016</v>
      </c>
      <c r="H139" t="s">
        <v>673</v>
      </c>
      <c r="I139" t="s">
        <v>726</v>
      </c>
      <c r="K139">
        <v>1</v>
      </c>
      <c r="L139" s="30">
        <f>[21]Baseline!$D$4* ((1+Inputs!$C$5) ^ (2022-G139))</f>
        <v>130.90521415405269</v>
      </c>
      <c r="M139" s="30">
        <f>'[21]Step 1 LCOE - EE'!$E$24* ((1+Inputs!$C$5) ^ (2022-G139))</f>
        <v>168.21888411829039</v>
      </c>
      <c r="N139" s="30">
        <f>'[21]Step 2 WACC'!$E$24* ((1+Inputs!$C$5) ^ (2022-G139))</f>
        <v>178.52379732826347</v>
      </c>
      <c r="O139" s="30">
        <f>'[21]Step 3 T&amp;S'!$E$27* ((1+Inputs!$C$5) ^ (2022-G139))</f>
        <v>224.78482396902055</v>
      </c>
    </row>
    <row r="140" spans="1:15" x14ac:dyDescent="0.25">
      <c r="A140" t="s">
        <v>275</v>
      </c>
      <c r="B140">
        <v>2050</v>
      </c>
      <c r="C140" t="s">
        <v>277</v>
      </c>
      <c r="D140" t="s">
        <v>158</v>
      </c>
      <c r="E140" t="s">
        <v>358</v>
      </c>
      <c r="F140" t="s">
        <v>571</v>
      </c>
      <c r="G140">
        <v>2016</v>
      </c>
      <c r="H140" t="s">
        <v>673</v>
      </c>
      <c r="I140" t="s">
        <v>727</v>
      </c>
      <c r="K140">
        <v>1</v>
      </c>
      <c r="L140" s="30">
        <f>[21]Baseline!$E$4*((1+Inputs!$C$5)^(2022-G140))</f>
        <v>109.21650263956009</v>
      </c>
      <c r="M140" s="30">
        <f>'[21]Step 1 LCOE - EE'!$F$24*((1+Inputs!$C$5)^(2022-G140))</f>
        <v>130.30491652206067</v>
      </c>
      <c r="N140" s="30">
        <f>'[21]Step 2 WACC'!$F$24*((1+Inputs!$C$5)^(2022-G140))</f>
        <v>139.1964167598891</v>
      </c>
      <c r="O140" s="30">
        <f>'[21]Step 3 T&amp;S'!$F$27*((1+Inputs!$C$5)^(2022-G140))</f>
        <v>168.10955841036227</v>
      </c>
    </row>
    <row r="141" spans="1:15" hidden="1" x14ac:dyDescent="0.25">
      <c r="A141" t="s">
        <v>275</v>
      </c>
      <c r="B141">
        <v>2016</v>
      </c>
      <c r="C141" t="s">
        <v>277</v>
      </c>
      <c r="D141" t="s">
        <v>158</v>
      </c>
      <c r="E141" t="s">
        <v>358</v>
      </c>
      <c r="F141" t="s">
        <v>571</v>
      </c>
      <c r="G141">
        <v>2016</v>
      </c>
      <c r="H141" t="s">
        <v>673</v>
      </c>
      <c r="I141" t="s">
        <v>728</v>
      </c>
      <c r="J141" t="s">
        <v>480</v>
      </c>
      <c r="K141">
        <v>1</v>
      </c>
      <c r="L141" s="30">
        <f>'[21]Baseline (2)'!$B$4* ((1+Inputs!$C$5) ^ (2022-G141))</f>
        <v>268.35947485233004</v>
      </c>
      <c r="M141" s="30">
        <f>'[21]Step 1 LCOE - EE (2)'!$C$24* ((1+Inputs!$C$5) ^ (2022-G141))</f>
        <v>311.80170642658771</v>
      </c>
      <c r="N141" s="30">
        <f>'[21]Step 2 WACC (2)'!$C$24* ((1+Inputs!$C$5) ^ (2022-G141))</f>
        <v>249.41048657524615</v>
      </c>
      <c r="O141" s="30">
        <f>'[21]Step 3 T&amp;S (2)'!$C$27* ((1+Inputs!$C$5) ^ (2022-G141))</f>
        <v>295.67151321600323</v>
      </c>
    </row>
    <row r="142" spans="1:15" hidden="1" x14ac:dyDescent="0.25">
      <c r="A142" t="s">
        <v>275</v>
      </c>
      <c r="B142">
        <v>2016</v>
      </c>
      <c r="C142" t="s">
        <v>277</v>
      </c>
      <c r="D142" t="s">
        <v>158</v>
      </c>
      <c r="E142" t="s">
        <v>358</v>
      </c>
      <c r="F142" t="s">
        <v>571</v>
      </c>
      <c r="G142">
        <v>2016</v>
      </c>
      <c r="H142" t="s">
        <v>673</v>
      </c>
      <c r="I142" t="s">
        <v>729</v>
      </c>
      <c r="J142" t="s">
        <v>480</v>
      </c>
      <c r="K142">
        <v>1</v>
      </c>
      <c r="L142" s="30">
        <f>'[21]Baseline (2)'!$C$4* ((1+Inputs!$C$5) ^ (2022-G142))</f>
        <v>197.76585571468578</v>
      </c>
      <c r="M142" s="30">
        <f>'[21]Step 1 LCOE - EE (2)'!$D$24* ((1+Inputs!$C$5) ^ (2022-G142))</f>
        <v>235.54218260812024</v>
      </c>
      <c r="N142" s="30">
        <f>'[21]Step 2 WACC (2)'!$D$24* ((1+Inputs!$C$5) ^ (2022-G142))</f>
        <v>192.36920063419888</v>
      </c>
      <c r="O142" s="30">
        <f>'[21]Step 3 T&amp;S (2)'!$D$27* ((1+Inputs!$C$5) ^ (2022-G142))</f>
        <v>238.63022727495593</v>
      </c>
    </row>
    <row r="143" spans="1:15" hidden="1" x14ac:dyDescent="0.25">
      <c r="A143" t="s">
        <v>275</v>
      </c>
      <c r="B143">
        <v>2016</v>
      </c>
      <c r="C143" t="s">
        <v>277</v>
      </c>
      <c r="D143" t="s">
        <v>158</v>
      </c>
      <c r="E143" t="s">
        <v>358</v>
      </c>
      <c r="F143" t="s">
        <v>571</v>
      </c>
      <c r="G143">
        <v>2016</v>
      </c>
      <c r="H143" t="s">
        <v>673</v>
      </c>
      <c r="I143" t="s">
        <v>730</v>
      </c>
      <c r="J143" t="s">
        <v>480</v>
      </c>
      <c r="K143">
        <v>1</v>
      </c>
      <c r="L143" s="30">
        <f>'[21]Baseline (2)'!$D$4* ((1+Inputs!$C$5) ^ (2022-G143))</f>
        <v>175.52210128757542</v>
      </c>
      <c r="M143" s="30">
        <f>'[21]Step 1 LCOE - EE (2)'!$E$24* ((1+Inputs!$C$5) ^ (2022-G143))</f>
        <v>215.90862539432047</v>
      </c>
      <c r="N143" s="30">
        <f>'[21]Step 2 WACC (2)'!$E$24* ((1+Inputs!$C$5) ^ (2022-G143))</f>
        <v>178.52379732826347</v>
      </c>
      <c r="O143" s="30">
        <f>'[21]Step 3 T&amp;S (2)'!$E$27* ((1+Inputs!$C$5) ^ (2022-G143))</f>
        <v>224.78482396902055</v>
      </c>
    </row>
    <row r="144" spans="1:15" x14ac:dyDescent="0.25">
      <c r="A144" t="s">
        <v>275</v>
      </c>
      <c r="B144">
        <v>2050</v>
      </c>
      <c r="C144" t="s">
        <v>277</v>
      </c>
      <c r="D144" t="s">
        <v>158</v>
      </c>
      <c r="E144" t="s">
        <v>358</v>
      </c>
      <c r="F144" t="s">
        <v>571</v>
      </c>
      <c r="G144">
        <v>2016</v>
      </c>
      <c r="H144" t="s">
        <v>673</v>
      </c>
      <c r="I144" t="s">
        <v>731</v>
      </c>
      <c r="K144">
        <v>1</v>
      </c>
      <c r="L144" s="30">
        <f>'[21]Baseline (2)'!$E$4* ((1+Inputs!$C$5) ^ (2022-G144))</f>
        <v>148.36878544116726</v>
      </c>
      <c r="M144" s="30">
        <f>'[21]Step 1 LCOE - EE (2)'!$F$24* ((1+Inputs!$C$5) ^ (2022-G144))</f>
        <v>171.45357418250728</v>
      </c>
      <c r="N144" s="30">
        <f>'[21]Step 2 WACC (2)'!$F$24* ((1+Inputs!$C$5) ^ (2022-G144))</f>
        <v>139.1964167598891</v>
      </c>
      <c r="O144" s="30">
        <f>'[21]Step 3 T&amp;S (2)'!$F$27* ((1+Inputs!$C$5) ^ (2022-G144))</f>
        <v>168.10955841036227</v>
      </c>
    </row>
    <row r="145" spans="1:15" hidden="1" x14ac:dyDescent="0.25">
      <c r="A145" t="str">
        <f>'Study Parameters'!A27</f>
        <v>Gray et al. 2024</v>
      </c>
      <c r="B145">
        <f>'Study Parameters'!H27</f>
        <v>2024</v>
      </c>
      <c r="C145" t="str">
        <f>'Study Parameters'!E27</f>
        <v>10.1016/j.rser.2024.114552</v>
      </c>
      <c r="D145" t="str">
        <f>'Study Parameters'!F27</f>
        <v>Solid sorbent</v>
      </c>
      <c r="E145" t="str">
        <f>'Study Parameters'!G27</f>
        <v>Solid sorbent</v>
      </c>
      <c r="F145" t="str">
        <f>'Study Parameters'!I27</f>
        <v>2023 EUR</v>
      </c>
      <c r="G145">
        <v>2023</v>
      </c>
      <c r="H145" t="s">
        <v>673</v>
      </c>
      <c r="I145" t="s">
        <v>4</v>
      </c>
      <c r="K145">
        <v>1</v>
      </c>
      <c r="L145" s="30">
        <f>[22]Baseline!$B$2</f>
        <v>1238.5472580000003</v>
      </c>
      <c r="M145" s="30">
        <f>'[22]Step 1 LCOE - EE'!$B$7</f>
        <v>1335.2008787911266</v>
      </c>
      <c r="N145" s="30">
        <f>'[22]Step 2 WACC'!$B$4</f>
        <v>1422.4526421724208</v>
      </c>
      <c r="O145" s="30">
        <f>'[22]Step 3 T&amp;S'!$B$2</f>
        <v>1422.4526421724208</v>
      </c>
    </row>
    <row r="146" spans="1:15" hidden="1" x14ac:dyDescent="0.25">
      <c r="A146" t="str">
        <f>'Study Parameters'!A28</f>
        <v>Rosen et al. 2024</v>
      </c>
      <c r="B146">
        <f>'Study Parameters'!H28</f>
        <v>2023</v>
      </c>
      <c r="C146" t="str">
        <f>'Study Parameters'!E28</f>
        <v>10.1021/acs.energyfuels.4c02202</v>
      </c>
      <c r="D146" t="str">
        <f>'Study Parameters'!F28</f>
        <v>Liquid solvent</v>
      </c>
      <c r="E146" t="str">
        <f>'Study Parameters'!G28</f>
        <v>Absorption with regeneration via chemical looping (ACL) as described by Keith et al.13 (TRL 7)</v>
      </c>
      <c r="F146" t="str">
        <f>'Study Parameters'!I28</f>
        <v>2019 USD</v>
      </c>
      <c r="G146">
        <v>2019</v>
      </c>
      <c r="H146" t="s">
        <v>673</v>
      </c>
      <c r="L146" s="30"/>
    </row>
    <row r="147" spans="1:15" hidden="1" x14ac:dyDescent="0.25">
      <c r="A147" t="str">
        <f>'Study Parameters'!A29</f>
        <v>Rosen et al. 2024</v>
      </c>
      <c r="B147">
        <f>'Study Parameters'!H29</f>
        <v>2023</v>
      </c>
      <c r="C147" t="str">
        <f>'Study Parameters'!E29</f>
        <v>10.1021/acs.energyfuels.4c02202</v>
      </c>
      <c r="D147" t="str">
        <f>'Study Parameters'!F29</f>
        <v>Liquid solvent with electrochemical regeneration</v>
      </c>
      <c r="E147" t="str">
        <f>'Study Parameters'!G29</f>
        <v>Absorption with electrochemical regeneration (AEC); carbonate regeneration using a bipolar membrane described by Iizuka et al.53 (TRL 2−3)</v>
      </c>
      <c r="F147" t="str">
        <f>'Study Parameters'!I29</f>
        <v>2019 USD</v>
      </c>
      <c r="G147">
        <v>2019</v>
      </c>
      <c r="H147" t="s">
        <v>673</v>
      </c>
      <c r="L147" s="30"/>
    </row>
    <row r="148" spans="1:15" hidden="1" x14ac:dyDescent="0.25">
      <c r="A148" t="str">
        <f>'Study Parameters'!A30</f>
        <v>Rosen et al. 2024</v>
      </c>
      <c r="B148">
        <f>'Study Parameters'!H30</f>
        <v>2023</v>
      </c>
      <c r="C148" t="str">
        <f>'Study Parameters'!E30</f>
        <v>10.1021/acs.energyfuels.4c02202</v>
      </c>
      <c r="D148" t="str">
        <f>'Study Parameters'!F30</f>
        <v>Solid sorbent</v>
      </c>
      <c r="E148" t="str">
        <f>'Study Parameters'!G30</f>
        <v>Temperature-vacuum-swing adsorption (TVSA) with the  Wurzbacher et al.69 (TRL 8)</v>
      </c>
      <c r="F148" t="str">
        <f>'Study Parameters'!I30</f>
        <v>2019 USD</v>
      </c>
      <c r="G148">
        <v>2019</v>
      </c>
      <c r="H148" t="s">
        <v>673</v>
      </c>
      <c r="L148" s="30"/>
    </row>
    <row r="149" spans="1:15" hidden="1" x14ac:dyDescent="0.25">
      <c r="A149" t="str">
        <f>'Study Parameters'!A31</f>
        <v>Rosen et al. 2024</v>
      </c>
      <c r="B149">
        <f>'Study Parameters'!H31</f>
        <v>2023</v>
      </c>
      <c r="C149" t="str">
        <f>'Study Parameters'!E31</f>
        <v>10.1021/acs.energyfuels.4c02202</v>
      </c>
      <c r="D149" t="str">
        <f>'Study Parameters'!F31</f>
        <v>Electro-swing adsorption (ESA)</v>
      </c>
      <c r="E149" t="str">
        <f>'Study Parameters'!G31</f>
        <v>Electro-swing adsorption (ESA) as described by Voskian and Hatton35 (TRL 1)</v>
      </c>
      <c r="F149" t="str">
        <f>'Study Parameters'!I31</f>
        <v>2019 USD</v>
      </c>
      <c r="G149">
        <v>2019</v>
      </c>
      <c r="H149" t="s">
        <v>673</v>
      </c>
      <c r="L149" s="30"/>
    </row>
    <row r="150" spans="1:15" hidden="1" x14ac:dyDescent="0.25">
      <c r="A150" t="str">
        <f>'Study Parameters'!A32</f>
        <v>Sabatino et al. 2020</v>
      </c>
      <c r="B150">
        <f>'Study Parameters'!H32</f>
        <v>0</v>
      </c>
      <c r="C150" t="str">
        <f>'Study Parameters'!E32</f>
        <v>10.1021/acs.iecr.9b05641</v>
      </c>
      <c r="D150">
        <f>'Study Parameters'!F32</f>
        <v>0</v>
      </c>
      <c r="E150">
        <f>'Study Parameters'!G32</f>
        <v>0</v>
      </c>
      <c r="F150">
        <f>'Study Parameters'!I32</f>
        <v>0</v>
      </c>
      <c r="L150" s="30"/>
    </row>
    <row r="151" spans="1:15" hidden="1" x14ac:dyDescent="0.25">
      <c r="A151" t="str">
        <f>'Study Parameters'!A33</f>
        <v>McQueen et al. 2020c</v>
      </c>
      <c r="B151">
        <f>'Study Parameters'!H33</f>
        <v>2020</v>
      </c>
      <c r="C151" t="str">
        <f>'Study Parameters'!E33</f>
        <v>10.1038/s41467-020-16510-3</v>
      </c>
      <c r="D151" t="str">
        <f>'Study Parameters'!F33</f>
        <v>Ambient Weathering</v>
      </c>
      <c r="E151" t="str">
        <f>'Study Parameters'!G33</f>
        <v>MgO based</v>
      </c>
      <c r="F151" t="str">
        <f>'Study Parameters'!I33</f>
        <v>2019 USD</v>
      </c>
      <c r="G151">
        <v>2019</v>
      </c>
      <c r="H151" t="s">
        <v>673</v>
      </c>
      <c r="I151" t="s">
        <v>732</v>
      </c>
      <c r="K151">
        <v>64</v>
      </c>
      <c r="L151" s="30">
        <f>[23]Baseline!$C$7* ((1+Inputs!$C$5) ^ (2022-G151))</f>
        <v>52.859259278213045</v>
      </c>
    </row>
    <row r="152" spans="1:15" hidden="1" x14ac:dyDescent="0.25">
      <c r="A152" t="str">
        <f>'Study Parameters'!A33</f>
        <v>McQueen et al. 2020c</v>
      </c>
      <c r="B152">
        <f>'Study Parameters'!H33</f>
        <v>2020</v>
      </c>
      <c r="C152" t="str">
        <f>'Study Parameters'!E33</f>
        <v>10.1038/s41467-020-16510-3</v>
      </c>
      <c r="D152" t="str">
        <f>'Study Parameters'!F33</f>
        <v>Ambient Weathering</v>
      </c>
      <c r="E152" t="str">
        <f>'Study Parameters'!G33</f>
        <v>MgO based</v>
      </c>
      <c r="F152" t="s">
        <v>430</v>
      </c>
      <c r="G152">
        <v>2019</v>
      </c>
      <c r="H152" t="s">
        <v>673</v>
      </c>
      <c r="I152" t="s">
        <v>733</v>
      </c>
      <c r="K152">
        <v>180</v>
      </c>
      <c r="L152" s="30">
        <f>[23]Baseline!$D$7* ((1+Inputs!$C$5) ^ (2022-G152))</f>
        <v>174.22096158203897</v>
      </c>
    </row>
    <row r="153" spans="1:15" hidden="1" x14ac:dyDescent="0.25">
      <c r="A153" t="s">
        <v>294</v>
      </c>
      <c r="B153">
        <v>2020</v>
      </c>
      <c r="C153" t="s">
        <v>297</v>
      </c>
      <c r="D153" t="s">
        <v>298</v>
      </c>
      <c r="E153" t="s">
        <v>390</v>
      </c>
      <c r="F153" t="s">
        <v>734</v>
      </c>
      <c r="G153">
        <v>2030</v>
      </c>
      <c r="H153" t="s">
        <v>673</v>
      </c>
      <c r="I153" t="s">
        <v>732</v>
      </c>
      <c r="K153">
        <v>64</v>
      </c>
      <c r="L153" s="30">
        <f>[23]Baseline!$E$7* ((1+Inputs!$C$5) ^ (2022-G153))</f>
        <v>45.162595126533958</v>
      </c>
    </row>
    <row r="154" spans="1:15" hidden="1" x14ac:dyDescent="0.25">
      <c r="A154" t="s">
        <v>294</v>
      </c>
      <c r="B154">
        <v>2020</v>
      </c>
      <c r="C154" t="s">
        <v>297</v>
      </c>
      <c r="D154" t="s">
        <v>298</v>
      </c>
      <c r="E154" t="s">
        <v>390</v>
      </c>
      <c r="F154" t="s">
        <v>734</v>
      </c>
      <c r="G154">
        <v>2030</v>
      </c>
      <c r="H154" t="s">
        <v>673</v>
      </c>
      <c r="I154" t="s">
        <v>733</v>
      </c>
      <c r="K154">
        <v>180</v>
      </c>
      <c r="L154" s="30">
        <f>[23]Baseline!$F$7* ((1+Inputs!$C$5) ^ (2022-G154))</f>
        <v>155.30185025856494</v>
      </c>
    </row>
    <row r="155" spans="1:15" hidden="1" x14ac:dyDescent="0.25">
      <c r="A155" t="str">
        <f>'Study Parameters'!A34</f>
        <v>Lee et al. 2023</v>
      </c>
      <c r="B155">
        <f>'Study Parameters'!H34</f>
        <v>2023</v>
      </c>
      <c r="C155" t="str">
        <f>'Study Parameters'!E34</f>
        <v>10.1016/j.joule.2023.05.016</v>
      </c>
      <c r="D155" t="str">
        <f>'Study Parameters'!F34</f>
        <v>Solid sorbent</v>
      </c>
      <c r="E155" t="str">
        <f>'Study Parameters'!G34</f>
        <v>Solid sorbent DAC via electrically driven temperature swing adsorption (ETSA)</v>
      </c>
      <c r="F155" t="str">
        <f>'Study Parameters'!I34</f>
        <v>2022 USD</v>
      </c>
      <c r="G155">
        <v>2022</v>
      </c>
      <c r="H155" t="s">
        <v>673</v>
      </c>
      <c r="I155" t="s">
        <v>4</v>
      </c>
      <c r="J155" t="str">
        <f>'Study Parameters'!L34</f>
        <v>Levelized cost of capture</v>
      </c>
      <c r="K155" s="48" t="s">
        <v>394</v>
      </c>
      <c r="L155" s="30">
        <f>[24]Baseline!$D$53* ((1+Inputs!$C$5) ^ (2022-G155))</f>
        <v>160.31000380952381</v>
      </c>
      <c r="M155" s="30">
        <f>'[24]Step 1 LCOE - EE'!$D$55* ((1+Inputs!$C$5) ^ (2022-G155))</f>
        <v>230.09276004403995</v>
      </c>
      <c r="N155" s="30">
        <f>'[24]Step 2 WACC'!$D$55* ((1+Inputs!$C$5) ^ (2022-G155))</f>
        <v>230.09276004403995</v>
      </c>
      <c r="O155" s="30">
        <f>'[24]Step 3 T&amp;S'!$D$58* ((1+Inputs!$C$5) ^ (2022-G155))</f>
        <v>270.09276004403995</v>
      </c>
    </row>
    <row r="156" spans="1:15" hidden="1" x14ac:dyDescent="0.25">
      <c r="A156" t="str">
        <f>'Study Parameters'!A35</f>
        <v>Abanades et al. 2023</v>
      </c>
      <c r="B156">
        <f>'Study Parameters'!H35</f>
        <v>2023</v>
      </c>
      <c r="C156" t="str">
        <f>'Study Parameters'!E35</f>
        <v>10.1016/j.xcrp.2023.101339</v>
      </c>
      <c r="D156" t="str">
        <f>'Study Parameters'!F35</f>
        <v>Solid sorbent</v>
      </c>
      <c r="E156" t="str">
        <f>'Study Parameters'!G35</f>
        <v>CaCO3 based</v>
      </c>
      <c r="F156" t="str">
        <f>'Study Parameters'!I35</f>
        <v>2023 USD</v>
      </c>
      <c r="L156" s="30"/>
    </row>
    <row r="157" spans="1:15" hidden="1" x14ac:dyDescent="0.25">
      <c r="A157" t="str">
        <f>'Study Parameters'!A36</f>
        <v>Abanades et al. 2020</v>
      </c>
      <c r="B157">
        <f>'Study Parameters'!H36</f>
        <v>2020</v>
      </c>
      <c r="C157" t="str">
        <f>'Study Parameters'!E36</f>
        <v>10.1039/d0se00094a</v>
      </c>
      <c r="D157" t="str">
        <f>'Study Parameters'!F36</f>
        <v>Ambient weathering</v>
      </c>
      <c r="E157" t="str">
        <f>'Study Parameters'!G36</f>
        <v>CaCO3 based</v>
      </c>
      <c r="F157" t="str">
        <f>'Study Parameters'!I36</f>
        <v>2020 USD</v>
      </c>
      <c r="L157" s="30"/>
    </row>
    <row r="158" spans="1:15" hidden="1" x14ac:dyDescent="0.25">
      <c r="A158" t="str">
        <f>'Study Parameters'!A37</f>
        <v>Ragipani et al. 2022</v>
      </c>
      <c r="B158">
        <f>'Study Parameters'!H37</f>
        <v>2022</v>
      </c>
      <c r="C158" t="str">
        <f>'Study Parameters'!E37</f>
        <v>10.1021/acssuschemeng.1c07867</v>
      </c>
      <c r="D158" t="str">
        <f>'Study Parameters'!F37</f>
        <v>Liquid solvent</v>
      </c>
      <c r="E158" t="s">
        <v>735</v>
      </c>
      <c r="F158" t="str">
        <f>'Study Parameters'!I37</f>
        <v>2019 USD</v>
      </c>
      <c r="G158">
        <v>2019</v>
      </c>
      <c r="H158" t="s">
        <v>673</v>
      </c>
      <c r="I158" t="s">
        <v>121</v>
      </c>
      <c r="K158">
        <f>'Study Parameters'!Q37</f>
        <v>8.0000000000000002E-3</v>
      </c>
      <c r="L158" s="30">
        <f>[25]Baseline!$B$3</f>
        <v>121.14570202833102</v>
      </c>
    </row>
    <row r="159" spans="1:15" hidden="1" x14ac:dyDescent="0.25">
      <c r="A159" t="s">
        <v>315</v>
      </c>
      <c r="B159">
        <v>2022</v>
      </c>
      <c r="C159" t="s">
        <v>318</v>
      </c>
      <c r="D159" t="s">
        <v>158</v>
      </c>
      <c r="E159" t="s">
        <v>735</v>
      </c>
      <c r="F159" t="s">
        <v>430</v>
      </c>
      <c r="G159">
        <v>2019</v>
      </c>
      <c r="H159" t="s">
        <v>673</v>
      </c>
      <c r="I159" t="s">
        <v>120</v>
      </c>
      <c r="K159">
        <v>8.0000000000000002E-3</v>
      </c>
      <c r="L159" s="30">
        <f>[25]Baseline!$C$3</f>
        <v>140.09669470231475</v>
      </c>
    </row>
    <row r="160" spans="1:15" hidden="1" x14ac:dyDescent="0.25">
      <c r="A160" t="s">
        <v>329</v>
      </c>
      <c r="B160">
        <v>2025</v>
      </c>
      <c r="C160" t="s">
        <v>332</v>
      </c>
      <c r="D160" t="s">
        <v>166</v>
      </c>
      <c r="E160" t="s">
        <v>358</v>
      </c>
      <c r="F160" t="s">
        <v>617</v>
      </c>
      <c r="G160">
        <v>2024</v>
      </c>
      <c r="H160" t="s">
        <v>673</v>
      </c>
      <c r="I160" t="s">
        <v>736</v>
      </c>
      <c r="K160">
        <v>1</v>
      </c>
      <c r="L160" s="30">
        <f>[26]Baseline!$B$10* ((1+Inputs!$C$5) ^ (2022-G160))</f>
        <v>234.87328959252761</v>
      </c>
      <c r="M160" s="30">
        <f>'[26]Step 1 LCOE + EE'!$B$11</f>
        <v>285.62634973517243</v>
      </c>
      <c r="N160" s="30">
        <f>'[26]Step 2 WACC'!$B$11</f>
        <v>255.30442580438057</v>
      </c>
      <c r="O160" s="30">
        <f>'[26]Step 3 T&amp;S'!$B$11</f>
        <v>295.30442580438057</v>
      </c>
    </row>
    <row r="161" spans="1:15" hidden="1" x14ac:dyDescent="0.25">
      <c r="A161" t="s">
        <v>329</v>
      </c>
      <c r="B161">
        <v>2025</v>
      </c>
      <c r="C161" t="s">
        <v>332</v>
      </c>
      <c r="D161" t="s">
        <v>166</v>
      </c>
      <c r="E161" t="s">
        <v>358</v>
      </c>
      <c r="F161" t="s">
        <v>617</v>
      </c>
      <c r="G161">
        <v>2024</v>
      </c>
      <c r="H161" t="s">
        <v>673</v>
      </c>
      <c r="I161" t="s">
        <v>737</v>
      </c>
      <c r="K161">
        <v>1</v>
      </c>
      <c r="L161" s="30">
        <f>[26]Baseline!$B$17* ((1+Inputs!$C$5) ^ (2022-G161))</f>
        <v>261.05608416879255</v>
      </c>
      <c r="M161" s="30">
        <f>'[26]Step 1 LCOE + EE'!$B$11</f>
        <v>285.62634973517243</v>
      </c>
      <c r="N161" s="30">
        <f>'[26]Step 2 WACC'!$B$11</f>
        <v>255.30442580438057</v>
      </c>
      <c r="O161" s="30">
        <f>'[26]Step 3 T&amp;S'!$B$11</f>
        <v>295.30442580438057</v>
      </c>
    </row>
    <row r="162" spans="1:15" hidden="1" x14ac:dyDescent="0.25">
      <c r="A162" t="s">
        <v>329</v>
      </c>
      <c r="B162">
        <v>2025</v>
      </c>
      <c r="C162" t="s">
        <v>332</v>
      </c>
      <c r="D162" t="s">
        <v>166</v>
      </c>
      <c r="E162" t="s">
        <v>358</v>
      </c>
      <c r="F162" t="s">
        <v>617</v>
      </c>
      <c r="G162">
        <v>2024</v>
      </c>
      <c r="H162" t="s">
        <v>673</v>
      </c>
      <c r="I162" t="s">
        <v>738</v>
      </c>
      <c r="K162">
        <v>1</v>
      </c>
      <c r="L162" s="30">
        <f>[26]Baseline!$B$24* ((1+Inputs!$C$5) ^ (2022-G162))</f>
        <v>539.76409052879933</v>
      </c>
      <c r="M162" s="30">
        <f>'[26]Step 1 LCOE + EE'!$B$11</f>
        <v>285.62634973517243</v>
      </c>
      <c r="N162" s="30">
        <f>'[26]Step 2 WACC'!$B$11</f>
        <v>255.30442580438057</v>
      </c>
      <c r="O162" s="30">
        <f>'[26]Step 3 T&amp;S'!$B$11</f>
        <v>295.30442580438057</v>
      </c>
    </row>
    <row r="163" spans="1:15" x14ac:dyDescent="0.25">
      <c r="A163" t="str">
        <f>'Study Parameters'!A39</f>
        <v>Pett-Ridge et al. 2024</v>
      </c>
      <c r="B163">
        <v>2050</v>
      </c>
      <c r="C163" t="str">
        <f>'Study Parameters'!E39</f>
        <v>Roads to Removal – Options for carbon dioxide removal in the US (roads2removal.org)</v>
      </c>
      <c r="D163" t="str">
        <f>'Study Parameters'!F39</f>
        <v>Solid sorbent</v>
      </c>
      <c r="E163" t="str">
        <f>'Study Parameters'!G40</f>
        <v>KOH absorption paired with regeneration via Ca looping</v>
      </c>
      <c r="F163" t="s">
        <v>739</v>
      </c>
      <c r="G163">
        <v>2024</v>
      </c>
      <c r="H163" t="s">
        <v>673</v>
      </c>
      <c r="I163" t="s">
        <v>736</v>
      </c>
      <c r="K163">
        <v>1</v>
      </c>
      <c r="L163" s="30">
        <f>[26]Baseline!$B$33* ((1+Inputs!$C$5) ^ (2022-G163))</f>
        <v>121.10671538282691</v>
      </c>
      <c r="M163" s="30">
        <f>'[26]Step 1 LCOE + EE'!$B$21</f>
        <v>134.11219617439485</v>
      </c>
      <c r="N163" s="30">
        <f>'[26]Step 2 WACC'!$B$21</f>
        <v>122.49707212559984</v>
      </c>
      <c r="O163" s="30">
        <f>'[26]Step 3 T&amp;S'!$B$21</f>
        <v>147.49707212559986</v>
      </c>
    </row>
    <row r="164" spans="1:15" x14ac:dyDescent="0.25">
      <c r="A164" t="s">
        <v>329</v>
      </c>
      <c r="B164">
        <v>2050</v>
      </c>
      <c r="C164" t="s">
        <v>332</v>
      </c>
      <c r="D164" t="s">
        <v>166</v>
      </c>
      <c r="E164" t="s">
        <v>358</v>
      </c>
      <c r="F164" t="s">
        <v>739</v>
      </c>
      <c r="G164">
        <v>2024</v>
      </c>
      <c r="H164" t="s">
        <v>673</v>
      </c>
      <c r="I164" t="s">
        <v>737</v>
      </c>
      <c r="K164">
        <v>1</v>
      </c>
      <c r="L164" s="30">
        <f>[26]Baseline!$B$40* ((1+Inputs!$C$5) ^ (2022-G164))</f>
        <v>197.12987121997776</v>
      </c>
      <c r="M164" s="30">
        <f>'[26]Step 1 LCOE + EE'!$B$21</f>
        <v>134.11219617439485</v>
      </c>
      <c r="N164" s="30">
        <f>'[26]Step 2 WACC'!$B$21</f>
        <v>122.49707212559984</v>
      </c>
      <c r="O164" s="30">
        <f>'[26]Step 3 T&amp;S'!$B$21</f>
        <v>147.49707212559986</v>
      </c>
    </row>
    <row r="165" spans="1:15" x14ac:dyDescent="0.25">
      <c r="A165" t="s">
        <v>329</v>
      </c>
      <c r="B165">
        <v>2050</v>
      </c>
      <c r="C165" t="s">
        <v>332</v>
      </c>
      <c r="D165" t="s">
        <v>166</v>
      </c>
      <c r="E165" t="s">
        <v>360</v>
      </c>
      <c r="F165" t="s">
        <v>739</v>
      </c>
      <c r="G165">
        <v>2024</v>
      </c>
      <c r="H165" t="s">
        <v>673</v>
      </c>
      <c r="I165" t="s">
        <v>738</v>
      </c>
      <c r="K165">
        <v>1</v>
      </c>
      <c r="L165" s="30">
        <f>[26]Baseline!$B$47* ((1+Inputs!$C$5) ^ (2022-G165))</f>
        <v>220.41584387109779</v>
      </c>
      <c r="M165" s="30">
        <f>'[26]Step 1 LCOE + EE'!$B$21</f>
        <v>134.11219617439485</v>
      </c>
      <c r="N165" s="30">
        <f>'[26]Step 2 WACC'!$B$21</f>
        <v>122.49707212559984</v>
      </c>
      <c r="O165" s="30">
        <f>'[26]Step 3 T&amp;S'!$B$21</f>
        <v>147.49707212559986</v>
      </c>
    </row>
    <row r="166" spans="1:15" hidden="1" x14ac:dyDescent="0.25">
      <c r="A166" t="str">
        <f>'Study Parameters'!A40</f>
        <v>Pett-Ridge et al. 2024</v>
      </c>
      <c r="B166">
        <v>2025</v>
      </c>
      <c r="C166" t="str">
        <f>'Study Parameters'!E40</f>
        <v>Roads to Removal – Options for carbon dioxide removal in the US (roads2removal.org)</v>
      </c>
      <c r="D166" t="str">
        <f>'Study Parameters'!F40</f>
        <v xml:space="preserve">Liquid solvent </v>
      </c>
      <c r="E166" t="str">
        <f>'Study Parameters'!G40</f>
        <v>KOH absorption paired with regeneration via Ca looping</v>
      </c>
      <c r="F166" t="str">
        <f>'Study Parameters'!I40</f>
        <v>2024 USD</v>
      </c>
      <c r="G166">
        <v>2024</v>
      </c>
      <c r="H166" t="s">
        <v>673</v>
      </c>
      <c r="I166" t="s">
        <v>740</v>
      </c>
      <c r="K166">
        <v>1</v>
      </c>
      <c r="L166" s="30">
        <f>'[27]Base Case CRF 12.5%'!$C$20* ((1+Inputs!$C$5) ^ (2022-G166))</f>
        <v>315.3551613079822</v>
      </c>
      <c r="M166" s="30">
        <f>'[27]Step 1 - LCOE + EE'!$C$23</f>
        <v>400.01216847304312</v>
      </c>
      <c r="N166" s="30">
        <f>'[27]Step 2 - WACC'!$C$23</f>
        <v>400.01216847304312</v>
      </c>
      <c r="O166" s="30">
        <f>'[27]Step 3 - T&amp;S'!$C$23</f>
        <v>440.01216847304312</v>
      </c>
    </row>
    <row r="167" spans="1:15" hidden="1" x14ac:dyDescent="0.25">
      <c r="A167" t="s">
        <v>329</v>
      </c>
      <c r="B167">
        <v>2025</v>
      </c>
      <c r="C167" t="s">
        <v>332</v>
      </c>
      <c r="D167" t="s">
        <v>233</v>
      </c>
      <c r="E167" t="s">
        <v>358</v>
      </c>
      <c r="F167" t="s">
        <v>617</v>
      </c>
      <c r="G167">
        <v>2024</v>
      </c>
      <c r="H167" t="s">
        <v>673</v>
      </c>
      <c r="I167" t="s">
        <v>741</v>
      </c>
      <c r="K167">
        <v>1</v>
      </c>
      <c r="L167" s="30">
        <f>'[27]Base Case CRF 12.5%'!$D$20* ((1+Inputs!$C$5) ^ (2022-G167))</f>
        <v>235.75347689004681</v>
      </c>
      <c r="M167" s="30">
        <f>'[27]Step 1 - LCOE + EE'!$D$23</f>
        <v>299.04143355290654</v>
      </c>
      <c r="N167" s="30">
        <f>'[27]Step 2 - WACC'!$D$23</f>
        <v>299.04143355290654</v>
      </c>
      <c r="O167" s="30">
        <f>'[27]Step 3 - T&amp;S'!$D$23</f>
        <v>339.04143355290654</v>
      </c>
    </row>
    <row r="168" spans="1:15" hidden="1" x14ac:dyDescent="0.25">
      <c r="A168" t="s">
        <v>329</v>
      </c>
      <c r="B168">
        <v>2025</v>
      </c>
      <c r="C168" t="s">
        <v>332</v>
      </c>
      <c r="D168" t="s">
        <v>233</v>
      </c>
      <c r="E168" t="s">
        <v>358</v>
      </c>
      <c r="F168" t="s">
        <v>617</v>
      </c>
      <c r="G168">
        <v>2024</v>
      </c>
      <c r="H168" t="s">
        <v>673</v>
      </c>
      <c r="I168" t="s">
        <v>742</v>
      </c>
      <c r="K168">
        <v>1</v>
      </c>
      <c r="L168" s="30">
        <f>'[27]Base Case CRF 12.5%'!$E$20* ((1+Inputs!$C$5) ^ (2022-G168))</f>
        <v>183.91637947165853</v>
      </c>
      <c r="M168" s="30">
        <f>'[27]Step 1 - LCOE + EE'!$E$23</f>
        <v>223.41019772115243</v>
      </c>
      <c r="N168" s="30">
        <f>'[27]Step 2 - WACC'!$E$23</f>
        <v>223.41019772115243</v>
      </c>
      <c r="O168" s="30">
        <f>'[27]Step 3 - T&amp;S'!$E$23</f>
        <v>263.41019772115243</v>
      </c>
    </row>
    <row r="169" spans="1:15" x14ac:dyDescent="0.25">
      <c r="A169" t="s">
        <v>329</v>
      </c>
      <c r="B169">
        <v>2050</v>
      </c>
      <c r="C169" t="s">
        <v>332</v>
      </c>
      <c r="D169" t="s">
        <v>233</v>
      </c>
      <c r="E169" t="s">
        <v>358</v>
      </c>
      <c r="F169" t="s">
        <v>617</v>
      </c>
      <c r="G169">
        <v>2024</v>
      </c>
      <c r="H169" t="s">
        <v>673</v>
      </c>
      <c r="I169" t="s">
        <v>743</v>
      </c>
      <c r="L169" s="30">
        <f>'[27]Base Case CRF 12.5%'!$G$20* ((1+Inputs!$C$5) ^ (2022-G169))</f>
        <v>121.33366092129185</v>
      </c>
      <c r="M169" s="30">
        <f>'[27]Step 1 - LCOE + EE'!$G$23</f>
        <v>139.37212947003994</v>
      </c>
      <c r="N169" s="30">
        <f>'[27]Step 2 - WACC'!$G$23</f>
        <v>139.37212947003994</v>
      </c>
      <c r="O169" s="30">
        <f>'[27]Step 3 - T&amp;S'!$G$23</f>
        <v>163.71895198084354</v>
      </c>
    </row>
    <row r="170" spans="1:15" hidden="1" x14ac:dyDescent="0.25">
      <c r="A170" t="str">
        <f>'Study Parameters'!A41</f>
        <v>NETL/Valentine 2022a</v>
      </c>
      <c r="B170">
        <f>'Study Parameters'!H41</f>
        <v>2022</v>
      </c>
      <c r="C170" t="str">
        <f>'Study Parameters'!E41</f>
        <v>DirectAirCaptureCaseStudiesSolventSystem_083122.pdf (doe.gov)</v>
      </c>
      <c r="D170" t="str">
        <f>'Study Parameters'!F41</f>
        <v>Liquid solvent</v>
      </c>
      <c r="E170" t="str">
        <f>'Study Parameters'!G41</f>
        <v>KOH absorption paired with regeneration via Ca looping</v>
      </c>
      <c r="F170" t="str">
        <f>'Study Parameters'!I41</f>
        <v>2019 USD</v>
      </c>
      <c r="G170">
        <v>2019</v>
      </c>
      <c r="H170" t="s">
        <v>673</v>
      </c>
      <c r="I170" t="s">
        <v>744</v>
      </c>
      <c r="J170" t="s">
        <v>432</v>
      </c>
      <c r="K170" s="6">
        <v>0.90397000000000005</v>
      </c>
      <c r="L170" s="30">
        <f>'[28]Base Case'!$B$9* ((1+Inputs!$C$5) ^ (2022-G170))</f>
        <v>314.4749252156563</v>
      </c>
      <c r="M170" s="30"/>
    </row>
    <row r="171" spans="1:15" hidden="1" x14ac:dyDescent="0.25">
      <c r="A171" t="s">
        <v>336</v>
      </c>
      <c r="B171">
        <v>2022</v>
      </c>
      <c r="C171" t="s">
        <v>338</v>
      </c>
      <c r="D171" t="s">
        <v>158</v>
      </c>
      <c r="E171" t="s">
        <v>358</v>
      </c>
      <c r="F171" t="s">
        <v>430</v>
      </c>
      <c r="G171">
        <v>2019</v>
      </c>
      <c r="H171" t="s">
        <v>673</v>
      </c>
      <c r="I171" t="s">
        <v>745</v>
      </c>
      <c r="J171" t="s">
        <v>432</v>
      </c>
      <c r="K171" s="6">
        <v>0.90397000000000005</v>
      </c>
      <c r="L171" s="30">
        <f>'[28]Base Case'!$C$9* ((1+Inputs!$C$5) ^ (2022-G171))</f>
        <v>322.00285704551021</v>
      </c>
      <c r="M171" s="30"/>
    </row>
    <row r="172" spans="1:15" hidden="1" x14ac:dyDescent="0.25">
      <c r="A172" t="s">
        <v>336</v>
      </c>
      <c r="B172">
        <v>2022</v>
      </c>
      <c r="C172" t="s">
        <v>338</v>
      </c>
      <c r="D172" t="s">
        <v>158</v>
      </c>
      <c r="E172" t="s">
        <v>358</v>
      </c>
      <c r="F172" t="s">
        <v>430</v>
      </c>
      <c r="G172">
        <v>2019</v>
      </c>
      <c r="H172" t="s">
        <v>673</v>
      </c>
      <c r="I172" t="s">
        <v>746</v>
      </c>
      <c r="J172" t="s">
        <v>432</v>
      </c>
      <c r="K172">
        <v>1</v>
      </c>
      <c r="L172" s="30">
        <f>'[28]Base Case'!$D$9* ((1+Inputs!$C$5) ^ (2022-G172))</f>
        <v>503.18847188409109</v>
      </c>
      <c r="M172" s="30"/>
    </row>
    <row r="173" spans="1:15" hidden="1" x14ac:dyDescent="0.25">
      <c r="A173" t="str">
        <f>'Study Parameters'!A42</f>
        <v>NETL/Valentine 2022b</v>
      </c>
      <c r="B173">
        <f>'Study Parameters'!H42</f>
        <v>2022</v>
      </c>
      <c r="C173" t="str">
        <f>'Study Parameters'!E42</f>
        <v>TECHNICAL REPORT TEMPLATE AND USER GUIDE (doe.gov)</v>
      </c>
      <c r="D173" t="str">
        <f>'Study Parameters'!F42</f>
        <v>Solid sorbent</v>
      </c>
      <c r="E173" t="str">
        <f>'Study Parameters'!G42</f>
        <v>monolith-supported sorbent configuration</v>
      </c>
      <c r="F173" t="str">
        <f>'Study Parameters'!I42</f>
        <v>2019 USD</v>
      </c>
      <c r="G173">
        <v>2019</v>
      </c>
      <c r="H173" t="s">
        <v>673</v>
      </c>
      <c r="I173" t="s">
        <v>747</v>
      </c>
      <c r="J173" t="s">
        <v>432</v>
      </c>
      <c r="K173" s="61">
        <v>0.11022999999999999</v>
      </c>
      <c r="L173" s="30">
        <f>'[29]Base Case'!$B$10* ((1+Inputs!$C$5) ^ (2022-G173))</f>
        <v>755.24822609697662</v>
      </c>
      <c r="M173" s="30"/>
    </row>
    <row r="174" spans="1:15" hidden="1" x14ac:dyDescent="0.25">
      <c r="A174" t="s">
        <v>342</v>
      </c>
      <c r="B174">
        <v>2022</v>
      </c>
      <c r="C174" t="s">
        <v>343</v>
      </c>
      <c r="D174" t="s">
        <v>166</v>
      </c>
      <c r="E174" t="s">
        <v>398</v>
      </c>
      <c r="F174" t="s">
        <v>430</v>
      </c>
      <c r="G174">
        <v>2019</v>
      </c>
      <c r="H174" t="s">
        <v>673</v>
      </c>
      <c r="I174" t="s">
        <v>748</v>
      </c>
      <c r="J174" t="s">
        <v>432</v>
      </c>
      <c r="K174">
        <v>1</v>
      </c>
      <c r="L174" s="30">
        <f>'[29]Base Case'!$C$10* ((1+Inputs!$C$5) ^ (2022-G174))</f>
        <v>511.14657124707952</v>
      </c>
      <c r="M174" s="30"/>
    </row>
    <row r="175" spans="1:15" hidden="1" x14ac:dyDescent="0.25">
      <c r="A175" t="s">
        <v>342</v>
      </c>
      <c r="B175">
        <v>2022</v>
      </c>
      <c r="C175" t="s">
        <v>343</v>
      </c>
      <c r="D175" t="s">
        <v>166</v>
      </c>
      <c r="E175" t="s">
        <v>398</v>
      </c>
      <c r="F175" t="s">
        <v>430</v>
      </c>
      <c r="G175">
        <v>2019</v>
      </c>
      <c r="H175" t="s">
        <v>673</v>
      </c>
      <c r="I175" t="s">
        <v>748</v>
      </c>
      <c r="J175" t="s">
        <v>432</v>
      </c>
      <c r="K175">
        <v>1</v>
      </c>
      <c r="L175" s="30">
        <f>'[29]Base Case'!$D$10* ((1+Inputs!$C$5) ^ (2022-G175))</f>
        <v>463.37955486521275</v>
      </c>
      <c r="M175" s="30"/>
    </row>
    <row r="176" spans="1:15" hidden="1" x14ac:dyDescent="0.25">
      <c r="A176" t="str">
        <f>'Study Parameters'!A43</f>
        <v>NASEM 2019</v>
      </c>
      <c r="B176">
        <f>'Study Parameters'!H43</f>
        <v>2019</v>
      </c>
      <c r="C176" t="str">
        <f>'Study Parameters'!E43</f>
        <v>https://doi.org/10.17226/25259</v>
      </c>
      <c r="D176" t="str">
        <f>'Study Parameters'!F43</f>
        <v>Liquid solvent</v>
      </c>
      <c r="E176" t="str">
        <f>'Study Parameters'!G43</f>
        <v>KOH absorption paired with regeneration via Ca looping</v>
      </c>
      <c r="F176" t="str">
        <f>'Study Parameters'!I43</f>
        <v>2018 USD</v>
      </c>
      <c r="L176" s="30"/>
    </row>
    <row r="177" spans="1:13" hidden="1" x14ac:dyDescent="0.25">
      <c r="A177" t="str">
        <f>'Study Parameters'!A44</f>
        <v>NASEM 2019</v>
      </c>
      <c r="B177">
        <f>'Study Parameters'!H44</f>
        <v>2019</v>
      </c>
      <c r="C177" t="str">
        <f>'Study Parameters'!E44</f>
        <v>https://doi.org/10.17226/25259</v>
      </c>
      <c r="D177" t="str">
        <f>'Study Parameters'!F44</f>
        <v>Solid sorbent</v>
      </c>
      <c r="E177" t="str">
        <f>'Study Parameters'!G44</f>
        <v>Solid sorbent</v>
      </c>
      <c r="F177" t="str">
        <f>'Study Parameters'!I44</f>
        <v>2018 USD</v>
      </c>
      <c r="L177" s="30"/>
    </row>
    <row r="178" spans="1:13" hidden="1" x14ac:dyDescent="0.25">
      <c r="A178" t="str">
        <f>'Study Parameters'!A44</f>
        <v>NASEM 2019</v>
      </c>
      <c r="B178">
        <f>'Study Parameters'!H44</f>
        <v>2019</v>
      </c>
      <c r="C178" t="str">
        <f>'Study Parameters'!E44</f>
        <v>https://doi.org/10.17226/25259</v>
      </c>
      <c r="D178" t="str">
        <f>'Study Parameters'!F44</f>
        <v>Solid sorbent</v>
      </c>
      <c r="E178" t="str">
        <f>'Study Parameters'!G44</f>
        <v>Solid sorbent</v>
      </c>
      <c r="F178" t="str">
        <f>'Study Parameters'!I44</f>
        <v>2018 USD</v>
      </c>
      <c r="L178" s="30"/>
    </row>
    <row r="179" spans="1:13" hidden="1" x14ac:dyDescent="0.25">
      <c r="A179" t="str">
        <f>'Study Parameters'!A45</f>
        <v>APS 2011</v>
      </c>
      <c r="B179">
        <v>2009</v>
      </c>
      <c r="C179" t="str">
        <f>'Study Parameters'!E45</f>
        <v>Direct-Air-Capture-of-CO2-with-Chemicals_snams5.pdf (cloudinary.com)</v>
      </c>
      <c r="D179" t="str">
        <f>'Study Parameters'!F45</f>
        <v>Liquid solvent</v>
      </c>
      <c r="E179" t="str">
        <f>'Study Parameters'!G45</f>
        <v>KOH absorption paired with regeneration via Ca looping</v>
      </c>
      <c r="F179" t="str">
        <f>'Study Parameters'!I45</f>
        <v>2008 USD</v>
      </c>
      <c r="G179">
        <v>2008</v>
      </c>
      <c r="H179" t="s">
        <v>673</v>
      </c>
      <c r="I179" t="s">
        <v>749</v>
      </c>
      <c r="J179" t="str">
        <f>'Study Parameters'!L45</f>
        <v>Cost of CO2 avoided (without transport and storage)</v>
      </c>
      <c r="K179">
        <v>1</v>
      </c>
      <c r="L179" s="30">
        <f>'[30]Base Case'!$B$46* ((1+Inputs!$C$5) ^ (2022-G179))</f>
        <v>869.64804752742634</v>
      </c>
      <c r="M179" s="30"/>
    </row>
    <row r="180" spans="1:13" hidden="1" x14ac:dyDescent="0.25">
      <c r="A180" t="s">
        <v>348</v>
      </c>
      <c r="B180">
        <v>2009</v>
      </c>
      <c r="C180" t="s">
        <v>350</v>
      </c>
      <c r="D180" t="s">
        <v>158</v>
      </c>
      <c r="E180" t="s">
        <v>358</v>
      </c>
      <c r="F180" t="s">
        <v>507</v>
      </c>
      <c r="G180">
        <v>2008</v>
      </c>
      <c r="H180" t="s">
        <v>673</v>
      </c>
      <c r="I180" t="s">
        <v>750</v>
      </c>
      <c r="J180" t="s">
        <v>508</v>
      </c>
      <c r="K180">
        <v>1</v>
      </c>
      <c r="L180" s="30">
        <f>'[30]Base Case'!$C$46* ((1+Inputs!$C$5) ^ (2022-G180))</f>
        <v>1103.1106106220375</v>
      </c>
      <c r="M180" s="30"/>
    </row>
  </sheetData>
  <autoFilter ref="A2:W180" xr:uid="{2D1B99AC-5C89-CE47-B699-CCA57CE6E758}">
    <filterColumn colId="1">
      <filters>
        <filter val="2050"/>
      </filters>
    </filterColumn>
  </autoFilter>
  <mergeCells count="2">
    <mergeCell ref="P1:R1"/>
    <mergeCell ref="L1:N1"/>
  </mergeCells>
  <phoneticPr fontId="13" type="noConversion"/>
  <pageMargins left="0.7" right="0.7" top="0.75" bottom="0.75" header="0.3" footer="0.3"/>
  <pageSetup paperSize="9" orientation="portrait" horizontalDpi="0" verticalDpi="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0257C-D407-4235-8443-42A5A3A9A73A}">
  <dimension ref="A1:K27"/>
  <sheetViews>
    <sheetView workbookViewId="0">
      <selection activeCell="K28" sqref="K28"/>
    </sheetView>
  </sheetViews>
  <sheetFormatPr defaultColWidth="8.875" defaultRowHeight="15.75" x14ac:dyDescent="0.25"/>
  <cols>
    <col min="1" max="1" width="11.875" bestFit="1" customWidth="1"/>
    <col min="2" max="2" width="31.125" bestFit="1" customWidth="1"/>
    <col min="10" max="11" width="9" bestFit="1" customWidth="1"/>
  </cols>
  <sheetData>
    <row r="1" spans="1:11" x14ac:dyDescent="0.25">
      <c r="A1" s="63" t="s">
        <v>751</v>
      </c>
      <c r="F1" s="74" t="s">
        <v>752</v>
      </c>
      <c r="J1" s="74"/>
      <c r="K1" s="74"/>
    </row>
    <row r="2" spans="1:11" x14ac:dyDescent="0.25">
      <c r="A2" s="64" t="s">
        <v>753</v>
      </c>
      <c r="F2" s="74" t="s">
        <v>754</v>
      </c>
      <c r="J2" s="74"/>
      <c r="K2" s="74"/>
    </row>
    <row r="3" spans="1:11" x14ac:dyDescent="0.25">
      <c r="A3" s="64"/>
      <c r="F3" s="74" t="s">
        <v>755</v>
      </c>
      <c r="J3" s="74"/>
      <c r="K3" s="74"/>
    </row>
    <row r="4" spans="1:11" x14ac:dyDescent="0.25">
      <c r="A4" t="s">
        <v>756</v>
      </c>
      <c r="B4" t="s">
        <v>757</v>
      </c>
      <c r="C4" t="s">
        <v>758</v>
      </c>
      <c r="F4" s="74" t="s">
        <v>759</v>
      </c>
      <c r="J4" s="74"/>
      <c r="K4" s="74"/>
    </row>
    <row r="5" spans="1:11" x14ac:dyDescent="0.25">
      <c r="A5" t="s">
        <v>760</v>
      </c>
      <c r="B5" t="s">
        <v>761</v>
      </c>
      <c r="C5" t="s">
        <v>762</v>
      </c>
      <c r="F5" s="74" t="s">
        <v>763</v>
      </c>
      <c r="J5" s="74"/>
      <c r="K5" s="74"/>
    </row>
    <row r="6" spans="1:11" x14ac:dyDescent="0.25">
      <c r="B6" t="s">
        <v>764</v>
      </c>
      <c r="C6">
        <v>3.8391002966509999</v>
      </c>
      <c r="F6" s="74" t="s">
        <v>765</v>
      </c>
      <c r="J6" s="74"/>
      <c r="K6" s="74"/>
    </row>
    <row r="7" spans="1:11" x14ac:dyDescent="0.25">
      <c r="B7" t="s">
        <v>766</v>
      </c>
      <c r="C7">
        <v>-0.355546266299747</v>
      </c>
      <c r="J7" s="74"/>
      <c r="K7" s="74"/>
    </row>
    <row r="8" spans="1:11" x14ac:dyDescent="0.25">
      <c r="B8" t="s">
        <v>767</v>
      </c>
      <c r="C8">
        <v>1.6400434423899</v>
      </c>
      <c r="J8" s="74"/>
      <c r="K8" s="74"/>
    </row>
    <row r="9" spans="1:11" x14ac:dyDescent="0.25">
      <c r="B9" t="s">
        <v>768</v>
      </c>
      <c r="C9">
        <v>3.1568415686220002</v>
      </c>
      <c r="J9" s="74"/>
      <c r="K9" s="74"/>
    </row>
    <row r="10" spans="1:11" x14ac:dyDescent="0.25">
      <c r="B10" t="s">
        <v>769</v>
      </c>
      <c r="C10">
        <v>2.0693372652606699</v>
      </c>
      <c r="J10" s="74"/>
      <c r="K10" s="74"/>
    </row>
    <row r="11" spans="1:11" x14ac:dyDescent="0.25">
      <c r="B11" t="s">
        <v>770</v>
      </c>
      <c r="C11">
        <v>1.46483265562717</v>
      </c>
      <c r="J11" s="74"/>
      <c r="K11" s="74"/>
    </row>
    <row r="12" spans="1:11" x14ac:dyDescent="0.25">
      <c r="B12" t="s">
        <v>771</v>
      </c>
      <c r="C12">
        <v>1.62222297740817</v>
      </c>
      <c r="J12" s="76"/>
      <c r="K12" s="77"/>
    </row>
    <row r="13" spans="1:11" x14ac:dyDescent="0.25">
      <c r="B13" t="s">
        <v>772</v>
      </c>
      <c r="C13">
        <v>0.118627135552451</v>
      </c>
      <c r="J13" s="76"/>
      <c r="K13" s="75"/>
    </row>
    <row r="14" spans="1:11" x14ac:dyDescent="0.25">
      <c r="B14" t="s">
        <v>773</v>
      </c>
      <c r="C14">
        <v>1.26158320570536</v>
      </c>
      <c r="J14" s="76"/>
      <c r="K14" s="77"/>
    </row>
    <row r="15" spans="1:11" x14ac:dyDescent="0.25">
      <c r="B15" t="s">
        <v>774</v>
      </c>
      <c r="C15">
        <v>2.1301100036596101</v>
      </c>
      <c r="J15" s="76"/>
      <c r="K15" s="77"/>
    </row>
    <row r="16" spans="1:11" x14ac:dyDescent="0.25">
      <c r="B16" t="s">
        <v>775</v>
      </c>
      <c r="C16">
        <v>2.44258329692817</v>
      </c>
      <c r="J16" s="76"/>
      <c r="K16" s="77"/>
    </row>
    <row r="17" spans="1:11" x14ac:dyDescent="0.25">
      <c r="B17" t="s">
        <v>776</v>
      </c>
      <c r="C17">
        <v>1.8122100752602099</v>
      </c>
      <c r="J17" s="76"/>
      <c r="K17" s="77"/>
    </row>
    <row r="18" spans="1:11" x14ac:dyDescent="0.25">
      <c r="B18" t="s">
        <v>777</v>
      </c>
      <c r="C18">
        <v>1.23358439630629</v>
      </c>
      <c r="J18" s="76"/>
      <c r="K18" s="77"/>
    </row>
    <row r="19" spans="1:11" x14ac:dyDescent="0.25">
      <c r="B19" t="s">
        <v>778</v>
      </c>
      <c r="C19">
        <v>4.6978588636374203</v>
      </c>
      <c r="J19" s="76"/>
      <c r="K19" s="74"/>
    </row>
    <row r="20" spans="1:11" x14ac:dyDescent="0.25">
      <c r="B20" t="s">
        <v>779</v>
      </c>
      <c r="C20">
        <v>8.0027998205212096</v>
      </c>
      <c r="J20" s="76"/>
      <c r="K20" s="77"/>
    </row>
    <row r="21" spans="1:11" x14ac:dyDescent="0.25">
      <c r="B21" t="s">
        <v>780</v>
      </c>
      <c r="C21">
        <v>4.1163383837448801</v>
      </c>
      <c r="J21" s="76"/>
      <c r="K21" s="77"/>
    </row>
    <row r="22" spans="1:11" ht="16.5" thickBot="1" x14ac:dyDescent="0.3">
      <c r="B22" t="s">
        <v>96</v>
      </c>
      <c r="C22">
        <f>AVERAGEA(C6:C21)</f>
        <v>2.453282945060923</v>
      </c>
      <c r="J22" s="76"/>
      <c r="K22" s="77"/>
    </row>
    <row r="23" spans="1:11" ht="18.75" thickBot="1" x14ac:dyDescent="0.35">
      <c r="A23" s="85" t="s">
        <v>80</v>
      </c>
      <c r="B23" s="65" t="s">
        <v>781</v>
      </c>
      <c r="C23" s="65">
        <v>2023</v>
      </c>
      <c r="D23" s="65">
        <v>2022</v>
      </c>
      <c r="E23" s="65">
        <v>2021</v>
      </c>
      <c r="F23" s="65">
        <v>2020</v>
      </c>
      <c r="G23" s="66">
        <v>2019</v>
      </c>
      <c r="H23" s="69">
        <v>2018</v>
      </c>
      <c r="I23" s="70">
        <v>2017</v>
      </c>
      <c r="J23" s="76"/>
      <c r="K23" s="77"/>
    </row>
    <row r="24" spans="1:11" ht="16.5" thickBot="1" x14ac:dyDescent="0.3">
      <c r="A24" s="78" t="s">
        <v>782</v>
      </c>
      <c r="B24" s="67" t="s">
        <v>783</v>
      </c>
      <c r="C24" s="67">
        <v>0.92400000000000004</v>
      </c>
      <c r="D24" s="67">
        <v>0.95099999999999996</v>
      </c>
      <c r="E24" s="67">
        <v>0.84599999999999997</v>
      </c>
      <c r="F24" s="67">
        <v>0.877</v>
      </c>
      <c r="G24" s="68">
        <v>0.89300000000000002</v>
      </c>
      <c r="H24" s="68">
        <v>0.84799999999999998</v>
      </c>
      <c r="I24" s="68">
        <v>0.92300000000000004</v>
      </c>
      <c r="J24" s="76"/>
      <c r="K24" s="77"/>
    </row>
    <row r="25" spans="1:11" x14ac:dyDescent="0.25">
      <c r="A25" s="86" t="s">
        <v>784</v>
      </c>
      <c r="J25" s="76"/>
      <c r="K25" s="77"/>
    </row>
    <row r="26" spans="1:11" x14ac:dyDescent="0.25">
      <c r="A26" t="s">
        <v>785</v>
      </c>
      <c r="B26">
        <f>1/G24</f>
        <v>1.1198208286674132</v>
      </c>
      <c r="C26" t="s">
        <v>786</v>
      </c>
      <c r="J26" s="76"/>
      <c r="K26" s="77"/>
    </row>
    <row r="27" spans="1:11" x14ac:dyDescent="0.25">
      <c r="A27" t="s">
        <v>38</v>
      </c>
      <c r="B27" s="64" t="s">
        <v>787</v>
      </c>
      <c r="J27" s="76"/>
      <c r="K27" s="77"/>
    </row>
  </sheetData>
  <hyperlinks>
    <hyperlink ref="A1" r:id="rId1" display="https://data.worldbank.org/indicator/FP.CPI.TOTL.ZG" xr:uid="{50BDDC50-EDC6-4CE7-A123-DFD73F01D54E}"/>
    <hyperlink ref="A2" r:id="rId2" display="https://data.worldbank.org/indicator/FP.CPI.TOTL.ZG?locations=US" xr:uid="{8831660F-850B-4806-841B-4539A7D3280A}"/>
    <hyperlink ref="B27" r:id="rId3" display="https://www.irs.gov/individuals/international-taxpayers/yearly-average-currency-exchange-rates" xr:uid="{132FA737-DBE1-4392-AC48-0E5FE233BC0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5C59-6106-408A-A712-D0B6552D4011}">
  <dimension ref="A1:B211"/>
  <sheetViews>
    <sheetView topLeftCell="A173" workbookViewId="0"/>
  </sheetViews>
  <sheetFormatPr defaultColWidth="8.875" defaultRowHeight="15.75" x14ac:dyDescent="0.25"/>
  <cols>
    <col min="1" max="1" width="9.125" bestFit="1" customWidth="1"/>
  </cols>
  <sheetData>
    <row r="1" spans="1:2" x14ac:dyDescent="0.25">
      <c r="A1" s="74" t="s">
        <v>752</v>
      </c>
      <c r="B1" s="74"/>
    </row>
    <row r="2" spans="1:2" x14ac:dyDescent="0.25">
      <c r="A2" s="74" t="s">
        <v>754</v>
      </c>
      <c r="B2" s="74"/>
    </row>
    <row r="3" spans="1:2" x14ac:dyDescent="0.25">
      <c r="A3" s="74" t="s">
        <v>755</v>
      </c>
      <c r="B3" s="74"/>
    </row>
    <row r="4" spans="1:2" x14ac:dyDescent="0.25">
      <c r="A4" s="74" t="s">
        <v>759</v>
      </c>
      <c r="B4" s="74"/>
    </row>
    <row r="5" spans="1:2" x14ac:dyDescent="0.25">
      <c r="A5" s="74" t="s">
        <v>763</v>
      </c>
      <c r="B5" s="74"/>
    </row>
    <row r="6" spans="1:2" x14ac:dyDescent="0.25">
      <c r="A6" s="74" t="s">
        <v>765</v>
      </c>
      <c r="B6" s="74"/>
    </row>
    <row r="7" spans="1:2" x14ac:dyDescent="0.25">
      <c r="A7" s="74"/>
      <c r="B7" s="74"/>
    </row>
    <row r="8" spans="1:2" x14ac:dyDescent="0.25">
      <c r="A8" s="74" t="s">
        <v>788</v>
      </c>
      <c r="B8" s="74" t="s">
        <v>789</v>
      </c>
    </row>
    <row r="9" spans="1:2" x14ac:dyDescent="0.25">
      <c r="A9" s="74"/>
      <c r="B9" s="74"/>
    </row>
    <row r="10" spans="1:2" x14ac:dyDescent="0.25">
      <c r="A10" s="74" t="s">
        <v>790</v>
      </c>
      <c r="B10" s="74"/>
    </row>
    <row r="11" spans="1:2" x14ac:dyDescent="0.25">
      <c r="A11" s="74" t="s">
        <v>791</v>
      </c>
      <c r="B11" s="74" t="s">
        <v>788</v>
      </c>
    </row>
    <row r="12" spans="1:2" x14ac:dyDescent="0.25">
      <c r="A12" s="76">
        <v>39448</v>
      </c>
      <c r="B12">
        <v>1.4728000000000001</v>
      </c>
    </row>
    <row r="13" spans="1:2" x14ac:dyDescent="0.25">
      <c r="A13" s="76">
        <v>39479</v>
      </c>
      <c r="B13">
        <v>1.4759</v>
      </c>
    </row>
    <row r="14" spans="1:2" x14ac:dyDescent="0.25">
      <c r="A14" s="76">
        <v>39508</v>
      </c>
      <c r="B14">
        <v>1.552</v>
      </c>
    </row>
    <row r="15" spans="1:2" x14ac:dyDescent="0.25">
      <c r="A15" s="76">
        <v>39539</v>
      </c>
      <c r="B15">
        <v>1.5753999999999999</v>
      </c>
    </row>
    <row r="16" spans="1:2" x14ac:dyDescent="0.25">
      <c r="A16" s="76">
        <v>39569</v>
      </c>
      <c r="B16">
        <v>1.5553999999999999</v>
      </c>
    </row>
    <row r="17" spans="1:2" x14ac:dyDescent="0.25">
      <c r="A17" s="76">
        <v>39600</v>
      </c>
      <c r="B17">
        <v>1.5562</v>
      </c>
    </row>
    <row r="18" spans="1:2" x14ac:dyDescent="0.25">
      <c r="A18" s="76">
        <v>39630</v>
      </c>
      <c r="B18">
        <v>1.5759000000000001</v>
      </c>
    </row>
    <row r="19" spans="1:2" x14ac:dyDescent="0.25">
      <c r="A19" s="76">
        <v>39661</v>
      </c>
      <c r="B19">
        <v>1.4955000000000001</v>
      </c>
    </row>
    <row r="20" spans="1:2" x14ac:dyDescent="0.25">
      <c r="A20" s="76">
        <v>39692</v>
      </c>
      <c r="B20">
        <v>1.4341999999999999</v>
      </c>
    </row>
    <row r="21" spans="1:2" x14ac:dyDescent="0.25">
      <c r="A21" s="76">
        <v>39722</v>
      </c>
      <c r="B21">
        <v>1.3266</v>
      </c>
    </row>
    <row r="22" spans="1:2" x14ac:dyDescent="0.25">
      <c r="A22" s="76">
        <v>39753</v>
      </c>
      <c r="B22">
        <v>1.2744</v>
      </c>
    </row>
    <row r="23" spans="1:2" x14ac:dyDescent="0.25">
      <c r="A23" s="76">
        <v>39783</v>
      </c>
      <c r="B23">
        <v>1.3511</v>
      </c>
    </row>
    <row r="24" spans="1:2" x14ac:dyDescent="0.25">
      <c r="A24" s="76">
        <v>39814</v>
      </c>
      <c r="B24">
        <v>1.3244</v>
      </c>
    </row>
    <row r="25" spans="1:2" x14ac:dyDescent="0.25">
      <c r="A25" s="76">
        <v>39845</v>
      </c>
      <c r="B25">
        <v>1.2797000000000001</v>
      </c>
    </row>
    <row r="26" spans="1:2" x14ac:dyDescent="0.25">
      <c r="A26" s="76">
        <v>39873</v>
      </c>
      <c r="B26">
        <v>1.3049999999999999</v>
      </c>
    </row>
    <row r="27" spans="1:2" x14ac:dyDescent="0.25">
      <c r="A27" s="76">
        <v>39904</v>
      </c>
      <c r="B27">
        <v>1.3199000000000001</v>
      </c>
    </row>
    <row r="28" spans="1:2" x14ac:dyDescent="0.25">
      <c r="A28" s="76">
        <v>39934</v>
      </c>
      <c r="B28">
        <v>1.3646</v>
      </c>
    </row>
    <row r="29" spans="1:2" x14ac:dyDescent="0.25">
      <c r="A29" s="76">
        <v>39965</v>
      </c>
      <c r="B29">
        <v>1.4014</v>
      </c>
    </row>
    <row r="30" spans="1:2" x14ac:dyDescent="0.25">
      <c r="A30" s="76">
        <v>39995</v>
      </c>
      <c r="B30">
        <v>1.4092</v>
      </c>
    </row>
    <row r="31" spans="1:2" x14ac:dyDescent="0.25">
      <c r="A31" s="76">
        <v>40026</v>
      </c>
      <c r="B31">
        <v>1.4266000000000001</v>
      </c>
    </row>
    <row r="32" spans="1:2" x14ac:dyDescent="0.25">
      <c r="A32" s="76">
        <v>40057</v>
      </c>
      <c r="B32">
        <v>1.4575</v>
      </c>
    </row>
    <row r="33" spans="1:2" x14ac:dyDescent="0.25">
      <c r="A33" s="76">
        <v>40087</v>
      </c>
      <c r="B33">
        <v>1.4821</v>
      </c>
    </row>
    <row r="34" spans="1:2" x14ac:dyDescent="0.25">
      <c r="A34" s="76">
        <v>40118</v>
      </c>
      <c r="B34">
        <v>1.4907999999999999</v>
      </c>
    </row>
    <row r="35" spans="1:2" x14ac:dyDescent="0.25">
      <c r="A35" s="76">
        <v>40148</v>
      </c>
      <c r="B35">
        <v>1.4579</v>
      </c>
    </row>
    <row r="36" spans="1:2" x14ac:dyDescent="0.25">
      <c r="A36" s="76">
        <v>40179</v>
      </c>
      <c r="B36">
        <v>1.4266000000000001</v>
      </c>
    </row>
    <row r="37" spans="1:2" x14ac:dyDescent="0.25">
      <c r="A37" s="76">
        <v>40210</v>
      </c>
      <c r="B37">
        <v>1.3680000000000001</v>
      </c>
    </row>
    <row r="38" spans="1:2" x14ac:dyDescent="0.25">
      <c r="A38" s="76">
        <v>40238</v>
      </c>
      <c r="B38">
        <v>1.357</v>
      </c>
    </row>
    <row r="39" spans="1:2" x14ac:dyDescent="0.25">
      <c r="A39" s="76">
        <v>40269</v>
      </c>
      <c r="B39">
        <v>1.3416999999999999</v>
      </c>
    </row>
    <row r="40" spans="1:2" x14ac:dyDescent="0.25">
      <c r="A40" s="76">
        <v>40299</v>
      </c>
      <c r="B40">
        <v>1.2563</v>
      </c>
    </row>
    <row r="41" spans="1:2" x14ac:dyDescent="0.25">
      <c r="A41" s="76">
        <v>40330</v>
      </c>
      <c r="B41">
        <v>1.2222999999999999</v>
      </c>
    </row>
    <row r="42" spans="1:2" x14ac:dyDescent="0.25">
      <c r="A42" s="76">
        <v>40360</v>
      </c>
      <c r="B42">
        <v>1.2810999999999999</v>
      </c>
    </row>
    <row r="43" spans="1:2" x14ac:dyDescent="0.25">
      <c r="A43" s="76">
        <v>40391</v>
      </c>
      <c r="B43">
        <v>1.2903</v>
      </c>
    </row>
    <row r="44" spans="1:2" x14ac:dyDescent="0.25">
      <c r="A44" s="76">
        <v>40422</v>
      </c>
      <c r="B44">
        <v>1.3103</v>
      </c>
    </row>
    <row r="45" spans="1:2" x14ac:dyDescent="0.25">
      <c r="A45" s="76">
        <v>40452</v>
      </c>
      <c r="B45">
        <v>1.3900999999999999</v>
      </c>
    </row>
    <row r="46" spans="1:2" x14ac:dyDescent="0.25">
      <c r="A46" s="76">
        <v>40483</v>
      </c>
      <c r="B46">
        <v>1.3653999999999999</v>
      </c>
    </row>
    <row r="47" spans="1:2" x14ac:dyDescent="0.25">
      <c r="A47" s="76">
        <v>40513</v>
      </c>
      <c r="B47">
        <v>1.3221000000000001</v>
      </c>
    </row>
    <row r="48" spans="1:2" x14ac:dyDescent="0.25">
      <c r="A48" s="76">
        <v>40544</v>
      </c>
      <c r="B48">
        <v>1.3371</v>
      </c>
    </row>
    <row r="49" spans="1:2" x14ac:dyDescent="0.25">
      <c r="A49" s="76">
        <v>40575</v>
      </c>
      <c r="B49">
        <v>1.3655999999999999</v>
      </c>
    </row>
    <row r="50" spans="1:2" x14ac:dyDescent="0.25">
      <c r="A50" s="76">
        <v>40603</v>
      </c>
      <c r="B50">
        <v>1.4019999999999999</v>
      </c>
    </row>
    <row r="51" spans="1:2" x14ac:dyDescent="0.25">
      <c r="A51" s="76">
        <v>40634</v>
      </c>
      <c r="B51">
        <v>1.446</v>
      </c>
    </row>
    <row r="52" spans="1:2" x14ac:dyDescent="0.25">
      <c r="A52" s="76">
        <v>40664</v>
      </c>
      <c r="B52">
        <v>1.4335</v>
      </c>
    </row>
    <row r="53" spans="1:2" x14ac:dyDescent="0.25">
      <c r="A53" s="76">
        <v>40695</v>
      </c>
      <c r="B53">
        <v>1.4402999999999999</v>
      </c>
    </row>
    <row r="54" spans="1:2" x14ac:dyDescent="0.25">
      <c r="A54" s="76">
        <v>40725</v>
      </c>
      <c r="B54">
        <v>1.4275</v>
      </c>
    </row>
    <row r="55" spans="1:2" x14ac:dyDescent="0.25">
      <c r="A55" s="76">
        <v>40756</v>
      </c>
      <c r="B55">
        <v>1.4333</v>
      </c>
    </row>
    <row r="56" spans="1:2" x14ac:dyDescent="0.25">
      <c r="A56" s="76">
        <v>40787</v>
      </c>
      <c r="B56">
        <v>1.3747</v>
      </c>
    </row>
    <row r="57" spans="1:2" x14ac:dyDescent="0.25">
      <c r="A57" s="76">
        <v>40817</v>
      </c>
      <c r="B57">
        <v>1.3732</v>
      </c>
    </row>
    <row r="58" spans="1:2" x14ac:dyDescent="0.25">
      <c r="A58" s="76">
        <v>40848</v>
      </c>
      <c r="B58">
        <v>1.3557999999999999</v>
      </c>
    </row>
    <row r="59" spans="1:2" x14ac:dyDescent="0.25">
      <c r="A59" s="76">
        <v>40878</v>
      </c>
      <c r="B59">
        <v>1.3154999999999999</v>
      </c>
    </row>
    <row r="60" spans="1:2" x14ac:dyDescent="0.25">
      <c r="A60" s="76">
        <v>40909</v>
      </c>
      <c r="B60">
        <v>1.2909999999999999</v>
      </c>
    </row>
    <row r="61" spans="1:2" x14ac:dyDescent="0.25">
      <c r="A61" s="76">
        <v>40940</v>
      </c>
      <c r="B61">
        <v>1.3238000000000001</v>
      </c>
    </row>
    <row r="62" spans="1:2" x14ac:dyDescent="0.25">
      <c r="A62" s="76">
        <v>40969</v>
      </c>
      <c r="B62">
        <v>1.3208</v>
      </c>
    </row>
    <row r="63" spans="1:2" x14ac:dyDescent="0.25">
      <c r="A63" s="76">
        <v>41000</v>
      </c>
      <c r="B63">
        <v>1.3160000000000001</v>
      </c>
    </row>
    <row r="64" spans="1:2" x14ac:dyDescent="0.25">
      <c r="A64" s="76">
        <v>41030</v>
      </c>
      <c r="B64">
        <v>1.2806</v>
      </c>
    </row>
    <row r="65" spans="1:2" x14ac:dyDescent="0.25">
      <c r="A65" s="76">
        <v>41061</v>
      </c>
      <c r="B65">
        <v>1.2541</v>
      </c>
    </row>
    <row r="66" spans="1:2" x14ac:dyDescent="0.25">
      <c r="A66" s="76">
        <v>41091</v>
      </c>
      <c r="B66">
        <v>1.2278</v>
      </c>
    </row>
    <row r="67" spans="1:2" x14ac:dyDescent="0.25">
      <c r="A67" s="76">
        <v>41122</v>
      </c>
      <c r="B67">
        <v>1.2405999999999999</v>
      </c>
    </row>
    <row r="68" spans="1:2" x14ac:dyDescent="0.25">
      <c r="A68" s="76">
        <v>41153</v>
      </c>
      <c r="B68">
        <v>1.2885</v>
      </c>
    </row>
    <row r="69" spans="1:2" x14ac:dyDescent="0.25">
      <c r="A69" s="76">
        <v>41183</v>
      </c>
      <c r="B69">
        <v>1.2974000000000001</v>
      </c>
    </row>
    <row r="70" spans="1:2" x14ac:dyDescent="0.25">
      <c r="A70" s="76">
        <v>41214</v>
      </c>
      <c r="B70">
        <v>1.2837000000000001</v>
      </c>
    </row>
    <row r="71" spans="1:2" x14ac:dyDescent="0.25">
      <c r="A71" s="76">
        <v>41244</v>
      </c>
      <c r="B71">
        <v>1.3119000000000001</v>
      </c>
    </row>
    <row r="72" spans="1:2" x14ac:dyDescent="0.25">
      <c r="A72" s="76">
        <v>41275</v>
      </c>
      <c r="B72">
        <v>1.3304</v>
      </c>
    </row>
    <row r="73" spans="1:2" x14ac:dyDescent="0.25">
      <c r="A73" s="76">
        <v>41306</v>
      </c>
      <c r="B73">
        <v>1.3347</v>
      </c>
    </row>
    <row r="74" spans="1:2" x14ac:dyDescent="0.25">
      <c r="A74" s="76">
        <v>41334</v>
      </c>
      <c r="B74">
        <v>1.2952999999999999</v>
      </c>
    </row>
    <row r="75" spans="1:2" x14ac:dyDescent="0.25">
      <c r="A75" s="76">
        <v>41365</v>
      </c>
      <c r="B75">
        <v>1.3025</v>
      </c>
    </row>
    <row r="76" spans="1:2" x14ac:dyDescent="0.25">
      <c r="A76" s="76">
        <v>41395</v>
      </c>
      <c r="B76">
        <v>1.2983</v>
      </c>
    </row>
    <row r="77" spans="1:2" x14ac:dyDescent="0.25">
      <c r="A77" s="76">
        <v>41426</v>
      </c>
      <c r="B77">
        <v>1.3197000000000001</v>
      </c>
    </row>
    <row r="78" spans="1:2" x14ac:dyDescent="0.25">
      <c r="A78" s="76">
        <v>41456</v>
      </c>
      <c r="B78">
        <v>1.3088</v>
      </c>
    </row>
    <row r="79" spans="1:2" x14ac:dyDescent="0.25">
      <c r="A79" s="76">
        <v>41487</v>
      </c>
      <c r="B79">
        <v>1.3313999999999999</v>
      </c>
    </row>
    <row r="80" spans="1:2" x14ac:dyDescent="0.25">
      <c r="A80" s="76">
        <v>41518</v>
      </c>
      <c r="B80">
        <v>1.3364</v>
      </c>
    </row>
    <row r="81" spans="1:2" x14ac:dyDescent="0.25">
      <c r="A81" s="76">
        <v>41548</v>
      </c>
      <c r="B81">
        <v>1.3646</v>
      </c>
    </row>
    <row r="82" spans="1:2" x14ac:dyDescent="0.25">
      <c r="A82" s="76">
        <v>41579</v>
      </c>
      <c r="B82">
        <v>1.3491</v>
      </c>
    </row>
    <row r="83" spans="1:2" x14ac:dyDescent="0.25">
      <c r="A83" s="76">
        <v>41609</v>
      </c>
      <c r="B83">
        <v>1.3708</v>
      </c>
    </row>
    <row r="84" spans="1:2" x14ac:dyDescent="0.25">
      <c r="A84" s="76">
        <v>41640</v>
      </c>
      <c r="B84">
        <v>1.3617999999999999</v>
      </c>
    </row>
    <row r="85" spans="1:2" x14ac:dyDescent="0.25">
      <c r="A85" s="76">
        <v>41671</v>
      </c>
      <c r="B85">
        <v>1.3665</v>
      </c>
    </row>
    <row r="86" spans="1:2" x14ac:dyDescent="0.25">
      <c r="A86" s="76">
        <v>41699</v>
      </c>
      <c r="B86">
        <v>1.3828</v>
      </c>
    </row>
    <row r="87" spans="1:2" x14ac:dyDescent="0.25">
      <c r="A87" s="76">
        <v>41730</v>
      </c>
      <c r="B87">
        <v>1.381</v>
      </c>
    </row>
    <row r="88" spans="1:2" x14ac:dyDescent="0.25">
      <c r="A88" s="76">
        <v>41760</v>
      </c>
      <c r="B88">
        <v>1.3738999999999999</v>
      </c>
    </row>
    <row r="89" spans="1:2" x14ac:dyDescent="0.25">
      <c r="A89" s="76">
        <v>41791</v>
      </c>
      <c r="B89">
        <v>1.3594999999999999</v>
      </c>
    </row>
    <row r="90" spans="1:2" x14ac:dyDescent="0.25">
      <c r="A90" s="76">
        <v>41821</v>
      </c>
      <c r="B90">
        <v>1.3532999999999999</v>
      </c>
    </row>
    <row r="91" spans="1:2" x14ac:dyDescent="0.25">
      <c r="A91" s="76">
        <v>41852</v>
      </c>
      <c r="B91">
        <v>1.3314999999999999</v>
      </c>
    </row>
    <row r="92" spans="1:2" x14ac:dyDescent="0.25">
      <c r="A92" s="76">
        <v>41883</v>
      </c>
      <c r="B92">
        <v>1.2888999999999999</v>
      </c>
    </row>
    <row r="93" spans="1:2" x14ac:dyDescent="0.25">
      <c r="A93" s="76">
        <v>41913</v>
      </c>
      <c r="B93">
        <v>1.2677</v>
      </c>
    </row>
    <row r="94" spans="1:2" x14ac:dyDescent="0.25">
      <c r="A94" s="76">
        <v>41944</v>
      </c>
      <c r="B94">
        <v>1.2473000000000001</v>
      </c>
    </row>
    <row r="95" spans="1:2" x14ac:dyDescent="0.25">
      <c r="A95" s="76">
        <v>41974</v>
      </c>
      <c r="B95">
        <v>1.2329000000000001</v>
      </c>
    </row>
    <row r="96" spans="1:2" x14ac:dyDescent="0.25">
      <c r="A96" s="76">
        <v>42005</v>
      </c>
      <c r="B96">
        <v>1.1615</v>
      </c>
    </row>
    <row r="97" spans="1:2" x14ac:dyDescent="0.25">
      <c r="A97" s="76">
        <v>42036</v>
      </c>
      <c r="B97">
        <v>1.135</v>
      </c>
    </row>
    <row r="98" spans="1:2" x14ac:dyDescent="0.25">
      <c r="A98" s="76">
        <v>42064</v>
      </c>
      <c r="B98">
        <v>1.0819000000000001</v>
      </c>
    </row>
    <row r="99" spans="1:2" x14ac:dyDescent="0.25">
      <c r="A99" s="76">
        <v>42095</v>
      </c>
      <c r="B99">
        <v>1.0822000000000001</v>
      </c>
    </row>
    <row r="100" spans="1:2" x14ac:dyDescent="0.25">
      <c r="A100" s="76">
        <v>42125</v>
      </c>
      <c r="B100">
        <v>1.1167</v>
      </c>
    </row>
    <row r="101" spans="1:2" x14ac:dyDescent="0.25">
      <c r="A101" s="76">
        <v>42156</v>
      </c>
      <c r="B101">
        <v>1.1226</v>
      </c>
    </row>
    <row r="102" spans="1:2" x14ac:dyDescent="0.25">
      <c r="A102" s="76">
        <v>42186</v>
      </c>
      <c r="B102">
        <v>1.0996999999999999</v>
      </c>
    </row>
    <row r="103" spans="1:2" x14ac:dyDescent="0.25">
      <c r="A103" s="76">
        <v>42217</v>
      </c>
      <c r="B103">
        <v>1.1135999999999999</v>
      </c>
    </row>
    <row r="104" spans="1:2" x14ac:dyDescent="0.25">
      <c r="A104" s="76">
        <v>42248</v>
      </c>
      <c r="B104">
        <v>1.1229</v>
      </c>
    </row>
    <row r="105" spans="1:2" x14ac:dyDescent="0.25">
      <c r="A105" s="76">
        <v>42278</v>
      </c>
      <c r="B105">
        <v>1.1228</v>
      </c>
    </row>
    <row r="106" spans="1:2" x14ac:dyDescent="0.25">
      <c r="A106" s="76">
        <v>42309</v>
      </c>
      <c r="B106">
        <v>1.0727</v>
      </c>
    </row>
    <row r="107" spans="1:2" x14ac:dyDescent="0.25">
      <c r="A107" s="76">
        <v>42339</v>
      </c>
      <c r="B107">
        <v>1.0889</v>
      </c>
    </row>
    <row r="108" spans="1:2" x14ac:dyDescent="0.25">
      <c r="A108" s="76">
        <v>42370</v>
      </c>
      <c r="B108">
        <v>1.0854999999999999</v>
      </c>
    </row>
    <row r="109" spans="1:2" x14ac:dyDescent="0.25">
      <c r="A109" s="76">
        <v>42401</v>
      </c>
      <c r="B109">
        <v>1.1092</v>
      </c>
    </row>
    <row r="110" spans="1:2" x14ac:dyDescent="0.25">
      <c r="A110" s="76">
        <v>42430</v>
      </c>
      <c r="B110">
        <v>1.1133999999999999</v>
      </c>
    </row>
    <row r="111" spans="1:2" x14ac:dyDescent="0.25">
      <c r="A111" s="76">
        <v>42461</v>
      </c>
      <c r="B111">
        <v>1.1346000000000001</v>
      </c>
    </row>
    <row r="112" spans="1:2" x14ac:dyDescent="0.25">
      <c r="A112" s="76">
        <v>42491</v>
      </c>
      <c r="B112">
        <v>1.1312</v>
      </c>
    </row>
    <row r="113" spans="1:2" x14ac:dyDescent="0.25">
      <c r="A113" s="76">
        <v>42522</v>
      </c>
      <c r="B113">
        <v>1.1232</v>
      </c>
    </row>
    <row r="114" spans="1:2" x14ac:dyDescent="0.25">
      <c r="A114" s="76">
        <v>42552</v>
      </c>
      <c r="B114">
        <v>1.1054999999999999</v>
      </c>
    </row>
    <row r="115" spans="1:2" x14ac:dyDescent="0.25">
      <c r="A115" s="76">
        <v>42583</v>
      </c>
      <c r="B115">
        <v>1.1207</v>
      </c>
    </row>
    <row r="116" spans="1:2" x14ac:dyDescent="0.25">
      <c r="A116" s="76">
        <v>42614</v>
      </c>
      <c r="B116">
        <v>1.1217999999999999</v>
      </c>
    </row>
    <row r="117" spans="1:2" x14ac:dyDescent="0.25">
      <c r="A117" s="76">
        <v>42644</v>
      </c>
      <c r="B117">
        <v>1.1013999999999999</v>
      </c>
    </row>
    <row r="118" spans="1:2" x14ac:dyDescent="0.25">
      <c r="A118" s="76">
        <v>42675</v>
      </c>
      <c r="B118">
        <v>1.0791999999999999</v>
      </c>
    </row>
    <row r="119" spans="1:2" x14ac:dyDescent="0.25">
      <c r="A119" s="76">
        <v>42705</v>
      </c>
      <c r="B119">
        <v>1.0545</v>
      </c>
    </row>
    <row r="120" spans="1:2" x14ac:dyDescent="0.25">
      <c r="A120" s="76">
        <v>42736</v>
      </c>
      <c r="B120">
        <v>1.0634999999999999</v>
      </c>
    </row>
    <row r="121" spans="1:2" x14ac:dyDescent="0.25">
      <c r="A121" s="76">
        <v>42767</v>
      </c>
      <c r="B121">
        <v>1.0649999999999999</v>
      </c>
    </row>
    <row r="122" spans="1:2" x14ac:dyDescent="0.25">
      <c r="A122" s="76">
        <v>42795</v>
      </c>
      <c r="B122">
        <v>1.0690999999999999</v>
      </c>
    </row>
    <row r="123" spans="1:2" x14ac:dyDescent="0.25">
      <c r="A123" s="76">
        <v>42826</v>
      </c>
      <c r="B123">
        <v>1.0713999999999999</v>
      </c>
    </row>
    <row r="124" spans="1:2" x14ac:dyDescent="0.25">
      <c r="A124" s="76">
        <v>42856</v>
      </c>
      <c r="B124">
        <v>1.105</v>
      </c>
    </row>
    <row r="125" spans="1:2" x14ac:dyDescent="0.25">
      <c r="A125" s="76">
        <v>42887</v>
      </c>
      <c r="B125">
        <v>1.1233</v>
      </c>
    </row>
    <row r="126" spans="1:2" x14ac:dyDescent="0.25">
      <c r="A126" s="76">
        <v>42917</v>
      </c>
      <c r="B126">
        <v>1.153</v>
      </c>
    </row>
    <row r="127" spans="1:2" x14ac:dyDescent="0.25">
      <c r="A127" s="76">
        <v>42948</v>
      </c>
      <c r="B127">
        <v>1.1813</v>
      </c>
    </row>
    <row r="128" spans="1:2" x14ac:dyDescent="0.25">
      <c r="A128" s="76">
        <v>42979</v>
      </c>
      <c r="B128">
        <v>1.1913</v>
      </c>
    </row>
    <row r="129" spans="1:2" x14ac:dyDescent="0.25">
      <c r="A129" s="76">
        <v>43009</v>
      </c>
      <c r="B129">
        <v>1.1755</v>
      </c>
    </row>
    <row r="130" spans="1:2" x14ac:dyDescent="0.25">
      <c r="A130" s="76">
        <v>43040</v>
      </c>
      <c r="B130">
        <v>1.1742999999999999</v>
      </c>
    </row>
    <row r="131" spans="1:2" x14ac:dyDescent="0.25">
      <c r="A131" s="76">
        <v>43070</v>
      </c>
      <c r="B131">
        <v>1.1836</v>
      </c>
    </row>
    <row r="132" spans="1:2" x14ac:dyDescent="0.25">
      <c r="A132" s="76">
        <v>43101</v>
      </c>
      <c r="B132">
        <v>1.2197</v>
      </c>
    </row>
    <row r="133" spans="1:2" x14ac:dyDescent="0.25">
      <c r="A133" s="76">
        <v>43132</v>
      </c>
      <c r="B133">
        <v>1.234</v>
      </c>
    </row>
    <row r="134" spans="1:2" x14ac:dyDescent="0.25">
      <c r="A134" s="76">
        <v>43160</v>
      </c>
      <c r="B134">
        <v>1.2334000000000001</v>
      </c>
    </row>
    <row r="135" spans="1:2" x14ac:dyDescent="0.25">
      <c r="A135" s="76">
        <v>43191</v>
      </c>
      <c r="B135">
        <v>1.2270000000000001</v>
      </c>
    </row>
    <row r="136" spans="1:2" x14ac:dyDescent="0.25">
      <c r="A136" s="76">
        <v>43221</v>
      </c>
      <c r="B136">
        <v>1.1822999999999999</v>
      </c>
    </row>
    <row r="137" spans="1:2" x14ac:dyDescent="0.25">
      <c r="A137" s="76">
        <v>43252</v>
      </c>
      <c r="B137">
        <v>1.1678999999999999</v>
      </c>
    </row>
    <row r="138" spans="1:2" x14ac:dyDescent="0.25">
      <c r="A138" s="76">
        <v>43282</v>
      </c>
      <c r="B138">
        <v>1.1685000000000001</v>
      </c>
    </row>
    <row r="139" spans="1:2" x14ac:dyDescent="0.25">
      <c r="A139" s="76">
        <v>43313</v>
      </c>
      <c r="B139">
        <v>1.1547000000000001</v>
      </c>
    </row>
    <row r="140" spans="1:2" x14ac:dyDescent="0.25">
      <c r="A140" s="76">
        <v>43344</v>
      </c>
      <c r="B140">
        <v>1.1667000000000001</v>
      </c>
    </row>
    <row r="141" spans="1:2" x14ac:dyDescent="0.25">
      <c r="A141" s="76">
        <v>43374</v>
      </c>
      <c r="B141">
        <v>1.1488</v>
      </c>
    </row>
    <row r="142" spans="1:2" x14ac:dyDescent="0.25">
      <c r="A142" s="76">
        <v>43405</v>
      </c>
      <c r="B142">
        <v>1.1364000000000001</v>
      </c>
    </row>
    <row r="143" spans="1:2" x14ac:dyDescent="0.25">
      <c r="A143" s="76">
        <v>43435</v>
      </c>
      <c r="B143">
        <v>1.1379999999999999</v>
      </c>
    </row>
    <row r="144" spans="1:2" x14ac:dyDescent="0.25">
      <c r="A144" s="76">
        <v>43466</v>
      </c>
      <c r="B144">
        <v>1.1417999999999999</v>
      </c>
    </row>
    <row r="145" spans="1:2" x14ac:dyDescent="0.25">
      <c r="A145" s="76">
        <v>43497</v>
      </c>
      <c r="B145">
        <v>1.1349</v>
      </c>
    </row>
    <row r="146" spans="1:2" x14ac:dyDescent="0.25">
      <c r="A146" s="76">
        <v>43525</v>
      </c>
      <c r="B146">
        <v>1.1295999999999999</v>
      </c>
    </row>
    <row r="147" spans="1:2" x14ac:dyDescent="0.25">
      <c r="A147" s="76">
        <v>43556</v>
      </c>
      <c r="B147">
        <v>1.1234</v>
      </c>
    </row>
    <row r="148" spans="1:2" x14ac:dyDescent="0.25">
      <c r="A148" s="76">
        <v>43586</v>
      </c>
      <c r="B148">
        <v>1.1187</v>
      </c>
    </row>
    <row r="149" spans="1:2" x14ac:dyDescent="0.25">
      <c r="A149" s="76">
        <v>43617</v>
      </c>
      <c r="B149">
        <v>1.1294999999999999</v>
      </c>
    </row>
    <row r="150" spans="1:2" x14ac:dyDescent="0.25">
      <c r="A150" s="76">
        <v>43647</v>
      </c>
      <c r="B150">
        <v>1.1211</v>
      </c>
    </row>
    <row r="151" spans="1:2" x14ac:dyDescent="0.25">
      <c r="A151" s="76">
        <v>43678</v>
      </c>
      <c r="B151">
        <v>1.1129</v>
      </c>
    </row>
    <row r="152" spans="1:2" x14ac:dyDescent="0.25">
      <c r="A152" s="76">
        <v>43709</v>
      </c>
      <c r="B152">
        <v>1.1011</v>
      </c>
    </row>
    <row r="153" spans="1:2" x14ac:dyDescent="0.25">
      <c r="A153" s="76">
        <v>43739</v>
      </c>
      <c r="B153">
        <v>1.1057999999999999</v>
      </c>
    </row>
    <row r="154" spans="1:2" x14ac:dyDescent="0.25">
      <c r="A154" s="76">
        <v>43770</v>
      </c>
      <c r="B154">
        <v>1.1051</v>
      </c>
    </row>
    <row r="155" spans="1:2" x14ac:dyDescent="0.25">
      <c r="A155" s="76">
        <v>43800</v>
      </c>
      <c r="B155">
        <v>1.1113999999999999</v>
      </c>
    </row>
    <row r="156" spans="1:2" x14ac:dyDescent="0.25">
      <c r="A156" s="76">
        <v>43831</v>
      </c>
      <c r="B156">
        <v>1.1097999999999999</v>
      </c>
    </row>
    <row r="157" spans="1:2" x14ac:dyDescent="0.25">
      <c r="A157" s="76">
        <v>43862</v>
      </c>
      <c r="B157">
        <v>1.0911</v>
      </c>
    </row>
    <row r="158" spans="1:2" x14ac:dyDescent="0.25">
      <c r="A158" s="76">
        <v>43891</v>
      </c>
      <c r="B158">
        <v>1.1046</v>
      </c>
    </row>
    <row r="159" spans="1:2" x14ac:dyDescent="0.25">
      <c r="A159" s="76">
        <v>43922</v>
      </c>
      <c r="B159">
        <v>1.0871</v>
      </c>
    </row>
    <row r="160" spans="1:2" x14ac:dyDescent="0.25">
      <c r="A160" s="76">
        <v>43952</v>
      </c>
      <c r="B160">
        <v>1.0907</v>
      </c>
    </row>
    <row r="161" spans="1:2" x14ac:dyDescent="0.25">
      <c r="A161" s="76">
        <v>43983</v>
      </c>
      <c r="B161">
        <v>1.1258999999999999</v>
      </c>
    </row>
    <row r="162" spans="1:2" x14ac:dyDescent="0.25">
      <c r="A162" s="76">
        <v>44013</v>
      </c>
      <c r="B162">
        <v>1.1488</v>
      </c>
    </row>
    <row r="163" spans="1:2" x14ac:dyDescent="0.25">
      <c r="A163" s="76">
        <v>44044</v>
      </c>
      <c r="B163">
        <v>1.1831</v>
      </c>
    </row>
    <row r="164" spans="1:2" x14ac:dyDescent="0.25">
      <c r="A164" s="76">
        <v>44075</v>
      </c>
      <c r="B164">
        <v>1.1785000000000001</v>
      </c>
    </row>
    <row r="165" spans="1:2" x14ac:dyDescent="0.25">
      <c r="A165" s="76">
        <v>44105</v>
      </c>
      <c r="B165">
        <v>1.1768000000000001</v>
      </c>
    </row>
    <row r="166" spans="1:2" x14ac:dyDescent="0.25">
      <c r="A166" s="76">
        <v>44136</v>
      </c>
      <c r="B166">
        <v>1.1826000000000001</v>
      </c>
    </row>
    <row r="167" spans="1:2" x14ac:dyDescent="0.25">
      <c r="A167" s="76">
        <v>44166</v>
      </c>
      <c r="B167">
        <v>1.2168000000000001</v>
      </c>
    </row>
    <row r="168" spans="1:2" x14ac:dyDescent="0.25">
      <c r="A168" s="76">
        <v>44197</v>
      </c>
      <c r="B168">
        <v>1.2178</v>
      </c>
    </row>
    <row r="169" spans="1:2" x14ac:dyDescent="0.25">
      <c r="A169" s="76">
        <v>44228</v>
      </c>
      <c r="B169">
        <v>1.2094</v>
      </c>
    </row>
    <row r="170" spans="1:2" x14ac:dyDescent="0.25">
      <c r="A170" s="76">
        <v>44256</v>
      </c>
      <c r="B170">
        <v>1.1901999999999999</v>
      </c>
    </row>
    <row r="171" spans="1:2" x14ac:dyDescent="0.25">
      <c r="A171" s="76">
        <v>44287</v>
      </c>
      <c r="B171">
        <v>1.1964999999999999</v>
      </c>
    </row>
    <row r="172" spans="1:2" x14ac:dyDescent="0.25">
      <c r="A172" s="76">
        <v>44317</v>
      </c>
      <c r="B172">
        <v>1.2145999999999999</v>
      </c>
    </row>
    <row r="173" spans="1:2" x14ac:dyDescent="0.25">
      <c r="A173" s="76">
        <v>44348</v>
      </c>
      <c r="B173">
        <v>1.2048000000000001</v>
      </c>
    </row>
    <row r="174" spans="1:2" x14ac:dyDescent="0.25">
      <c r="A174" s="76">
        <v>44378</v>
      </c>
      <c r="B174">
        <v>1.1820999999999999</v>
      </c>
    </row>
    <row r="175" spans="1:2" x14ac:dyDescent="0.25">
      <c r="A175" s="76">
        <v>44409</v>
      </c>
      <c r="B175">
        <v>1.1767000000000001</v>
      </c>
    </row>
    <row r="176" spans="1:2" x14ac:dyDescent="0.25">
      <c r="A176" s="76">
        <v>44440</v>
      </c>
      <c r="B176">
        <v>1.1765000000000001</v>
      </c>
    </row>
    <row r="177" spans="1:2" x14ac:dyDescent="0.25">
      <c r="A177" s="76">
        <v>44470</v>
      </c>
      <c r="B177">
        <v>1.1599999999999999</v>
      </c>
    </row>
    <row r="178" spans="1:2" x14ac:dyDescent="0.25">
      <c r="A178" s="76">
        <v>44501</v>
      </c>
      <c r="B178">
        <v>1.1415999999999999</v>
      </c>
    </row>
    <row r="179" spans="1:2" x14ac:dyDescent="0.25">
      <c r="A179" s="76">
        <v>44531</v>
      </c>
      <c r="B179">
        <v>1.1301000000000001</v>
      </c>
    </row>
    <row r="180" spans="1:2" x14ac:dyDescent="0.25">
      <c r="A180" s="76">
        <v>44562</v>
      </c>
      <c r="B180">
        <v>1.1316999999999999</v>
      </c>
    </row>
    <row r="181" spans="1:2" x14ac:dyDescent="0.25">
      <c r="A181" s="76">
        <v>44593</v>
      </c>
      <c r="B181">
        <v>1.1349</v>
      </c>
    </row>
    <row r="182" spans="1:2" x14ac:dyDescent="0.25">
      <c r="A182" s="76">
        <v>44621</v>
      </c>
      <c r="B182">
        <v>1.1019000000000001</v>
      </c>
    </row>
    <row r="183" spans="1:2" x14ac:dyDescent="0.25">
      <c r="A183" s="76">
        <v>44652</v>
      </c>
      <c r="B183">
        <v>1.0803</v>
      </c>
    </row>
    <row r="184" spans="1:2" x14ac:dyDescent="0.25">
      <c r="A184" s="76">
        <v>44682</v>
      </c>
      <c r="B184">
        <v>1.0567</v>
      </c>
    </row>
    <row r="185" spans="1:2" x14ac:dyDescent="0.25">
      <c r="A185" s="76">
        <v>44713</v>
      </c>
      <c r="B185">
        <v>1.0567</v>
      </c>
    </row>
    <row r="186" spans="1:2" x14ac:dyDescent="0.25">
      <c r="A186" s="76">
        <v>44743</v>
      </c>
      <c r="B186">
        <v>1.0167999999999999</v>
      </c>
    </row>
    <row r="187" spans="1:2" x14ac:dyDescent="0.25">
      <c r="A187" s="76">
        <v>44774</v>
      </c>
      <c r="B187">
        <v>1.0128999999999999</v>
      </c>
    </row>
    <row r="188" spans="1:2" x14ac:dyDescent="0.25">
      <c r="A188" s="76">
        <v>44805</v>
      </c>
      <c r="B188">
        <v>0.9899</v>
      </c>
    </row>
    <row r="189" spans="1:2" x14ac:dyDescent="0.25">
      <c r="A189" s="76">
        <v>44835</v>
      </c>
      <c r="B189">
        <v>0.98529999999999995</v>
      </c>
    </row>
    <row r="190" spans="1:2" x14ac:dyDescent="0.25">
      <c r="A190" s="76">
        <v>44866</v>
      </c>
      <c r="B190">
        <v>1.0192000000000001</v>
      </c>
    </row>
    <row r="191" spans="1:2" x14ac:dyDescent="0.25">
      <c r="A191" s="76">
        <v>44896</v>
      </c>
      <c r="B191">
        <v>1.0590999999999999</v>
      </c>
    </row>
    <row r="192" spans="1:2" x14ac:dyDescent="0.25">
      <c r="A192" s="76">
        <v>44927</v>
      </c>
      <c r="B192">
        <v>1.0777000000000001</v>
      </c>
    </row>
    <row r="193" spans="1:2" x14ac:dyDescent="0.25">
      <c r="A193" s="76">
        <v>44958</v>
      </c>
      <c r="B193">
        <v>1.0702</v>
      </c>
    </row>
    <row r="194" spans="1:2" x14ac:dyDescent="0.25">
      <c r="A194" s="76">
        <v>44986</v>
      </c>
      <c r="B194">
        <v>1.0710999999999999</v>
      </c>
    </row>
    <row r="195" spans="1:2" x14ac:dyDescent="0.25">
      <c r="A195" s="76">
        <v>45017</v>
      </c>
      <c r="B195">
        <v>1.0962000000000001</v>
      </c>
    </row>
    <row r="196" spans="1:2" x14ac:dyDescent="0.25">
      <c r="A196" s="76">
        <v>45047</v>
      </c>
      <c r="B196">
        <v>1.0867</v>
      </c>
    </row>
    <row r="197" spans="1:2" x14ac:dyDescent="0.25">
      <c r="A197" s="76">
        <v>45078</v>
      </c>
      <c r="B197">
        <v>1.0840000000000001</v>
      </c>
    </row>
    <row r="198" spans="1:2" x14ac:dyDescent="0.25">
      <c r="A198" s="76">
        <v>45108</v>
      </c>
      <c r="B198">
        <v>1.1067</v>
      </c>
    </row>
    <row r="199" spans="1:2" x14ac:dyDescent="0.25">
      <c r="A199" s="76">
        <v>45139</v>
      </c>
      <c r="B199">
        <v>1.091</v>
      </c>
    </row>
    <row r="200" spans="1:2" x14ac:dyDescent="0.25">
      <c r="A200" s="76">
        <v>45170</v>
      </c>
      <c r="B200">
        <v>1.0671999999999999</v>
      </c>
    </row>
    <row r="201" spans="1:2" x14ac:dyDescent="0.25">
      <c r="A201" s="76">
        <v>45200</v>
      </c>
      <c r="B201">
        <v>1.0565</v>
      </c>
    </row>
    <row r="202" spans="1:2" x14ac:dyDescent="0.25">
      <c r="A202" s="76">
        <v>45231</v>
      </c>
      <c r="B202">
        <v>1.0819000000000001</v>
      </c>
    </row>
    <row r="203" spans="1:2" x14ac:dyDescent="0.25">
      <c r="A203" s="76">
        <v>45261</v>
      </c>
      <c r="B203">
        <v>1.0909</v>
      </c>
    </row>
    <row r="204" spans="1:2" x14ac:dyDescent="0.25">
      <c r="A204" s="76">
        <v>45292</v>
      </c>
      <c r="B204">
        <v>1.0899000000000001</v>
      </c>
    </row>
    <row r="205" spans="1:2" x14ac:dyDescent="0.25">
      <c r="A205" s="76">
        <v>45323</v>
      </c>
      <c r="B205">
        <v>1.0792999999999999</v>
      </c>
    </row>
    <row r="206" spans="1:2" x14ac:dyDescent="0.25">
      <c r="A206" s="76">
        <v>45352</v>
      </c>
      <c r="B206">
        <v>1.087</v>
      </c>
    </row>
    <row r="207" spans="1:2" x14ac:dyDescent="0.25">
      <c r="A207" s="76">
        <v>45383</v>
      </c>
      <c r="B207">
        <v>1.0724</v>
      </c>
    </row>
    <row r="208" spans="1:2" x14ac:dyDescent="0.25">
      <c r="A208" s="76">
        <v>45413</v>
      </c>
      <c r="B208">
        <v>1.081</v>
      </c>
    </row>
    <row r="209" spans="1:2" x14ac:dyDescent="0.25">
      <c r="A209" s="76">
        <v>45444</v>
      </c>
      <c r="B209">
        <v>1.0763</v>
      </c>
    </row>
    <row r="210" spans="1:2" x14ac:dyDescent="0.25">
      <c r="A210" s="76">
        <v>45474</v>
      </c>
      <c r="B210">
        <v>1.0847</v>
      </c>
    </row>
    <row r="211" spans="1:2" x14ac:dyDescent="0.25">
      <c r="A211" s="76">
        <v>45505</v>
      </c>
      <c r="B211">
        <v>1.1020000000000001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800E50-85F1-8745-9372-153DAD5875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Intro</vt:lpstr>
      <vt:lpstr>Steps</vt:lpstr>
      <vt:lpstr>Inputs</vt:lpstr>
      <vt:lpstr>Energy_Carbon intensity</vt:lpstr>
      <vt:lpstr>Standard Input Calculations</vt:lpstr>
      <vt:lpstr>Sensitivities</vt:lpstr>
      <vt:lpstr>Notes for Study Parameters</vt:lpstr>
      <vt:lpstr>Study Selection Step 1</vt:lpstr>
      <vt:lpstr>Studies current &amp;future cost</vt:lpstr>
      <vt:lpstr>Study Parameters</vt:lpstr>
      <vt:lpstr>Standardization Results</vt:lpstr>
      <vt:lpstr>Inflation</vt:lpstr>
      <vt:lpstr>USD_EUR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Yash Dubey</dc:creator>
  <cp:keywords/>
  <dc:description/>
  <cp:lastModifiedBy>Dubey  Yash</cp:lastModifiedBy>
  <cp:revision/>
  <dcterms:created xsi:type="dcterms:W3CDTF">2024-05-16T11:07:21Z</dcterms:created>
  <dcterms:modified xsi:type="dcterms:W3CDTF">2025-05-05T09:34:41Z</dcterms:modified>
  <cp:category/>
  <cp:contentStatus/>
</cp:coreProperties>
</file>
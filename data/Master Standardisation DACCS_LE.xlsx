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3"/>
  <workbookPr updateLinks="always" codeName="ThisWorkbook"/>
  <mc:AlternateContent xmlns:mc="http://schemas.openxmlformats.org/markup-compatibility/2006">
    <mc:Choice Requires="x15">
      <x15ac:absPath xmlns:x15ac="http://schemas.microsoft.com/office/spreadsheetml/2010/11/ac" url="https://ethz-my.sharepoint.com/personal/ksievert_ethz_ch/Documents/SAF/_DACCS vs Synfuels/Meta Analysis_DACCS/4 Harmonization/Harmonization Sheets/"/>
    </mc:Choice>
  </mc:AlternateContent>
  <xr:revisionPtr revIDLastSave="6766" documentId="8_{427C1CD8-7ECB-4B05-A7A1-DCEB31902E85}" xr6:coauthVersionLast="47" xr6:coauthVersionMax="47" xr10:uidLastSave="{8995197C-C705-47D3-A39C-A2D6721E81DA}"/>
  <bookViews>
    <workbookView xWindow="-108" yWindow="-108" windowWidth="23256" windowHeight="12456" tabRatio="973" firstSheet="2" activeTab="10" xr2:uid="{10A797D3-143E-48A4-A3E1-9D6BC7B2CBA7}"/>
  </bookViews>
  <sheets>
    <sheet name="Intro" sheetId="1" r:id="rId1"/>
    <sheet name="Steps" sheetId="2" r:id="rId2"/>
    <sheet name="Inputs" sheetId="4" r:id="rId3"/>
    <sheet name="Energy_Carbon intensity" sheetId="21" r:id="rId4"/>
    <sheet name="Standard Input Calculations" sheetId="9" r:id="rId5"/>
    <sheet name="Sensitivities" sheetId="16" r:id="rId6"/>
    <sheet name="Notes for Study Parameters" sheetId="10" r:id="rId7"/>
    <sheet name="Study Selection Step 1" sheetId="23" r:id="rId8"/>
    <sheet name="Studies current &amp;future cost" sheetId="25" r:id="rId9"/>
    <sheet name="Study Parameters" sheetId="3" r:id="rId10"/>
    <sheet name="Standardization Results" sheetId="5" r:id="rId11"/>
    <sheet name="Inflation" sheetId="22" r:id="rId12"/>
    <sheet name="USD_EUR" sheetId="24"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_xlnm._FilterDatabase" localSheetId="8" hidden="1">'Studies current &amp;future cost'!$A$1:$AL$45</definedName>
    <definedName name="_xlnm._FilterDatabase" localSheetId="9" hidden="1">'Study Parameters'!$A$1:$AL$47</definedName>
    <definedName name="_xlnm._FilterDatabase" localSheetId="10" hidden="1">'Standardization Results'!$A$2:$W$180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2" i="5" l="1"/>
  <c r="O38" i="5"/>
  <c r="O36" i="5"/>
  <c r="O32" i="5"/>
  <c r="O31" i="5"/>
  <c r="O30" i="5"/>
  <c r="O44" i="5"/>
  <c r="O43" i="5"/>
  <c r="O37" i="5"/>
  <c r="O18" i="5"/>
  <c r="O19" i="5"/>
  <c r="O20" i="5"/>
  <c r="L143" i="5"/>
  <c r="L11" i="5"/>
  <c r="L10" i="5"/>
  <c r="L9" i="5"/>
  <c r="O11" i="5"/>
  <c r="O10" i="5"/>
  <c r="O9" i="5"/>
  <c r="L14" i="5"/>
  <c r="L13" i="5"/>
  <c r="L12" i="5"/>
  <c r="O14" i="5"/>
  <c r="O13" i="5"/>
  <c r="O12" i="5"/>
  <c r="L5" i="5"/>
  <c r="L4" i="5"/>
  <c r="L3" i="5"/>
  <c r="O5" i="5"/>
  <c r="O4" i="5"/>
  <c r="O3" i="5"/>
  <c r="L8" i="5"/>
  <c r="L7" i="5"/>
  <c r="L6" i="5"/>
  <c r="O8" i="5"/>
  <c r="O7" i="5"/>
  <c r="O6" i="5"/>
  <c r="L20" i="5"/>
  <c r="L19" i="5"/>
  <c r="L18" i="5"/>
  <c r="L17" i="5"/>
  <c r="L16" i="5"/>
  <c r="L15" i="5"/>
  <c r="O17" i="5"/>
  <c r="O16" i="5"/>
  <c r="O15" i="5"/>
  <c r="L26" i="5"/>
  <c r="L25" i="5"/>
  <c r="L24" i="5"/>
  <c r="O26" i="5"/>
  <c r="O25" i="5"/>
  <c r="O24" i="5"/>
  <c r="O23" i="5"/>
  <c r="O22" i="5"/>
  <c r="O21" i="5"/>
  <c r="L23" i="5"/>
  <c r="L22" i="5"/>
  <c r="L21" i="5"/>
  <c r="O164" i="5"/>
  <c r="O165" i="5"/>
  <c r="O163" i="5"/>
  <c r="N164" i="5"/>
  <c r="N165" i="5"/>
  <c r="N163" i="5"/>
  <c r="M165" i="5"/>
  <c r="M164" i="5"/>
  <c r="M163" i="5"/>
  <c r="O169" i="5"/>
  <c r="O168" i="5"/>
  <c r="O167" i="5"/>
  <c r="O166" i="5"/>
  <c r="N169" i="5"/>
  <c r="N168" i="5"/>
  <c r="N167" i="5"/>
  <c r="N166" i="5"/>
  <c r="M169" i="5"/>
  <c r="M168" i="5"/>
  <c r="M167" i="5"/>
  <c r="M166" i="5"/>
  <c r="I39" i="25" l="1"/>
  <c r="I20" i="25"/>
  <c r="I19" i="25"/>
  <c r="I8" i="25"/>
  <c r="I7" i="25"/>
  <c r="I6" i="25"/>
  <c r="I5" i="25"/>
  <c r="I4" i="25"/>
  <c r="I3" i="25"/>
  <c r="O155" i="5"/>
  <c r="L155" i="5"/>
  <c r="N155" i="5"/>
  <c r="M155" i="5"/>
  <c r="M67" i="5"/>
  <c r="J155" i="5"/>
  <c r="O144" i="5"/>
  <c r="N144" i="5"/>
  <c r="M144" i="5"/>
  <c r="L144" i="5"/>
  <c r="O143" i="5"/>
  <c r="N143" i="5"/>
  <c r="M143" i="5"/>
  <c r="O142" i="5"/>
  <c r="N142" i="5"/>
  <c r="M142" i="5"/>
  <c r="L142" i="5"/>
  <c r="O141" i="5"/>
  <c r="N141" i="5"/>
  <c r="M141" i="5"/>
  <c r="L141" i="5"/>
  <c r="O140" i="5"/>
  <c r="N140" i="5"/>
  <c r="M140" i="5"/>
  <c r="L140" i="5"/>
  <c r="O139" i="5"/>
  <c r="N139" i="5"/>
  <c r="M139" i="5"/>
  <c r="L139" i="5"/>
  <c r="O138" i="5"/>
  <c r="N138" i="5"/>
  <c r="M138" i="5"/>
  <c r="O137" i="5"/>
  <c r="N137" i="5"/>
  <c r="L137" i="5"/>
  <c r="O161" i="5" l="1"/>
  <c r="O162" i="5"/>
  <c r="O160" i="5"/>
  <c r="N161" i="5"/>
  <c r="N162" i="5"/>
  <c r="N160" i="5"/>
  <c r="M160" i="5"/>
  <c r="M162" i="5"/>
  <c r="M161" i="5"/>
  <c r="M137" i="5"/>
  <c r="L138" i="5" l="1"/>
  <c r="O59" i="5" l="1"/>
  <c r="O58" i="5"/>
  <c r="O57" i="5"/>
  <c r="O56" i="5"/>
  <c r="O55" i="5"/>
  <c r="O54" i="5"/>
  <c r="O53" i="5"/>
  <c r="O52" i="5"/>
  <c r="O51" i="5"/>
  <c r="O50" i="5"/>
  <c r="O49" i="5"/>
  <c r="O48" i="5"/>
  <c r="N59" i="5"/>
  <c r="N58" i="5"/>
  <c r="N57" i="5"/>
  <c r="N56" i="5"/>
  <c r="N55" i="5"/>
  <c r="N54" i="5"/>
  <c r="N53" i="5"/>
  <c r="N52" i="5"/>
  <c r="N51" i="5"/>
  <c r="N50" i="5"/>
  <c r="N49" i="5"/>
  <c r="N48" i="5"/>
  <c r="M59" i="5"/>
  <c r="M58" i="5"/>
  <c r="M57" i="5"/>
  <c r="M56" i="5"/>
  <c r="M55" i="5"/>
  <c r="M54" i="5"/>
  <c r="M53" i="5"/>
  <c r="M52" i="5"/>
  <c r="M51" i="5"/>
  <c r="M50" i="5"/>
  <c r="M49" i="5"/>
  <c r="M48" i="5"/>
  <c r="O47" i="5"/>
  <c r="O46" i="5"/>
  <c r="O45" i="5"/>
  <c r="N47" i="5"/>
  <c r="N46" i="5"/>
  <c r="N45" i="5"/>
  <c r="M47" i="5"/>
  <c r="M46" i="5"/>
  <c r="M45" i="5"/>
  <c r="M145" i="5"/>
  <c r="K129" i="5"/>
  <c r="K130" i="5"/>
  <c r="K131" i="5"/>
  <c r="K132" i="5"/>
  <c r="K133" i="5"/>
  <c r="K134" i="5"/>
  <c r="K135" i="5"/>
  <c r="K128" i="5"/>
  <c r="K121" i="5"/>
  <c r="K122" i="5"/>
  <c r="K123" i="5"/>
  <c r="K124" i="5"/>
  <c r="K125" i="5"/>
  <c r="K126" i="5"/>
  <c r="K127" i="5"/>
  <c r="K120" i="5"/>
  <c r="K111" i="5"/>
  <c r="K112" i="5"/>
  <c r="K113" i="5"/>
  <c r="K114" i="5"/>
  <c r="K115" i="5"/>
  <c r="K116" i="5"/>
  <c r="K117" i="5"/>
  <c r="K118" i="5"/>
  <c r="K119" i="5"/>
  <c r="K110" i="5"/>
  <c r="K109" i="5"/>
  <c r="K101" i="5"/>
  <c r="K102" i="5"/>
  <c r="K103" i="5"/>
  <c r="K104" i="5"/>
  <c r="K105" i="5"/>
  <c r="K106" i="5"/>
  <c r="K107" i="5"/>
  <c r="K108" i="5"/>
  <c r="K100" i="5"/>
  <c r="I135" i="5"/>
  <c r="I129" i="5"/>
  <c r="I130" i="5"/>
  <c r="I131" i="5"/>
  <c r="I132" i="5"/>
  <c r="I133" i="5"/>
  <c r="I134" i="5"/>
  <c r="I128" i="5"/>
  <c r="I110" i="5"/>
  <c r="I111" i="5"/>
  <c r="L110" i="5"/>
  <c r="L111" i="5"/>
  <c r="I120" i="5"/>
  <c r="I121" i="5"/>
  <c r="I122" i="5"/>
  <c r="I123" i="5"/>
  <c r="I124" i="5"/>
  <c r="I125" i="5"/>
  <c r="I126" i="5"/>
  <c r="I127" i="5"/>
  <c r="I113" i="5"/>
  <c r="I114" i="5"/>
  <c r="I115" i="5"/>
  <c r="I116" i="5"/>
  <c r="I117" i="5"/>
  <c r="I118" i="5"/>
  <c r="I119" i="5"/>
  <c r="I112" i="5"/>
  <c r="I101" i="5"/>
  <c r="I102" i="5"/>
  <c r="I103" i="5"/>
  <c r="I104" i="5"/>
  <c r="I105" i="5"/>
  <c r="I106" i="5"/>
  <c r="I107" i="5"/>
  <c r="I108" i="5"/>
  <c r="I109" i="5"/>
  <c r="I100" i="5"/>
  <c r="L135" i="5"/>
  <c r="L129" i="5"/>
  <c r="L130" i="5"/>
  <c r="L131" i="5"/>
  <c r="L132" i="5"/>
  <c r="L133" i="5"/>
  <c r="L134" i="5"/>
  <c r="L128" i="5"/>
  <c r="L121" i="5"/>
  <c r="L122" i="5"/>
  <c r="L123" i="5"/>
  <c r="L124" i="5"/>
  <c r="L125" i="5"/>
  <c r="L126" i="5"/>
  <c r="L127" i="5"/>
  <c r="L113" i="5"/>
  <c r="L114" i="5"/>
  <c r="L115" i="5"/>
  <c r="L116" i="5"/>
  <c r="L117" i="5"/>
  <c r="L118" i="5"/>
  <c r="L119" i="5"/>
  <c r="L112" i="5"/>
  <c r="L108" i="5"/>
  <c r="L109" i="5"/>
  <c r="L120" i="5"/>
  <c r="L101" i="5"/>
  <c r="L102" i="5"/>
  <c r="L103" i="5"/>
  <c r="L104" i="5"/>
  <c r="L105" i="5"/>
  <c r="L106" i="5"/>
  <c r="L107" i="5"/>
  <c r="L100" i="5"/>
  <c r="C45" i="5"/>
  <c r="A45" i="5"/>
  <c r="C21" i="4"/>
  <c r="C18" i="4"/>
  <c r="C17" i="4"/>
  <c r="C14" i="4"/>
  <c r="C13" i="4"/>
  <c r="O145" i="5" l="1"/>
  <c r="N145" i="5"/>
  <c r="O61" i="5"/>
  <c r="O60" i="5"/>
  <c r="N62" i="5"/>
  <c r="N60" i="5"/>
  <c r="N63" i="5"/>
  <c r="O62" i="5" l="1"/>
  <c r="O63" i="5"/>
  <c r="N61" i="5"/>
  <c r="O64" i="5" l="1"/>
  <c r="N65" i="5"/>
  <c r="N67" i="5"/>
  <c r="O65" i="5"/>
  <c r="N64" i="5"/>
  <c r="O67" i="5"/>
  <c r="N66" i="5"/>
  <c r="O66" i="5"/>
  <c r="L145" i="5" l="1"/>
  <c r="E47" i="21" l="1"/>
  <c r="F47" i="21"/>
  <c r="D47" i="21"/>
  <c r="G47" i="21"/>
  <c r="F177" i="5" l="1"/>
  <c r="E177" i="5"/>
  <c r="D177" i="5"/>
  <c r="C177" i="5"/>
  <c r="B177" i="5"/>
  <c r="A177" i="5"/>
  <c r="F178" i="5"/>
  <c r="E178" i="5"/>
  <c r="D178" i="5"/>
  <c r="C178" i="5"/>
  <c r="B178" i="5"/>
  <c r="A178" i="5"/>
  <c r="L51" i="5" l="1"/>
  <c r="L159" i="5"/>
  <c r="L158" i="5"/>
  <c r="K158" i="5"/>
  <c r="C7" i="4"/>
  <c r="C5" i="4" l="1"/>
  <c r="C22" i="22"/>
  <c r="B26" i="22"/>
  <c r="M61" i="5" l="1"/>
  <c r="M62" i="5"/>
  <c r="M60" i="5"/>
  <c r="M63" i="5"/>
  <c r="M66" i="5"/>
  <c r="M65" i="5"/>
  <c r="M64" i="5"/>
  <c r="L67" i="5"/>
  <c r="L60" i="5"/>
  <c r="L173" i="5"/>
  <c r="L72" i="5"/>
  <c r="L164" i="5"/>
  <c r="L151" i="5"/>
  <c r="L98" i="5"/>
  <c r="L90" i="5"/>
  <c r="L82" i="5"/>
  <c r="L53" i="5"/>
  <c r="L44" i="5"/>
  <c r="L36" i="5"/>
  <c r="L28" i="5"/>
  <c r="L172" i="5"/>
  <c r="L76" i="5"/>
  <c r="L71" i="5"/>
  <c r="L163" i="5"/>
  <c r="L65" i="5"/>
  <c r="L97" i="5"/>
  <c r="L89" i="5"/>
  <c r="L81" i="5"/>
  <c r="L52" i="5"/>
  <c r="L43" i="5"/>
  <c r="L35" i="5"/>
  <c r="L27" i="5"/>
  <c r="L171" i="5"/>
  <c r="L73" i="5"/>
  <c r="L70" i="5"/>
  <c r="L162" i="5"/>
  <c r="L64" i="5"/>
  <c r="L96" i="5"/>
  <c r="L88" i="5"/>
  <c r="L80" i="5"/>
  <c r="L50" i="5"/>
  <c r="L42" i="5"/>
  <c r="L34" i="5"/>
  <c r="L170" i="5"/>
  <c r="L79" i="5"/>
  <c r="L69" i="5"/>
  <c r="L161" i="5"/>
  <c r="L63" i="5"/>
  <c r="L95" i="5"/>
  <c r="L58" i="5"/>
  <c r="L49" i="5"/>
  <c r="L41" i="5"/>
  <c r="L33" i="5"/>
  <c r="L169" i="5"/>
  <c r="L78" i="5"/>
  <c r="L68" i="5"/>
  <c r="L160" i="5"/>
  <c r="L62" i="5"/>
  <c r="L94" i="5"/>
  <c r="L86" i="5"/>
  <c r="L57" i="5"/>
  <c r="L48" i="5"/>
  <c r="L40" i="5"/>
  <c r="L32" i="5"/>
  <c r="L30" i="5"/>
  <c r="L166" i="5"/>
  <c r="L74" i="5"/>
  <c r="L152" i="5"/>
  <c r="L99" i="5"/>
  <c r="L83" i="5"/>
  <c r="L45" i="5"/>
  <c r="L29" i="5"/>
  <c r="L168" i="5"/>
  <c r="L77" i="5"/>
  <c r="L180" i="5"/>
  <c r="L154" i="5"/>
  <c r="L61" i="5"/>
  <c r="L93" i="5"/>
  <c r="L85" i="5"/>
  <c r="L56" i="5"/>
  <c r="L47" i="5"/>
  <c r="L39" i="5"/>
  <c r="L31" i="5"/>
  <c r="L175" i="5"/>
  <c r="L167" i="5"/>
  <c r="L75" i="5"/>
  <c r="L179" i="5"/>
  <c r="L153" i="5"/>
  <c r="L59" i="5"/>
  <c r="L92" i="5"/>
  <c r="L84" i="5"/>
  <c r="L55" i="5"/>
  <c r="L46" i="5"/>
  <c r="L38" i="5"/>
  <c r="L174" i="5"/>
  <c r="L165" i="5"/>
  <c r="L91" i="5"/>
  <c r="L54" i="5"/>
  <c r="L37" i="5"/>
  <c r="L66" i="5"/>
  <c r="F9" i="5"/>
  <c r="F15" i="5"/>
  <c r="F21" i="5"/>
  <c r="F27" i="5"/>
  <c r="F33" i="5"/>
  <c r="F39" i="5"/>
  <c r="F46" i="5"/>
  <c r="F47" i="5"/>
  <c r="F55" i="5"/>
  <c r="F68" i="5"/>
  <c r="F71" i="5"/>
  <c r="F72" i="5"/>
  <c r="F74" i="5"/>
  <c r="F78" i="5"/>
  <c r="F86" i="5"/>
  <c r="F87" i="5"/>
  <c r="F97" i="5"/>
  <c r="F107" i="5"/>
  <c r="F120" i="5"/>
  <c r="C9" i="4" a="1"/>
  <c r="C9" i="4" s="1"/>
  <c r="E166" i="5" l="1"/>
  <c r="J97" i="5"/>
  <c r="J98" i="5"/>
  <c r="J99" i="5"/>
  <c r="E151" i="5"/>
  <c r="E152" i="5"/>
  <c r="D152" i="5"/>
  <c r="C152" i="5"/>
  <c r="B152" i="5"/>
  <c r="B151" i="5"/>
  <c r="A152" i="5"/>
  <c r="A59" i="5"/>
  <c r="A58" i="5"/>
  <c r="A57" i="5"/>
  <c r="A56" i="5"/>
  <c r="A53" i="5"/>
  <c r="A52" i="5"/>
  <c r="A54" i="5"/>
  <c r="A51" i="5"/>
  <c r="A50" i="5"/>
  <c r="A49" i="5"/>
  <c r="A48" i="5"/>
  <c r="A55" i="5"/>
  <c r="D46" i="5"/>
  <c r="C46" i="5"/>
  <c r="A46" i="5"/>
  <c r="J179" i="5" l="1"/>
  <c r="J137" i="5" l="1"/>
  <c r="J87" i="5" l="1"/>
  <c r="J86" i="5"/>
  <c r="K74" i="5" l="1"/>
  <c r="J73" i="5"/>
  <c r="K72" i="5" l="1"/>
  <c r="J72" i="5"/>
  <c r="K71" i="5"/>
  <c r="J60" i="5" l="1"/>
  <c r="K68" i="5"/>
  <c r="E60" i="5"/>
  <c r="C15" i="5" l="1"/>
  <c r="D15" i="5"/>
  <c r="E15" i="5"/>
  <c r="A15" i="5"/>
  <c r="E9" i="5"/>
  <c r="K5" i="5" l="1"/>
  <c r="K4" i="5"/>
  <c r="K3" i="5"/>
  <c r="Q39" i="3" l="1"/>
  <c r="Q20" i="3"/>
  <c r="K87" i="5" s="1"/>
  <c r="Q19" i="3"/>
  <c r="K86" i="5" s="1"/>
  <c r="Q8" i="3"/>
  <c r="Q7" i="3"/>
  <c r="Q6" i="3"/>
  <c r="K27" i="5" s="1"/>
  <c r="Q5" i="3"/>
  <c r="K21" i="5" s="1"/>
  <c r="Q4" i="3"/>
  <c r="K15" i="5" s="1"/>
  <c r="Q3" i="3"/>
  <c r="K9" i="5" s="1"/>
  <c r="K33" i="5" l="1"/>
  <c r="K28" i="5"/>
  <c r="K39" i="5"/>
  <c r="K29" i="5"/>
  <c r="D27" i="5"/>
  <c r="E27" i="5"/>
  <c r="D33" i="5"/>
  <c r="E33" i="5"/>
  <c r="D39" i="5"/>
  <c r="E39" i="5"/>
  <c r="D47" i="5"/>
  <c r="D55" i="5"/>
  <c r="E55" i="5"/>
  <c r="D60" i="5"/>
  <c r="F60" i="5"/>
  <c r="D64" i="5"/>
  <c r="E64" i="5"/>
  <c r="F64" i="5"/>
  <c r="D68" i="5"/>
  <c r="E68" i="5"/>
  <c r="D71" i="5"/>
  <c r="E71" i="5"/>
  <c r="D72" i="5"/>
  <c r="E72" i="5"/>
  <c r="D74" i="5"/>
  <c r="E74" i="5"/>
  <c r="D76" i="5"/>
  <c r="E76" i="5"/>
  <c r="F76" i="5"/>
  <c r="D78" i="5"/>
  <c r="D86" i="5"/>
  <c r="E86" i="5"/>
  <c r="D87" i="5"/>
  <c r="E87" i="5"/>
  <c r="D107" i="5"/>
  <c r="E107" i="5"/>
  <c r="D120" i="5"/>
  <c r="D136" i="5"/>
  <c r="E136" i="5"/>
  <c r="F136" i="5"/>
  <c r="D137" i="5"/>
  <c r="E137" i="5"/>
  <c r="F137" i="5"/>
  <c r="D145" i="5"/>
  <c r="E145" i="5"/>
  <c r="F145" i="5"/>
  <c r="D146" i="5"/>
  <c r="E146" i="5"/>
  <c r="F146" i="5"/>
  <c r="D147" i="5"/>
  <c r="E147" i="5"/>
  <c r="F147" i="5"/>
  <c r="D148" i="5"/>
  <c r="E148" i="5"/>
  <c r="F148" i="5"/>
  <c r="D149" i="5"/>
  <c r="E149" i="5"/>
  <c r="F149" i="5"/>
  <c r="D150" i="5"/>
  <c r="E150" i="5"/>
  <c r="F150" i="5"/>
  <c r="D151" i="5"/>
  <c r="F151" i="5"/>
  <c r="D155" i="5"/>
  <c r="E155" i="5"/>
  <c r="F155" i="5"/>
  <c r="D156" i="5"/>
  <c r="E156" i="5"/>
  <c r="F156" i="5"/>
  <c r="D157" i="5"/>
  <c r="E157" i="5"/>
  <c r="F157" i="5"/>
  <c r="D158" i="5"/>
  <c r="F158" i="5"/>
  <c r="D163" i="5"/>
  <c r="E163" i="5"/>
  <c r="D166" i="5"/>
  <c r="F166" i="5"/>
  <c r="D170" i="5"/>
  <c r="E170" i="5"/>
  <c r="F170" i="5"/>
  <c r="D173" i="5"/>
  <c r="E173" i="5"/>
  <c r="F173" i="5"/>
  <c r="D176" i="5"/>
  <c r="E176" i="5"/>
  <c r="F176" i="5"/>
  <c r="D179" i="5"/>
  <c r="E179" i="5"/>
  <c r="F179" i="5"/>
  <c r="C27" i="5"/>
  <c r="C33" i="5"/>
  <c r="C39" i="5"/>
  <c r="C47" i="5"/>
  <c r="C55" i="5"/>
  <c r="C60" i="5"/>
  <c r="C64" i="5"/>
  <c r="C68" i="5"/>
  <c r="C71" i="5"/>
  <c r="C72" i="5"/>
  <c r="C74" i="5"/>
  <c r="C76" i="5"/>
  <c r="C78" i="5"/>
  <c r="C86" i="5"/>
  <c r="C87" i="5"/>
  <c r="C97" i="5"/>
  <c r="C107" i="5"/>
  <c r="C120" i="5"/>
  <c r="C136" i="5"/>
  <c r="C137" i="5"/>
  <c r="C145" i="5"/>
  <c r="C146" i="5"/>
  <c r="C147" i="5"/>
  <c r="C148" i="5"/>
  <c r="C149" i="5"/>
  <c r="C150" i="5"/>
  <c r="C151" i="5"/>
  <c r="C155" i="5"/>
  <c r="C156" i="5"/>
  <c r="C157" i="5"/>
  <c r="C158" i="5"/>
  <c r="C163" i="5"/>
  <c r="C166" i="5"/>
  <c r="C170" i="5"/>
  <c r="C173" i="5"/>
  <c r="C176" i="5"/>
  <c r="C179" i="5"/>
  <c r="B55" i="5"/>
  <c r="B72" i="5"/>
  <c r="B74" i="5"/>
  <c r="B76" i="5"/>
  <c r="B78" i="5"/>
  <c r="B86" i="5"/>
  <c r="B87" i="5"/>
  <c r="B97" i="5"/>
  <c r="B107" i="5"/>
  <c r="B120" i="5"/>
  <c r="B145" i="5"/>
  <c r="B146" i="5"/>
  <c r="B147" i="5"/>
  <c r="B148" i="5"/>
  <c r="B149" i="5"/>
  <c r="B150" i="5"/>
  <c r="B155" i="5"/>
  <c r="B156" i="5"/>
  <c r="B157" i="5"/>
  <c r="B158" i="5"/>
  <c r="B170" i="5"/>
  <c r="B173" i="5"/>
  <c r="B176" i="5"/>
  <c r="A176" i="5"/>
  <c r="A179" i="5"/>
  <c r="A163" i="5"/>
  <c r="A166" i="5"/>
  <c r="A170" i="5"/>
  <c r="A173" i="5"/>
  <c r="A155" i="5"/>
  <c r="A156" i="5"/>
  <c r="A157" i="5"/>
  <c r="A158" i="5"/>
  <c r="A87" i="5"/>
  <c r="A97" i="5"/>
  <c r="A107" i="5"/>
  <c r="A120" i="5"/>
  <c r="A136" i="5"/>
  <c r="A137" i="5"/>
  <c r="A145" i="5"/>
  <c r="A146" i="5"/>
  <c r="A147" i="5"/>
  <c r="A148" i="5"/>
  <c r="A149" i="5"/>
  <c r="A150" i="5"/>
  <c r="A151" i="5"/>
  <c r="A27" i="5"/>
  <c r="A33" i="5"/>
  <c r="A39" i="5"/>
  <c r="A47" i="5"/>
  <c r="A60" i="5"/>
  <c r="A64" i="5"/>
  <c r="A68" i="5"/>
  <c r="A71" i="5"/>
  <c r="A72" i="5"/>
  <c r="A74" i="5"/>
  <c r="A76" i="5"/>
  <c r="A78" i="5"/>
  <c r="A86" i="5"/>
  <c r="E21" i="5"/>
  <c r="D9" i="5"/>
  <c r="D21" i="5"/>
  <c r="C9" i="5"/>
  <c r="C21" i="5"/>
  <c r="C3" i="5"/>
  <c r="A9" i="5"/>
  <c r="A21" i="5"/>
  <c r="AJ40" i="21" l="1"/>
  <c r="AJ39" i="21"/>
  <c r="AJ38" i="21"/>
  <c r="AJ37" i="21"/>
  <c r="AJ36" i="21"/>
  <c r="AJ31" i="21"/>
  <c r="AJ19" i="21"/>
  <c r="AJ14" i="21"/>
  <c r="AJ2" i="21"/>
  <c r="B6" i="16" l="1"/>
  <c r="L87"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tc={5766B05D-C92B-4B52-9354-64D42A8C06C8}</author>
    <author>tc={D187044E-C90E-49F8-B828-979C396B3AA7}</author>
    <author>tc={90A3683C-3C46-493D-911F-AF1C42DDB8B6}</author>
    <author>tc={74A24C9F-BFFF-40A9-B34B-47F44844D78E}</author>
  </authors>
  <commentList>
    <comment ref="S1" authorId="0" shapeId="0" xr:uid="{5766B05D-C92B-4B52-9354-64D42A8C06C8}">
      <text>
        <t>[Threaded comment]
Your version of Excel allows you to read this threaded comment; however, any edits to it will get removed if the file is opened in a newer version of Excel. Learn more: https://go.microsoft.com/fwlink/?linkid=870924
Comment:
    @Dubey  Yash , this will be the relevant column for the plot - three most sensitivite parameters per DAC tech over all studies</t>
      </text>
    </comment>
    <comment ref="L16" authorId="1" shapeId="0" xr:uid="{D187044E-C90E-49F8-B828-979C396B3AA7}">
      <text>
        <t xml:space="preserve">[Threaded comment]
Your version of Excel allows you to read this threaded comment; however, any edits to it will get removed if the file is opened in a newer version of Excel. Learn more: https://go.microsoft.com/fwlink/?linkid=870924
Comment:
    @Sievert  Katrin this one </t>
      </text>
    </comment>
    <comment ref="N18" authorId="2" shapeId="0" xr:uid="{90A3683C-3C46-493D-911F-AF1C42DDB8B6}">
      <text>
        <t>[Threaded comment]
Your version of Excel allows you to read this threaded comment; however, any edits to it will get removed if the file is opened in a newer version of Excel. Learn more: https://go.microsoft.com/fwlink/?linkid=870924
Comment:
    Note: fully electrified (not natural gas based)</t>
      </text>
    </comment>
    <comment ref="L25" authorId="3" shapeId="0" xr:uid="{74A24C9F-BFFF-40A9-B34B-47F44844D78E}">
      <text>
        <t>[Threaded comment]
Your version of Excel allows you to read this threaded comment; however, any edits to it will get removed if the file is opened in a newer version of Excel. Learn more: https://go.microsoft.com/fwlink/?linkid=870924
Comment:
    @Sievert  Katrin  and this one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tc={1EF8D96A-D4F8-4F04-BFDA-9F9DEFC1D71B}</author>
    <author>tc={7E634AA6-F84C-45DF-927A-7EC0571DD5E6}</author>
    <author>tc={85054E19-DD43-453D-B37F-8EDE2289C8B4}</author>
    <author>tc={1634E5DB-968C-4809-AFCB-569DDEDDE00D}</author>
    <author>tc={83B6F572-1307-4F9C-8E6A-E80DCBFCCEF0}</author>
    <author>tc={9E5F5A65-1260-4EF5-890E-C84ADF5D9241}</author>
    <author>tc={3BBBCEE6-AFAB-402E-AEDE-BDE82348B409}</author>
    <author>tc={49C4D418-E108-4AC1-8369-2417F71166E5}</author>
    <author>tc={E358FC8F-61B8-4095-B91E-0608C9FB7351}</author>
    <author>tc={F1E82F61-5388-4142-9B9F-958E1DF9CFFE}</author>
    <author>tc={3916D311-1426-4356-837C-685B46FEBDD8}</author>
    <author>tc={B2163893-35D6-40CE-AF55-B9BADD48DC1C}</author>
    <author>tc={7A087005-7092-405B-949E-36A5FEDE509E}</author>
    <author>tc={FC7E98BB-6FEE-487B-8249-91FD2F13C14C}</author>
    <author>tc={A0BB2F82-30B3-4964-A3D7-A3FA32B9BDD0}</author>
    <author>tc={C3AAB90F-A1BF-4795-9E03-463EB0B211CA}</author>
    <author>tc={3077BB45-F3B3-46A3-8022-10F4E8A0F420}</author>
    <author>tc={12507729-A60A-4DF5-B74A-9C4543C797FD}</author>
    <author>tc={B6654AD4-BB7E-46DB-BDB8-C5EE8F1D0AE4}</author>
    <author>tc={0C23BDF2-E247-4C8D-B943-607FC0C946D6}</author>
    <author>tc={A463170D-1C29-4EE5-BFC4-ACBF55AAE826}</author>
    <author>tc={3E1DE9F9-F373-4DD6-BFED-6455DF7D017A}</author>
    <author>tc={6048C8E5-CCC8-475B-A27F-E1CC465E639D}</author>
    <author>tc={42EC91E7-31C3-4CD4-A3B6-B97E3B999614}</author>
    <author>tc={815F4C81-22A0-4CD2-9BDA-19E3A45A353D}</author>
    <author>tc={87DA5026-20AC-4F24-82B5-0562AB65957F}</author>
    <author>tc={602701B5-9907-4792-B53B-10DF61BD69D6}</author>
    <author>tc={A98346E9-9A65-425F-B658-F36BEC35D8F1}</author>
    <author>tc={541DD166-3D8A-48CE-A1F7-8A712E62D2A3}</author>
  </authors>
  <commentList>
    <comment ref="L1" authorId="0" shapeId="0" xr:uid="{1EF8D96A-D4F8-4F04-BFDA-9F9DEFC1D71B}">
      <text>
        <t>[Threaded comment]
Your version of Excel allows you to read this threaded comment; however, any edits to it will get removed if the file is opened in a newer version of Excel. Learn more: https://go.microsoft.com/fwlink/?linkid=870924
Comment:
    Super important to distinguish results by cost type. Would be nice to differentiate the data dots in initial boxplots by cost type (e.g., starts for net removed cost; dots for levelized cost of capture, etc.) Will have to dig into the difference for meta-analysis as well</t>
      </text>
    </comment>
    <comment ref="W1" authorId="1" shapeId="0" xr:uid="{7E634AA6-F84C-45DF-927A-7EC0571DD5E6}">
      <text>
        <t>[Threaded comment]
Your version of Excel allows you to read this threaded comment; however, any edits to it will get removed if the file is opened in a newer version of Excel. Learn more: https://go.microsoft.com/fwlink/?linkid=870924
Comment:
    @Katrin: FLH might be interesting sensitivity case - see later whether to standardize/do sensitivity on</t>
      </text>
    </comment>
    <comment ref="AD1" authorId="2" shapeId="0" xr:uid="{85054E19-DD43-453D-B37F-8EDE2289C8B4}">
      <text>
        <t>[Threaded comment]
Your version of Excel allows you to read this threaded comment; however, any edits to it will get removed if the file is opened in a newer version of Excel. Learn more: https://go.microsoft.com/fwlink/?linkid=870924
Comment:
    @Katrin: fill data on where is it taken from</t>
      </text>
    </comment>
    <comment ref="T2" authorId="3" shapeId="0" xr:uid="{1634E5DB-968C-4809-AFCB-569DDEDDE00D}">
      <text>
        <t>[Threaded comment]
Your version of Excel allows you to read this threaded comment; however, any edits to it will get removed if the file is opened in a newer version of Excel. Learn more: https://go.microsoft.com/fwlink/?linkid=870924
Comment:
    Sources include Nuclear, Solar, Wind, Geothermal, Hydro, and Grid from USA, Australia, Brazil, Germany, Oman, UK, and China</t>
      </text>
    </comment>
    <comment ref="U2" authorId="4" shapeId="0" xr:uid="{83B6F572-1307-4F9C-8E6A-E80DCBFCCEF0}">
      <text>
        <t>[Threaded comment]
Your version of Excel allows you to read this threaded comment; however, any edits to it will get removed if the file is opened in a newer version of Excel. Learn more: https://go.microsoft.com/fwlink/?linkid=870924
Comment:
    Prices are based on source (Natural Gas, Geothermal, Solar) and Location</t>
      </text>
    </comment>
    <comment ref="T3" authorId="5" shapeId="0" xr:uid="{9E5F5A65-1260-4EF5-890E-C84ADF5D9241}">
      <text>
        <t>[Threaded comment]
Your version of Excel allows you to read this threaded comment; however, any edits to it will get removed if the file is opened in a newer version of Excel. Learn more: https://go.microsoft.com/fwlink/?linkid=870924
Comment:
    Sources include Nuclear, Solar, Wind, Geothermal, Hydro, and Grid from USA, Australia, Brazil, Germany, Oman, UK, and China</t>
      </text>
    </comment>
    <comment ref="U3" authorId="6" shapeId="0" xr:uid="{3BBBCEE6-AFAB-402E-AEDE-BDE82348B409}">
      <text>
        <t>[Threaded comment]
Your version of Excel allows you to read this threaded comment; however, any edits to it will get removed if the file is opened in a newer version of Excel. Learn more: https://go.microsoft.com/fwlink/?linkid=870924
Comment:
    Prices are based on source (Natural Gas, Geothermal, Solar) and Location</t>
      </text>
    </comment>
    <comment ref="T4" authorId="7" shapeId="0" xr:uid="{49C4D418-E108-4AC1-8369-2417F71166E5}">
      <text>
        <t>[Threaded comment]
Your version of Excel allows you to read this threaded comment; however, any edits to it will get removed if the file is opened in a newer version of Excel. Learn more: https://go.microsoft.com/fwlink/?linkid=870924
Comment:
    Sources include Nuclear, Solar, Wind, Geothermal, Hydro, and Grid from USA, Australia, Brazil, Germany, Oman, UK, and China</t>
      </text>
    </comment>
    <comment ref="U4" authorId="8" shapeId="0" xr:uid="{E358FC8F-61B8-4095-B91E-0608C9FB7351}">
      <text>
        <t>[Threaded comment]
Your version of Excel allows you to read this threaded comment; however, any edits to it will get removed if the file is opened in a newer version of Excel. Learn more: https://go.microsoft.com/fwlink/?linkid=870924
Comment:
    Prices are based on source (Natural Gas, Geothermal, Solar) and Location</t>
      </text>
    </comment>
    <comment ref="T5" authorId="9" shapeId="0" xr:uid="{F1E82F61-5388-4142-9B9F-958E1DF9CFFE}">
      <text>
        <t>[Threaded comment]
Your version of Excel allows you to read this threaded comment; however, any edits to it will get removed if the file is opened in a newer version of Excel. Learn more: https://go.microsoft.com/fwlink/?linkid=870924
Comment:
    Sources include Nuclear, Solar, Wind, Geothermal, Hydro, and Grid from USA, Australia, Brazil, Germany, Oman, UK, and China</t>
      </text>
    </comment>
    <comment ref="U5" authorId="10" shapeId="0" xr:uid="{3916D311-1426-4356-837C-685B46FEBDD8}">
      <text>
        <t>[Threaded comment]
Your version of Excel allows you to read this threaded comment; however, any edits to it will get removed if the file is opened in a newer version of Excel. Learn more: https://go.microsoft.com/fwlink/?linkid=870924
Comment:
    Prices are based on source (Natural Gas, Geothermal, Solar) and Location</t>
      </text>
    </comment>
    <comment ref="W9" authorId="11" shapeId="0" xr:uid="{B2163893-35D6-40CE-AF55-B9BADD48DC1C}">
      <text>
        <t>[Threaded comment]
Your version of Excel allows you to read this threaded comment; however, any edits to it will get removed if the file is opened in a newer version of Excel. Learn more: https://go.microsoft.com/fwlink/?linkid=870924
Comment:
    Obtained from SI equation for operating hours, not mentioned explicitly</t>
      </text>
    </comment>
    <comment ref="I10" authorId="12" shapeId="0" xr:uid="{7A087005-7092-405B-949E-36A5FEDE509E}">
      <text>
        <t>[Threaded comment]
Your version of Excel allows you to read this threaded comment; however, any edits to it will get removed if the file is opened in a newer version of Excel. Learn more: https://go.microsoft.com/fwlink/?linkid=870924
Comment:
    This is modelled per ton of CO2
Reply:
    What do you mean?
Reply:
    The paper works with CO2 productivity per collector and calculates costs for 1 collector. There is some discussion of the size of collector and land required for 1Gt capture but it is not explicitly modelled</t>
      </text>
    </comment>
    <comment ref="Q10" authorId="13" shapeId="0" xr:uid="{FC7E98BB-6FEE-487B-8249-91FD2F13C14C}">
      <text>
        <t>[Threaded comment]
Your version of Excel allows you to read this threaded comment; however, any edits to it will get removed if the file is opened in a newer version of Excel. Learn more: https://go.microsoft.com/fwlink/?linkid=870924
Comment:
    This is modelled per ton of CO2
Reply:
    What do you mean?
Reply:
    The paper works with CO2 productivity per collector and calculates costs for 1 collector. There is some discussion of the size of collector and land required for 1Gt capture but it is not explicitly modelled</t>
      </text>
    </comment>
    <comment ref="AF10" authorId="14" shapeId="0" xr:uid="{A0BB2F82-30B3-4964-A3D7-A3FA32B9BDD0}">
      <text>
        <t>[Threaded comment]
Your version of Excel allows you to read this threaded comment; however, any edits to it will get removed if the file is opened in a newer version of Excel. Learn more: https://go.microsoft.com/fwlink/?linkid=870924
Comment:
    @Sievert  Katrin we may need to contact this author since the model uses geospatial resolution to calculate costs. It would be great if you can check and validate</t>
      </text>
    </comment>
    <comment ref="G11" authorId="15" shapeId="0" xr:uid="{C3AAB90F-A1BF-4795-9E03-463EB0B211CA}">
      <text>
        <t>[Threaded comment]
Your version of Excel allows you to read this threaded comment; however, any edits to it will get removed if the file is opened in a newer version of Excel. Learn more: https://go.microsoft.com/fwlink/?linkid=870924
Comment:
    Note: fully electrified (not natural gas based)</t>
      </text>
    </comment>
    <comment ref="S13" authorId="16" shapeId="0" xr:uid="{3077BB45-F3B3-46A3-8022-10F4E8A0F420}">
      <text>
        <t>[Threaded comment]
Your version of Excel allows you to read this threaded comment; however, any edits to it will get removed if the file is opened in a newer version of Excel. Learn more: https://go.microsoft.com/fwlink/?linkid=870924
Comment:
    Same as APS 2011</t>
      </text>
    </comment>
    <comment ref="S14" authorId="17" shapeId="0" xr:uid="{12507729-A60A-4DF5-B74A-9C4543C797FD}">
      <text>
        <t>[Threaded comment]
Your version of Excel allows you to read this threaded comment; however, any edits to it will get removed if the file is opened in a newer version of Excel. Learn more: https://go.microsoft.com/fwlink/?linkid=870924
Comment:
    Same as APS 2011</t>
      </text>
    </comment>
    <comment ref="S18" authorId="18" shapeId="0" xr:uid="{B6654AD4-BB7E-46DB-BDB8-C5EE8F1D0AE4}">
      <text>
        <t>[Threaded comment]
Your version of Excel allows you to read this threaded comment; however, any edits to it will get removed if the file is opened in a newer version of Excel. Learn more: https://go.microsoft.com/fwlink/?linkid=870924
Comment:
    Electricity plant is modelled, need to derive LCOE (incl. battery) from installed cost of power plants</t>
      </text>
    </comment>
    <comment ref="AD18" authorId="19" shapeId="0" xr:uid="{0C23BDF2-E247-4C8D-B943-607FC0C946D6}">
      <text>
        <t>[Threaded comment]
Your version of Excel allows you to read this threaded comment; however, any edits to it will get removed if the file is opened in a newer version of Excel. Learn more: https://go.microsoft.com/fwlink/?linkid=870924
Comment:
    Note, labor is included in CAPEX for this study</t>
      </text>
    </comment>
    <comment ref="A21" authorId="20" shapeId="0" xr:uid="{A463170D-1C29-4EE5-BFC4-ACBF55AAE826}">
      <text>
        <t>[Threaded comment]
Your version of Excel allows you to read this threaded comment; however, any edits to it will get removed if the file is opened in a newer version of Excel. Learn more: https://go.microsoft.com/fwlink/?linkid=870924
Comment:
    @Katrin: exclude or not</t>
      </text>
    </comment>
    <comment ref="AF22" authorId="21" shapeId="0" xr:uid="{3E1DE9F9-F373-4DD6-BFED-6455DF7D017A}">
      <text>
        <t>[Threaded comment]
Your version of Excel allows you to read this threaded comment; however, any edits to it will get removed if the file is opened in a newer version of Excel. Learn more: https://go.microsoft.com/fwlink/?linkid=870924
Comment:
    I haven‘t done that for any of the sheets yet</t>
      </text>
    </comment>
    <comment ref="G23" authorId="22" shapeId="0" xr:uid="{6048C8E5-CCC8-475B-A27F-E1CC465E639D}">
      <text>
        <t>[Threaded comment]
Your version of Excel allows you to read this threaded comment; however, any edits to it will get removed if the file is opened in a newer version of Excel. Learn more: https://go.microsoft.com/fwlink/?linkid=870924
Comment:
    Although 4 technologies are mentioned, only 2 are modelled</t>
      </text>
    </comment>
    <comment ref="S23" authorId="23" shapeId="0" xr:uid="{42EC91E7-31C3-4CD4-A3B6-B97E3B999614}">
      <text>
        <t>[Threaded comment]
Your version of Excel allows you to read this threaded comment; however, any edits to it will get removed if the file is opened in a newer version of Excel. Learn more: https://go.microsoft.com/fwlink/?linkid=870924
Comment:
    @Yash Dubey (GESSWHO) , please specify range per tech</t>
      </text>
    </comment>
    <comment ref="AG23" authorId="24" shapeId="0" xr:uid="{815F4C81-22A0-4CD2-9BDA-19E3A45A353D}">
      <text>
        <t>[Threaded comment]
Your version of Excel allows you to read this threaded comment; however, any edits to it will get removed if the file is opened in a newer version of Excel. Learn more: https://go.microsoft.com/fwlink/?linkid=870924
Comment:
    @Yash Dubey (GESSWHO) , what is the status on Küng? ☺️</t>
      </text>
    </comment>
    <comment ref="G24" authorId="25" shapeId="0" xr:uid="{87DA5026-20AC-4F24-82B5-0562AB65957F}">
      <text>
        <t>[Threaded comment]
Your version of Excel allows you to read this threaded comment; however, any edits to it will get removed if the file is opened in a newer version of Excel. Learn more: https://go.microsoft.com/fwlink/?linkid=870924
Comment:
    Although 4 technologies are mentioned, only 2 are modelled</t>
      </text>
    </comment>
    <comment ref="AA35" authorId="26" shapeId="0" xr:uid="{602701B5-9907-4792-B53B-10DF61BD69D6}">
      <text>
        <t>[Threaded comment]
Your version of Excel allows you to read this threaded comment; however, any edits to it will get removed if the file is opened in a newer version of Excel. Learn more: https://go.microsoft.com/fwlink/?linkid=870924
Comment:
    This is transport + storage</t>
      </text>
    </comment>
    <comment ref="AA36" authorId="27" shapeId="0" xr:uid="{A98346E9-9A65-425F-B658-F36BEC35D8F1}">
      <text>
        <t xml:space="preserve">[Threaded comment]
Your version of Excel allows you to read this threaded comment; however, any edits to it will get removed if the file is opened in a newer version of Excel. Learn more: https://go.microsoft.com/fwlink/?linkid=870924
Comment:
    This is transport + storage
</t>
      </text>
    </comment>
    <comment ref="A38" authorId="28" shapeId="0" xr:uid="{541DD166-3D8A-48CE-A1F7-8A712E62D2A3}">
      <text>
        <t>[Threaded comment]
Your version of Excel allows you to read this threaded comment; however, any edits to it will get removed if the file is opened in a newer version of Excel. Learn more: https://go.microsoft.com/fwlink/?linkid=870924
Comment:
    @Sievert  Katrin similar to Sinha 2019, there are some things missing to calculate the final cost. Do you think we can contact the authors?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tc={0350936E-5044-471D-A851-AE9586EAACA6}</author>
    <author>tc={64A09F6B-DB5C-4E34-952E-6D0A11E017D9}</author>
    <author>tc={733209E8-3665-41FD-BADC-7944847F9D84}</author>
    <author>tc={86BB2AD5-826A-425D-B333-633E4D38767A}</author>
    <author>tc={0CB68CBC-1557-4C67-93B7-53D7E7A9B650}</author>
    <author>tc={DEF73B4C-B5F4-44BF-B216-26859C6F82B5}</author>
    <author>tc={07F57849-1FFE-4F56-AC47-C971DFCEEAC9}</author>
    <author>tc={4E7D18A9-A9D5-4153-B291-395791263BAC}</author>
    <author>tc={BD04C056-715D-4212-8A4A-8A7D7674B6DD}</author>
    <author>tc={1AC8CD09-0EB0-4214-951B-A26C1D273B22}</author>
    <author>tc={D1EBB37E-50DB-4F0A-AC93-E57F42603E17}</author>
    <author>tc={35FAC218-210D-684F-B09A-02EBE0F780AE}</author>
    <author>tc={F536CBE0-9513-0D48-B524-50C9AB660CBC}</author>
    <author>tc={1EE642E4-A716-E147-93D2-EBC82888867C}</author>
    <author>tc={C95C2BCC-3382-4BE7-948B-2D1F88B6C4EE}</author>
    <author>tc={1B4F455C-B358-4250-8ECB-70EBFDB0C62A}</author>
    <author>tc={371321C4-A3D2-4007-968B-EE1E2CB9DDCF}</author>
    <author>tc={5E072874-0F33-4869-AA80-F4CCC7A97C3A}</author>
    <author>tc={FC56B118-BB61-4DBC-8F46-9F3C2A3A9E4B}</author>
    <author>tc={728DBFB1-DB2C-4EDA-8E92-BE2DED6B0C6B}</author>
    <author>tc={3E1CE0CF-3941-44BC-9E68-9761F9B3A0C3}</author>
    <author>tc={4DDE1A3D-EE9B-47D8-B03C-C35299C31CC2}</author>
    <author>tc={E1714139-03F0-4EFC-966C-2AD42AED0BCB}</author>
    <author>tc={49323A28-0DCB-49FC-989D-88DB2030BFBF}</author>
    <author>tc={989D0218-F576-45FE-ABE7-DEEE1C53086D}</author>
    <author>tc={A11130B6-8F8E-41E3-ACD7-7C044B8FB67F}</author>
    <author>tc={8C4F2012-255B-4EAF-95F0-14F0195BAF1C}</author>
    <author>tc={0B133023-ADBB-434F-ADE6-C39EDED95688}</author>
  </authors>
  <commentList>
    <comment ref="L1" authorId="0" shapeId="0" xr:uid="{0350936E-5044-471D-A851-AE9586EAACA6}">
      <text>
        <t>[Threaded comment]
Your version of Excel allows you to read this threaded comment; however, any edits to it will get removed if the file is opened in a newer version of Excel. Learn more: https://go.microsoft.com/fwlink/?linkid=870924
Comment:
    Super important to distinguish results by cost type. Would be nice to differentiate the data dots in initial boxplots by cost type (e.g., starts for net removed cost; dots for levelized cost of capture, etc.) Will have to dig into the difference for meta-analysis as well</t>
      </text>
    </comment>
    <comment ref="W1" authorId="1" shapeId="0" xr:uid="{64A09F6B-DB5C-4E34-952E-6D0A11E017D9}">
      <text>
        <t>[Threaded comment]
Your version of Excel allows you to read this threaded comment; however, any edits to it will get removed if the file is opened in a newer version of Excel. Learn more: https://go.microsoft.com/fwlink/?linkid=870924
Comment:
    @Katrin: FLH might be interesting sensitivity case - see later whether to standardize/do sensitivity on</t>
      </text>
    </comment>
    <comment ref="AD1" authorId="2" shapeId="0" xr:uid="{733209E8-3665-41FD-BADC-7944847F9D84}">
      <text>
        <t>[Threaded comment]
Your version of Excel allows you to read this threaded comment; however, any edits to it will get removed if the file is opened in a newer version of Excel. Learn more: https://go.microsoft.com/fwlink/?linkid=870924
Comment:
    @Katrin: fill data on where is it taken from</t>
      </text>
    </comment>
    <comment ref="T2" authorId="3" shapeId="0" xr:uid="{86BB2AD5-826A-425D-B333-633E4D38767A}">
      <text>
        <t>[Threaded comment]
Your version of Excel allows you to read this threaded comment; however, any edits to it will get removed if the file is opened in a newer version of Excel. Learn more: https://go.microsoft.com/fwlink/?linkid=870924
Comment:
    Sources include Nuclear, Solar, Wind, Geothermal, Hydro, and Grid from USA, Australia, Brazil, Germany, Oman, UK, and China</t>
      </text>
    </comment>
    <comment ref="U2" authorId="4" shapeId="0" xr:uid="{0CB68CBC-1557-4C67-93B7-53D7E7A9B650}">
      <text>
        <t>[Threaded comment]
Your version of Excel allows you to read this threaded comment; however, any edits to it will get removed if the file is opened in a newer version of Excel. Learn more: https://go.microsoft.com/fwlink/?linkid=870924
Comment:
    Prices are based on source (Natural Gas, Geothermal, Solar) and Location</t>
      </text>
    </comment>
    <comment ref="T3" authorId="5" shapeId="0" xr:uid="{DEF73B4C-B5F4-44BF-B216-26859C6F82B5}">
      <text>
        <t>[Threaded comment]
Your version of Excel allows you to read this threaded comment; however, any edits to it will get removed if the file is opened in a newer version of Excel. Learn more: https://go.microsoft.com/fwlink/?linkid=870924
Comment:
    Sources include Nuclear, Solar, Wind, Geothermal, Hydro, and Grid from USA, Australia, Brazil, Germany, Oman, UK, and China</t>
      </text>
    </comment>
    <comment ref="U3" authorId="6" shapeId="0" xr:uid="{07F57849-1FFE-4F56-AC47-C971DFCEEAC9}">
      <text>
        <t>[Threaded comment]
Your version of Excel allows you to read this threaded comment; however, any edits to it will get removed if the file is opened in a newer version of Excel. Learn more: https://go.microsoft.com/fwlink/?linkid=870924
Comment:
    Prices are based on source (Natural Gas, Geothermal, Solar) and Location</t>
      </text>
    </comment>
    <comment ref="T4" authorId="7" shapeId="0" xr:uid="{4E7D18A9-A9D5-4153-B291-395791263BAC}">
      <text>
        <t>[Threaded comment]
Your version of Excel allows you to read this threaded comment; however, any edits to it will get removed if the file is opened in a newer version of Excel. Learn more: https://go.microsoft.com/fwlink/?linkid=870924
Comment:
    Sources include Nuclear, Solar, Wind, Geothermal, Hydro, and Grid from USA, Australia, Brazil, Germany, Oman, UK, and China</t>
      </text>
    </comment>
    <comment ref="U4" authorId="8" shapeId="0" xr:uid="{BD04C056-715D-4212-8A4A-8A7D7674B6DD}">
      <text>
        <t>[Threaded comment]
Your version of Excel allows you to read this threaded comment; however, any edits to it will get removed if the file is opened in a newer version of Excel. Learn more: https://go.microsoft.com/fwlink/?linkid=870924
Comment:
    Prices are based on source (Natural Gas, Geothermal, Solar) and Location</t>
      </text>
    </comment>
    <comment ref="T5" authorId="9" shapeId="0" xr:uid="{1AC8CD09-0EB0-4214-951B-A26C1D273B22}">
      <text>
        <t>[Threaded comment]
Your version of Excel allows you to read this threaded comment; however, any edits to it will get removed if the file is opened in a newer version of Excel. Learn more: https://go.microsoft.com/fwlink/?linkid=870924
Comment:
    Sources include Nuclear, Solar, Wind, Geothermal, Hydro, and Grid from USA, Australia, Brazil, Germany, Oman, UK, and China</t>
      </text>
    </comment>
    <comment ref="U5" authorId="10" shapeId="0" xr:uid="{D1EBB37E-50DB-4F0A-AC93-E57F42603E17}">
      <text>
        <t>[Threaded comment]
Your version of Excel allows you to read this threaded comment; however, any edits to it will get removed if the file is opened in a newer version of Excel. Learn more: https://go.microsoft.com/fwlink/?linkid=870924
Comment:
    Prices are based on source (Natural Gas, Geothermal, Solar) and Location</t>
      </text>
    </comment>
    <comment ref="W9" authorId="11" shapeId="0" xr:uid="{35FAC218-210D-684F-B09A-02EBE0F780AE}">
      <text>
        <t>[Threaded comment]
Your version of Excel allows you to read this threaded comment; however, any edits to it will get removed if the file is opened in a newer version of Excel. Learn more: https://go.microsoft.com/fwlink/?linkid=870924
Comment:
    Obtained from SI equation for operating hours, not mentioned explicitly</t>
      </text>
    </comment>
    <comment ref="Q10" authorId="12" shapeId="0" xr:uid="{F536CBE0-9513-0D48-B524-50C9AB660CBC}">
      <text>
        <t>[Threaded comment]
Your version of Excel allows you to read this threaded comment; however, any edits to it will get removed if the file is opened in a newer version of Excel. Learn more: https://go.microsoft.com/fwlink/?linkid=870924
Comment:
    This is modelled per ton of CO2
Reply:
    What do you mean?
Reply:
    The paper works with CO2 productivity per collector and calculates costs for 1 collector. There is some discussion of the size of collector and land required for 1Gt capture but it is not explicitly modelled</t>
      </text>
    </comment>
    <comment ref="AF10" authorId="13" shapeId="0" xr:uid="{1EE642E4-A716-E147-93D2-EBC82888867C}">
      <text>
        <t>[Threaded comment]
Your version of Excel allows you to read this threaded comment; however, any edits to it will get removed if the file is opened in a newer version of Excel. Learn more: https://go.microsoft.com/fwlink/?linkid=870924
Comment:
    @Sievert  Katrin we may need to contact this author since the model uses geospatial resolution to calculate costs. It would be great if you can check and validate</t>
      </text>
    </comment>
    <comment ref="G11" authorId="14" shapeId="0" xr:uid="{C95C2BCC-3382-4BE7-948B-2D1F88B6C4EE}">
      <text>
        <t>[Threaded comment]
Your version of Excel allows you to read this threaded comment; however, any edits to it will get removed if the file is opened in a newer version of Excel. Learn more: https://go.microsoft.com/fwlink/?linkid=870924
Comment:
    Note: fully electrified (not natural gas based)</t>
      </text>
    </comment>
    <comment ref="S13" authorId="15" shapeId="0" xr:uid="{1B4F455C-B358-4250-8ECB-70EBFDB0C62A}">
      <text>
        <t>[Threaded comment]
Your version of Excel allows you to read this threaded comment; however, any edits to it will get removed if the file is opened in a newer version of Excel. Learn more: https://go.microsoft.com/fwlink/?linkid=870924
Comment:
    Same as APS 2011</t>
      </text>
    </comment>
    <comment ref="S14" authorId="16" shapeId="0" xr:uid="{371321C4-A3D2-4007-968B-EE1E2CB9DDCF}">
      <text>
        <t>[Threaded comment]
Your version of Excel allows you to read this threaded comment; however, any edits to it will get removed if the file is opened in a newer version of Excel. Learn more: https://go.microsoft.com/fwlink/?linkid=870924
Comment:
    Same as APS 2011</t>
      </text>
    </comment>
    <comment ref="S18" authorId="17" shapeId="0" xr:uid="{5E072874-0F33-4869-AA80-F4CCC7A97C3A}">
      <text>
        <t>[Threaded comment]
Your version of Excel allows you to read this threaded comment; however, any edits to it will get removed if the file is opened in a newer version of Excel. Learn more: https://go.microsoft.com/fwlink/?linkid=870924
Comment:
    Electricity plant is modelled, need to derive LCOE (incl. battery) from installed cost of power plants</t>
      </text>
    </comment>
    <comment ref="AD18" authorId="18" shapeId="0" xr:uid="{FC56B118-BB61-4DBC-8F46-9F3C2A3A9E4B}">
      <text>
        <t>[Threaded comment]
Your version of Excel allows you to read this threaded comment; however, any edits to it will get removed if the file is opened in a newer version of Excel. Learn more: https://go.microsoft.com/fwlink/?linkid=870924
Comment:
    Note, labor is included in CAPEX for this study</t>
      </text>
    </comment>
    <comment ref="A21" authorId="19" shapeId="0" xr:uid="{728DBFB1-DB2C-4EDA-8E92-BE2DED6B0C6B}">
      <text>
        <t>[Threaded comment]
Your version of Excel allows you to read this threaded comment; however, any edits to it will get removed if the file is opened in a newer version of Excel. Learn more: https://go.microsoft.com/fwlink/?linkid=870924
Comment:
    @Katrin: exclude or not</t>
      </text>
    </comment>
    <comment ref="AF22" authorId="20" shapeId="0" xr:uid="{3E1CE0CF-3941-44BC-9E68-9761F9B3A0C3}">
      <text>
        <t>[Threaded comment]
Your version of Excel allows you to read this threaded comment; however, any edits to it will get removed if the file is opened in a newer version of Excel. Learn more: https://go.microsoft.com/fwlink/?linkid=870924
Comment:
    I haven‘t done that for any of the sheets yet</t>
      </text>
    </comment>
    <comment ref="G23" authorId="21" shapeId="0" xr:uid="{4DDE1A3D-EE9B-47D8-B03C-C35299C31CC2}">
      <text>
        <t>[Threaded comment]
Your version of Excel allows you to read this threaded comment; however, any edits to it will get removed if the file is opened in a newer version of Excel. Learn more: https://go.microsoft.com/fwlink/?linkid=870924
Comment:
    Although 4 technologies are mentioned, only 2 are modelled</t>
      </text>
    </comment>
    <comment ref="S23" authorId="22" shapeId="0" xr:uid="{E1714139-03F0-4EFC-966C-2AD42AED0BCB}">
      <text>
        <t>[Threaded comment]
Your version of Excel allows you to read this threaded comment; however, any edits to it will get removed if the file is opened in a newer version of Excel. Learn more: https://go.microsoft.com/fwlink/?linkid=870924
Comment:
    @Yash Dubey (GESSWHO) , please specify range per tech</t>
      </text>
    </comment>
    <comment ref="AG23" authorId="23" shapeId="0" xr:uid="{49323A28-0DCB-49FC-989D-88DB2030BFBF}">
      <text>
        <t>[Threaded comment]
Your version of Excel allows you to read this threaded comment; however, any edits to it will get removed if the file is opened in a newer version of Excel. Learn more: https://go.microsoft.com/fwlink/?linkid=870924
Comment:
    @Yash Dubey (GESSWHO) , what is the status on Küng? ☺️</t>
      </text>
    </comment>
    <comment ref="G24" authorId="24" shapeId="0" xr:uid="{989D0218-F576-45FE-ABE7-DEEE1C53086D}">
      <text>
        <t>[Threaded comment]
Your version of Excel allows you to read this threaded comment; however, any edits to it will get removed if the file is opened in a newer version of Excel. Learn more: https://go.microsoft.com/fwlink/?linkid=870924
Comment:
    Although 4 technologies are mentioned, only 2 are modelled</t>
      </text>
    </comment>
    <comment ref="AA35" authorId="25" shapeId="0" xr:uid="{A11130B6-8F8E-41E3-ACD7-7C044B8FB67F}">
      <text>
        <t>[Threaded comment]
Your version of Excel allows you to read this threaded comment; however, any edits to it will get removed if the file is opened in a newer version of Excel. Learn more: https://go.microsoft.com/fwlink/?linkid=870924
Comment:
    This is transport + storage</t>
      </text>
    </comment>
    <comment ref="AA36" authorId="26" shapeId="0" xr:uid="{8C4F2012-255B-4EAF-95F0-14F0195BAF1C}">
      <text>
        <t xml:space="preserve">[Threaded comment]
Your version of Excel allows you to read this threaded comment; however, any edits to it will get removed if the file is opened in a newer version of Excel. Learn more: https://go.microsoft.com/fwlink/?linkid=870924
Comment:
    This is transport + storage
</t>
      </text>
    </comment>
    <comment ref="A38" authorId="27" shapeId="0" xr:uid="{0B133023-ADBB-434F-ADE6-C39EDED95688}">
      <text>
        <t>[Threaded comment]
Your version of Excel allows you to read this threaded comment; however, any edits to it will get removed if the file is opened in a newer version of Excel. Learn more: https://go.microsoft.com/fwlink/?linkid=870924
Comment:
    @Sievert  Katrin similar to Sinha 2019, there are some things missing to calculate the final cost. Do you think we can contact the authors?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tc={13FBD5C1-C7AD-481E-8BEF-2BCEE5657855}</author>
    <author>tc={81F1FAF5-41A5-4877-88BA-7661CDD385FC}</author>
    <author>tc={F9520948-9D7F-475E-A76C-5B8C0F91C279}</author>
    <author>tc={2C5D1DDE-D2EB-4B36-B440-D5AC5B4DFA10}</author>
    <author>tc={A5FFF8A1-ACF0-4CD3-815A-8476EBCDFC0C}</author>
    <author>tc={FD151479-DE2A-41C3-80E2-1226DA56B401}</author>
  </authors>
  <commentList>
    <comment ref="M2" authorId="0" shapeId="0" xr:uid="{13FBD5C1-C7AD-481E-8BEF-2BCEE5657855}">
      <text>
        <t>[Threaded comment]
Your version of Excel allows you to read this threaded comment; however, any edits to it will get removed if the file is opened in a newer version of Excel. Learn more: https://go.microsoft.com/fwlink/?linkid=870924
Comment:
    LCOE and carbon intensity are harmonized in the same step</t>
      </text>
    </comment>
    <comment ref="A27" authorId="1" shapeId="0" xr:uid="{81F1FAF5-41A5-4877-88BA-7661CDD385FC}">
      <text>
        <t>[Threaded comment]
Your version of Excel allows you to read this threaded comment; however, any edits to it will get removed if the file is opened in a newer version of Excel. Learn more: https://go.microsoft.com/fwlink/?linkid=870924
Comment:
    Will re-run Sievert et al. Again if any inputs to standardize change</t>
      </text>
    </comment>
    <comment ref="K48" authorId="2" shapeId="0" xr:uid="{F9520948-9D7F-475E-A76C-5B8C0F91C279}">
      <text>
        <t>[Threaded comment]
Your version of Excel allows you to read this threaded comment; however, any edits to it will get removed if the file is opened in a newer version of Excel. Learn more: https://go.microsoft.com/fwlink/?linkid=870924
Comment:
    This paper does not detail plant capacity</t>
      </text>
    </comment>
    <comment ref="D60" authorId="3" shapeId="0" xr:uid="{2C5D1DDE-D2EB-4B36-B440-D5AC5B4DFA10}">
      <text>
        <t>[Threaded comment]
Your version of Excel allows you to read this threaded comment; however, any edits to it will get removed if the file is opened in a newer version of Excel. Learn more: https://go.microsoft.com/fwlink/?linkid=870924
Comment:
    Note: fully electrified (not natural gas based)</t>
      </text>
    </comment>
    <comment ref="B140" authorId="4" shapeId="0" xr:uid="{A5FFF8A1-ACF0-4CD3-815A-8476EBCDFC0C}">
      <text>
        <t>[Threaded comment]
Your version of Excel allows you to read this threaded comment; however, any edits to it will get removed if the file is opened in a newer version of Excel. Learn more: https://go.microsoft.com/fwlink/?linkid=870924
Comment:
    Not specified as 2050 in Keith et al. Our assumption</t>
      </text>
    </comment>
    <comment ref="B144" authorId="5" shapeId="0" xr:uid="{FD151479-DE2A-41C3-80E2-1226DA56B401}">
      <text>
        <t>[Threaded comment]
Your version of Excel allows you to read this threaded comment; however, any edits to it will get removed if the file is opened in a newer version of Excel. Learn more: https://go.microsoft.com/fwlink/?linkid=870924
Comment:
    Not specified as 2050 in Keith et al. Our assumption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<sst xmlns="http://schemas.openxmlformats.org/spreadsheetml/2006/main" count="3612" uniqueCount="792">
  <si>
    <t>This is a sheet for standardisation of inputs for the Meta Analysis of Net Removed Cost from Direct Air Capture Transport and Storage</t>
  </si>
  <si>
    <t>Scenario Selected</t>
  </si>
  <si>
    <t>Reference Oil Price</t>
  </si>
  <si>
    <t>Electricity and CO2 Price</t>
  </si>
  <si>
    <t>Reference</t>
  </si>
  <si>
    <t>Parameter</t>
  </si>
  <si>
    <t>Year</t>
  </si>
  <si>
    <t>Value</t>
  </si>
  <si>
    <t>Unit</t>
  </si>
  <si>
    <t>Standard Values</t>
  </si>
  <si>
    <t>Current Year</t>
  </si>
  <si>
    <t>Inflation</t>
  </si>
  <si>
    <t>WACC</t>
  </si>
  <si>
    <t>USD to EUR</t>
  </si>
  <si>
    <t xml:space="preserve">Electricity </t>
  </si>
  <si>
    <t>LCOE</t>
  </si>
  <si>
    <t>$/MWh</t>
  </si>
  <si>
    <t>(these are not Sievert et al. Values - where do they come from?)</t>
  </si>
  <si>
    <t>Vary this for electricity price scenarios</t>
  </si>
  <si>
    <t>LCOH waste heat/combined heat and power</t>
  </si>
  <si>
    <t>$/GJ</t>
  </si>
  <si>
    <t>See Standardization "Carbon intensity" tab</t>
  </si>
  <si>
    <t>LCOH natural gas</t>
  </si>
  <si>
    <t>Carbon intensity NG</t>
  </si>
  <si>
    <t>tCO2/GJ</t>
  </si>
  <si>
    <t>Carbon intensity electricity (solar PV w/ tracking</t>
  </si>
  <si>
    <t>Carbon intensity waste heat</t>
  </si>
  <si>
    <t>CO2 Transport</t>
  </si>
  <si>
    <t>CO2 Transport Cost</t>
  </si>
  <si>
    <t>$/tCO2</t>
  </si>
  <si>
    <t>Dummy value for now</t>
  </si>
  <si>
    <t>CO2 Storage</t>
  </si>
  <si>
    <t>CO2 Storage Cost</t>
  </si>
  <si>
    <t>1 MWh = 3.6 GJ</t>
  </si>
  <si>
    <t>conversion factor</t>
  </si>
  <si>
    <t>Technology</t>
  </si>
  <si>
    <t>Scenario</t>
  </si>
  <si>
    <t>Period raw</t>
  </si>
  <si>
    <t>Source</t>
  </si>
  <si>
    <t>Note</t>
  </si>
  <si>
    <t>Link</t>
  </si>
  <si>
    <t>carbon_intensity</t>
  </si>
  <si>
    <t>unit</t>
  </si>
  <si>
    <t>PV tracking with storage</t>
  </si>
  <si>
    <t>LCOE $/MWh (avg)</t>
  </si>
  <si>
    <t>2022 2H</t>
  </si>
  <si>
    <t>BNEF LCOE - All Technologies - Unites States - LCOE Forecast 2022</t>
  </si>
  <si>
    <t xml:space="preserve">To be converted in $/GJ with conversion factor in Universal Inputs "conversion_electricity" OR just </t>
  </si>
  <si>
    <t>https://www.bnef.com/flagships/lcoe</t>
  </si>
  <si>
    <t>[t-CO2,eq GJ-1]</t>
  </si>
  <si>
    <t>Young et al. (2023)</t>
  </si>
  <si>
    <t>CCGT</t>
  </si>
  <si>
    <t>LCOE $/GJ (low)</t>
  </si>
  <si>
    <t>CCGT CCS</t>
  </si>
  <si>
    <t>LCOE $/MWh (low)</t>
  </si>
  <si>
    <t>CCGT Hydrogen</t>
  </si>
  <si>
    <t>Coal</t>
  </si>
  <si>
    <t>Coal CCS</t>
  </si>
  <si>
    <t>OCGT</t>
  </si>
  <si>
    <t>OCGT CCS</t>
  </si>
  <si>
    <t>OCGT Hydrogen</t>
  </si>
  <si>
    <t>PV non-tracking</t>
  </si>
  <si>
    <t>PV non-tracking with storage</t>
  </si>
  <si>
    <t>PV tracking</t>
  </si>
  <si>
    <t>Utility-scale battery (1h)</t>
  </si>
  <si>
    <t>Utility-scale battery (4h)</t>
  </si>
  <si>
    <t>Wind offshore</t>
  </si>
  <si>
    <t>Wind onshore</t>
  </si>
  <si>
    <t>Wind onshore with storage</t>
  </si>
  <si>
    <t>LCOE $/MWh (high)</t>
  </si>
  <si>
    <t>1,148</t>
  </si>
  <si>
    <t>1,059</t>
  </si>
  <si>
    <t>Nuclear</t>
  </si>
  <si>
    <t>Nuclear Energy Agency (NEA) - Projected Costs of Generating Electricity - 2020 Edition (oecd-nea.org)</t>
  </si>
  <si>
    <t>p.59</t>
  </si>
  <si>
    <t>Geothermal</t>
  </si>
  <si>
    <t>Renewable Power Generation Costs in 2021 (irena.org)</t>
  </si>
  <si>
    <t>In line with icelandic LCOE</t>
  </si>
  <si>
    <t>Global weighted average</t>
  </si>
  <si>
    <t>Carbon intensities used for heat in standardization taken from Young et al. (2023)</t>
  </si>
  <si>
    <t>Country</t>
  </si>
  <si>
    <t>Heat Source</t>
  </si>
  <si>
    <t>Cost Min [$ GJ-1]</t>
  </si>
  <si>
    <t>Cost Median [$ GJ-1]</t>
  </si>
  <si>
    <t>Cost Max [$ GJ-1]</t>
  </si>
  <si>
    <t>Carbon Intensity [kg CO₂eq GJ-1]</t>
  </si>
  <si>
    <t>Refs</t>
  </si>
  <si>
    <t>NATURAL GAS</t>
  </si>
  <si>
    <t>United States</t>
  </si>
  <si>
    <t>Natural Gas</t>
  </si>
  <si>
    <t>IEA (2021). Key world energy statistics 2021</t>
  </si>
  <si>
    <t>Beckers, K.F., and McCabe, K. (2019). GEOPHIRES v2.0: updated geothermal technoeconomic simulation tool. Geotherm. Energy 7, 5. 10.1186/s40517-019-0119-6.</t>
  </si>
  <si>
    <t>Solar</t>
  </si>
  <si>
    <t>IEA (2021). Levelized cost of heating (LCOH) for consumers, for selected space and water heating technologies and countries.</t>
  </si>
  <si>
    <t>WASTE HEAT</t>
  </si>
  <si>
    <t>United states</t>
  </si>
  <si>
    <t>Average</t>
  </si>
  <si>
    <t>Average of NG, geothermal, solar used for waste heat (low temperature heat) carbon intensity</t>
  </si>
  <si>
    <t>Table S9 Prices and carbon intensity natural gas (for the high temperature processes &gt;150°C), alongside prices and carbon intensity of low-grade heat from solar and geothermala (for the low temperature processes &lt;150°C).</t>
  </si>
  <si>
    <t>Low-grade heat can also be supplied with electricity via a heat pump, which assumes the capital cost detailed in Table S1 and a coefficient of performance of 2.b The carbon intensity of geothermal heat is scaled from a baseline reference based on grid intensity,51,52c whilst solar heat is scaled from a baseline based on solar intensity.53,54</t>
  </si>
  <si>
    <t>Finally, the natural gas carbon intensity is calculated from leakage rates reported by Cooper et al.55 and is not including combustion as the processes that use it are oxyfired so all the carbon dioxide from combustion is captured.</t>
  </si>
  <si>
    <t>LCOE cost assumption</t>
  </si>
  <si>
    <t>Source:</t>
  </si>
  <si>
    <t>BNEF LCOE Forecast 2022</t>
  </si>
  <si>
    <t>-</t>
  </si>
  <si>
    <t xml:space="preserve"> LCOE ($/MWh) </t>
  </si>
  <si>
    <t xml:space="preserve"> LCOE (€/MWh) </t>
  </si>
  <si>
    <t>Possible sensitivities</t>
  </si>
  <si>
    <t>PV tracking with storage (high) - 12 battery hours - high</t>
  </si>
  <si>
    <t>LCOE ($/MWh)</t>
  </si>
  <si>
    <t>PV tracking with storage (low) - 12 battery hours - high</t>
  </si>
  <si>
    <t>Wind Offshore</t>
  </si>
  <si>
    <t>Discount rate</t>
  </si>
  <si>
    <t>Average across all studies considered (Multiple sources)</t>
  </si>
  <si>
    <t>Coupling of CO2 and Electricity</t>
  </si>
  <si>
    <t>CO2 Price</t>
  </si>
  <si>
    <t>Electricity Price</t>
  </si>
  <si>
    <t>Slope</t>
  </si>
  <si>
    <t>$/t per $/kWh</t>
  </si>
  <si>
    <t>Electricity Price Range</t>
  </si>
  <si>
    <t>High</t>
  </si>
  <si>
    <t>Low</t>
  </si>
  <si>
    <t>CO2 Price Range</t>
  </si>
  <si>
    <t>Lower bounds of multi component experience curves</t>
  </si>
  <si>
    <t>Included?</t>
  </si>
  <si>
    <t>Title</t>
  </si>
  <si>
    <t>Journal</t>
  </si>
  <si>
    <t>Authors</t>
  </si>
  <si>
    <t>Year of Publication</t>
  </si>
  <si>
    <t>DOI</t>
  </si>
  <si>
    <t>Abstract</t>
  </si>
  <si>
    <t>First Read</t>
  </si>
  <si>
    <t>Second Read</t>
  </si>
  <si>
    <t>Cost Type</t>
  </si>
  <si>
    <t>Timeline</t>
  </si>
  <si>
    <t>Plant size</t>
  </si>
  <si>
    <t>Scale</t>
  </si>
  <si>
    <t>DAC Technology</t>
  </si>
  <si>
    <t>Year of Assumptions in Study</t>
  </si>
  <si>
    <t>Electricity Sources</t>
  </si>
  <si>
    <t>Method</t>
  </si>
  <si>
    <t>Frequently Referenced?</t>
  </si>
  <si>
    <t>Sensitive Parameters</t>
  </si>
  <si>
    <t>Sensitive parameters CAPEX</t>
  </si>
  <si>
    <t>Sensitive parameters OPEX</t>
  </si>
  <si>
    <t>Sensitivity Analysis</t>
  </si>
  <si>
    <t>Sensitivity for current or future costs</t>
  </si>
  <si>
    <t>Main Cost Drivers</t>
  </si>
  <si>
    <t>CAPEX Driver</t>
  </si>
  <si>
    <t>OPEX Driver</t>
  </si>
  <si>
    <t>y</t>
  </si>
  <si>
    <t>Young et al. 2023</t>
  </si>
  <si>
    <t>One Earth</t>
  </si>
  <si>
    <t>John Young 1
, 
Noah McQueen 2
, 
Charithea Charalambous 1
, 
Spyros Foteinis 1
, 
Olivia Hawrot 1
, 
Manuel Ojeda 1
, 
Hélène Pilorgé 2
, 
John Andresen 1
, 
Peter Psarras 2
, 
Phil Renforth 1
, 
Susana Garcia 1
, 
Mijndert van der Spek 1 3</t>
  </si>
  <si>
    <t>10.1016/j.oneear.2023.06.004</t>
  </si>
  <si>
    <t>Relevant</t>
  </si>
  <si>
    <t>Initial plant size</t>
  </si>
  <si>
    <t>Initial plant</t>
  </si>
  <si>
    <t>Liquid solvent</t>
  </si>
  <si>
    <t>nuclear energy</t>
  </si>
  <si>
    <t>Techno-economic modeling</t>
  </si>
  <si>
    <t>Capacity factor, Bare erected cost, Materials scaling</t>
  </si>
  <si>
    <t>Capacity factor</t>
  </si>
  <si>
    <t>Heat demand</t>
  </si>
  <si>
    <t>Tornado Chart</t>
  </si>
  <si>
    <t xml:space="preserve">current </t>
  </si>
  <si>
    <t>Solid sorbent</t>
  </si>
  <si>
    <t xml:space="preserve">nuclear energy, heat pump </t>
  </si>
  <si>
    <t>Electricity price</t>
  </si>
  <si>
    <t>Liquid solvent with electrochemical regeneration</t>
  </si>
  <si>
    <t>Electricity demand, Electricity price, Bare erected cost</t>
  </si>
  <si>
    <t>Bare erected cost</t>
  </si>
  <si>
    <t>Electricity requirement, Electricity price</t>
  </si>
  <si>
    <t>Ambient weathering</t>
  </si>
  <si>
    <t>Bare erected cost, Capacity factor, MgCO3 price</t>
  </si>
  <si>
    <t>MgCO3 price, heat demand</t>
  </si>
  <si>
    <t>1 Gt CO2/year</t>
  </si>
  <si>
    <t>Cost projection</t>
  </si>
  <si>
    <t>Learning rate, Bare erected cost, Materials scaling</t>
  </si>
  <si>
    <t>Learning rate</t>
  </si>
  <si>
    <t>Learning rate, Electricity price, Variable OPEX learning rate</t>
  </si>
  <si>
    <t>COP heat pump, heat demand</t>
  </si>
  <si>
    <t>Electricity demand, Electricity price, Variable OPEX learning rate</t>
  </si>
  <si>
    <t>Electricity demand, electricity price</t>
  </si>
  <si>
    <t>Learning rate, Bare erected cost, Capacity factor</t>
  </si>
  <si>
    <t>Sievert et al. 2024</t>
  </si>
  <si>
    <t>Joule</t>
  </si>
  <si>
    <t>Sievert, Schmidt, Steffen</t>
  </si>
  <si>
    <t>10.1016/j.joule.2024.02.005</t>
  </si>
  <si>
    <t>Solar PV with tracking US</t>
  </si>
  <si>
    <t>Capacity factor, WACC, Plant lifetime</t>
  </si>
  <si>
    <t>COP heat pump, Heat demand</t>
  </si>
  <si>
    <t>Capacity factor, WACC, learning rate OPEX</t>
  </si>
  <si>
    <t>Water requirement and cost</t>
  </si>
  <si>
    <t>Capacity factor, WACC, Calciner CAPEX</t>
  </si>
  <si>
    <t>Capacity factor, discount rate, Calciner CAPEX</t>
  </si>
  <si>
    <t>Electricity demand</t>
  </si>
  <si>
    <t>Capacity factor, Learning rate system, WACC</t>
  </si>
  <si>
    <t>Capacity factor, learning rate system</t>
  </si>
  <si>
    <t>McQueen et al. 2020a</t>
  </si>
  <si>
    <t>Environmental Science &amp; Technology</t>
  </si>
  <si>
    <t>Noah McQueenPeter PsarrasHélène PilorgéSimona LiguoriJiajun HeMengyao YuanCaleb M. WoodallKourosh KianLara PierpointJacob JurewiczJ. Matthew LucasRory JacobsonNoah DeichJennifer Wilcox*</t>
  </si>
  <si>
    <t>10.1021/acs.est.0c00476</t>
  </si>
  <si>
    <t>100kt CO2/year</t>
  </si>
  <si>
    <t>/</t>
  </si>
  <si>
    <t>no sensitivity analysis</t>
  </si>
  <si>
    <t>Contactor CAPEX, Electricity, Steam</t>
  </si>
  <si>
    <t>Contactor CAPEX</t>
  </si>
  <si>
    <t>Sendi et al. 2022</t>
  </si>
  <si>
    <t>Marwan Sendi 1 2
, 
Mai Bui 2 3
, 
Niall Mac Dowell 2 3
, 
Paul Fennell 1 4</t>
  </si>
  <si>
    <t>10.1016/j.oneear.2022.09.003</t>
  </si>
  <si>
    <t>1Mt CO2/year</t>
  </si>
  <si>
    <t>Solar PV</t>
  </si>
  <si>
    <t>Contactor CAPEX, Steam, Electricity</t>
  </si>
  <si>
    <t>Fasihi et al. 2019</t>
  </si>
  <si>
    <t>Journal of Cleaner Production</t>
  </si>
  <si>
    <t>Mahdi Fasihi
, 
Olga Efimova
, 
Christian Breyer</t>
  </si>
  <si>
    <t>10.1016/j.jclepro.2019.03.086</t>
  </si>
  <si>
    <t>WACC, DAC capex, Electricity demand</t>
  </si>
  <si>
    <t>WACC, DAC capex</t>
  </si>
  <si>
    <t>Sensitivity with just one parameter being varied</t>
  </si>
  <si>
    <t>WACC, DAC capex, heat demand</t>
  </si>
  <si>
    <t>heat demand</t>
  </si>
  <si>
    <t>Mazzotti et al. 2013</t>
  </si>
  <si>
    <t>Climatic Change</t>
  </si>
  <si>
    <t xml:space="preserve">Marco Mazzotti, Renato Baciocchi, Michael J. Desmond &amp; Robert H. Socolow </t>
  </si>
  <si>
    <t>10.1007/s10584-012-0679-y</t>
  </si>
  <si>
    <t>Zeman 2014</t>
  </si>
  <si>
    <t>Zeman</t>
  </si>
  <si>
    <t>10.1021/es502887y</t>
  </si>
  <si>
    <t>Prats-Salvado et al. 2024</t>
  </si>
  <si>
    <t>Enric Prats-Salvado*Nipun JagtapNathalie MonnerieChristian Sattler</t>
  </si>
  <si>
    <t>10.1021/acs.est.3c08269</t>
  </si>
  <si>
    <t xml:space="preserve">Liquid solvent </t>
  </si>
  <si>
    <t>Terlouw et al. 2024</t>
  </si>
  <si>
    <t>Tom TerlouwDaniel PokrasViola Becattini*Marco Mazzotti*</t>
  </si>
  <si>
    <t>10.1021/acs.est.3c10041</t>
  </si>
  <si>
    <t>CAPEX scaling factor, Capacity factor, CAPEX</t>
  </si>
  <si>
    <t>CAPEX scaling factor, Capacity factor</t>
  </si>
  <si>
    <t>Electricity demand, Electricity grid emission factor</t>
  </si>
  <si>
    <t>McQueen et al. 2021</t>
  </si>
  <si>
    <t>Frontiers in Climate</t>
  </si>
  <si>
    <t>\nNoah McQueenNoah McQueen1Michael J. DesmondMichael J. Desmond2Robert H. SocolowRobert H. Socolow3Peter PsarrasPeter Psarras1Jennifer Wilcox
Jennifer Wilcox1*</t>
  </si>
  <si>
    <t>10.3389/fclim.2020.618644</t>
  </si>
  <si>
    <t>Lifetime, WACC, natural gas price</t>
  </si>
  <si>
    <t>Lifetime, WACC</t>
  </si>
  <si>
    <t>Heat price</t>
  </si>
  <si>
    <t>Datta et al. 2023</t>
  </si>
  <si>
    <t>Aparajita DattaRamanan Krishnamoorti*</t>
  </si>
  <si>
    <t>10.1021/acs.est.2c05194</t>
  </si>
  <si>
    <t>Membrane-based m-DAC</t>
  </si>
  <si>
    <t>Sinha et al. 2019</t>
  </si>
  <si>
    <t>Sustainable Energy: Process Systems Engineering</t>
  </si>
  <si>
    <t>Anshuman Sinha, Matthew J. Realff</t>
  </si>
  <si>
    <t>10.1002/aic.16607</t>
  </si>
  <si>
    <t>Simon et al. 2011</t>
  </si>
  <si>
    <t>Energy Procedia</t>
  </si>
  <si>
    <t>A.J. Simon
, 
Naluahi B. Kaahaaina
, 
S. Julio Friedmann
, 
Roger D. Aines</t>
  </si>
  <si>
    <t>10.1016/j.egypro.2011.02.196</t>
  </si>
  <si>
    <t>Generic (Solid sorbent referenced)</t>
  </si>
  <si>
    <t>n</t>
  </si>
  <si>
    <t>Fuhrman et al. 2021</t>
  </si>
  <si>
    <t>Environmental Research letters</t>
  </si>
  <si>
    <t>Jay Fuhrman1,2, Andres Clarens2, Katherine Calvin1, Scott C Doney3, James A Edmonds1, Patrick O'Rourke1, Pralit Patel1, Shreekar Pradhan2, William Shobe4 and Haewon McJeon5,1</t>
  </si>
  <si>
    <t>10.1088/1748-9326/ac2db0</t>
  </si>
  <si>
    <t>Not relevant</t>
  </si>
  <si>
    <t>IAM integration and DAC modeling not clear; IAM study; exclusion criterion</t>
  </si>
  <si>
    <t>Küng et al. 2023</t>
  </si>
  <si>
    <t>Energy &amp; Environmental Science</t>
  </si>
  <si>
    <t xml:space="preserve">Lukas Küng, ORCID logo ‡a   Silvan Aeschlimann, ORCID logo ‡b   Charithea Charalambous, ORCID logo ab   Fergus McIlwaine, ORCID logo a   John Young, ORCID logo a   Noah Shannon,b   Karen Strassel, ORCID logo c   Cara Nichole Maesano,b   Rudy Kahsar, ORCID logo b   Daniel Pike,b   Mijndert van der Spek ORCID logo a  and  Susana Garcia ORCID logo </t>
  </si>
  <si>
    <t>10.1039/d3ee01008b</t>
  </si>
  <si>
    <t>Mostafa et al. 2022</t>
  </si>
  <si>
    <t>Carbon Capture Science &amp; Technology</t>
  </si>
  <si>
    <t>Mahmoud Mostafa a b
, 
Cristina Antonicelli c
, 
Christopher Varela d e
, 
Diego Barletta c
, 
Edwin Zondervan b</t>
  </si>
  <si>
    <t>10.1016/j.ccst.2022.100060</t>
  </si>
  <si>
    <t>Keith et al. 2018</t>
  </si>
  <si>
    <r>
      <t>David W. Keith </t>
    </r>
    <r>
      <rPr>
        <sz val="7"/>
        <color theme="1"/>
        <rFont val="Aptos Narrow"/>
        <family val="2"/>
        <scheme val="minor"/>
      </rPr>
      <t>1</t>
    </r>
    <r>
      <rPr>
        <sz val="12"/>
        <color theme="1"/>
        <rFont val="Aptos Narrow"/>
        <family val="2"/>
        <scheme val="minor"/>
      </rPr>
      <t> </t>
    </r>
    <r>
      <rPr>
        <sz val="7"/>
        <color theme="1"/>
        <rFont val="Aptos Narrow"/>
        <family val="2"/>
        <scheme val="minor"/>
      </rPr>
      <t>2</t>
    </r>
    <r>
      <rPr>
        <sz val="12"/>
        <color theme="1"/>
        <rFont val="Aptos Narrow"/>
        <family val="2"/>
        <scheme val="minor"/>
      </rPr>
      <t> </t>
    </r>
    <r>
      <rPr>
        <sz val="7"/>
        <color theme="1"/>
        <rFont val="Aptos Narrow"/>
        <family val="2"/>
        <scheme val="minor"/>
      </rPr>
      <t>3</t>
    </r>
    <r>
      <rPr>
        <sz val="12"/>
        <color theme="1"/>
        <rFont val="Aptos Narrow"/>
        <family val="2"/>
        <scheme val="minor"/>
      </rPr>
      <t> </t>
    </r>
    <r>
      <rPr>
        <sz val="7"/>
        <color theme="1"/>
        <rFont val="Aptos Narrow"/>
        <family val="2"/>
        <scheme val="minor"/>
      </rPr>
      <t>4</t>
    </r>
    <r>
      <rPr>
        <sz val="10"/>
        <color rgb="FF1F1F1F"/>
        <rFont val="Arial"/>
        <family val="2"/>
      </rPr>
      <t>, </t>
    </r>
    <r>
      <rPr>
        <sz val="12"/>
        <color theme="1"/>
        <rFont val="Aptos Narrow"/>
        <family val="2"/>
        <scheme val="minor"/>
      </rPr>
      <t>Geoffrey Holmes </t>
    </r>
    <r>
      <rPr>
        <sz val="7"/>
        <color theme="1"/>
        <rFont val="Aptos Narrow"/>
        <family val="2"/>
        <scheme val="minor"/>
      </rPr>
      <t>3</t>
    </r>
    <r>
      <rPr>
        <sz val="10"/>
        <color rgb="FF1F1F1F"/>
        <rFont val="Arial"/>
        <family val="2"/>
      </rPr>
      <t>, </t>
    </r>
    <r>
      <rPr>
        <sz val="12"/>
        <color theme="1"/>
        <rFont val="Aptos Narrow"/>
        <family val="2"/>
        <scheme val="minor"/>
      </rPr>
      <t>David St. Angelo </t>
    </r>
    <r>
      <rPr>
        <sz val="7"/>
        <color theme="1"/>
        <rFont val="Aptos Narrow"/>
        <family val="2"/>
        <scheme val="minor"/>
      </rPr>
      <t>3</t>
    </r>
    <r>
      <rPr>
        <sz val="10"/>
        <color rgb="FF1F1F1F"/>
        <rFont val="Arial"/>
        <family val="2"/>
      </rPr>
      <t>, </t>
    </r>
    <r>
      <rPr>
        <sz val="12"/>
        <color theme="1"/>
        <rFont val="Aptos Narrow"/>
        <family val="2"/>
        <scheme val="minor"/>
      </rPr>
      <t>Kenton Heidel </t>
    </r>
    <r>
      <rPr>
        <sz val="7"/>
        <color theme="1"/>
        <rFont val="Aptos Narrow"/>
        <family val="2"/>
        <scheme val="minor"/>
      </rPr>
      <t>3</t>
    </r>
  </si>
  <si>
    <t>10.1016/j.joule.2018.05.006</t>
  </si>
  <si>
    <t>Gray et al. 2024</t>
  </si>
  <si>
    <t>Renewable and Sustainable Energy Reviews</t>
  </si>
  <si>
    <t>Nathan Gray a b
, 
Richard O'Shea a b
, 
Beatrice Smyth c
, 
Piet N.L. Lens d
, 
Jerry D. Murphy a b</t>
  </si>
  <si>
    <t>10.1016/j.rser.2024.114552</t>
  </si>
  <si>
    <t>Norwegian Grid</t>
  </si>
  <si>
    <t>Capacity factor, DAC CAPEX, WACC</t>
  </si>
  <si>
    <t>Capacity Factor</t>
  </si>
  <si>
    <t>Rosen et al. 2024</t>
  </si>
  <si>
    <t>Energy &amp; Fuels</t>
  </si>
  <si>
    <t>Natalie RosenAndreas WelterMartin SchwanklNicolas PlumeréJúnior StaudtJakob Burger*</t>
  </si>
  <si>
    <t>10.1021/acs.energyfuels.4c02202</t>
  </si>
  <si>
    <t>Electro-swing adsorption (ESA)</t>
  </si>
  <si>
    <t>Sabatino et al. 2020</t>
  </si>
  <si>
    <t>Industrial &amp; Engineering Chemistry Research</t>
  </si>
  <si>
    <t>Francesco SabatinoMayank MehtaAlexa GrimmMatteo GazzaniFausto GallucciGert Jan KramerMartin van Sint Annaland*</t>
  </si>
  <si>
    <t>10.1021/acs.iecr.9b05641</t>
  </si>
  <si>
    <t>McQueen et al. 2020c</t>
  </si>
  <si>
    <t>Nature Communications</t>
  </si>
  <si>
    <t xml:space="preserve">Noah McQueen, Peter Kelemen, Greg Dipple, Phil Renforth &amp; Jennifer Wilcox </t>
  </si>
  <si>
    <t>10.1038/s41467-020-16510-3</t>
  </si>
  <si>
    <t>Ambient Weathering</t>
  </si>
  <si>
    <t>Carbon mineralization efficiency (mass fraction of caustic MgO converted to MgCO3), environmental losses</t>
  </si>
  <si>
    <t>heat demand, calcination time, calcination temperature</t>
  </si>
  <si>
    <t>Lee et al. 2023</t>
  </si>
  <si>
    <t>Won Hee Lee 1
, 
Xin Zhang 1
, 
Sayan Banerjee 1
, 
Christopher W. Jones 1
, 
Matthew J. Realff 1
, 
Ryan P. Lively 1 2</t>
  </si>
  <si>
    <t>10.1016/j.joule.2023.05.016</t>
  </si>
  <si>
    <t>not mentioned</t>
  </si>
  <si>
    <t>Electricity price, Electricity grid emission factor</t>
  </si>
  <si>
    <t>in text only regarding OPEX</t>
  </si>
  <si>
    <t>Abanades et al. 2023</t>
  </si>
  <si>
    <t>Cell Reports Physical Science</t>
  </si>
  <si>
    <t>J. Carlos Abanades 1
, 
Yolanda A. Criado 1 2
, 
Heidi I. White 1</t>
  </si>
  <si>
    <t>10.1016/j.xcrp.2023.101339</t>
  </si>
  <si>
    <t>Abanades et al. 2020</t>
  </si>
  <si>
    <t>Sustainable Energy &amp; Fuels</t>
  </si>
  <si>
    <t xml:space="preserve">J. Carlos Abanades, ORCID logo *a   Yolanda A. Criado ORCID logo a  and  José Ramón Fernández ORCID logo </t>
  </si>
  <si>
    <t>10.1039/d0se00094a</t>
  </si>
  <si>
    <t>Ragipani et al. 2022</t>
  </si>
  <si>
    <t>ACS Sustainable Chemistry &amp; Engineering</t>
  </si>
  <si>
    <t>Raghavendra RagipaniKeerthana SreenivasanRobert P. AnexHang ZhaiBu Wang*</t>
  </si>
  <si>
    <t>10.1021/acssuschemeng.1c07867</t>
  </si>
  <si>
    <t>Sinha et al. 2017</t>
  </si>
  <si>
    <t>Anshuman SinhaOrcidLalit A. DarunteOrcidChristopher W. JonesOrcidMatthew J. RealffYoshiaki Kawajiri*Orcid</t>
  </si>
  <si>
    <t>10.1021/acs.iecr.6b03887</t>
  </si>
  <si>
    <t>Realmonte et al. 2019</t>
  </si>
  <si>
    <t xml:space="preserve">Giulia Realmonte, Laurent Drouet, Ajay Gambhir, James Glynn, Adam Hawkes, Alexandre C. Köberle &amp; Massimo Tavoni </t>
  </si>
  <si>
    <t>10.1038/s41467-019-10842-5</t>
  </si>
  <si>
    <t>IAM study; exclusion criterion</t>
  </si>
  <si>
    <t>Hanna et al. 2021</t>
  </si>
  <si>
    <t xml:space="preserve">Ryan Hanna, Ahmed Abdulla, Yangyang Xu &amp; David G. Victor </t>
  </si>
  <si>
    <t>10.1038/s41467-020-20437-0</t>
  </si>
  <si>
    <t>Pett-Ridge et al. 2024</t>
  </si>
  <si>
    <t>Report</t>
  </si>
  <si>
    <t>Lawrence Livermore National Laboratory</t>
  </si>
  <si>
    <t>Roads to Removal – Options for carbon dioxide removal in the US (roads2removal.org)</t>
  </si>
  <si>
    <t>Monolith CAPEX</t>
  </si>
  <si>
    <t>Electricity</t>
  </si>
  <si>
    <t>CAPEX</t>
  </si>
  <si>
    <t>NETL/Valentine 2022a</t>
  </si>
  <si>
    <t>National Energy Technology Laboratory</t>
  </si>
  <si>
    <t>DirectAirCaptureCaseStudiesSolventSystem_083122.pdf (doe.gov)</t>
  </si>
  <si>
    <t>Fixed Charge rate, Capacity factor, Natural Gas Price</t>
  </si>
  <si>
    <t>Fixed Charge Rate, Capacity factor, Capital Cost</t>
  </si>
  <si>
    <t>Natural Gas Price, Calciner Natural Gas Requirement</t>
  </si>
  <si>
    <t>NETL/Valentine 2022b</t>
  </si>
  <si>
    <t>TECHNICAL REPORT TEMPLATE AND USER GUIDE (doe.gov)</t>
  </si>
  <si>
    <t>Sorbent cost, fixed charge rate, Capacity factor</t>
  </si>
  <si>
    <t>NASEM 2019</t>
  </si>
  <si>
    <t>National Academies of Sciences, Engineering, and Medicine</t>
  </si>
  <si>
    <t>https://doi.org/10.17226/25259</t>
  </si>
  <si>
    <t>APS 2011</t>
  </si>
  <si>
    <t>American Physical Society</t>
  </si>
  <si>
    <t>Direct-Air-Capture-of-CO2-with-Chemicals_snams5.pdf (cloudinary.com)</t>
  </si>
  <si>
    <t>Harmonized by</t>
  </si>
  <si>
    <t>Type of literature</t>
  </si>
  <si>
    <t>Technology Detail</t>
  </si>
  <si>
    <t>Plant Capacity (Mt CO2/year)</t>
  </si>
  <si>
    <t>Note for future projection</t>
  </si>
  <si>
    <t>YD/KS</t>
  </si>
  <si>
    <t>Journal article</t>
  </si>
  <si>
    <t>KOH absorption paired with regeneration via Ca looping</t>
  </si>
  <si>
    <t>2022-2100</t>
  </si>
  <si>
    <t>Solid sorbent DAC using temperature vacuum swing adsorption</t>
  </si>
  <si>
    <t>MgO ambient weathering with regeneration via calcination</t>
  </si>
  <si>
    <t>KS</t>
  </si>
  <si>
    <t>2023-2050</t>
  </si>
  <si>
    <t>CaO ambient weathering with regeneration via calcination</t>
  </si>
  <si>
    <t>no</t>
  </si>
  <si>
    <t>YD</t>
  </si>
  <si>
    <t>None of key words listed in context of future costs</t>
  </si>
  <si>
    <t>n/a</t>
  </si>
  <si>
    <t>They discuss land use and elec req for 10 Gt CO2/year but they seem to model current costs</t>
  </si>
  <si>
    <t>2020-2050</t>
  </si>
  <si>
    <t>2008/2009</t>
  </si>
  <si>
    <t>For data points before standardization, adjust Zeman 2014 values for other energy sources to 2023$</t>
  </si>
  <si>
    <t>Solar thermal powered liquid solvent</t>
  </si>
  <si>
    <t>Conventional: KOH absorption paired with regeneration via Ca looping</t>
  </si>
  <si>
    <t>Temperature-vacuum swing adsorption (TVSA)</t>
  </si>
  <si>
    <t>Temperature swing adsorption-based DAC</t>
  </si>
  <si>
    <t>Membrane-based DAC</t>
  </si>
  <si>
    <t>Generic</t>
  </si>
  <si>
    <t>Also kicked out because data is outdated (2011)</t>
  </si>
  <si>
    <t>Only FOAK and discussion that learning is needed</t>
  </si>
  <si>
    <t>Variable</t>
  </si>
  <si>
    <t>NaOH absorption DAC process paired with regeneration via Ca looping</t>
  </si>
  <si>
    <t>Borderline; Plant capacity: 6.3 million; because of grid emissions only 3.5 Mt CO2/year removed; "large-scale" in title</t>
  </si>
  <si>
    <t>2016 and Nth kind</t>
  </si>
  <si>
    <t>Model first large-scale plant; not 2050 projection</t>
  </si>
  <si>
    <t>Absorption with regeneration via chemical looping (ACL) as described by Keith et al.13 (TRL 7)</t>
  </si>
  <si>
    <t>Absorption with electrochemical regeneration (AEC); carbonate regeneration using a bipolar membrane described by Iizuka et al.53 (TRL 2−3)</t>
  </si>
  <si>
    <t>Temperature-vacuum-swing adsorption (TVSA) with the  Wurzbacher et al.69 (TRL 8)</t>
  </si>
  <si>
    <t>Electro-swing adsorption (ESA) as described by Voskian and Hatton35 (TRL 1)</t>
  </si>
  <si>
    <t>MgO based</t>
  </si>
  <si>
    <t>64-180</t>
  </si>
  <si>
    <t>64-180 Mt CO2/year removal is huge but no current and future</t>
  </si>
  <si>
    <t>Solid sorbent DAC via electrically driven temperature swing adsorption (ETSA)</t>
  </si>
  <si>
    <t>unclear</t>
  </si>
  <si>
    <t>CaCO3 based</t>
  </si>
  <si>
    <t>2025-2050</t>
  </si>
  <si>
    <t>(a) 903,970 tCO2/year removed (b) 100,000tCO2/year removed</t>
  </si>
  <si>
    <t>monolith-supported sorbent configuration</t>
  </si>
  <si>
    <t>(a) 100,000 (b) 100,000 (c') 1 MtCO2/year net removed</t>
  </si>
  <si>
    <t>end 2008/early 2009</t>
  </si>
  <si>
    <t>Cost estimate</t>
  </si>
  <si>
    <t>DACCS</t>
  </si>
  <si>
    <t>25th percentile</t>
  </si>
  <si>
    <t xml:space="preserve">75th percentile </t>
  </si>
  <si>
    <t>Synfuels</t>
  </si>
  <si>
    <t>Year Currency</t>
  </si>
  <si>
    <t>CAPEX Learning Rates (Capital Cost)</t>
  </si>
  <si>
    <t>OPEX Learning Rates</t>
  </si>
  <si>
    <t>Cost Range Short Term</t>
  </si>
  <si>
    <t>Cost Range 2030</t>
  </si>
  <si>
    <t>Cost Range 2050</t>
  </si>
  <si>
    <t>WACC / Discount Rate</t>
  </si>
  <si>
    <t>Electricity Price Range (EUR/MWh)</t>
  </si>
  <si>
    <t>Electricity Price Source</t>
  </si>
  <si>
    <t>Heat Price Range</t>
  </si>
  <si>
    <t>Heat Price Source</t>
  </si>
  <si>
    <t>Full load hours</t>
  </si>
  <si>
    <t>Plant Lifetime [y]</t>
  </si>
  <si>
    <t>CO2 Transport and Storage</t>
  </si>
  <si>
    <t>Transport cost</t>
  </si>
  <si>
    <t>Storage cost</t>
  </si>
  <si>
    <t>LCA Methdology</t>
  </si>
  <si>
    <t>Data taken from</t>
  </si>
  <si>
    <t>Notes</t>
  </si>
  <si>
    <t>Harmonization Status</t>
  </si>
  <si>
    <t>Net removed cost harmonized</t>
  </si>
  <si>
    <t>Request sent to author</t>
  </si>
  <si>
    <t>Answer?</t>
  </si>
  <si>
    <t>To do</t>
  </si>
  <si>
    <t>2019 USD</t>
  </si>
  <si>
    <t>5-15</t>
  </si>
  <si>
    <t>Net removed cost</t>
  </si>
  <si>
    <t>300 - 550</t>
  </si>
  <si>
    <t>150 - 220</t>
  </si>
  <si>
    <t>USD/tCO2</t>
  </si>
  <si>
    <t>7.5 - 12.5%</t>
  </si>
  <si>
    <t>11 - 300 $/MWh</t>
  </si>
  <si>
    <t>Multiple sources dependent on geographic location</t>
  </si>
  <si>
    <t>3 - 114 $/GJ</t>
  </si>
  <si>
    <t>Prices are based on source (Natural Gas, Geothermal, Solar) and Location</t>
  </si>
  <si>
    <t>8,000 (LT) - 8,760 (HT)</t>
  </si>
  <si>
    <t>0.9</t>
  </si>
  <si>
    <t>Included in net removed cost</t>
  </si>
  <si>
    <t>12.4$/tCO2</t>
  </si>
  <si>
    <t>incl. In transport</t>
  </si>
  <si>
    <t>No LCA</t>
  </si>
  <si>
    <t>Keith et al. (2018)</t>
  </si>
  <si>
    <t>The data for ACL is used from Keith et al.,¹³ AEC from Sabatino et al.,⁵⁴ MgO looping from McQueen et al.,⁶⁸ and the data for TVSA is calculated within their work.⁵¹</t>
  </si>
  <si>
    <t>Completed</t>
  </si>
  <si>
    <t>Convert to $2023 and connect to master sheet</t>
  </si>
  <si>
    <t>10-19</t>
  </si>
  <si>
    <t xml:space="preserve">1,600 - 2,500 </t>
  </si>
  <si>
    <t xml:space="preserve">500 - 1,100 </t>
  </si>
  <si>
    <t>Own modeling</t>
  </si>
  <si>
    <t>10-18</t>
  </si>
  <si>
    <t>900 - 2,100</t>
  </si>
  <si>
    <t xml:space="preserve">200 - 350 </t>
  </si>
  <si>
    <t>400 - 500</t>
  </si>
  <si>
    <t>180 - 250</t>
  </si>
  <si>
    <t>$1.0-4.8/tCO2/km</t>
  </si>
  <si>
    <t>McQueen et al. (2020c)</t>
  </si>
  <si>
    <t>2022 USD</t>
  </si>
  <si>
    <t>521–894</t>
  </si>
  <si>
    <t>226–544</t>
  </si>
  <si>
    <t>39 $/MWh</t>
  </si>
  <si>
    <t>tracking solar PV with storage</t>
  </si>
  <si>
    <t>(B) 5.6 $/GJ</t>
  </si>
  <si>
    <t>natural gas</t>
  </si>
  <si>
    <t>0.5-0.9</t>
  </si>
  <si>
    <t>$5-12/tCO2</t>
  </si>
  <si>
    <t>$9.74-23.20/tCO2</t>
  </si>
  <si>
    <t>My study</t>
  </si>
  <si>
    <t>1180–1392</t>
  </si>
  <si>
    <t>281–579</t>
  </si>
  <si>
    <t>0.75-0.9</t>
  </si>
  <si>
    <t>2153–2874</t>
  </si>
  <si>
    <t>230–835</t>
  </si>
  <si>
    <t>McQueen et al. (2020c); only partially</t>
  </si>
  <si>
    <t>9-25</t>
  </si>
  <si>
    <t>Levelized cost of capture</t>
  </si>
  <si>
    <t xml:space="preserve">233 - 700 </t>
  </si>
  <si>
    <t>12.5%</t>
  </si>
  <si>
    <t>30 - 60 $/MWh</t>
  </si>
  <si>
    <t>United States grid</t>
  </si>
  <si>
    <t>2.8 - 3.9 $/GJ</t>
  </si>
  <si>
    <t>Not specified</t>
  </si>
  <si>
    <t>$10/tCO2</t>
  </si>
  <si>
    <t>Own Modelling</t>
  </si>
  <si>
    <t>None</t>
  </si>
  <si>
    <t>195 - 720</t>
  </si>
  <si>
    <t>5-21%</t>
  </si>
  <si>
    <t>0 - 100$/MWh</t>
  </si>
  <si>
    <t>0-50 $/MWh</t>
  </si>
  <si>
    <t>Not included in CO2 avoided</t>
  </si>
  <si>
    <t>Received Inputs</t>
  </si>
  <si>
    <t>2018 EUR</t>
  </si>
  <si>
    <t xml:space="preserve">10% conservative;15% base case </t>
  </si>
  <si>
    <t>€54-71</t>
  </si>
  <si>
    <t>EUR/tCO2</t>
  </si>
  <si>
    <t>50 €/MWhel</t>
  </si>
  <si>
    <t xml:space="preserve">25 €/MWhth
(900°C) </t>
  </si>
  <si>
    <t>2020: 25y; 2030: 30y; beyond 2030: 30y</t>
  </si>
  <si>
    <t>Not included</t>
  </si>
  <si>
    <t xml:space="preserve"> €38-54</t>
  </si>
  <si>
    <t>20€/MWhth (&lt;100°C)</t>
  </si>
  <si>
    <t>2020: 20y; 2030: 25y; beyond 2030: 30y</t>
  </si>
  <si>
    <t>2008 USD</t>
  </si>
  <si>
    <t>Cost of CO2 avoided (without transport and storage)</t>
  </si>
  <si>
    <t>518-568</t>
  </si>
  <si>
    <t>71$/MWh</t>
  </si>
  <si>
    <t>not specified</t>
  </si>
  <si>
    <t>5.69$/GJ</t>
  </si>
  <si>
    <t>Natural gas</t>
  </si>
  <si>
    <t>not included in CO2 avoided</t>
  </si>
  <si>
    <t>APS (2011)</t>
  </si>
  <si>
    <t>Builds on APS (2011) but changes the cost of absorber and ist energy requirements, and thus the cost of the total system</t>
  </si>
  <si>
    <t>Connected to APS (2011) and Mazzotti (2013)</t>
  </si>
  <si>
    <t>256-325</t>
  </si>
  <si>
    <t>106.1-170.15$/MWh</t>
  </si>
  <si>
    <t>32-51$/MWh</t>
  </si>
  <si>
    <t>Solar thermal</t>
  </si>
  <si>
    <t>Storage yes, Transport no</t>
  </si>
  <si>
    <t>10$/tCO2</t>
  </si>
  <si>
    <t>310-435</t>
  </si>
  <si>
    <t>7.6-23.6$/GJ_LHV</t>
  </si>
  <si>
    <t>2023 EUR</t>
  </si>
  <si>
    <t>750-970</t>
  </si>
  <si>
    <t>42-113$/MWh</t>
  </si>
  <si>
    <t>grid power and waste heat</t>
  </si>
  <si>
    <t>30$/MWh</t>
  </si>
  <si>
    <t>21€/tCO2</t>
  </si>
  <si>
    <t>11€/tCO2</t>
  </si>
  <si>
    <t>He is reviewing it</t>
  </si>
  <si>
    <t>225-1731</t>
  </si>
  <si>
    <t>100-190$/MWh</t>
  </si>
  <si>
    <t>Multiple sources modelled from scratch, including battery storage</t>
  </si>
  <si>
    <t>3.25$/GJ</t>
  </si>
  <si>
    <t>Accounts for leakeage and methan emissions using global warming potential</t>
  </si>
  <si>
    <t>APS (2011), Mazzotti (2013), Zeman (2014), Keith (2018)</t>
  </si>
  <si>
    <t>WACC, Plant Lifetime, and Natural Gas price</t>
  </si>
  <si>
    <t>Build on APS (2011), Mazzotti (2013), Zeman (2014), Keith (2018)</t>
  </si>
  <si>
    <t>227$/tCO2</t>
  </si>
  <si>
    <t>35$/MWh</t>
  </si>
  <si>
    <t>New onshore wind energy generation resoues entering service in 2025</t>
  </si>
  <si>
    <t>Transport neglected; Storage included</t>
  </si>
  <si>
    <t>Storage cost is included in cost of compression, injection, recycling, and storage per tCO2 $40</t>
  </si>
  <si>
    <t>91-95$/tCO2</t>
  </si>
  <si>
    <t>Input parameters to calculate OPEX are missing; reached out to Prof Matthew Realff</t>
  </si>
  <si>
    <t>Will exclude</t>
  </si>
  <si>
    <t>2011 USD</t>
  </si>
  <si>
    <t>Cost of capture, transport, storage</t>
  </si>
  <si>
    <t>300 - 865</t>
  </si>
  <si>
    <t>74-211$/MWh</t>
  </si>
  <si>
    <t>2-8$/GJ</t>
  </si>
  <si>
    <t>Tower, Thermal Efficiency</t>
  </si>
  <si>
    <t>371 - 2750</t>
  </si>
  <si>
    <t>7.5-12.5%</t>
  </si>
  <si>
    <t>68-147$/MWh</t>
  </si>
  <si>
    <t>NREL Wind LCA(https://www.nrel.
gov/docs/fy13osti/57131.pdf),https://www.gov.uk/government/statisticaldata-sets/international-industrial-energy-prices.</t>
  </si>
  <si>
    <t>1-4$/MWh</t>
  </si>
  <si>
    <t>excluded</t>
  </si>
  <si>
    <t>Global Warming Potential</t>
  </si>
  <si>
    <t>No, but multiple scenarios</t>
  </si>
  <si>
    <t>Uploaded with code</t>
  </si>
  <si>
    <t>18.09.2024; 26.09.24</t>
  </si>
  <si>
    <t>Python model received from author</t>
  </si>
  <si>
    <t>243 - 1750</t>
  </si>
  <si>
    <t>Reached out to Mostafa to see if he can share excel model</t>
  </si>
  <si>
    <t>Awaiting reply</t>
  </si>
  <si>
    <t>Has three scenarios which should be included</t>
  </si>
  <si>
    <t>2016 USD</t>
  </si>
  <si>
    <t>168-232</t>
  </si>
  <si>
    <t>94-170 (Nth financials)</t>
  </si>
  <si>
    <t>5.56% and 11.72%</t>
  </si>
  <si>
    <t>30-60$/MWh</t>
  </si>
  <si>
    <t>3$/GJ</t>
  </si>
  <si>
    <t>not included</t>
  </si>
  <si>
    <t xml:space="preserve">Keith doesn't account for the indirect emissions (this is expressed as cost per ton of captured CO2, not removed). Our Figure 7 showed certain indirect emissions associated to gas extraction, but those are for Scenario A.In the Scenario C both the NG extraction and the electricity source impact the indirect emissions. </t>
  </si>
  <si>
    <t>Convert to $2023 and connect to master sheet; currently $2016</t>
  </si>
  <si>
    <t>40$/MWh</t>
  </si>
  <si>
    <t>Norwegian grid price average 2023</t>
  </si>
  <si>
    <t>Heat Pump</t>
  </si>
  <si>
    <t>The model is quite simplified but has all inputs we will standardize</t>
  </si>
  <si>
    <t>Convert to $2023 and connect to master sheet. Currently €2023</t>
  </si>
  <si>
    <t>Electrochemical</t>
  </si>
  <si>
    <t>On holiday until October 14</t>
  </si>
  <si>
    <t>Reached out and asked for model/ more detailed data information</t>
  </si>
  <si>
    <t>Iizuka et. al.</t>
  </si>
  <si>
    <t>Wurzbacher et al.</t>
  </si>
  <si>
    <t>Voskian and
Hatton</t>
  </si>
  <si>
    <t>45-150</t>
  </si>
  <si>
    <t>43-148</t>
  </si>
  <si>
    <t>4-11%</t>
  </si>
  <si>
    <t>8-16.7$/GJ</t>
  </si>
  <si>
    <t>US Grid</t>
  </si>
  <si>
    <t>3.5$/GJ</t>
  </si>
  <si>
    <t>0.03 $/kWh</t>
  </si>
  <si>
    <t>Wind energy</t>
  </si>
  <si>
    <t>not relevant</t>
  </si>
  <si>
    <t>Not levelized cost but rather cost of capture calculated</t>
  </si>
  <si>
    <t>2023 USD</t>
  </si>
  <si>
    <t>134-256</t>
  </si>
  <si>
    <t>5-10%</t>
  </si>
  <si>
    <t>50-68$/MWh</t>
  </si>
  <si>
    <t>IEA</t>
  </si>
  <si>
    <t>2.2-5.3$/GJ</t>
  </si>
  <si>
    <t>Included</t>
  </si>
  <si>
    <t>5-20$/tCO2</t>
  </si>
  <si>
    <t>Own Modelling, Keith 2018</t>
  </si>
  <si>
    <t>No</t>
  </si>
  <si>
    <t>2020 USD</t>
  </si>
  <si>
    <t>138-331</t>
  </si>
  <si>
    <t>9$/GJ</t>
  </si>
  <si>
    <t>2-10$/GJ</t>
  </si>
  <si>
    <t>5-15$/tCO2</t>
  </si>
  <si>
    <t>121-140</t>
  </si>
  <si>
    <t>2024 USD</t>
  </si>
  <si>
    <t>10-12%</t>
  </si>
  <si>
    <t>246-566</t>
  </si>
  <si>
    <t>127-231</t>
  </si>
  <si>
    <t>60-309$/MWh</t>
  </si>
  <si>
    <t>Grid</t>
  </si>
  <si>
    <t>$2.9/GJ</t>
  </si>
  <si>
    <t>7.75$/tCO2</t>
  </si>
  <si>
    <t>McQueen et. al., 2020</t>
  </si>
  <si>
    <t>Modelled on McQueen et. al. 2020 and Keith et.al, 2018</t>
  </si>
  <si>
    <t>193-331</t>
  </si>
  <si>
    <t>Keith et.al, 2018</t>
  </si>
  <si>
    <t>Modelled on Keith et.al, 2018</t>
  </si>
  <si>
    <t>(a) 293$/tCO2 (903,970 tCO2/year removed) (b) 468$/tCO2 (100000tCO2/year removed)</t>
  </si>
  <si>
    <t>4.42$/MMBtu</t>
  </si>
  <si>
    <t>85% (sensitivity: 0.3 - 0.95)</t>
  </si>
  <si>
    <t>not clear</t>
  </si>
  <si>
    <t>included</t>
  </si>
  <si>
    <t>15.2-15.6 for transport and storage</t>
  </si>
  <si>
    <t>Keith et.al. 2018</t>
  </si>
  <si>
    <t>+/-50 percent uncertainty present in the capital cost estimate; separate sensitivity analysis for capacity factor, system pressure drop, natural gas price, solvent makeup rate, solvent cost, capture fraction, calciner natural gas requirement, financial assumptions (fixed charge rate [FCR])</t>
  </si>
  <si>
    <t>Most sub-systems were modeled directly from Carbon Engineering (CE) process data (Keith et al. (2018); [3] vendor quotes and engineering, procurement, and construction industrial experience were used to model the balance of plant. Independent operating and capital cost estimates based on commercially available technology from reputable suppliers were developed by Black &amp; Veatch using their in-house cost estimating references. The capital cost estimates represent an AACE International (AACE) Class 5 estimate, with an uncertainty range of +/-50 percent. Sensitivity</t>
  </si>
  <si>
    <t>(a)Case 0B $702/tonne ($637/ton) (b) Case 0B-EB  $475/tonne ($431/ton) (c) Case 0B $430/tonne ($390/ton)</t>
  </si>
  <si>
    <t>60$/MWh</t>
  </si>
  <si>
    <t>renewable</t>
  </si>
  <si>
    <t>23.8-23-9 for transport and storage; 10 for renewable case</t>
  </si>
  <si>
    <t>+/-50 percent uncertainty present in the capital cost estimate; Sensitivity analysis: include capital cost, natural gas price, sorbent cost, sorbent lifetime, financing assumptions (fixed charge rate), system pressure drop, system capture fraction, sorbent regeneration energy, and a single case addressing CO2 product purity from the adsorber vessels</t>
  </si>
  <si>
    <t>2018 USD</t>
  </si>
  <si>
    <t>199-357</t>
  </si>
  <si>
    <t>Keith et al., (2018); Holmes and Keith (2012)</t>
  </si>
  <si>
    <t>Modelled based on Holmes and Keith, 2012; and Keith et al. 2018); design “C” configuration, which omits the onsite power island and instead uses grid electricity to supply all electrical work, suitable in regions with available low-carbon electricity. However, the C configuration assumes compression of CO2 to 15 MPa, and compression is not included in the committee’s analysis. Compression results in an energy of 0.48 GJ/tCO2 and cost of $8/tCO2, assuming an electricity cost of $60/MWh—leading to additional emissions of 0.1 Mt CO2 for every Mt CO2 captured, assuming an average grid emissions factor of 744 kgCO2/MWh.</t>
  </si>
  <si>
    <t>compression is not included in the committee’s analysis. Compression results in an energy of 0.48 GJ/tCO2 and cost of $8/tCO2, assuming an electricity cost of $60/MWh—leading to additional emissions of 0.1 Mt CO2 for every Mt CO2 captured, assuming an average grid emissions factor of 744 kgCO2/MWh.</t>
  </si>
  <si>
    <t>89-256</t>
  </si>
  <si>
    <t>solar</t>
  </si>
  <si>
    <t>0.65$/GJ</t>
  </si>
  <si>
    <t>not specified (solar potentially)</t>
  </si>
  <si>
    <t>Own modelling</t>
  </si>
  <si>
    <t xml:space="preserve">610-780$/tCO2 avoided </t>
  </si>
  <si>
    <t>Cost ($/tCO2)</t>
  </si>
  <si>
    <t>Net removed cost ($/tCO2)</t>
  </si>
  <si>
    <t>Cost Breakdowns</t>
  </si>
  <si>
    <t>Year of Cost Currency</t>
  </si>
  <si>
    <t>Year of Cost</t>
  </si>
  <si>
    <t>Currency shown</t>
  </si>
  <si>
    <t>Study Scenario</t>
  </si>
  <si>
    <t>Cost type</t>
  </si>
  <si>
    <t>Cumulative capacity (Mt CO2/year)</t>
  </si>
  <si>
    <t>Baseline $2023 Any Cost Type</t>
  </si>
  <si>
    <t>Baseline $2023 Net avoided cost (LCOE and carbon intensity harm)</t>
  </si>
  <si>
    <t>WACC any cost type Harmonized</t>
  </si>
  <si>
    <t>Fully Harmonized NET REMOVED COST (incl T&amp;S</t>
  </si>
  <si>
    <t>CO2</t>
  </si>
  <si>
    <t>Other OPEX</t>
  </si>
  <si>
    <t>Study Type</t>
  </si>
  <si>
    <t>Plant Location</t>
  </si>
  <si>
    <t>Production</t>
  </si>
  <si>
    <t>USD</t>
  </si>
  <si>
    <t>Low net removed cost</t>
  </si>
  <si>
    <t>High net removed cost</t>
  </si>
  <si>
    <t>Base Case</t>
  </si>
  <si>
    <t>Levelised Cost of Removal</t>
  </si>
  <si>
    <t>Low - USA</t>
  </si>
  <si>
    <t>Low - UK</t>
  </si>
  <si>
    <t>Low - Indonesia</t>
  </si>
  <si>
    <t>Low - Saudi Arabia</t>
  </si>
  <si>
    <t>Medium - USA</t>
  </si>
  <si>
    <t>Medium - UK</t>
  </si>
  <si>
    <t>Medium - Indonesia</t>
  </si>
  <si>
    <t>Medium - Saudi Arabia</t>
  </si>
  <si>
    <t>High - USA</t>
  </si>
  <si>
    <t>High - UK</t>
  </si>
  <si>
    <t>High - Indonesia</t>
  </si>
  <si>
    <t>High - Saudi Arabia</t>
  </si>
  <si>
    <t>Conservative</t>
  </si>
  <si>
    <t>M-250Y Optimization of C_avo</t>
  </si>
  <si>
    <t>Levelized cost of CO2 avoided (without transport and storage)</t>
  </si>
  <si>
    <t>M-500Y Optimization of C_avo</t>
  </si>
  <si>
    <t>M-CC Optimization of C_avo</t>
  </si>
  <si>
    <t>Chile</t>
  </si>
  <si>
    <t>Portugal</t>
  </si>
  <si>
    <t>US</t>
  </si>
  <si>
    <t>Europe</t>
  </si>
  <si>
    <t>Germany grid connected</t>
  </si>
  <si>
    <t>Germany grid connected with waste heat</t>
  </si>
  <si>
    <t>Natural Gas Thermal - GWP excluded - HF</t>
  </si>
  <si>
    <t>Natural Gas Electric - GWP Excluded - HF</t>
  </si>
  <si>
    <t>Natural Gas Thermal - GWP Included - HF</t>
  </si>
  <si>
    <t>Natural Gas Electric - GWP Included - HF</t>
  </si>
  <si>
    <t>Natural Gas Thermal - GWP excluded - VF</t>
  </si>
  <si>
    <t>Natural Gas Electric - GWP Excluded - VF</t>
  </si>
  <si>
    <t>Natural Gas Thermal - GWP Included - VF</t>
  </si>
  <si>
    <t>Natural Gas Electric - GWP Included - VF</t>
  </si>
  <si>
    <t>Reference - Wind</t>
  </si>
  <si>
    <t xml:space="preserve">Reference - Geothermal </t>
  </si>
  <si>
    <t>Reference - Nat. Gas w/o seq</t>
  </si>
  <si>
    <t>Reference - Nat. Gas w/seq</t>
  </si>
  <si>
    <t>Pessimistic - Wind</t>
  </si>
  <si>
    <t xml:space="preserve">Pessimistic - Geothermal </t>
  </si>
  <si>
    <t>Pessimistic - Nat. Gas w/o seq</t>
  </si>
  <si>
    <t>Pessimistic - Nat. Gas w/seq</t>
  </si>
  <si>
    <t>Optimistic - Wind</t>
  </si>
  <si>
    <t xml:space="preserve">Optimistic - Geothermal </t>
  </si>
  <si>
    <t>Optimistic - Nat. Gas w/o seq</t>
  </si>
  <si>
    <t>Optimistic - Nat. Gas w/seq</t>
  </si>
  <si>
    <t>Amino acid salt solution</t>
  </si>
  <si>
    <t>MEA</t>
  </si>
  <si>
    <t>MgO</t>
  </si>
  <si>
    <t>Reference Scenario A (low WACC)</t>
  </si>
  <si>
    <t>Scenario C  (low WACC)</t>
  </si>
  <si>
    <t>Scenario D  (low WACC)</t>
  </si>
  <si>
    <t>Scenario B: Nth of a kind of scenario A  (low WACC)</t>
  </si>
  <si>
    <t>Reference Scenario A (high WACC)</t>
  </si>
  <si>
    <t>Scenario C  (high WACC)</t>
  </si>
  <si>
    <t>Scenario D  (high WACC)</t>
  </si>
  <si>
    <t>Scenario B: Nth of a kind of scenario A  (high WACC)</t>
  </si>
  <si>
    <t>Lower Bound</t>
  </si>
  <si>
    <t>Upper Bound</t>
  </si>
  <si>
    <t>2030 USD</t>
  </si>
  <si>
    <t>Na2CO3 based</t>
  </si>
  <si>
    <t>Low Electricity Price</t>
  </si>
  <si>
    <t>Average Electricity Price</t>
  </si>
  <si>
    <t>High Electricity Price</t>
  </si>
  <si>
    <t>2050 USD</t>
  </si>
  <si>
    <t>Scenario A</t>
  </si>
  <si>
    <t>Scenario C</t>
  </si>
  <si>
    <t>Scenario D</t>
  </si>
  <si>
    <t>Scenario B</t>
  </si>
  <si>
    <t>Case 1 (903,970 tonnes/yr)</t>
  </si>
  <si>
    <t>Case 1 with CPU (903,970 tonnes/yr)</t>
  </si>
  <si>
    <t>Case 1A (100,000 tonnes/yr)</t>
  </si>
  <si>
    <t>Case 0B</t>
  </si>
  <si>
    <t>Case 0B-EB</t>
  </si>
  <si>
    <t>Realistic</t>
  </si>
  <si>
    <t>Optimistic</t>
  </si>
  <si>
    <t>Inflation, consumer prices (annual %) - United States</t>
  </si>
  <si>
    <t>FRED Graph Observations</t>
  </si>
  <si>
    <t>Inflation, consumer prices (annual %) - United States | Data (worldbank.org)</t>
  </si>
  <si>
    <t>Federal Reserve Economic Data</t>
  </si>
  <si>
    <t>Link: https://fred.stlouisfed.org</t>
  </si>
  <si>
    <t>Country Code</t>
  </si>
  <si>
    <t>Indicator Name</t>
  </si>
  <si>
    <t>Indicator Code</t>
  </si>
  <si>
    <t>Help: https://fredhelp.stlouisfed.org</t>
  </si>
  <si>
    <t>USA</t>
  </si>
  <si>
    <t>Inflation, consumer prices (annual %)</t>
  </si>
  <si>
    <t>FP.CPI.TOTL.ZG</t>
  </si>
  <si>
    <t>Economic Research Division</t>
  </si>
  <si>
    <t>2008</t>
  </si>
  <si>
    <t>Federal Reserve Bank of St. Louis</t>
  </si>
  <si>
    <t>2009</t>
  </si>
  <si>
    <t>2010</t>
  </si>
  <si>
    <t>2011</t>
  </si>
  <si>
    <t>2012</t>
  </si>
  <si>
    <t>2013</t>
  </si>
  <si>
    <t>2014</t>
  </si>
  <si>
    <t>2015</t>
  </si>
  <si>
    <t>2016</t>
  </si>
  <si>
    <t>2017</t>
  </si>
  <si>
    <t>2018</t>
  </si>
  <si>
    <t>2019</t>
  </si>
  <si>
    <t>2020</t>
  </si>
  <si>
    <t>2021</t>
  </si>
  <si>
    <t>2022</t>
  </si>
  <si>
    <t>2023</t>
  </si>
  <si>
    <t>Currency</t>
  </si>
  <si>
    <t>Euro Zone</t>
  </si>
  <si>
    <t>Euro</t>
  </si>
  <si>
    <t>To convert from foreign currency to U.S. dollars, divide the foreign currency amount by the applicable yearly average exchange rate in the table</t>
  </si>
  <si>
    <t>1 Euro</t>
  </si>
  <si>
    <t>USD in 2019</t>
  </si>
  <si>
    <t>Yearly average currency exchange rates | Internal Revenue Service (irs.gov)</t>
  </si>
  <si>
    <t>EXUSEU</t>
  </si>
  <si>
    <t>U.S. Dollars to Euro Spot Exchange Rate, U.S. Dollars to One Euro, Monthly, Not Seasonally Adjusted</t>
  </si>
  <si>
    <t>Frequency: Monthly</t>
  </si>
  <si>
    <t>observation_date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</si>
</sst>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 #,##0.00_ ;_ * \-#,##0.00_ ;_ * &quot;-&quot;??_ ;_ @_ "/>
    <numFmt numFmtId="165" formatCode="_(* #,##0.00_);_(* \(#,##0.00\);_(* &quot;-&quot;??_);_(@_)"/>
    <numFmt numFmtId="166" formatCode="_(* #,##0_);_(* \(#,##0\);_(* &quot;-&quot;??_);_(@_)"/>
    <numFmt numFmtId="167" formatCode="_-* #,##0_-;\-* #,##0_-;_-* &quot;-&quot;??_-;_-@_-"/>
    <numFmt numFmtId="168" formatCode="0.0"/>
    <numFmt numFmtId="169" formatCode="_ * #,##0.0000_ ;_ * \-#,##0.0000_ ;_ * &quot;-&quot;??_ ;_ @_ "/>
    <numFmt numFmtId="170" formatCode="_ * #,##0.00000_ ;_ * \-#,##0.00000_ ;_ * &quot;-&quot;??_ ;_ @_ "/>
    <numFmt numFmtId="171" formatCode="_ * #,##0_ ;_ * \-#,##0_ ;_ * &quot;-&quot;??_ ;_ @_ "/>
    <numFmt numFmtId="172" formatCode="0.0000"/>
  </numFmts>
  <fonts count="36">
    <font>
      <sz val="12"/>
      <color theme="1"/>
      <name val="Aptos Narrow"/>
      <family val="2"/>
      <scheme val="minor"/>
    </font>
    <font>
      <sz val="11"/>
      <color theme="1"/>
      <name val="Aptos Narrow"/>
      <family val="2"/>
      <scheme val="minor"/>
    </font>
    <font>
      <u/>
      <sz val="12"/>
      <color theme="10"/>
      <name val="Aptos Narrow"/>
      <family val="2"/>
      <scheme val="minor"/>
    </font>
    <font>
      <sz val="12"/>
      <color theme="1"/>
      <name val="Aptos Narrow"/>
      <family val="2"/>
      <scheme val="minor"/>
    </font>
    <font>
      <b/>
      <sz val="12"/>
      <color theme="1"/>
      <name val="Aptos Narrow"/>
      <family val="2"/>
      <scheme val="minor"/>
    </font>
    <font>
      <sz val="12"/>
      <color rgb="FF000000"/>
      <name val="Aptos Narrow"/>
      <family val="2"/>
    </font>
    <font>
      <sz val="12"/>
      <color theme="1"/>
      <name val="Aptos Narrow"/>
      <family val="2"/>
    </font>
    <font>
      <b/>
      <sz val="15"/>
      <color rgb="FF44546A"/>
      <name val="Aptos Narrow"/>
      <family val="2"/>
    </font>
    <font>
      <i/>
      <sz val="12"/>
      <color rgb="FF808080"/>
      <name val="Aptos Narrow"/>
      <family val="2"/>
    </font>
    <font>
      <b/>
      <sz val="12"/>
      <color rgb="FF3F3F3F"/>
      <name val="Aptos Narrow"/>
      <family val="2"/>
    </font>
    <font>
      <b/>
      <i/>
      <sz val="12"/>
      <color rgb="FF808080"/>
      <name val="Aptos Narrow"/>
      <family val="2"/>
    </font>
    <font>
      <sz val="12"/>
      <color rgb="FF3F3F76"/>
      <name val="Aptos Narrow"/>
      <family val="2"/>
    </font>
    <font>
      <b/>
      <sz val="12"/>
      <color rgb="FF000000"/>
      <name val="Aptos Narrow"/>
      <family val="2"/>
    </font>
    <font>
      <sz val="8"/>
      <name val="Aptos Narrow"/>
      <family val="2"/>
      <scheme val="minor"/>
    </font>
    <font>
      <sz val="11"/>
      <color theme="1"/>
      <name val="Aptos Narrow"/>
      <family val="2"/>
      <scheme val="minor"/>
    </font>
    <font>
      <b/>
      <sz val="9"/>
      <color theme="1"/>
      <name val="Arial"/>
      <family val="2"/>
    </font>
    <font>
      <b/>
      <sz val="11"/>
      <color theme="1"/>
      <name val="Aptos Narrow"/>
      <family val="2"/>
      <scheme val="minor"/>
    </font>
    <font>
      <sz val="9"/>
      <color theme="1"/>
      <name val="Arial"/>
      <family val="2"/>
    </font>
    <font>
      <sz val="11"/>
      <color rgb="FFFF0000"/>
      <name val="Aptos Narrow"/>
      <family val="2"/>
      <scheme val="minor"/>
    </font>
    <font>
      <sz val="12"/>
      <color rgb="FFFF0000"/>
      <name val="Aptos Narrow"/>
      <family val="2"/>
      <scheme val="minor"/>
    </font>
    <font>
      <b/>
      <sz val="12"/>
      <color theme="1"/>
      <name val="Aptos Narrow"/>
      <family val="2"/>
      <scheme val="minor"/>
    </font>
    <font>
      <sz val="12"/>
      <name val="Aptos Narrow"/>
      <family val="2"/>
      <scheme val="minor"/>
    </font>
    <font>
      <sz val="12"/>
      <color theme="5"/>
      <name val="Aptos Narrow"/>
      <family val="2"/>
      <scheme val="minor"/>
    </font>
    <font>
      <sz val="12"/>
      <color rgb="FF000000"/>
      <name val="Aptos Narrow"/>
      <family val="2"/>
      <scheme val="minor"/>
    </font>
    <font>
      <b/>
      <sz val="13.5"/>
      <color rgb="FFFFFFFF"/>
      <name val="Source Sans Pro"/>
      <family val="2"/>
    </font>
    <font>
      <sz val="10"/>
      <color rgb="FF1B1B1B"/>
      <name val="Source Sans Pro"/>
      <family val="2"/>
    </font>
    <font>
      <sz val="12"/>
      <color theme="4"/>
      <name val="Aptos Narrow"/>
      <family val="2"/>
      <scheme val="minor"/>
    </font>
    <font>
      <sz val="10"/>
      <name val="Arial"/>
      <family val="2"/>
    </font>
    <font>
      <b/>
      <sz val="10"/>
      <color rgb="FF1B1B1B"/>
      <name val="Source Sans Pro"/>
      <family val="2"/>
    </font>
    <font>
      <b/>
      <sz val="11"/>
      <name val="Calibri"/>
      <family val="2"/>
    </font>
    <font>
      <sz val="7"/>
      <color theme="1"/>
      <name val="Aptos Narrow"/>
      <family val="2"/>
      <scheme val="minor"/>
    </font>
    <font>
      <sz val="10"/>
      <color rgb="FF1F1F1F"/>
      <name val="Arial"/>
      <family val="2"/>
    </font>
    <font>
      <u/>
      <sz val="12"/>
      <name val="Aptos Narrow"/>
      <family val="2"/>
      <scheme val="minor"/>
    </font>
    <font>
      <sz val="11"/>
      <color theme="7"/>
      <name val="Aptos Narrow"/>
      <family val="2"/>
      <scheme val="minor"/>
    </font>
    <font>
      <sz val="12"/>
      <color theme="8"/>
      <name val="Aptos Narrow"/>
      <family val="2"/>
      <scheme val="minor"/>
    </font>
    <font>
      <sz val="11"/>
      <color theme="1"/>
      <name val="Calibri"/>
      <family val="2"/>
    </font>
  </fonts>
  <fills count="12">
    <fill>
      <patternFill patternType="none"/>
    </fill>
    <fill>
      <patternFill patternType="gray125"/>
    </fill>
    <fill>
      <patternFill patternType="solid">
        <fgColor rgb="FFFFCC99"/>
        <bgColor rgb="FF000000"/>
      </patternFill>
    </fill>
    <fill>
      <patternFill patternType="solid">
        <fgColor theme="5" tint="0.79998168889431442"/>
        <bgColor indexed="64"/>
      </patternFill>
    </fill>
    <fill>
      <patternFill patternType="solid">
        <fgColor theme="3" tint="0.749992370372631"/>
        <bgColor indexed="64"/>
      </patternFill>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002D62"/>
        <bgColor indexed="64"/>
      </patternFill>
    </fill>
    <fill>
      <patternFill patternType="solid">
        <fgColor theme="0" tint="-4.9989318521683403E-2"/>
        <bgColor indexed="64"/>
      </patternFill>
    </fill>
    <fill>
      <patternFill patternType="solid">
        <fgColor theme="6" tint="0.79998168889431442"/>
        <bgColor indexed="64"/>
      </patternFill>
    </fill>
  </fills>
  <borders count="16">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thick">
        <color rgb="FF4472C4"/>
      </bottom>
      <diagonal/>
    </border>
    <border>
      <left/>
      <right style="thin">
        <color rgb="FF3F3F3F"/>
      </right>
      <top style="thin">
        <color rgb="FF3F3F3F"/>
      </top>
      <bottom style="thin">
        <color rgb="FF3F3F3F"/>
      </bottom>
      <diagonal/>
    </border>
    <border>
      <left style="thin">
        <color rgb="FF3F3F3F"/>
      </left>
      <right style="thin">
        <color rgb="FF3F3F3F"/>
      </right>
      <top/>
      <bottom/>
      <diagonal/>
    </border>
    <border>
      <left/>
      <right style="thin">
        <color rgb="FF3F3F3F"/>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rgb="FFD6D7D9"/>
      </left>
      <right style="medium">
        <color rgb="FF000000"/>
      </right>
      <top style="medium">
        <color rgb="FFD6D7D9"/>
      </top>
      <bottom style="medium">
        <color rgb="FFD6D7D9"/>
      </bottom>
      <diagonal/>
    </border>
    <border>
      <left style="medium">
        <color rgb="FFDDDDDD"/>
      </left>
      <right style="medium">
        <color rgb="FF000000"/>
      </right>
      <top style="medium">
        <color rgb="FFD6D7D9"/>
      </top>
      <bottom style="medium">
        <color rgb="FFD6D7D9"/>
      </bottom>
      <diagonal/>
    </border>
    <border>
      <left style="medium">
        <color rgb="FFDDDDDD"/>
      </left>
      <right style="medium">
        <color rgb="FFD6D7D9"/>
      </right>
      <top style="medium">
        <color rgb="FFD6D7D9"/>
      </top>
      <bottom style="medium">
        <color rgb="FFD6D7D9"/>
      </bottom>
      <diagonal/>
    </border>
    <border>
      <left style="medium">
        <color rgb="FFD6D7D9"/>
      </left>
      <right style="medium">
        <color rgb="FFDDDDDD"/>
      </right>
      <top style="medium">
        <color rgb="FFD6D7D9"/>
      </top>
      <bottom style="medium">
        <color rgb="FFD6D7D9"/>
      </bottom>
      <diagonal/>
    </border>
    <border>
      <left style="medium">
        <color rgb="FFDDDDDD"/>
      </left>
      <right style="medium">
        <color rgb="FFDDDDDD"/>
      </right>
      <top style="medium">
        <color rgb="FFD6D7D9"/>
      </top>
      <bottom style="medium">
        <color rgb="FFD6D7D9"/>
      </bottom>
      <diagonal/>
    </border>
    <border>
      <left style="medium">
        <color rgb="FFDDDDDD"/>
      </left>
      <right/>
      <top/>
      <bottom/>
      <diagonal/>
    </border>
    <border>
      <left style="thin">
        <color auto="1"/>
      </left>
      <right style="thin">
        <color auto="1"/>
      </right>
      <top/>
      <bottom/>
      <diagonal/>
    </border>
  </borders>
  <cellStyleXfs count="5">
    <xf numFmtId="0" fontId="0" fillId="0" borderId="0"/>
    <xf numFmtId="0" fontId="2" fillId="0" borderId="0" applyNumberFormat="0" applyFill="0" applyBorder="0" applyAlignment="0" applyProtection="0"/>
    <xf numFmtId="9" fontId="3" fillId="0" borderId="0" applyFont="0" applyFill="0" applyBorder="0" applyAlignment="0" applyProtection="0"/>
    <xf numFmtId="0" fontId="14" fillId="0" borderId="0"/>
    <xf numFmtId="164" fontId="3" fillId="0" borderId="0" applyFont="0" applyFill="0" applyBorder="0" applyAlignment="0" applyProtection="0"/>
  </cellStyleXfs>
  <cellXfs count="145">
    <xf numFmtId="0" fontId="0" fillId="0" borderId="0" xfId="0"/>
    <xf numFmtId="0" fontId="4" fillId="0" borderId="0" xfId="0" applyFont="1"/>
    <xf numFmtId="0" fontId="0" fillId="3" borderId="0" xfId="0" applyFill="1"/>
    <xf numFmtId="0" fontId="0" fillId="0" borderId="0" xfId="0" applyAlignment="1">
      <alignment wrapText="1"/>
    </xf>
    <xf numFmtId="9" fontId="0" fillId="0" borderId="0" xfId="2" applyFont="1"/>
    <xf numFmtId="10" fontId="0" fillId="0" borderId="0" xfId="0" applyNumberFormat="1"/>
    <xf numFmtId="2" fontId="0" fillId="0" borderId="0" xfId="0" applyNumberFormat="1"/>
    <xf numFmtId="0" fontId="4" fillId="4" borderId="0" xfId="0" applyFont="1" applyFill="1"/>
    <xf numFmtId="0" fontId="0" fillId="4" borderId="0" xfId="0" applyFill="1"/>
    <xf numFmtId="0" fontId="5" fillId="0" borderId="0" xfId="0" applyFont="1"/>
    <xf numFmtId="0" fontId="6" fillId="0" borderId="0" xfId="0" applyFont="1"/>
    <xf numFmtId="0" fontId="7" fillId="0" borderId="3" xfId="0" applyFont="1" applyBorder="1"/>
    <xf numFmtId="0" fontId="8" fillId="0" borderId="0" xfId="0" applyFont="1"/>
    <xf numFmtId="0" fontId="9" fillId="0" borderId="2" xfId="0" applyFont="1" applyBorder="1"/>
    <xf numFmtId="0" fontId="9" fillId="0" borderId="4" xfId="0" applyFont="1" applyBorder="1"/>
    <xf numFmtId="0" fontId="9" fillId="0" borderId="0" xfId="0" applyFont="1"/>
    <xf numFmtId="166" fontId="5" fillId="0" borderId="0" xfId="0" applyNumberFormat="1" applyFont="1"/>
    <xf numFmtId="166" fontId="9" fillId="0" borderId="5" xfId="0" applyNumberFormat="1" applyFont="1" applyBorder="1"/>
    <xf numFmtId="166" fontId="9" fillId="0" borderId="6" xfId="0" applyNumberFormat="1" applyFont="1" applyBorder="1"/>
    <xf numFmtId="166" fontId="9" fillId="0" borderId="0" xfId="0" applyNumberFormat="1" applyFont="1"/>
    <xf numFmtId="166" fontId="8" fillId="0" borderId="0" xfId="0" applyNumberFormat="1" applyFont="1"/>
    <xf numFmtId="166" fontId="10" fillId="0" borderId="7" xfId="0" applyNumberFormat="1" applyFont="1" applyBorder="1"/>
    <xf numFmtId="166" fontId="10" fillId="0" borderId="8" xfId="0" applyNumberFormat="1" applyFont="1" applyBorder="1"/>
    <xf numFmtId="165" fontId="10" fillId="0" borderId="8" xfId="0" applyNumberFormat="1" applyFont="1" applyBorder="1"/>
    <xf numFmtId="166" fontId="10" fillId="0" borderId="0" xfId="0" applyNumberFormat="1" applyFont="1"/>
    <xf numFmtId="165" fontId="10" fillId="0" borderId="0" xfId="0" applyNumberFormat="1" applyFont="1"/>
    <xf numFmtId="167" fontId="10" fillId="0" borderId="0" xfId="0" applyNumberFormat="1" applyFont="1"/>
    <xf numFmtId="0" fontId="12" fillId="0" borderId="0" xfId="0" applyFont="1" applyAlignment="1">
      <alignment horizontal="right"/>
    </xf>
    <xf numFmtId="165" fontId="12" fillId="0" borderId="0" xfId="0" applyNumberFormat="1" applyFont="1"/>
    <xf numFmtId="10" fontId="11" fillId="2" borderId="1" xfId="0" applyNumberFormat="1" applyFont="1" applyFill="1" applyBorder="1"/>
    <xf numFmtId="1" fontId="0" fillId="0" borderId="0" xfId="0" applyNumberFormat="1"/>
    <xf numFmtId="0" fontId="15" fillId="0" borderId="0" xfId="3" applyFont="1"/>
    <xf numFmtId="0" fontId="16" fillId="0" borderId="0" xfId="0" applyFont="1"/>
    <xf numFmtId="0" fontId="16" fillId="5" borderId="0" xfId="0" applyFont="1" applyFill="1"/>
    <xf numFmtId="0" fontId="17" fillId="3" borderId="0" xfId="3" applyFont="1" applyFill="1"/>
    <xf numFmtId="0" fontId="0" fillId="0" borderId="0" xfId="0" quotePrefix="1"/>
    <xf numFmtId="0" fontId="18" fillId="6" borderId="0" xfId="0" applyFont="1" applyFill="1"/>
    <xf numFmtId="0" fontId="2" fillId="0" borderId="0" xfId="1" applyAlignment="1">
      <alignment horizontal="fill"/>
    </xf>
    <xf numFmtId="0" fontId="17" fillId="5" borderId="0" xfId="0" applyFont="1" applyFill="1"/>
    <xf numFmtId="0" fontId="17" fillId="0" borderId="0" xfId="0" applyFont="1"/>
    <xf numFmtId="0" fontId="17" fillId="0" borderId="0" xfId="3" applyFont="1"/>
    <xf numFmtId="0" fontId="0" fillId="5" borderId="0" xfId="0" applyFill="1"/>
    <xf numFmtId="0" fontId="17" fillId="7" borderId="0" xfId="3" applyFont="1" applyFill="1"/>
    <xf numFmtId="0" fontId="0" fillId="3" borderId="0" xfId="0" quotePrefix="1" applyFill="1"/>
    <xf numFmtId="0" fontId="18" fillId="3" borderId="0" xfId="0" applyFont="1" applyFill="1"/>
    <xf numFmtId="0" fontId="2" fillId="3" borderId="0" xfId="1" applyFill="1" applyAlignment="1">
      <alignment horizontal="fill"/>
    </xf>
    <xf numFmtId="0" fontId="17" fillId="3" borderId="0" xfId="0" applyFont="1" applyFill="1"/>
    <xf numFmtId="0" fontId="0" fillId="0" borderId="0" xfId="0" applyAlignment="1">
      <alignment horizontal="fill"/>
    </xf>
    <xf numFmtId="0" fontId="19" fillId="0" borderId="0" xfId="0" applyFont="1"/>
    <xf numFmtId="0" fontId="2" fillId="0" borderId="0" xfId="1" applyFill="1" applyAlignment="1" applyProtection="1"/>
    <xf numFmtId="0" fontId="2" fillId="0" borderId="0" xfId="1" applyAlignment="1" applyProtection="1"/>
    <xf numFmtId="0" fontId="20" fillId="0" borderId="0" xfId="0" applyFont="1"/>
    <xf numFmtId="9" fontId="0" fillId="0" borderId="0" xfId="2" applyFont="1" applyAlignment="1">
      <alignment horizontal="right"/>
    </xf>
    <xf numFmtId="14" fontId="0" fillId="0" borderId="0" xfId="0" applyNumberFormat="1"/>
    <xf numFmtId="9" fontId="0" fillId="0" borderId="0" xfId="0" applyNumberFormat="1"/>
    <xf numFmtId="0" fontId="21" fillId="0" borderId="0" xfId="0" applyFont="1"/>
    <xf numFmtId="3" fontId="0" fillId="0" borderId="0" xfId="0" applyNumberFormat="1"/>
    <xf numFmtId="0" fontId="3" fillId="0" borderId="0" xfId="0" applyFont="1"/>
    <xf numFmtId="0" fontId="23" fillId="0" borderId="0" xfId="0" applyFont="1"/>
    <xf numFmtId="9" fontId="23" fillId="0" borderId="0" xfId="0" applyNumberFormat="1" applyFont="1"/>
    <xf numFmtId="0" fontId="0" fillId="7" borderId="0" xfId="0" applyFill="1"/>
    <xf numFmtId="168" fontId="0" fillId="0" borderId="0" xfId="0" applyNumberFormat="1"/>
    <xf numFmtId="164" fontId="0" fillId="0" borderId="0" xfId="0" applyNumberFormat="1"/>
    <xf numFmtId="0" fontId="2" fillId="0" borderId="0" xfId="1" applyAlignment="1">
      <alignment horizontal="left" vertical="center"/>
    </xf>
    <xf numFmtId="0" fontId="2" fillId="0" borderId="0" xfId="1"/>
    <xf numFmtId="0" fontId="24" fillId="9" borderId="10" xfId="0" applyFont="1" applyFill="1" applyBorder="1" applyAlignment="1">
      <alignment horizontal="left" wrapText="1"/>
    </xf>
    <xf numFmtId="0" fontId="24" fillId="9" borderId="11" xfId="0" applyFont="1" applyFill="1" applyBorder="1" applyAlignment="1">
      <alignment horizontal="left" wrapText="1"/>
    </xf>
    <xf numFmtId="0" fontId="25" fillId="8" borderId="13" xfId="0" applyFont="1" applyFill="1" applyBorder="1" applyAlignment="1">
      <alignment vertical="top" wrapText="1"/>
    </xf>
    <xf numFmtId="0" fontId="25" fillId="8" borderId="11" xfId="0" applyFont="1" applyFill="1" applyBorder="1" applyAlignment="1">
      <alignment vertical="top" wrapText="1"/>
    </xf>
    <xf numFmtId="0" fontId="24" fillId="9" borderId="14" xfId="0" applyFont="1" applyFill="1" applyBorder="1" applyAlignment="1">
      <alignment horizontal="left" wrapText="1"/>
    </xf>
    <xf numFmtId="0" fontId="24" fillId="9" borderId="0" xfId="0" applyFont="1" applyFill="1" applyAlignment="1">
      <alignment horizontal="left" wrapText="1"/>
    </xf>
    <xf numFmtId="10" fontId="23" fillId="0" borderId="0" xfId="0" applyNumberFormat="1" applyFont="1"/>
    <xf numFmtId="3" fontId="23" fillId="0" borderId="0" xfId="0" applyNumberFormat="1" applyFont="1"/>
    <xf numFmtId="2" fontId="0" fillId="0" borderId="0" xfId="0" applyNumberFormat="1" applyAlignment="1">
      <alignment horizontal="right"/>
    </xf>
    <xf numFmtId="0" fontId="27" fillId="0" borderId="0" xfId="0" applyFont="1"/>
    <xf numFmtId="0" fontId="27" fillId="0" borderId="0" xfId="0" quotePrefix="1" applyFont="1"/>
    <xf numFmtId="14" fontId="27" fillId="0" borderId="0" xfId="0" applyNumberFormat="1" applyFont="1"/>
    <xf numFmtId="3" fontId="27" fillId="0" borderId="0" xfId="0" applyNumberFormat="1" applyFont="1"/>
    <xf numFmtId="0" fontId="28" fillId="8" borderId="12" xfId="0" applyFont="1" applyFill="1" applyBorder="1" applyAlignment="1">
      <alignment vertical="top" wrapText="1"/>
    </xf>
    <xf numFmtId="10" fontId="0" fillId="0" borderId="0" xfId="2" applyNumberFormat="1" applyFont="1"/>
    <xf numFmtId="0" fontId="29" fillId="0" borderId="7" xfId="0" applyFont="1" applyBorder="1" applyAlignment="1">
      <alignment horizontal="center" vertical="top"/>
    </xf>
    <xf numFmtId="0" fontId="29" fillId="0" borderId="15" xfId="0" applyFont="1" applyBorder="1" applyAlignment="1">
      <alignment horizontal="center" vertical="top"/>
    </xf>
    <xf numFmtId="0" fontId="29" fillId="0" borderId="0" xfId="0" applyFont="1" applyAlignment="1">
      <alignment horizontal="center" vertical="top"/>
    </xf>
    <xf numFmtId="17" fontId="0" fillId="0" borderId="0" xfId="0" applyNumberFormat="1"/>
    <xf numFmtId="0" fontId="0" fillId="0" borderId="0" xfId="0" applyAlignment="1">
      <alignment horizontal="right"/>
    </xf>
    <xf numFmtId="0" fontId="24" fillId="9" borderId="9" xfId="0" applyFont="1" applyFill="1" applyBorder="1" applyAlignment="1">
      <alignment horizontal="left" wrapText="1"/>
    </xf>
    <xf numFmtId="0" fontId="25" fillId="0" borderId="0" xfId="0" applyFont="1"/>
    <xf numFmtId="14" fontId="19" fillId="0" borderId="0" xfId="0" applyNumberFormat="1" applyFont="1"/>
    <xf numFmtId="0" fontId="26" fillId="7" borderId="0" xfId="0" applyFont="1" applyFill="1"/>
    <xf numFmtId="9" fontId="0" fillId="7" borderId="0" xfId="0" applyNumberFormat="1" applyFill="1"/>
    <xf numFmtId="0" fontId="19" fillId="7" borderId="0" xfId="0" applyFont="1" applyFill="1"/>
    <xf numFmtId="0" fontId="32" fillId="0" borderId="0" xfId="1" applyFont="1" applyFill="1" applyAlignment="1" applyProtection="1"/>
    <xf numFmtId="0" fontId="22" fillId="0" borderId="0" xfId="0" applyFont="1"/>
    <xf numFmtId="14" fontId="0" fillId="7" borderId="0" xfId="0" applyNumberFormat="1" applyFill="1"/>
    <xf numFmtId="0" fontId="33" fillId="0" borderId="0" xfId="0" applyFont="1"/>
    <xf numFmtId="169" fontId="33" fillId="0" borderId="0" xfId="4" applyNumberFormat="1" applyFont="1" applyAlignment="1">
      <alignment vertical="center"/>
    </xf>
    <xf numFmtId="170" fontId="33" fillId="0" borderId="0" xfId="4" applyNumberFormat="1" applyFont="1" applyAlignment="1">
      <alignment vertical="center"/>
    </xf>
    <xf numFmtId="0" fontId="0" fillId="0" borderId="0" xfId="0" applyAlignment="1">
      <alignment horizontal="left"/>
    </xf>
    <xf numFmtId="0" fontId="4" fillId="0" borderId="0" xfId="0" applyFont="1" applyAlignment="1">
      <alignment horizontal="left" vertical="center"/>
    </xf>
    <xf numFmtId="0" fontId="4" fillId="0" borderId="0" xfId="0" applyFont="1" applyAlignment="1">
      <alignment horizontal="left"/>
    </xf>
    <xf numFmtId="0" fontId="0" fillId="0" borderId="0" xfId="0" applyAlignment="1">
      <alignment horizontal="left" vertical="center"/>
    </xf>
    <xf numFmtId="168" fontId="4" fillId="0" borderId="0" xfId="0" applyNumberFormat="1" applyFont="1" applyAlignment="1">
      <alignment horizontal="left"/>
    </xf>
    <xf numFmtId="0" fontId="2" fillId="0" borderId="0" xfId="1" applyFill="1"/>
    <xf numFmtId="1" fontId="1" fillId="0" borderId="0" xfId="0" applyNumberFormat="1" applyFont="1"/>
    <xf numFmtId="1" fontId="0" fillId="0" borderId="0" xfId="0" applyNumberFormat="1" applyAlignment="1">
      <alignment vertical="center" wrapText="1"/>
    </xf>
    <xf numFmtId="0" fontId="0" fillId="10" borderId="0" xfId="0" applyFill="1"/>
    <xf numFmtId="164" fontId="0" fillId="10" borderId="0" xfId="0" applyNumberFormat="1" applyFill="1"/>
    <xf numFmtId="0" fontId="34" fillId="10" borderId="0" xfId="0" applyFont="1" applyFill="1"/>
    <xf numFmtId="0" fontId="35" fillId="0" borderId="0" xfId="0" applyFont="1"/>
    <xf numFmtId="171" fontId="35" fillId="0" borderId="0" xfId="4" applyNumberFormat="1" applyFont="1" applyAlignment="1">
      <alignment vertical="center"/>
    </xf>
    <xf numFmtId="0" fontId="0" fillId="7" borderId="0" xfId="0" applyFill="1" applyAlignment="1">
      <alignment wrapText="1"/>
    </xf>
    <xf numFmtId="172" fontId="0" fillId="0" borderId="0" xfId="0" applyNumberFormat="1"/>
    <xf numFmtId="0" fontId="23" fillId="5" borderId="0" xfId="0" applyFont="1" applyFill="1"/>
    <xf numFmtId="9" fontId="0" fillId="3" borderId="0" xfId="2" applyFont="1" applyFill="1"/>
    <xf numFmtId="1" fontId="0" fillId="3" borderId="0" xfId="0" applyNumberFormat="1" applyFill="1"/>
    <xf numFmtId="0" fontId="0" fillId="3" borderId="0" xfId="0" applyFill="1" applyAlignment="1">
      <alignment wrapText="1"/>
    </xf>
    <xf numFmtId="14" fontId="0" fillId="3" borderId="0" xfId="0" applyNumberFormat="1" applyFill="1"/>
    <xf numFmtId="0" fontId="0" fillId="11" borderId="0" xfId="0" applyFill="1"/>
    <xf numFmtId="9" fontId="0" fillId="11" borderId="0" xfId="2" applyFont="1" applyFill="1" applyAlignment="1">
      <alignment horizontal="right"/>
    </xf>
    <xf numFmtId="14" fontId="0" fillId="11" borderId="0" xfId="0" applyNumberFormat="1" applyFill="1"/>
    <xf numFmtId="0" fontId="23" fillId="11" borderId="0" xfId="0" applyFont="1" applyFill="1"/>
    <xf numFmtId="9" fontId="0" fillId="11" borderId="0" xfId="2" applyFont="1" applyFill="1"/>
    <xf numFmtId="0" fontId="0" fillId="11" borderId="0" xfId="0" applyFill="1" applyAlignment="1">
      <alignment wrapText="1"/>
    </xf>
    <xf numFmtId="9" fontId="0" fillId="3" borderId="0" xfId="0" applyNumberFormat="1" applyFill="1"/>
    <xf numFmtId="0" fontId="21" fillId="3" borderId="0" xfId="0" applyFont="1" applyFill="1"/>
    <xf numFmtId="0" fontId="2" fillId="3" borderId="0" xfId="1" applyFill="1" applyAlignment="1" applyProtection="1"/>
    <xf numFmtId="10" fontId="0" fillId="3" borderId="0" xfId="0" applyNumberFormat="1" applyFill="1"/>
    <xf numFmtId="0" fontId="19" fillId="3" borderId="0" xfId="0" applyFont="1" applyFill="1"/>
    <xf numFmtId="0" fontId="23" fillId="3" borderId="0" xfId="0" applyFont="1" applyFill="1"/>
    <xf numFmtId="10" fontId="23" fillId="3" borderId="0" xfId="0" applyNumberFormat="1" applyFont="1" applyFill="1"/>
    <xf numFmtId="3" fontId="23" fillId="3" borderId="0" xfId="0" applyNumberFormat="1" applyFont="1" applyFill="1"/>
    <xf numFmtId="3" fontId="0" fillId="3" borderId="0" xfId="0" applyNumberFormat="1" applyFill="1"/>
    <xf numFmtId="9" fontId="23" fillId="5" borderId="0" xfId="0" applyNumberFormat="1" applyFont="1" applyFill="1"/>
    <xf numFmtId="0" fontId="0" fillId="3" borderId="0" xfId="0" applyFill="1" applyAlignment="1">
      <alignment horizontal="right"/>
    </xf>
    <xf numFmtId="17" fontId="0" fillId="3" borderId="0" xfId="0" applyNumberFormat="1" applyFill="1"/>
    <xf numFmtId="0" fontId="5" fillId="3" borderId="0" xfId="0" applyFont="1" applyFill="1"/>
    <xf numFmtId="0" fontId="32" fillId="3" borderId="0" xfId="1" applyFont="1" applyFill="1" applyAlignment="1" applyProtection="1"/>
    <xf numFmtId="0" fontId="22" fillId="3" borderId="0" xfId="0" applyFont="1" applyFill="1"/>
    <xf numFmtId="9" fontId="0" fillId="11" borderId="0" xfId="0" applyNumberFormat="1" applyFill="1"/>
    <xf numFmtId="171" fontId="0" fillId="0" borderId="0" xfId="4" applyNumberFormat="1" applyFont="1"/>
    <xf numFmtId="0" fontId="2" fillId="11" borderId="0" xfId="1" applyFill="1" applyAlignment="1" applyProtection="1"/>
    <xf numFmtId="10" fontId="0" fillId="11" borderId="0" xfId="0" applyNumberFormat="1" applyFill="1"/>
    <xf numFmtId="0" fontId="5" fillId="11" borderId="0" xfId="0" applyFont="1" applyFill="1"/>
    <xf numFmtId="0" fontId="0" fillId="0" borderId="7" xfId="0" applyBorder="1"/>
    <xf numFmtId="0" fontId="0" fillId="0" borderId="0" xfId="0" applyAlignment="1">
      <alignment horizontal="center"/>
    </xf>
  </cellXfs>
  <cellStyles count="5">
    <cellStyle name="Comma" xfId="4" builtinId="3"/>
    <cellStyle name="Hyperlink" xfId="1" builtinId="8"/>
    <cellStyle name="Normal" xfId="0" builtinId="0"/>
    <cellStyle name="Normal 2" xfId="3" xr:uid="{93C04280-CBA5-B944-83DB-A7AAB169697E}"/>
    <cellStyle name="Percent" xfId="2" builtinId="5"/>
  </cellStyles>
  <dxfs count="6">
    <dxf>
      <fill>
        <patternFill>
          <bgColor theme="9" tint="0.79998168889431442"/>
        </patternFill>
      </fill>
    </dxf>
    <dxf>
      <fill>
        <patternFill>
          <bgColor theme="4" tint="0.79998168889431442"/>
        </patternFill>
      </fill>
    </dxf>
    <dxf>
      <fill>
        <patternFill>
          <bgColor theme="5"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externalLink" Target="externalLinks/externalLink13.xml"/><Relationship Id="rId39" Type="http://schemas.openxmlformats.org/officeDocument/2006/relationships/externalLink" Target="externalLinks/externalLink26.xml"/><Relationship Id="rId21" Type="http://schemas.openxmlformats.org/officeDocument/2006/relationships/externalLink" Target="externalLinks/externalLink8.xml"/><Relationship Id="rId34" Type="http://schemas.openxmlformats.org/officeDocument/2006/relationships/externalLink" Target="externalLinks/externalLink21.xml"/><Relationship Id="rId42" Type="http://schemas.openxmlformats.org/officeDocument/2006/relationships/externalLink" Target="externalLinks/externalLink29.xml"/><Relationship Id="rId47" Type="http://schemas.openxmlformats.org/officeDocument/2006/relationships/sheetMetadata" Target="metadata.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3.xml"/><Relationship Id="rId29" Type="http://schemas.openxmlformats.org/officeDocument/2006/relationships/externalLink" Target="externalLinks/externalLink16.xml"/><Relationship Id="rId11" Type="http://schemas.openxmlformats.org/officeDocument/2006/relationships/worksheet" Target="worksheets/sheet11.xml"/><Relationship Id="rId24" Type="http://schemas.openxmlformats.org/officeDocument/2006/relationships/externalLink" Target="externalLinks/externalLink11.xml"/><Relationship Id="rId32" Type="http://schemas.openxmlformats.org/officeDocument/2006/relationships/externalLink" Target="externalLinks/externalLink19.xml"/><Relationship Id="rId37" Type="http://schemas.openxmlformats.org/officeDocument/2006/relationships/externalLink" Target="externalLinks/externalLink24.xml"/><Relationship Id="rId40" Type="http://schemas.openxmlformats.org/officeDocument/2006/relationships/externalLink" Target="externalLinks/externalLink27.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36" Type="http://schemas.openxmlformats.org/officeDocument/2006/relationships/externalLink" Target="externalLinks/externalLink23.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6.xml"/><Relationship Id="rId31" Type="http://schemas.openxmlformats.org/officeDocument/2006/relationships/externalLink" Target="externalLinks/externalLink18.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43" Type="http://schemas.openxmlformats.org/officeDocument/2006/relationships/externalLink" Target="externalLinks/externalLink30.xml"/><Relationship Id="rId48"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33" Type="http://schemas.openxmlformats.org/officeDocument/2006/relationships/externalLink" Target="externalLinks/externalLink20.xml"/><Relationship Id="rId38" Type="http://schemas.openxmlformats.org/officeDocument/2006/relationships/externalLink" Target="externalLinks/externalLink25.xml"/><Relationship Id="rId46" Type="http://schemas.openxmlformats.org/officeDocument/2006/relationships/sharedStrings" Target="sharedStrings.xml"/><Relationship Id="rId20" Type="http://schemas.openxmlformats.org/officeDocument/2006/relationships/externalLink" Target="externalLinks/externalLink7.xml"/><Relationship Id="rId41"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Young2023/Young2023_Harmonization_done_liquisolvent_2022.xlsm" TargetMode="External"/><Relationship Id="rId1" Type="http://schemas.openxmlformats.org/officeDocument/2006/relationships/externalLinkPath" Target="Young2023/Young2023_Harmonization_done_liquisolvent_2022.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Young2023/Young2023_Harmonization_done_liquisolvent_2050.xlsm" TargetMode="External"/><Relationship Id="rId1" Type="http://schemas.openxmlformats.org/officeDocument/2006/relationships/externalLinkPath" Target="Young2023/Young2023_Harmonization_done_liquisolvent_2050.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Young2023/Young2023_Harmonization_done_solid%20sorbent_2022.xlsm" TargetMode="External"/><Relationship Id="rId1" Type="http://schemas.openxmlformats.org/officeDocument/2006/relationships/externalLinkPath" Target="Young2023/Young2023_Harmonization_done_solid%20sorbent_2022.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Young2023/Young2023_Harmonization_done_solid%20sorbent_2050.xlsm" TargetMode="External"/><Relationship Id="rId1" Type="http://schemas.openxmlformats.org/officeDocument/2006/relationships/externalLinkPath" Target="Young2023/Young2023_Harmonization_done_solid%20sorbent_2050.xlsm"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Young2023/Young2023_Harmonization_done_electrochemLS_2022.xlsm" TargetMode="External"/><Relationship Id="rId1" Type="http://schemas.openxmlformats.org/officeDocument/2006/relationships/externalLinkPath" Target="Young2023/Young2023_Harmonization_done_electrochemLS_2022.xlsm"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Young2023/Young2023_Harmonization_done_electrochemLS_2050.xlsm" TargetMode="External"/><Relationship Id="rId1" Type="http://schemas.openxmlformats.org/officeDocument/2006/relationships/externalLinkPath" Target="Young2023/Young2023_Harmonization_done_electrochemLS_2050.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Young2023/Young2023_Harmonization_done_ambientw_2022.xlsm" TargetMode="External"/><Relationship Id="rId1" Type="http://schemas.openxmlformats.org/officeDocument/2006/relationships/externalLinkPath" Target="Young2023/Young2023_Harmonization_done_ambientw_2022.xlsm"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Young2023/Young2023_Harmonization_done_ambientw_2050.xlsm" TargetMode="External"/><Relationship Id="rId1" Type="http://schemas.openxmlformats.org/officeDocument/2006/relationships/externalLinkPath" Target="Young2023/Young2023_Harmonization_done_ambientw_2050.xlsm"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Sievert2024_Harmonization.xlsx" TargetMode="External"/><Relationship Id="rId1" Type="http://schemas.openxmlformats.org/officeDocument/2006/relationships/externalLinkPath" Target="Sievert2024_Harmonization.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McQueen2020_Harmonization_Done.xlsx" TargetMode="External"/><Relationship Id="rId1" Type="http://schemas.openxmlformats.org/officeDocument/2006/relationships/externalLinkPath" Target="McQueen2020_Harmonization_Done.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Sendi2022_Harmonization_done.xlsx" TargetMode="External"/><Relationship Id="rId1" Type="http://schemas.openxmlformats.org/officeDocument/2006/relationships/externalLinkPath" Target="Sendi2022_Harmonization_done.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Fasihi2019_Harmonization_done.xlsx" TargetMode="External"/><Relationship Id="rId1" Type="http://schemas.openxmlformats.org/officeDocument/2006/relationships/externalLinkPath" Target="Fasihi2019_Harmonization_done.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Mazzotti2013_Harmonization_done.xlsx" TargetMode="External"/><Relationship Id="rId1" Type="http://schemas.openxmlformats.org/officeDocument/2006/relationships/externalLinkPath" Target="Mazzotti2013_Harmonization_done.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Zeman2014_Harmonization_done.xlsx" TargetMode="External"/><Relationship Id="rId1" Type="http://schemas.openxmlformats.org/officeDocument/2006/relationships/externalLinkPath" Target="Zeman2014_Harmonization_done.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PratsSalvado2024_Harmonization_done.xlsx" TargetMode="External"/><Relationship Id="rId1" Type="http://schemas.openxmlformats.org/officeDocument/2006/relationships/externalLinkPath" Target="PratsSalvado2024_Harmonization_done.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Terlouw2024_Harmonization_WIP.xlsx" TargetMode="External"/><Relationship Id="rId1" Type="http://schemas.openxmlformats.org/officeDocument/2006/relationships/externalLinkPath" Target="Terlouw2024_Harmonization_WIP.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McQueen2021_Harmonization_done.xlsx" TargetMode="External"/><Relationship Id="rId1" Type="http://schemas.openxmlformats.org/officeDocument/2006/relationships/externalLinkPath" Target="McQueen2021_Harmonization_done.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Datta2023_Harmonization_done.xlsx" TargetMode="External"/><Relationship Id="rId1" Type="http://schemas.openxmlformats.org/officeDocument/2006/relationships/externalLinkPath" Target="Datta2023_Harmonization_done.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Simon2011_Harmonization_done.xlsx" TargetMode="External"/><Relationship Id="rId1" Type="http://schemas.openxmlformats.org/officeDocument/2006/relationships/externalLinkPath" Target="Simon2011_Harmonization_done.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Kung,%202023%20code/TEA%20github/baseline_output.xlsx" TargetMode="External"/><Relationship Id="rId1" Type="http://schemas.openxmlformats.org/officeDocument/2006/relationships/externalLinkPath" Target="Kung,%202023%20code/TEA%20github/baseline_output.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Keith2018_Harmonization_done.xlsx" TargetMode="External"/><Relationship Id="rId1" Type="http://schemas.openxmlformats.org/officeDocument/2006/relationships/externalLinkPath" Target="Keith2018_Harmonization_done.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Gray2024_Harmonization_Done.xlsx" TargetMode="External"/><Relationship Id="rId1" Type="http://schemas.openxmlformats.org/officeDocument/2006/relationships/externalLinkPath" Target="Gray2024_Harmonization_Done.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McQueen2020_weathering_Harmonization_done.xlsx" TargetMode="External"/><Relationship Id="rId1" Type="http://schemas.openxmlformats.org/officeDocument/2006/relationships/externalLinkPath" Target="McQueen2020_weathering_Harmonization_done.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Lee2023_Harmonization_done.xlsx" TargetMode="External"/><Relationship Id="rId1" Type="http://schemas.openxmlformats.org/officeDocument/2006/relationships/externalLinkPath" Target="Lee2023_Harmonization_done.xlsx"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Ragipani2022_Harmonization_done.xlsx" TargetMode="External"/><Relationship Id="rId1" Type="http://schemas.openxmlformats.org/officeDocument/2006/relationships/externalLinkPath" Target="Ragipani2022_Harmonization_done.xlsx"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Pett-Ridge2024_Solid_Harmonization_done.xlsx" TargetMode="External"/><Relationship Id="rId1" Type="http://schemas.openxmlformats.org/officeDocument/2006/relationships/externalLinkPath" Target="Pett-Ridge2024_Solid_Harmonization_done.xlsx"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Pett-Ridge_2024_Liquid_Solvent_Harmonization_done.xlsx" TargetMode="External"/><Relationship Id="rId1" Type="http://schemas.openxmlformats.org/officeDocument/2006/relationships/externalLinkPath" Target="Pett-Ridge_2024_Liquid_Solvent_Harmonization_done.xlsx" TargetMode="External"/></Relationships>
</file>

<file path=xl/externalLinks/_rels/externalLink28.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NETL2022_Solvent_Harmonization_done.xlsx" TargetMode="External"/><Relationship Id="rId1" Type="http://schemas.openxmlformats.org/officeDocument/2006/relationships/externalLinkPath" Target="NETL2022_Solvent_Harmonization_done.xlsx"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NETL2022_Sorbent_Harmonization_done.xlsx" TargetMode="External"/><Relationship Id="rId1" Type="http://schemas.openxmlformats.org/officeDocument/2006/relationships/externalLinkPath" Target="NETL2022_Sorbent_Harmonization_done.xlsx"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DACCS/4%20Harmonization/Harmonization%20Sheets/APS2011_Harmonization_done.xlsx" TargetMode="External"/><Relationship Id="rId1" Type="http://schemas.openxmlformats.org/officeDocument/2006/relationships/externalLinkPath" Target="APS2011_Harmonization_don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JKWGB3X4BKUBCKRJQPP2RTUQZ4">
      <xxl21:absoluteUrl r:id="rId2"/>
    </xxl21:alternateUrls>
    <sheetNames>
      <sheetName val="Inputs"/>
      <sheetName val="Key and introduction"/>
      <sheetName val="Inputs and TEA calculations"/>
      <sheetName val="Young results solar_LS"/>
      <sheetName val="Process specific parameters"/>
      <sheetName val="Location specific parameters"/>
      <sheetName val="Equipment + installation - all"/>
      <sheetName val="Compression cost calculation"/>
      <sheetName val="Heat pump parameters"/>
      <sheetName val="Prices of chemicals "/>
      <sheetName val="List"/>
      <sheetName val="Scenario results"/>
      <sheetName val="Learning_curve"/>
      <sheetName val="Breakdown"/>
    </sheetNames>
    <sheetDataSet>
      <sheetData sheetId="0"/>
      <sheetData sheetId="1"/>
      <sheetData sheetId="2">
        <row r="2">
          <cell r="I2">
            <v>376.52345618890524</v>
          </cell>
        </row>
        <row r="3">
          <cell r="I3">
            <v>310.85768113181723</v>
          </cell>
        </row>
        <row r="4">
          <cell r="I4">
            <v>475.54078660638976</v>
          </cell>
        </row>
      </sheetData>
      <sheetData sheetId="3">
        <row r="2">
          <cell r="I2">
            <v>512.33316047529513</v>
          </cell>
        </row>
        <row r="3">
          <cell r="I3">
            <v>352.05954968830429</v>
          </cell>
        </row>
        <row r="4">
          <cell r="I4">
            <v>770.88101804255075</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LYN5I7UQKGEFHIRCJ7WP2AS65S">
      <xxl21:absoluteUrl r:id="rId2"/>
    </xxl21:alternateUrls>
    <sheetNames>
      <sheetName val="Inputs"/>
      <sheetName val="Key and introduction"/>
      <sheetName val="Inputs and TEA calculations"/>
      <sheetName val="Young results solar_LS"/>
      <sheetName val="Process specific parameters"/>
      <sheetName val="Location specific parameters"/>
      <sheetName val="Equipment + installation - all"/>
      <sheetName val="Compression cost calculation"/>
      <sheetName val="Heat pump parameters"/>
      <sheetName val="Prices of chemicals "/>
      <sheetName val="List"/>
      <sheetName val="Scenario results"/>
      <sheetName val="Learning_curve"/>
      <sheetName val="Breakdown"/>
    </sheetNames>
    <sheetDataSet>
      <sheetData sheetId="0"/>
      <sheetData sheetId="1"/>
      <sheetData sheetId="2">
        <row r="15">
          <cell r="I15">
            <v>161.70897790330613</v>
          </cell>
        </row>
        <row r="16">
          <cell r="I16">
            <v>104.86798641060018</v>
          </cell>
        </row>
        <row r="17">
          <cell r="I17">
            <v>300.09200804319312</v>
          </cell>
        </row>
      </sheetData>
      <sheetData sheetId="3">
        <row r="15">
          <cell r="I15">
            <v>278.76383769360029</v>
          </cell>
        </row>
        <row r="16">
          <cell r="I16">
            <v>147.74406007582036</v>
          </cell>
        </row>
        <row r="17">
          <cell r="I17">
            <v>598.98035263657084</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IQCVRYCOU64NH2ZBHGEIPL4V6E">
      <xxl21:absoluteUrl r:id="rId2"/>
    </xxl21:alternateUrls>
    <sheetNames>
      <sheetName val="Inputs"/>
      <sheetName val="Key and introduction"/>
      <sheetName val="Inputs and TEA calculations"/>
      <sheetName val="Copy of Young results solar_SS"/>
      <sheetName val="Process specific parameters"/>
      <sheetName val="Location specific parameters"/>
      <sheetName val="Equipment + installation - all"/>
      <sheetName val="Compression cost calculation"/>
      <sheetName val="Heat pump parameters"/>
      <sheetName val="Prices of chemicals "/>
      <sheetName val="List"/>
      <sheetName val="Scenario results"/>
      <sheetName val="Learning_curve"/>
      <sheetName val="Breakdown"/>
    </sheetNames>
    <sheetDataSet>
      <sheetData sheetId="0"/>
      <sheetData sheetId="1"/>
      <sheetData sheetId="2">
        <row r="2">
          <cell r="I2">
            <v>1869.8184529742971</v>
          </cell>
        </row>
        <row r="3">
          <cell r="I3">
            <v>1351.1700065020739</v>
          </cell>
        </row>
        <row r="4">
          <cell r="I4">
            <v>2477.3642310283099</v>
          </cell>
        </row>
      </sheetData>
      <sheetData sheetId="3">
        <row r="2">
          <cell r="I2">
            <v>2297.4733135350916</v>
          </cell>
        </row>
        <row r="3">
          <cell r="I3">
            <v>1420.3548272231642</v>
          </cell>
        </row>
        <row r="4">
          <cell r="I4">
            <v>3355.5538392528351</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JOYEX2SMZKTJELRPRIT43AB5AX">
      <xxl21:absoluteUrl r:id="rId2"/>
    </xxl21:alternateUrls>
    <sheetNames>
      <sheetName val="Inputs"/>
      <sheetName val="Key and introduction"/>
      <sheetName val="Inputs and TEA calculations"/>
      <sheetName val="Copy of Young results solar_SS"/>
      <sheetName val="Process specific parameters"/>
      <sheetName val="Location specific parameters"/>
      <sheetName val="Equipment + installation - all"/>
      <sheetName val="Compression cost calculation"/>
      <sheetName val="Heat pump parameters"/>
      <sheetName val="Prices of chemicals "/>
      <sheetName val="List"/>
      <sheetName val="Scenario results"/>
      <sheetName val="Learning_curve"/>
      <sheetName val="Breakdown"/>
    </sheetNames>
    <sheetDataSet>
      <sheetData sheetId="0"/>
      <sheetData sheetId="1"/>
      <sheetData sheetId="2">
        <row r="15">
          <cell r="I15">
            <v>204.09122311913183</v>
          </cell>
        </row>
        <row r="16">
          <cell r="I16">
            <v>107.86441779994588</v>
          </cell>
        </row>
        <row r="17">
          <cell r="I17">
            <v>471.65350886798007</v>
          </cell>
        </row>
      </sheetData>
      <sheetData sheetId="3">
        <row r="15">
          <cell r="I15">
            <v>305.75986039612553</v>
          </cell>
        </row>
        <row r="16">
          <cell r="I16">
            <v>159.67715158109175</v>
          </cell>
        </row>
        <row r="17">
          <cell r="I17">
            <v>798.68042446016614</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JL7NTLSCSJEBALTMVDUXJ5OMPW">
      <xxl21:absoluteUrl r:id="rId2"/>
    </xxl21:alternateUrls>
    <sheetNames>
      <sheetName val="Inputs"/>
      <sheetName val="Key and introduction"/>
      <sheetName val="Inputs and TEA calculations"/>
      <sheetName val="Young results solar_electrochem"/>
      <sheetName val="Process specific parameters"/>
      <sheetName val="Location specific parameters"/>
      <sheetName val="Equipment + installation - all"/>
      <sheetName val="Compression cost calculation"/>
      <sheetName val="Heat pump parameters"/>
      <sheetName val="Prices of chemicals "/>
      <sheetName val="List"/>
      <sheetName val="Scenario results"/>
      <sheetName val="Learning_curve"/>
      <sheetName val="Breakdown"/>
    </sheetNames>
    <sheetDataSet>
      <sheetData sheetId="0"/>
      <sheetData sheetId="1"/>
      <sheetData sheetId="2">
        <row r="2">
          <cell r="I2">
            <v>1187.9768083622619</v>
          </cell>
        </row>
        <row r="3">
          <cell r="I3">
            <v>1076.3346484651829</v>
          </cell>
        </row>
        <row r="4">
          <cell r="I4">
            <v>1378.2492415350162</v>
          </cell>
        </row>
      </sheetData>
      <sheetData sheetId="3">
        <row r="2">
          <cell r="I2">
            <v>1816.4458805575393</v>
          </cell>
        </row>
        <row r="3">
          <cell r="I3">
            <v>1420.6741587734155</v>
          </cell>
        </row>
        <row r="4">
          <cell r="I4">
            <v>2514.1952745083722</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MDFFUKA7VDTVGY3W5MLNF5DTYA">
      <xxl21:absoluteUrl r:id="rId2"/>
    </xxl21:alternateUrls>
    <sheetNames>
      <sheetName val="Inputs"/>
      <sheetName val="Key and introduction"/>
      <sheetName val="Inputs and TEA calculations"/>
      <sheetName val="Young results solar_electrochem"/>
      <sheetName val="Process specific parameters"/>
      <sheetName val="Location specific parameters"/>
      <sheetName val="Equipment + installation - all"/>
      <sheetName val="Compression cost calculation"/>
      <sheetName val="Heat pump parameters"/>
      <sheetName val="Prices of chemicals "/>
      <sheetName val="List"/>
      <sheetName val="Scenario results"/>
      <sheetName val="Learning_curve"/>
      <sheetName val="Breakdown"/>
    </sheetNames>
    <sheetDataSet>
      <sheetData sheetId="0"/>
      <sheetData sheetId="1"/>
      <sheetData sheetId="2">
        <row r="2">
          <cell r="I2">
            <v>906.63214812469676</v>
          </cell>
        </row>
        <row r="3">
          <cell r="I3">
            <v>795.12799940002435</v>
          </cell>
        </row>
        <row r="4">
          <cell r="I4">
            <v>1096.6745626767736</v>
          </cell>
        </row>
      </sheetData>
      <sheetData sheetId="3">
        <row r="15">
          <cell r="I15">
            <v>887.64759848059157</v>
          </cell>
        </row>
        <row r="16">
          <cell r="I16">
            <v>466.13056632409086</v>
          </cell>
        </row>
        <row r="17">
          <cell r="I17">
            <v>1965.9841781391992</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L2JCYISYZIHNDYS6YOFG2L72P7">
      <xxl21:absoluteUrl r:id="rId2"/>
    </xxl21:alternateUrls>
    <sheetNames>
      <sheetName val="Inputs"/>
      <sheetName val="Key and introduction"/>
      <sheetName val="Inputs and TEA calculations"/>
      <sheetName val="Copy Young results solar_ambwea"/>
      <sheetName val="Process specific parameters"/>
      <sheetName val="Location specific parameters"/>
      <sheetName val="Equipment + installation - all"/>
      <sheetName val="Compression cost calculation"/>
      <sheetName val="Heat pump parameters"/>
      <sheetName val="Prices of chemicals "/>
      <sheetName val="List"/>
      <sheetName val="Scenario results"/>
      <sheetName val="Learning_curve"/>
      <sheetName val="Breakdown"/>
    </sheetNames>
    <sheetDataSet>
      <sheetData sheetId="0"/>
      <sheetData sheetId="1"/>
      <sheetData sheetId="2">
        <row r="2">
          <cell r="I2">
            <v>439.81868332069217</v>
          </cell>
        </row>
        <row r="3">
          <cell r="I3">
            <v>347.44169245291016</v>
          </cell>
        </row>
        <row r="4">
          <cell r="I4">
            <v>597.10720001345203</v>
          </cell>
        </row>
      </sheetData>
      <sheetData sheetId="3">
        <row r="2">
          <cell r="I2">
            <v>562.42109169353944</v>
          </cell>
        </row>
        <row r="3">
          <cell r="I3">
            <v>365.52462859381535</v>
          </cell>
        </row>
        <row r="4">
          <cell r="I4">
            <v>903.2277268019335</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MEECFIBGMI2NELWYV7EXIE26F5">
      <xxl21:absoluteUrl r:id="rId2"/>
    </xxl21:alternateUrls>
    <sheetNames>
      <sheetName val="Inputs"/>
      <sheetName val="Key and introduction"/>
      <sheetName val="Inputs and TEA calculations"/>
      <sheetName val="Copy Young results solar_ambwea"/>
      <sheetName val="Process specific parameters"/>
      <sheetName val="Location specific parameters"/>
      <sheetName val="Equipment + installation - all"/>
      <sheetName val="Compression cost calculation"/>
      <sheetName val="Heat pump parameters"/>
      <sheetName val="Prices of chemicals "/>
      <sheetName val="List"/>
      <sheetName val="Scenario results"/>
      <sheetName val="Learning_curve"/>
      <sheetName val="Breakdown"/>
    </sheetNames>
    <sheetDataSet>
      <sheetData sheetId="0"/>
      <sheetData sheetId="1"/>
      <sheetData sheetId="2">
        <row r="2">
          <cell r="I2">
            <v>367.37217040690308</v>
          </cell>
        </row>
        <row r="3">
          <cell r="I3">
            <v>275.02033803264993</v>
          </cell>
        </row>
        <row r="4">
          <cell r="I4">
            <v>524.6187562771147</v>
          </cell>
        </row>
      </sheetData>
      <sheetData sheetId="3">
        <row r="15">
          <cell r="I15">
            <v>292.46628384746288</v>
          </cell>
        </row>
        <row r="16">
          <cell r="I16">
            <v>147.25526113428151</v>
          </cell>
        </row>
        <row r="17">
          <cell r="I17">
            <v>673.52430279207283</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IEPRYM65OVL5HL6XZCAFGE5QNU">
      <xxl21:absoluteUrl r:id="rId2"/>
    </xxl21:alternateUrls>
    <sheetNames>
      <sheetName val="Notes"/>
      <sheetName val="Inputs"/>
      <sheetName val="LS_summary"/>
      <sheetName val="SS_summary"/>
      <sheetName val="CaO_summary"/>
      <sheetName val="LS_summary_11$MWh"/>
      <sheetName val="SS_summary_11$MWh"/>
      <sheetName val="CaO_summary_11$MWh"/>
    </sheetNames>
    <sheetDataSet>
      <sheetData sheetId="0"/>
      <sheetData sheetId="1"/>
      <sheetData sheetId="2">
        <row r="2">
          <cell r="B2">
            <v>827</v>
          </cell>
          <cell r="J2">
            <v>635</v>
          </cell>
          <cell r="R2">
            <v>527</v>
          </cell>
        </row>
        <row r="51">
          <cell r="B51">
            <v>532</v>
          </cell>
          <cell r="J51">
            <v>349</v>
          </cell>
          <cell r="R51">
            <v>226</v>
          </cell>
        </row>
      </sheetData>
      <sheetData sheetId="3">
        <row r="2">
          <cell r="B2">
            <v>1381</v>
          </cell>
          <cell r="J2">
            <v>1279</v>
          </cell>
          <cell r="R2">
            <v>1231</v>
          </cell>
        </row>
        <row r="51">
          <cell r="B51">
            <v>702</v>
          </cell>
          <cell r="J51">
            <v>441</v>
          </cell>
          <cell r="R51">
            <v>308</v>
          </cell>
        </row>
      </sheetData>
      <sheetData sheetId="4">
        <row r="2">
          <cell r="B2">
            <v>2849</v>
          </cell>
          <cell r="J2">
            <v>2352</v>
          </cell>
          <cell r="R2">
            <v>2155</v>
          </cell>
        </row>
        <row r="51">
          <cell r="B51">
            <v>624</v>
          </cell>
          <cell r="J51">
            <v>372</v>
          </cell>
          <cell r="R51">
            <v>318</v>
          </cell>
        </row>
      </sheetData>
      <sheetData sheetId="5"/>
      <sheetData sheetId="6">
        <row r="51">
          <cell r="R51">
            <v>280</v>
          </cell>
        </row>
      </sheetData>
      <sheetData sheetId="7">
        <row r="51">
          <cell r="B51">
            <v>575</v>
          </cell>
          <cell r="R51">
            <v>260</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KGEWFCNZPTH5AZILL34AZ7ECUZ">
      <xxl21:absoluteUrl r:id="rId2"/>
    </xxl21:alternateUrls>
    <sheetNames>
      <sheetName val="Notes"/>
      <sheetName val="Inputs"/>
      <sheetName val="Cost Structure"/>
      <sheetName val="Baseline"/>
      <sheetName val="Step 1 LCOE - EE"/>
      <sheetName val="Step 2 WACC"/>
      <sheetName val="Step 3 T&amp;S"/>
      <sheetName val="Outputs"/>
      <sheetName val="inputs McQueen --&gt;"/>
      <sheetName val="Study Parameters"/>
    </sheetNames>
    <sheetDataSet>
      <sheetData sheetId="0"/>
      <sheetData sheetId="1"/>
      <sheetData sheetId="2"/>
      <sheetData sheetId="3">
        <row r="9">
          <cell r="B9">
            <v>243.19087562746984</v>
          </cell>
        </row>
        <row r="16">
          <cell r="B16">
            <v>220.91190758755869</v>
          </cell>
        </row>
        <row r="23">
          <cell r="B23">
            <v>252.29289736301058</v>
          </cell>
        </row>
      </sheetData>
      <sheetData sheetId="4">
        <row r="10">
          <cell r="B10">
            <v>281.4604652955673</v>
          </cell>
        </row>
        <row r="18">
          <cell r="B18">
            <v>255.99089829145115</v>
          </cell>
        </row>
        <row r="26">
          <cell r="B26">
            <v>291.90515143423369</v>
          </cell>
        </row>
      </sheetData>
      <sheetData sheetId="5">
        <row r="10">
          <cell r="B10">
            <v>253.01246179996221</v>
          </cell>
        </row>
        <row r="18">
          <cell r="B18">
            <v>227.33390287547573</v>
          </cell>
        </row>
        <row r="26">
          <cell r="B26">
            <v>263.19697040786667</v>
          </cell>
        </row>
      </sheetData>
      <sheetData sheetId="6">
        <row r="10">
          <cell r="B10">
            <v>293.01246179996224</v>
          </cell>
        </row>
        <row r="18">
          <cell r="B18">
            <v>267.3339028754757</v>
          </cell>
        </row>
        <row r="26">
          <cell r="B26">
            <v>303.19697040786667</v>
          </cell>
        </row>
      </sheetData>
      <sheetData sheetId="7"/>
      <sheetData sheetId="8"/>
      <sheetData sheetId="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M2WV35Q3W3UNF25QNOAENIT5VL">
      <xxl21:absoluteUrl r:id="rId2"/>
    </xxl21:alternateUrls>
    <sheetNames>
      <sheetName val="Notes"/>
      <sheetName val="Inputs"/>
      <sheetName val="Cost Structure"/>
      <sheetName val="Baseline"/>
      <sheetName val="Step 1 LCOE - EE"/>
      <sheetName val="Step 2 WACC"/>
      <sheetName val="Step 3 T&amp;S"/>
      <sheetName val="Outputs"/>
      <sheetName val="inputs Sendi --&gt;"/>
      <sheetName val="Study Parameters"/>
    </sheetNames>
    <sheetDataSet>
      <sheetData sheetId="0"/>
      <sheetData sheetId="1"/>
      <sheetData sheetId="2"/>
      <sheetData sheetId="3">
        <row r="3">
          <cell r="B3">
            <v>195.79914443846775</v>
          </cell>
          <cell r="C3">
            <v>337.61992148906455</v>
          </cell>
          <cell r="D3">
            <v>488.01436593001387</v>
          </cell>
        </row>
        <row r="4">
          <cell r="B4">
            <v>180.2232319711996</v>
          </cell>
          <cell r="C4">
            <v>314.58902698307497</v>
          </cell>
          <cell r="D4">
            <v>453.60276346122942</v>
          </cell>
        </row>
        <row r="5">
          <cell r="B5">
            <v>241.93412260542041</v>
          </cell>
          <cell r="C5">
            <v>425.41295915949337</v>
          </cell>
          <cell r="D5">
            <v>620.65519476571251</v>
          </cell>
        </row>
        <row r="6">
          <cell r="B6">
            <v>253.04087873301455</v>
          </cell>
          <cell r="C6">
            <v>482.58604585743416</v>
          </cell>
          <cell r="D6">
            <v>724.43464831783103</v>
          </cell>
        </row>
      </sheetData>
      <sheetData sheetId="4">
        <row r="10">
          <cell r="B10">
            <v>237.95480106262713</v>
          </cell>
          <cell r="C10">
            <v>392.06362812033171</v>
          </cell>
          <cell r="D10">
            <v>556.5909201633358</v>
          </cell>
        </row>
        <row r="11">
          <cell r="B11">
            <v>236.5428746531436</v>
          </cell>
          <cell r="C11">
            <v>394.50572316503008</v>
          </cell>
          <cell r="D11">
            <v>558.56832845298004</v>
          </cell>
        </row>
        <row r="12">
          <cell r="B12">
            <v>290.12604931223825</v>
          </cell>
          <cell r="C12">
            <v>488.54667876866756</v>
          </cell>
          <cell r="D12">
            <v>701.07244150424765</v>
          </cell>
        </row>
        <row r="13">
          <cell r="B13">
            <v>346.94775545674526</v>
          </cell>
          <cell r="C13">
            <v>632.16735720171778</v>
          </cell>
          <cell r="D13">
            <v>934.25435834426344</v>
          </cell>
        </row>
      </sheetData>
      <sheetData sheetId="5">
        <row r="10">
          <cell r="B10">
            <v>238.51244114406214</v>
          </cell>
        </row>
      </sheetData>
      <sheetData sheetId="6">
        <row r="3">
          <cell r="B3">
            <v>278.51244114406211</v>
          </cell>
          <cell r="C3">
            <v>431.20952014305874</v>
          </cell>
          <cell r="D3">
            <v>594.26871158968584</v>
          </cell>
        </row>
        <row r="4">
          <cell r="B4">
            <v>260.17305813012763</v>
          </cell>
          <cell r="C4">
            <v>405.58125796275607</v>
          </cell>
          <cell r="D4">
            <v>556.61504560775791</v>
          </cell>
        </row>
        <row r="5">
          <cell r="B5">
            <v>334.02175471233329</v>
          </cell>
          <cell r="C5">
            <v>532.88151930075014</v>
          </cell>
          <cell r="D5">
            <v>745.92213758183834</v>
          </cell>
        </row>
        <row r="6">
          <cell r="B6">
            <v>347.52430793993972</v>
          </cell>
          <cell r="C6">
            <v>598.00725415939087</v>
          </cell>
          <cell r="D6">
            <v>863.3220713069054</v>
          </cell>
        </row>
      </sheetData>
      <sheetData sheetId="7"/>
      <sheetData sheetId="8"/>
      <sheetData sheetId="9"/>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IPES7KAHWUMBEKENJONU4CISUH">
      <xxl21:absoluteUrl r:id="rId2"/>
    </xxl21:alternateUrls>
    <sheetNames>
      <sheetName val="Notes"/>
      <sheetName val="Inputs"/>
      <sheetName val="Base Case SS"/>
      <sheetName val="Step 1 LCOE SS"/>
      <sheetName val="Step 2 WACC SS"/>
      <sheetName val="Step 3 T&amp;S SS"/>
      <sheetName val="Outputs SS"/>
      <sheetName val="Base Case LS"/>
      <sheetName val="Step 1 LCOE LS"/>
      <sheetName val="Step 2 WACC LS"/>
      <sheetName val="Step 3 T&amp;S LS"/>
      <sheetName val="Output LS"/>
    </sheetNames>
    <sheetDataSet>
      <sheetData sheetId="0"/>
      <sheetData sheetId="1"/>
      <sheetData sheetId="2">
        <row r="28">
          <cell r="D28">
            <v>247.14109465874603</v>
          </cell>
          <cell r="G28">
            <v>60.155978063431881</v>
          </cell>
          <cell r="I28">
            <v>247.14109465874603</v>
          </cell>
          <cell r="L28">
            <v>43.281483499946681</v>
          </cell>
        </row>
      </sheetData>
      <sheetData sheetId="3">
        <row r="31">
          <cell r="D31">
            <v>255.52576857651488</v>
          </cell>
          <cell r="G31">
            <v>78.932509034299216</v>
          </cell>
          <cell r="I31">
            <v>255.52576857651488</v>
          </cell>
          <cell r="L31">
            <v>61.275246906565449</v>
          </cell>
        </row>
      </sheetData>
      <sheetData sheetId="4">
        <row r="31">
          <cell r="D31">
            <v>255.52576857651488</v>
          </cell>
          <cell r="G31">
            <v>78.932509034299216</v>
          </cell>
          <cell r="I31">
            <v>255.52576857651488</v>
          </cell>
          <cell r="L31">
            <v>61.275246906565449</v>
          </cell>
        </row>
      </sheetData>
      <sheetData sheetId="5">
        <row r="34">
          <cell r="D34">
            <v>292.47958561757542</v>
          </cell>
          <cell r="G34">
            <v>102.02864468496207</v>
          </cell>
          <cell r="I34">
            <v>292.47958561757542</v>
          </cell>
          <cell r="L34">
            <v>84.371382557228301</v>
          </cell>
        </row>
      </sheetData>
      <sheetData sheetId="6"/>
      <sheetData sheetId="7">
        <row r="28">
          <cell r="D28">
            <v>297.44908425628057</v>
          </cell>
          <cell r="G28">
            <v>78.551198699462248</v>
          </cell>
          <cell r="I28">
            <v>297.44908425628057</v>
          </cell>
          <cell r="L28">
            <v>59.523758837972601</v>
          </cell>
        </row>
      </sheetData>
      <sheetData sheetId="8">
        <row r="31">
          <cell r="D31">
            <v>252.26048677321859</v>
          </cell>
          <cell r="G31">
            <v>51.583582450093708</v>
          </cell>
          <cell r="I31">
            <v>252.26048677321859</v>
          </cell>
          <cell r="L31">
            <v>31.069148068405784</v>
          </cell>
        </row>
      </sheetData>
      <sheetData sheetId="9">
        <row r="31">
          <cell r="D31">
            <v>252.26048677321859</v>
          </cell>
          <cell r="G31">
            <v>51.583582450093708</v>
          </cell>
          <cell r="I31">
            <v>252.26048677321859</v>
          </cell>
          <cell r="L31">
            <v>31.069148068405784</v>
          </cell>
        </row>
      </sheetData>
      <sheetData sheetId="10">
        <row r="34">
          <cell r="D34">
            <v>289.21430381427916</v>
          </cell>
          <cell r="G34">
            <v>74.67971810075656</v>
          </cell>
          <cell r="I34">
            <v>289.21430381427916</v>
          </cell>
          <cell r="L34">
            <v>54.16528371906864</v>
          </cell>
        </row>
      </sheetData>
      <sheetData sheetId="1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KLMSLHUMLVNRF2DVHIK4FH4VKZ">
      <xxl21:absoluteUrl r:id="rId2"/>
    </xxl21:alternateUrls>
    <sheetNames>
      <sheetName val="Notes"/>
      <sheetName val="Inputs"/>
      <sheetName val="Base Case"/>
      <sheetName val="Step 1 LCOE "/>
      <sheetName val="Step 2 WACC "/>
      <sheetName val="Step 3 T&amp;S "/>
      <sheetName val="Outputs "/>
      <sheetName val="--&gt; input data Mazzotti study"/>
      <sheetName val="Mazzotti 2013"/>
      <sheetName val="Recalculating Mazzotti 2013"/>
      <sheetName val="APS 2011"/>
    </sheetNames>
    <sheetDataSet>
      <sheetData sheetId="0"/>
      <sheetData sheetId="1"/>
      <sheetData sheetId="2">
        <row r="75">
          <cell r="I75">
            <v>524.26449294736847</v>
          </cell>
        </row>
      </sheetData>
      <sheetData sheetId="3"/>
      <sheetData sheetId="4"/>
      <sheetData sheetId="5"/>
      <sheetData sheetId="6"/>
      <sheetData sheetId="7"/>
      <sheetData sheetId="8"/>
      <sheetData sheetId="9"/>
      <sheetData sheetId="1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KCMR7TNPEBXRE35K5VSV33GD7F">
      <xxl21:absoluteUrl r:id="rId2"/>
    </xxl21:alternateUrls>
    <sheetNames>
      <sheetName val="Notes"/>
      <sheetName val="Inputs"/>
      <sheetName val="Base Case"/>
      <sheetName val="Step 1 LCOE "/>
      <sheetName val="Step 2 WACC "/>
      <sheetName val="Step 3 T&amp;S "/>
      <sheetName val="Outputs "/>
      <sheetName val="--&gt; input data APS study"/>
      <sheetName val="Zeman 2014"/>
      <sheetName val="APS 2011"/>
    </sheetNames>
    <sheetDataSet>
      <sheetData sheetId="0"/>
      <sheetData sheetId="1"/>
      <sheetData sheetId="2">
        <row r="58">
          <cell r="C58">
            <v>580.18224291412025</v>
          </cell>
        </row>
      </sheetData>
      <sheetData sheetId="3"/>
      <sheetData sheetId="4"/>
      <sheetData sheetId="5"/>
      <sheetData sheetId="6"/>
      <sheetData sheetId="7"/>
      <sheetData sheetId="8"/>
      <sheetData sheetId="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NATT2RLMMZNVF3IWTYV2TIUH5H">
      <xxl21:absoluteUrl r:id="rId2"/>
    </xxl21:alternateUrls>
    <sheetNames>
      <sheetName val="Notes"/>
      <sheetName val="Inputs"/>
      <sheetName val="Solar L-DAC"/>
      <sheetName val="Keith2018_ScenarioA"/>
      <sheetName val="SI Prats Salvado 2024 --&gt;"/>
      <sheetName val="Solar_CAPEX_Breakdown"/>
      <sheetName val="Conventional_CAPEX_Breakdown"/>
    </sheetNames>
    <sheetDataSet>
      <sheetData sheetId="0"/>
      <sheetData sheetId="1"/>
      <sheetData sheetId="2">
        <row r="24">
          <cell r="G24">
            <v>256.45660434639348</v>
          </cell>
          <cell r="H24">
            <v>325.04805347717041</v>
          </cell>
        </row>
      </sheetData>
      <sheetData sheetId="3">
        <row r="20">
          <cell r="D20">
            <v>310.27517413966501</v>
          </cell>
          <cell r="E20">
            <v>435.8114944243153</v>
          </cell>
        </row>
      </sheetData>
      <sheetData sheetId="4"/>
      <sheetData sheetId="5"/>
      <sheetData sheetId="6"/>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MRF4UBVESE2JDZEWOTKRBY2P6A">
      <xxl21:absoluteUrl r:id="rId2"/>
    </xxl21:alternateUrls>
    <sheetNames>
      <sheetName val="Notes"/>
      <sheetName val="Inputs"/>
      <sheetName val="Base Case SS"/>
      <sheetName val="Step 1 LCOE SS"/>
      <sheetName val="Step 2 WACC SS"/>
      <sheetName val="Step 3 T&amp;S SS"/>
      <sheetName val="Outputs SS"/>
      <sheetName val="input data Terlouw --&gt;"/>
      <sheetName val="Data Terlouw 2024"/>
    </sheetNames>
    <sheetDataSet>
      <sheetData sheetId="0"/>
      <sheetData sheetId="1"/>
      <sheetData sheetId="2">
        <row r="23">
          <cell r="E23">
            <v>1078.2477535508301</v>
          </cell>
          <cell r="F23">
            <v>832.88187319142924</v>
          </cell>
        </row>
      </sheetData>
      <sheetData sheetId="3"/>
      <sheetData sheetId="4"/>
      <sheetData sheetId="5"/>
      <sheetData sheetId="6"/>
      <sheetData sheetId="7"/>
      <sheetData sheetId="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IYFXALZBATVRGJOR26SEKKMHSP">
      <xxl21:absoluteUrl r:id="rId2"/>
    </xxl21:alternateUrls>
    <sheetNames>
      <sheetName val="Notes"/>
      <sheetName val="Inputs"/>
      <sheetName val="Cost Structure"/>
      <sheetName val="Baseline"/>
      <sheetName val="Step 1 LCOE"/>
      <sheetName val="Step 2 WACC"/>
      <sheetName val="Step 3 T&amp;S"/>
      <sheetName val="Outputs"/>
      <sheetName val="inputs McQueen --&gt;"/>
      <sheetName val="Study Parameters"/>
    </sheetNames>
    <sheetDataSet>
      <sheetData sheetId="0"/>
      <sheetData sheetId="1"/>
      <sheetData sheetId="2"/>
      <sheetData sheetId="3">
        <row r="11">
          <cell r="B11">
            <v>236.58796309956364</v>
          </cell>
        </row>
        <row r="12">
          <cell r="B12">
            <v>372.50805024385363</v>
          </cell>
        </row>
        <row r="15">
          <cell r="B15">
            <v>325.40033185017705</v>
          </cell>
        </row>
        <row r="16">
          <cell r="B16">
            <v>819.74918134073732</v>
          </cell>
        </row>
        <row r="26">
          <cell r="B26">
            <v>430.58663853567202</v>
          </cell>
        </row>
        <row r="27">
          <cell r="B27">
            <v>723.15649347769215</v>
          </cell>
        </row>
        <row r="30">
          <cell r="B30">
            <v>519.3990072862855</v>
          </cell>
        </row>
        <row r="31">
          <cell r="B31">
            <v>1908.1869350353684</v>
          </cell>
        </row>
      </sheetData>
      <sheetData sheetId="4"/>
      <sheetData sheetId="5"/>
      <sheetData sheetId="6"/>
      <sheetData sheetId="7"/>
      <sheetData sheetId="8"/>
      <sheetData sheetId="9"/>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J57E6MQRHLBRHK5WFDJACL4UAF">
      <xxl21:absoluteUrl r:id="rId2"/>
    </xxl21:alternateUrls>
    <sheetNames>
      <sheetName val="Notes"/>
      <sheetName val="Inputs"/>
      <sheetName val="Base Case SS"/>
      <sheetName val="Baseline"/>
      <sheetName val="Step 1 LCOE SS"/>
      <sheetName val="Step 2 WACC SS"/>
      <sheetName val="Step 3 T&amp;S SS"/>
      <sheetName val="Base Case Membrane"/>
      <sheetName val="Baseline (2)"/>
      <sheetName val="Step 1 Membrane LCOE"/>
      <sheetName val="Step 2 Membrane WACC"/>
      <sheetName val="Step 3 Membrane T&amp;S"/>
      <sheetName val="Sheet4"/>
      <sheetName val="Data--&gt;"/>
      <sheetName val="Data Datta 2023"/>
    </sheetNames>
    <sheetDataSet>
      <sheetData sheetId="0"/>
      <sheetData sheetId="1"/>
      <sheetData sheetId="2">
        <row r="14">
          <cell r="B14">
            <v>225.16987179537728</v>
          </cell>
        </row>
      </sheetData>
      <sheetData sheetId="3"/>
      <sheetData sheetId="4"/>
      <sheetData sheetId="5"/>
      <sheetData sheetId="6"/>
      <sheetData sheetId="7">
        <row r="13">
          <cell r="B13">
            <v>90.328729240821261</v>
          </cell>
        </row>
      </sheetData>
      <sheetData sheetId="8"/>
      <sheetData sheetId="9"/>
      <sheetData sheetId="10"/>
      <sheetData sheetId="11"/>
      <sheetData sheetId="12"/>
      <sheetData sheetId="13"/>
      <sheetData sheetId="1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M6XUXDJOR4C5DIRXZAB7SFFRG3">
      <xxl21:absoluteUrl r:id="rId2"/>
    </xxl21:alternateUrls>
    <sheetNames>
      <sheetName val="Notes"/>
      <sheetName val="Inputs"/>
      <sheetName val="Cost Structure"/>
      <sheetName val="Baseline"/>
      <sheetName val="Step 1 LCOE"/>
      <sheetName val="Step 2 WACC"/>
      <sheetName val="Step 3 T&amp;S"/>
      <sheetName val="Outputs"/>
      <sheetName val="inputs Simon --&gt;"/>
      <sheetName val="Study Parameters"/>
    </sheetNames>
    <sheetDataSet>
      <sheetData sheetId="0"/>
      <sheetData sheetId="1"/>
      <sheetData sheetId="2"/>
      <sheetData sheetId="3">
        <row r="16">
          <cell r="B16">
            <v>279.11740081872955</v>
          </cell>
        </row>
        <row r="17">
          <cell r="B17">
            <v>272.54644957722422</v>
          </cell>
        </row>
        <row r="18">
          <cell r="B18">
            <v>750.18950643468133</v>
          </cell>
        </row>
        <row r="19">
          <cell r="B19">
            <v>276.83952451818527</v>
          </cell>
        </row>
        <row r="29">
          <cell r="B29">
            <v>200.39063306415275</v>
          </cell>
        </row>
        <row r="30">
          <cell r="B30">
            <v>233.39883994592068</v>
          </cell>
        </row>
        <row r="31">
          <cell r="B31">
            <v>615.18730298517346</v>
          </cell>
        </row>
        <row r="32">
          <cell r="B32">
            <v>252.12429887119438</v>
          </cell>
        </row>
        <row r="42">
          <cell r="B42">
            <v>980.91333886742484</v>
          </cell>
        </row>
        <row r="43">
          <cell r="B43">
            <v>995.64400614249257</v>
          </cell>
        </row>
        <row r="44">
          <cell r="B44">
            <v>2613.942902104759</v>
          </cell>
        </row>
        <row r="45">
          <cell r="B45">
            <v>954.36547059493148</v>
          </cell>
        </row>
      </sheetData>
      <sheetData sheetId="4"/>
      <sheetData sheetId="5"/>
      <sheetData sheetId="6"/>
      <sheetData sheetId="7"/>
      <sheetData sheetId="8"/>
      <sheetData sheetId="9"/>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LG7IDFW57TIVCZ4UPG6VANPWRU">
      <xxl21:absoluteUrl r:id="rId2"/>
    </xxl21:alternateUrls>
    <sheetNames>
      <sheetName val="baseline_output"/>
    </sheetNames>
    <sheetDataSet>
      <sheetData sheetId="0">
        <row r="2">
          <cell r="C2" t="str">
            <v>Amino acid salt solution-1c</v>
          </cell>
          <cell r="S2">
            <v>2.294244E-3</v>
          </cell>
          <cell r="BD2">
            <v>779.02843503778104</v>
          </cell>
        </row>
        <row r="3">
          <cell r="C3" t="str">
            <v>Amino acid salt solution-1c</v>
          </cell>
          <cell r="S3">
            <v>2.294244E-3</v>
          </cell>
          <cell r="BD3">
            <v>831.75510668257198</v>
          </cell>
        </row>
        <row r="4">
          <cell r="C4" t="str">
            <v>CE electricity-1a</v>
          </cell>
          <cell r="S4">
            <v>0.87307416000000004</v>
          </cell>
          <cell r="BD4">
            <v>317.24671499539198</v>
          </cell>
        </row>
        <row r="5">
          <cell r="C5" t="str">
            <v>CE electricity-1a</v>
          </cell>
          <cell r="S5">
            <v>0.87307416000000004</v>
          </cell>
          <cell r="BD5">
            <v>371.938416568371</v>
          </cell>
        </row>
        <row r="6">
          <cell r="C6" t="str">
            <v>CE gas-1a</v>
          </cell>
          <cell r="S6">
            <v>0.87307416000000004</v>
          </cell>
          <cell r="BD6">
            <v>291.241690193887</v>
          </cell>
        </row>
        <row r="7">
          <cell r="C7" t="str">
            <v>CE gas-1a</v>
          </cell>
          <cell r="S7">
            <v>0.87307416000000004</v>
          </cell>
          <cell r="BD7">
            <v>355.05876736764702</v>
          </cell>
        </row>
        <row r="8">
          <cell r="C8" t="str">
            <v>CE syngas-1a</v>
          </cell>
          <cell r="S8">
            <v>0.87307416000000004</v>
          </cell>
          <cell r="BD8">
            <v>267.11083137986202</v>
          </cell>
        </row>
        <row r="9">
          <cell r="C9" t="str">
            <v>CE syngas-1a</v>
          </cell>
          <cell r="S9">
            <v>0.87307416000000004</v>
          </cell>
          <cell r="BD9">
            <v>314.61251708631102</v>
          </cell>
        </row>
        <row r="10">
          <cell r="C10" t="str">
            <v>MEA-based-1c</v>
          </cell>
          <cell r="S10">
            <v>2.294244E-3</v>
          </cell>
          <cell r="BD10">
            <v>1817.71250053524</v>
          </cell>
        </row>
        <row r="11">
          <cell r="C11" t="str">
            <v>MEA-based-1c</v>
          </cell>
          <cell r="S11">
            <v>2.294244E-3</v>
          </cell>
          <cell r="BD11">
            <v>1990.0315112179401</v>
          </cell>
        </row>
        <row r="12">
          <cell r="C12" t="str">
            <v>MgO-looping-2a</v>
          </cell>
          <cell r="S12">
            <v>179.99960400000001</v>
          </cell>
          <cell r="BD12">
            <v>183.15040372394199</v>
          </cell>
        </row>
        <row r="13">
          <cell r="C13" t="str">
            <v>MgO-looping-2a</v>
          </cell>
          <cell r="S13">
            <v>179.99960400000001</v>
          </cell>
          <cell r="BD13">
            <v>227.07677281852301</v>
          </cell>
        </row>
        <row r="14">
          <cell r="C14" t="str">
            <v>MgO-looping-2a</v>
          </cell>
          <cell r="S14">
            <v>64.554192</v>
          </cell>
          <cell r="BD14">
            <v>61.893630816227301</v>
          </cell>
        </row>
        <row r="15">
          <cell r="C15" t="str">
            <v>MgO-looping-2a</v>
          </cell>
          <cell r="S15">
            <v>64.554192</v>
          </cell>
          <cell r="BD15">
            <v>72.225103599114604</v>
          </cell>
        </row>
        <row r="16">
          <cell r="C16" t="str">
            <v>Optimistic future projection-2c</v>
          </cell>
          <cell r="S16">
            <v>3.5998343999999998E-3</v>
          </cell>
          <cell r="BD16">
            <v>393.65606020680502</v>
          </cell>
        </row>
        <row r="17">
          <cell r="C17" t="str">
            <v>Optimistic future projection-2c</v>
          </cell>
          <cell r="S17">
            <v>3.5998343999999998E-3</v>
          </cell>
          <cell r="BD17">
            <v>503.939346853232</v>
          </cell>
        </row>
        <row r="18">
          <cell r="C18" t="str">
            <v>Plant data-2c</v>
          </cell>
          <cell r="S18">
            <v>3.5998343999999998E-3</v>
          </cell>
          <cell r="BD18">
            <v>406.913082895564</v>
          </cell>
        </row>
        <row r="19">
          <cell r="C19" t="str">
            <v>Plant data-2c</v>
          </cell>
          <cell r="S19">
            <v>3.5998343999999998E-3</v>
          </cell>
          <cell r="BD19">
            <v>517.19636954199098</v>
          </cell>
        </row>
        <row r="20">
          <cell r="C20" t="str">
            <v>Amino acid salt solution-1c</v>
          </cell>
          <cell r="S20">
            <v>2.294244E-3</v>
          </cell>
          <cell r="BD20">
            <v>980.75097520117902</v>
          </cell>
        </row>
        <row r="21">
          <cell r="C21" t="str">
            <v>Amino acid salt solution-1c</v>
          </cell>
          <cell r="S21">
            <v>2.294244E-3</v>
          </cell>
          <cell r="BD21">
            <v>1064.51188379418</v>
          </cell>
        </row>
        <row r="22">
          <cell r="C22" t="str">
            <v>CE electricity-1a</v>
          </cell>
          <cell r="S22">
            <v>0.87307416000000004</v>
          </cell>
          <cell r="BD22">
            <v>411.65027432423102</v>
          </cell>
        </row>
        <row r="23">
          <cell r="C23" t="str">
            <v>CE electricity-1a</v>
          </cell>
          <cell r="S23">
            <v>0.87307416000000004</v>
          </cell>
          <cell r="BD23">
            <v>488.64611354083598</v>
          </cell>
        </row>
        <row r="24">
          <cell r="C24" t="str">
            <v>CE gas-1a</v>
          </cell>
          <cell r="S24">
            <v>0.87307416000000004</v>
          </cell>
          <cell r="BD24">
            <v>378.55341271061599</v>
          </cell>
        </row>
        <row r="25">
          <cell r="C25" t="str">
            <v>CE gas-1a</v>
          </cell>
          <cell r="S25">
            <v>0.87307416000000004</v>
          </cell>
          <cell r="BD25">
            <v>468.39609948070898</v>
          </cell>
        </row>
        <row r="26">
          <cell r="C26" t="str">
            <v>CE syngas-1a</v>
          </cell>
          <cell r="S26">
            <v>0.87307416000000004</v>
          </cell>
          <cell r="BD26">
            <v>349.10367628750998</v>
          </cell>
        </row>
        <row r="27">
          <cell r="C27" t="str">
            <v>CE syngas-1a</v>
          </cell>
          <cell r="S27">
            <v>0.87307416000000004</v>
          </cell>
          <cell r="BD27">
            <v>415.97729787873197</v>
          </cell>
        </row>
        <row r="28">
          <cell r="C28" t="str">
            <v>MEA-based-1c</v>
          </cell>
          <cell r="S28">
            <v>2.294244E-3</v>
          </cell>
          <cell r="BD28">
            <v>2476.9733161530498</v>
          </cell>
        </row>
        <row r="29">
          <cell r="C29" t="str">
            <v>MEA-based-1c</v>
          </cell>
          <cell r="S29">
            <v>2.294244E-3</v>
          </cell>
          <cell r="BD29">
            <v>2750.7170677000299</v>
          </cell>
        </row>
        <row r="30">
          <cell r="C30" t="str">
            <v>MgO-looping-2a</v>
          </cell>
          <cell r="S30">
            <v>179.99960400000001</v>
          </cell>
          <cell r="BD30">
            <v>243.248532930187</v>
          </cell>
        </row>
        <row r="31">
          <cell r="C31" t="str">
            <v>MgO-looping-2a</v>
          </cell>
          <cell r="S31">
            <v>179.99960400000001</v>
          </cell>
          <cell r="BD31">
            <v>305.088767461244</v>
          </cell>
        </row>
        <row r="32">
          <cell r="C32" t="str">
            <v>MgO-looping-2a</v>
          </cell>
          <cell r="S32">
            <v>64.554192</v>
          </cell>
          <cell r="BD32">
            <v>76.028698179975393</v>
          </cell>
        </row>
        <row r="33">
          <cell r="C33" t="str">
            <v>MgO-looping-2a</v>
          </cell>
          <cell r="S33">
            <v>64.554192</v>
          </cell>
          <cell r="BD33">
            <v>90.573508350133693</v>
          </cell>
        </row>
        <row r="34">
          <cell r="C34" t="str">
            <v>Optimistic future projection-2c</v>
          </cell>
          <cell r="S34">
            <v>3.5998343999999998E-3</v>
          </cell>
          <cell r="BD34">
            <v>523.47869237559496</v>
          </cell>
        </row>
        <row r="35">
          <cell r="C35" t="str">
            <v>Optimistic future projection-2c</v>
          </cell>
          <cell r="S35">
            <v>3.5998343999999998E-3</v>
          </cell>
          <cell r="BD35">
            <v>698.67329510641696</v>
          </cell>
        </row>
        <row r="36">
          <cell r="C36" t="str">
            <v>Plant data-2c</v>
          </cell>
          <cell r="S36">
            <v>3.5998343999999998E-3</v>
          </cell>
          <cell r="BD36">
            <v>536.73571506435496</v>
          </cell>
        </row>
        <row r="37">
          <cell r="C37" t="str">
            <v>Plant data-2c</v>
          </cell>
          <cell r="S37">
            <v>3.5998343999999998E-3</v>
          </cell>
          <cell r="BD37">
            <v>711.93031779517605</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IHF5T6STFFORCKP7QRZQJFRSKO">
      <xxl21:absoluteUrl r:id="rId2"/>
    </xxl21:alternateUrls>
    <sheetNames>
      <sheetName val="Notes"/>
      <sheetName val="Inputs"/>
      <sheetName val="Base Case CRF 7.5%"/>
      <sheetName val="Baseline"/>
      <sheetName val="Step 1 LCOE - EE"/>
      <sheetName val="Step 2 WACC"/>
      <sheetName val="Step 3 T&amp;S"/>
      <sheetName val="Base Case CRF 12.5%"/>
      <sheetName val="Baseline (2)"/>
      <sheetName val="Step 1 LCOE - EE (2)"/>
      <sheetName val="Step 2 WACC (2)"/>
      <sheetName val="Step 3 T&amp;S (2)"/>
      <sheetName val="Keith et al 2018 inputs --&gt;"/>
      <sheetName val="Conventional_CAPEX_Breakdown"/>
    </sheetNames>
    <sheetDataSet>
      <sheetData sheetId="0"/>
      <sheetData sheetId="1"/>
      <sheetData sheetId="2"/>
      <sheetData sheetId="3">
        <row r="4">
          <cell r="B4">
            <v>168.33500222759076</v>
          </cell>
          <cell r="C4">
            <v>126.91833487476393</v>
          </cell>
          <cell r="D4">
            <v>113.18833468232809</v>
          </cell>
          <cell r="E4">
            <v>94.435001183772044</v>
          </cell>
        </row>
      </sheetData>
      <sheetData sheetId="4">
        <row r="24">
          <cell r="C24">
            <v>200.7847399047902</v>
          </cell>
          <cell r="D24">
            <v>156.04393515420605</v>
          </cell>
          <cell r="E24">
            <v>145.45192472670769</v>
          </cell>
          <cell r="F24">
            <v>110.40334766355258</v>
          </cell>
        </row>
      </sheetData>
      <sheetData sheetId="5">
        <row r="24">
          <cell r="C24">
            <v>215.65495163958127</v>
          </cell>
          <cell r="D24">
            <v>166.33370645061908</v>
          </cell>
          <cell r="E24">
            <v>154.3621577744924</v>
          </cell>
          <cell r="F24">
            <v>118.09146086248863</v>
          </cell>
        </row>
      </sheetData>
      <sheetData sheetId="6">
        <row r="27">
          <cell r="C27">
            <v>255.65495163958127</v>
          </cell>
          <cell r="D27">
            <v>206.33370645061908</v>
          </cell>
          <cell r="E27">
            <v>194.3621577744924</v>
          </cell>
          <cell r="F27">
            <v>143.09146086248865</v>
          </cell>
        </row>
      </sheetData>
      <sheetData sheetId="7"/>
      <sheetData sheetId="8">
        <row r="4">
          <cell r="B4">
            <v>232.03935955532725</v>
          </cell>
          <cell r="C4">
            <v>170.99997131533553</v>
          </cell>
          <cell r="D4">
            <v>151.76671512338316</v>
          </cell>
          <cell r="E4">
            <v>128.2883638474645</v>
          </cell>
        </row>
      </sheetData>
      <sheetData sheetId="9">
        <row r="24">
          <cell r="C24">
            <v>269.60206382612614</v>
          </cell>
          <cell r="D24">
            <v>203.6636017071026</v>
          </cell>
          <cell r="E24">
            <v>186.68727529198395</v>
          </cell>
          <cell r="F24">
            <v>145.98289325383018</v>
          </cell>
        </row>
      </sheetData>
      <sheetData sheetId="10">
        <row r="24">
          <cell r="C24">
            <v>215.65495163958127</v>
          </cell>
          <cell r="D24">
            <v>166.33370645061908</v>
          </cell>
          <cell r="E24">
            <v>154.3621577744924</v>
          </cell>
          <cell r="F24">
            <v>118.09146086248863</v>
          </cell>
        </row>
      </sheetData>
      <sheetData sheetId="11">
        <row r="27">
          <cell r="C27">
            <v>255.65495163958127</v>
          </cell>
          <cell r="D27">
            <v>206.33370645061908</v>
          </cell>
          <cell r="E27">
            <v>194.3621577744924</v>
          </cell>
          <cell r="F27">
            <v>143.09146086248865</v>
          </cell>
        </row>
      </sheetData>
      <sheetData sheetId="12"/>
      <sheetData sheetId="13"/>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IG3Q4EW3NRUNAZTDWA4WUKJFSE">
      <xxl21:absoluteUrl r:id="rId2"/>
    </xxl21:alternateUrls>
    <sheetNames>
      <sheetName val="Notes"/>
      <sheetName val="Inputs"/>
      <sheetName val="Cost Structure"/>
      <sheetName val="Baseline"/>
      <sheetName val="Step 1 LCOE - EE"/>
      <sheetName val="Step 2 WACC"/>
      <sheetName val="Step 3 T&amp;S"/>
      <sheetName val="Outputs"/>
      <sheetName val="inputs Gray --&gt;"/>
      <sheetName val="Study Parameters"/>
    </sheetNames>
    <sheetDataSet>
      <sheetData sheetId="0"/>
      <sheetData sheetId="1"/>
      <sheetData sheetId="2"/>
      <sheetData sheetId="3">
        <row r="2">
          <cell r="B2">
            <v>1238.5472580000003</v>
          </cell>
        </row>
      </sheetData>
      <sheetData sheetId="4">
        <row r="7">
          <cell r="B7">
            <v>1335.2008787911266</v>
          </cell>
        </row>
      </sheetData>
      <sheetData sheetId="5">
        <row r="4">
          <cell r="B4">
            <v>1422.4526421724208</v>
          </cell>
        </row>
      </sheetData>
      <sheetData sheetId="6">
        <row r="2">
          <cell r="B2">
            <v>1422.4526421724208</v>
          </cell>
        </row>
      </sheetData>
      <sheetData sheetId="7"/>
      <sheetData sheetId="8"/>
      <sheetData sheetId="9"/>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OLQTPXFVHW3VGKUKJUDRN33BZU">
      <xxl21:absoluteUrl r:id="rId2"/>
    </xxl21:alternateUrls>
    <sheetNames>
      <sheetName val="Notes"/>
      <sheetName val="Inputs"/>
      <sheetName val="Baseline"/>
      <sheetName val="Step 1 LCOE"/>
      <sheetName val="Step 2 WACC"/>
      <sheetName val="Step 3 T&amp;S"/>
      <sheetName val="Outputs"/>
      <sheetName val="inputs McQueen --&gt;"/>
      <sheetName val="Study Parameters"/>
    </sheetNames>
    <sheetDataSet>
      <sheetData sheetId="0"/>
      <sheetData sheetId="1"/>
      <sheetData sheetId="2">
        <row r="7">
          <cell r="C7">
            <v>49.152253674788213</v>
          </cell>
          <cell r="D7">
            <v>162.00289251263612</v>
          </cell>
          <cell r="E7">
            <v>54.825919360527543</v>
          </cell>
          <cell r="F7">
            <v>188.53138742273737</v>
          </cell>
        </row>
      </sheetData>
      <sheetData sheetId="3"/>
      <sheetData sheetId="4"/>
      <sheetData sheetId="5"/>
      <sheetData sheetId="6"/>
      <sheetData sheetId="7"/>
      <sheetData sheetId="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N2TNHJH7REERD3AZK3DLQTY4LR">
      <xxl21:absoluteUrl r:id="rId2"/>
    </xxl21:alternateUrls>
    <sheetNames>
      <sheetName val="Notes"/>
      <sheetName val="Inputs"/>
      <sheetName val="Baseline"/>
      <sheetName val="Step 1 LCOE - EE"/>
      <sheetName val="Step 2 WACC"/>
      <sheetName val="Step 3 T&amp;S"/>
      <sheetName val="--&gt; input from study"/>
      <sheetName val="Lee2023 data"/>
      <sheetName val="Results Base"/>
      <sheetName val="Archive _ Base Case"/>
    </sheetNames>
    <sheetDataSet>
      <sheetData sheetId="0"/>
      <sheetData sheetId="1"/>
      <sheetData sheetId="2">
        <row r="53">
          <cell r="D53">
            <v>160.31000380952381</v>
          </cell>
        </row>
      </sheetData>
      <sheetData sheetId="3">
        <row r="55">
          <cell r="D55">
            <v>230.09276004403995</v>
          </cell>
        </row>
      </sheetData>
      <sheetData sheetId="4">
        <row r="55">
          <cell r="D55">
            <v>230.09276004403995</v>
          </cell>
        </row>
      </sheetData>
      <sheetData sheetId="5">
        <row r="58">
          <cell r="D58">
            <v>270.09276004403995</v>
          </cell>
        </row>
      </sheetData>
      <sheetData sheetId="6"/>
      <sheetData sheetId="7"/>
      <sheetData sheetId="8"/>
      <sheetData sheetId="9"/>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P6IDEDD4JBE5HIIBOXVNWWLSFS">
      <xxl21:absoluteUrl r:id="rId2"/>
    </xxl21:alternateUrls>
    <sheetNames>
      <sheetName val="Notes"/>
      <sheetName val="Inputs"/>
      <sheetName val="Cost Structure"/>
      <sheetName val="Baseline"/>
      <sheetName val="Step 1 LCOE"/>
      <sheetName val="Step 2 WACC"/>
      <sheetName val="Step 3 T&amp;S"/>
      <sheetName val="Outputs"/>
      <sheetName val="inputs Ragipani --&gt;"/>
      <sheetName val="Study Parameters"/>
    </sheetNames>
    <sheetDataSet>
      <sheetData sheetId="0"/>
      <sheetData sheetId="1"/>
      <sheetData sheetId="2"/>
      <sheetData sheetId="3">
        <row r="3">
          <cell r="B3">
            <v>121.14570202833102</v>
          </cell>
          <cell r="C3">
            <v>140.09669470231475</v>
          </cell>
        </row>
      </sheetData>
      <sheetData sheetId="4"/>
      <sheetData sheetId="5"/>
      <sheetData sheetId="6"/>
      <sheetData sheetId="7"/>
      <sheetData sheetId="8"/>
      <sheetData sheetId="9"/>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K6ZJVVQQZDSVHYRKEWCPOW323L">
      <xxl21:absoluteUrl r:id="rId2"/>
    </xxl21:alternateUrls>
    <sheetNames>
      <sheetName val="Notes"/>
      <sheetName val="Inputs"/>
      <sheetName val="Cost Structure"/>
      <sheetName val="Baseline"/>
      <sheetName val="Step 1 LCOE + EE"/>
      <sheetName val="Step 2 WACC"/>
      <sheetName val="Step 3 T&amp;S"/>
      <sheetName val="Outputs"/>
      <sheetName val="Inputs Pett-Ridge --&gt;"/>
      <sheetName val="Study Parameters"/>
    </sheetNames>
    <sheetDataSet>
      <sheetData sheetId="0"/>
      <sheetData sheetId="1"/>
      <sheetData sheetId="2"/>
      <sheetData sheetId="3">
        <row r="10">
          <cell r="B10">
            <v>246.53886307719159</v>
          </cell>
        </row>
        <row r="17">
          <cell r="B17">
            <v>274.02209209065103</v>
          </cell>
        </row>
        <row r="24">
          <cell r="B24">
            <v>566.57283354666379</v>
          </cell>
        </row>
        <row r="33">
          <cell r="B33">
            <v>127.12178542436133</v>
          </cell>
        </row>
        <row r="40">
          <cell r="B40">
            <v>206.92082276976248</v>
          </cell>
        </row>
        <row r="47">
          <cell r="B47">
            <v>231.36335190116506</v>
          </cell>
        </row>
      </sheetData>
      <sheetData sheetId="4">
        <row r="11">
          <cell r="B11">
            <v>285.62634973517243</v>
          </cell>
        </row>
        <row r="21">
          <cell r="B21">
            <v>118.45853215160149</v>
          </cell>
        </row>
      </sheetData>
      <sheetData sheetId="5">
        <row r="11">
          <cell r="B11">
            <v>255.30442580438057</v>
          </cell>
        </row>
        <row r="21">
          <cell r="B21">
            <v>106.84340810280642</v>
          </cell>
        </row>
      </sheetData>
      <sheetData sheetId="6">
        <row r="11">
          <cell r="B11">
            <v>295.30442580438057</v>
          </cell>
        </row>
        <row r="21">
          <cell r="B21">
            <v>131.84340810280642</v>
          </cell>
        </row>
      </sheetData>
      <sheetData sheetId="7"/>
      <sheetData sheetId="8"/>
      <sheetData sheetId="9"/>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JVPPQGMVXKRJGJ2PAMMFZILTY6">
      <xxl21:absoluteUrl r:id="rId2"/>
    </xxl21:alternateUrls>
    <sheetNames>
      <sheetName val="Notes"/>
      <sheetName val="Inputs"/>
      <sheetName val="Base Case CRF 7.5%"/>
      <sheetName val="Step 1 - LCOE + EE"/>
      <sheetName val="Step 2 - WACC"/>
      <sheetName val="Step 3 - T&amp;S"/>
      <sheetName val="Base Case CRF 12.5%"/>
      <sheetName val="Pett-Ridge inputs --&gt;"/>
      <sheetName val="Conventional_CAPEX_Breakdown"/>
    </sheetNames>
    <sheetDataSet>
      <sheetData sheetId="0"/>
      <sheetData sheetId="1"/>
      <sheetData sheetId="2"/>
      <sheetData sheetId="3">
        <row r="23">
          <cell r="C23">
            <v>400.01216847304312</v>
          </cell>
          <cell r="D23">
            <v>299.04143355290654</v>
          </cell>
          <cell r="E23">
            <v>223.41019772115243</v>
          </cell>
          <cell r="G23">
            <v>136.97848574432413</v>
          </cell>
        </row>
      </sheetData>
      <sheetData sheetId="4">
        <row r="23">
          <cell r="C23">
            <v>400.01216847304312</v>
          </cell>
          <cell r="D23">
            <v>299.04143355290654</v>
          </cell>
          <cell r="E23">
            <v>223.41019772115243</v>
          </cell>
          <cell r="G23">
            <v>136.97848574432413</v>
          </cell>
        </row>
      </sheetData>
      <sheetData sheetId="5">
        <row r="23">
          <cell r="C23">
            <v>440.01216847304312</v>
          </cell>
          <cell r="D23">
            <v>339.04143355290654</v>
          </cell>
          <cell r="E23">
            <v>263.41019772115243</v>
          </cell>
          <cell r="G23">
            <v>161.3365262382693</v>
          </cell>
        </row>
      </sheetData>
      <sheetData sheetId="6">
        <row r="20">
          <cell r="C20">
            <v>331.01806965481268</v>
          </cell>
          <cell r="D20">
            <v>247.46276709370125</v>
          </cell>
          <cell r="E20">
            <v>193.05104967397105</v>
          </cell>
          <cell r="G20">
            <v>127.36000278458418</v>
          </cell>
        </row>
      </sheetData>
      <sheetData sheetId="7"/>
      <sheetData sheetId="8"/>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MWUADYHP23XZFJZ2XNM3I672KY">
      <xxl21:absoluteUrl r:id="rId2"/>
    </xxl21:alternateUrls>
    <sheetNames>
      <sheetName val="Notes"/>
      <sheetName val="Base Case"/>
      <sheetName val="input data from NETL --&gt;"/>
      <sheetName val="NETL data Solvent"/>
    </sheetNames>
    <sheetDataSet>
      <sheetData sheetId="0"/>
      <sheetData sheetId="1">
        <row r="9">
          <cell r="B9">
            <v>292.42088348617762</v>
          </cell>
          <cell r="C9">
            <v>299.42088348617767</v>
          </cell>
          <cell r="D9">
            <v>467.9</v>
          </cell>
        </row>
      </sheetData>
      <sheetData sheetId="2"/>
      <sheetData sheetId="3"/>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KNV4IMGTXGCBCYPNA5VFIBCBSC">
      <xxl21:absoluteUrl r:id="rId2"/>
    </xxl21:alternateUrls>
    <sheetNames>
      <sheetName val="Notes"/>
      <sheetName val="Base Case"/>
      <sheetName val="input data NETL --&gt;"/>
      <sheetName val="Description of cases"/>
      <sheetName val="NETL 2022 Solvent data"/>
    </sheetNames>
    <sheetDataSet>
      <sheetData sheetId="0"/>
      <sheetData sheetId="1">
        <row r="10">
          <cell r="B10">
            <v>702.28287160000002</v>
          </cell>
          <cell r="C10">
            <v>475.3</v>
          </cell>
          <cell r="D10">
            <v>430.88287159999999</v>
          </cell>
        </row>
      </sheetData>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JP6GKKAWEWFNG37XNNELB6XYYS">
      <xxl21:absoluteUrl r:id="rId2"/>
    </xxl21:alternateUrls>
    <sheetNames>
      <sheetName val="Notes"/>
      <sheetName val="Inputs"/>
      <sheetName val="Base Case"/>
      <sheetName val="Step 1 LCOE "/>
      <sheetName val="Step 2 WACC "/>
      <sheetName val="Step 3 T&amp;S "/>
      <sheetName val="Outputs "/>
      <sheetName val="--&gt; input data APS study"/>
      <sheetName val="APS 2011"/>
    </sheetNames>
    <sheetDataSet>
      <sheetData sheetId="0"/>
      <sheetData sheetId="1"/>
      <sheetData sheetId="2">
        <row r="46">
          <cell r="B46">
            <v>619.41428571428571</v>
          </cell>
          <cell r="C46">
            <v>785.7</v>
          </cell>
        </row>
      </sheetData>
      <sheetData sheetId="3"/>
      <sheetData sheetId="4"/>
      <sheetData sheetId="5"/>
      <sheetData sheetId="6"/>
      <sheetData sheetId="7"/>
      <sheetData sheetId="8"/>
    </sheetDataSet>
  </externalBook>
</externalLink>
</file>

<file path=xl/persons/person.xml><?xml version="1.0" encoding="utf-8"?>
<personList xmlns="http://schemas.microsoft.com/office/spreadsheetml/2018/threadedcomments" xmlns:x="http://schemas.openxmlformats.org/spreadsheetml/2006/main">
  <person displayName="Dubey  Yash" id="{A90FAA6F-2DDA-4B47-97AB-136BE95772B9}" userId="ydubey@ethz.ch" providerId="PeoplePicker"/>
  <person displayName="Sievert  Katrin" id="{2E446FF5-0675-F941-ADE1-95F816705888}" userId="ksievert@ethz.ch" providerId="PeoplePicker"/>
  <person displayName="Yash Dubey (GESSWHO)" id="{9CD98BD0-400E-4DBA-9CBC-1EC169499640}" userId="gesswho-ydubey@ethz.ch" providerId="PeoplePicker"/>
  <person displayName="Dubey  Yash" id="{03DF97AB-C0DB-48B2-ABC7-715EE8C305B5}" userId="S::ydubey@ethz.ch::8ec4c660-c9fe-4bb6-9560-48a212ff7621" providerId="AD"/>
  <person displayName="Sievert  Katrin" id="{ADBD25B3-0C7B-4397-830C-3135DF40BA06}" userId="S::ksievert@ethz.ch::bbdc6555-5085-43f3-a455-5b29f50857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S1" dT="2024-10-21T18:19:52.60" personId="{ADBD25B3-0C7B-4397-830C-3135DF40BA06}" id="{5766B05D-C92B-4B52-9354-64D42A8C06C8}">
    <text>@Dubey  Yash , this will be the relevant column for the plot - three most sensitivite parameters per DAC tech over all studies</text>
    <mentions>
      <mention mentionpersonId="{A90FAA6F-2DDA-4B47-97AB-136BE95772B9}" mentionId="{F4980416-C9DE-4300-8AF4-C1F7795FF928}" startIndex="0" length="12"/>
    </mentions>
  </threadedComment>
  <threadedComment ref="L16" dT="2024-10-21T18:07:44.51" personId="{03DF97AB-C0DB-48B2-ABC7-715EE8C305B5}" id="{D187044E-C90E-49F8-B828-979C396B3AA7}">
    <text xml:space="preserve">@Sievert  Katrin this one </text>
    <mentions>
      <mention mentionpersonId="{2E446FF5-0675-F941-ADE1-95F816705888}" mentionId="{2A377768-5FA2-4F6C-8AF7-98DF9F717439}" startIndex="0" length="16"/>
    </mentions>
  </threadedComment>
  <threadedComment ref="N18" dT="2024-10-16T18:09:04.63" personId="{ADBD25B3-0C7B-4397-830C-3135DF40BA06}" id="{90A3683C-3C46-493D-911F-AF1C42DDB8B6}">
    <text>Note: fully electrified (not natural gas based)</text>
  </threadedComment>
  <threadedComment ref="L25" dT="2024-10-21T18:07:52.23" personId="{03DF97AB-C0DB-48B2-ABC7-715EE8C305B5}" id="{74A24C9F-BFFF-40A9-B34B-47F44844D78E}">
    <text>@Sievert  Katrin  and this one</text>
    <mentions>
      <mention mentionpersonId="{2E446FF5-0675-F941-ADE1-95F816705888}" mentionId="{11B6062D-C1DC-441A-8FD3-F61CE169C2FC}" startIndex="0" length="16"/>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L1" dT="2024-10-03T01:13:56.33" personId="{ADBD25B3-0C7B-4397-830C-3135DF40BA06}" id="{1EF8D96A-D4F8-4F04-BFDA-9F9DEFC1D71B}">
    <text>Super important to distinguish results by cost type. Would be nice to differentiate the data dots in initial boxplots by cost type (e.g., starts for net removed cost; dots for levelized cost of capture, etc.) Will have to dig into the difference for meta-analysis as well</text>
  </threadedComment>
  <threadedComment ref="W1" dT="2024-09-11T17:32:13.38" personId="{ADBD25B3-0C7B-4397-830C-3135DF40BA06}" id="{7E634AA6-F84C-45DF-927A-7EC0571DD5E6}">
    <text>@Katrin: FLH might be interesting sensitivity case - see later whether to standardize/do sensitivity on</text>
  </threadedComment>
  <threadedComment ref="AD1" dT="2024-10-15T17:36:35.63" personId="{ADBD25B3-0C7B-4397-830C-3135DF40BA06}" id="{85054E19-DD43-453D-B37F-8EDE2289C8B4}">
    <text>@Katrin: fill data on where is it taken from</text>
  </threadedComment>
  <threadedComment ref="T2" dT="2024-09-11T17:28:57.88" personId="{03DF97AB-C0DB-48B2-ABC7-715EE8C305B5}" id="{1634E5DB-968C-4809-AFCB-569DDEDDE00D}">
    <text>Sources include Nuclear, Solar, Wind, Geothermal, Hydro, and Grid from USA, Australia, Brazil, Germany, Oman, UK, and China</text>
  </threadedComment>
  <threadedComment ref="U2" dT="2024-09-11T17:31:36.91" personId="{03DF97AB-C0DB-48B2-ABC7-715EE8C305B5}" id="{83B6F572-1307-4F9C-8E6A-E80DCBFCCEF0}">
    <text>Prices are based on source (Natural Gas, Geothermal, Solar) and Location</text>
  </threadedComment>
  <threadedComment ref="T3" dT="2024-09-11T17:28:57.88" personId="{03DF97AB-C0DB-48B2-ABC7-715EE8C305B5}" id="{9E5F5A65-1260-4EF5-890E-C84ADF5D9241}">
    <text>Sources include Nuclear, Solar, Wind, Geothermal, Hydro, and Grid from USA, Australia, Brazil, Germany, Oman, UK, and China</text>
  </threadedComment>
  <threadedComment ref="U3" dT="2024-09-11T17:31:36.91" personId="{03DF97AB-C0DB-48B2-ABC7-715EE8C305B5}" id="{3BBBCEE6-AFAB-402E-AEDE-BDE82348B409}">
    <text>Prices are based on source (Natural Gas, Geothermal, Solar) and Location</text>
  </threadedComment>
  <threadedComment ref="T4" dT="2024-09-11T17:28:57.88" personId="{03DF97AB-C0DB-48B2-ABC7-715EE8C305B5}" id="{49C4D418-E108-4AC1-8369-2417F71166E5}">
    <text>Sources include Nuclear, Solar, Wind, Geothermal, Hydro, and Grid from USA, Australia, Brazil, Germany, Oman, UK, and China</text>
  </threadedComment>
  <threadedComment ref="U4" dT="2024-09-11T17:31:36.91" personId="{03DF97AB-C0DB-48B2-ABC7-715EE8C305B5}" id="{E358FC8F-61B8-4095-B91E-0608C9FB7351}">
    <text>Prices are based on source (Natural Gas, Geothermal, Solar) and Location</text>
  </threadedComment>
  <threadedComment ref="T5" dT="2024-09-11T17:28:57.88" personId="{03DF97AB-C0DB-48B2-ABC7-715EE8C305B5}" id="{F1E82F61-5388-4142-9B9F-958E1DF9CFFE}">
    <text>Sources include Nuclear, Solar, Wind, Geothermal, Hydro, and Grid from USA, Australia, Brazil, Germany, Oman, UK, and China</text>
  </threadedComment>
  <threadedComment ref="U5" dT="2024-09-11T17:31:36.91" personId="{03DF97AB-C0DB-48B2-ABC7-715EE8C305B5}" id="{3916D311-1426-4356-837C-685B46FEBDD8}">
    <text>Prices are based on source (Natural Gas, Geothermal, Solar) and Location</text>
  </threadedComment>
  <threadedComment ref="W9" dT="2024-09-11T18:45:06.86" personId="{03DF97AB-C0DB-48B2-ABC7-715EE8C305B5}" id="{B2163893-35D6-40CE-AF55-B9BADD48DC1C}">
    <text>Obtained from SI equation for operating hours, not mentioned explicitly</text>
  </threadedComment>
  <threadedComment ref="I10" dT="2024-10-03T21:40:24.62" personId="{03DF97AB-C0DB-48B2-ABC7-715EE8C305B5}" id="{7A087005-7092-405B-949E-36A5FEDE509E}">
    <text xml:space="preserve">This is modelled per ton of CO2
</text>
  </threadedComment>
  <threadedComment ref="I10" dT="2024-10-03T23:50:35.06" personId="{ADBD25B3-0C7B-4397-830C-3135DF40BA06}" id="{1F4DF930-BC80-4460-9CFF-E982A9267DFB}" parentId="{7A087005-7092-405B-949E-36A5FEDE509E}">
    <text>What do you mean?</text>
  </threadedComment>
  <threadedComment ref="I10" dT="2024-10-04T07:20:30.61" personId="{03DF97AB-C0DB-48B2-ABC7-715EE8C305B5}" id="{F72F07EF-D04E-441D-8D7C-84133D1D2394}" parentId="{7A087005-7092-405B-949E-36A5FEDE509E}">
    <text>The paper works with CO2 productivity per collector and calculates costs for 1 collector. There is some discussion of the size of collector and land required for 1Gt capture but it is not explicitly modelled</text>
  </threadedComment>
  <threadedComment ref="Q10" dT="2024-10-03T21:40:24.62" personId="{03DF97AB-C0DB-48B2-ABC7-715EE8C305B5}" id="{FC7E98BB-6FEE-487B-8249-91FD2F13C14C}">
    <text xml:space="preserve">This is modelled per ton of CO2
</text>
  </threadedComment>
  <threadedComment ref="Q10" dT="2024-10-03T23:50:35.06" personId="{ADBD25B3-0C7B-4397-830C-3135DF40BA06}" id="{CCFA3DA4-585B-46EE-85A5-BA3B6A9101AA}" parentId="{FC7E98BB-6FEE-487B-8249-91FD2F13C14C}">
    <text>What do you mean?</text>
  </threadedComment>
  <threadedComment ref="Q10" dT="2024-10-04T07:20:30.61" personId="{03DF97AB-C0DB-48B2-ABC7-715EE8C305B5}" id="{545B9BCC-BD69-4723-B43B-2521865F543A}" parentId="{FC7E98BB-6FEE-487B-8249-91FD2F13C14C}">
    <text>The paper works with CO2 productivity per collector and calculates costs for 1 collector. There is some discussion of the size of collector and land required for 1Gt capture but it is not explicitly modelled</text>
  </threadedComment>
  <threadedComment ref="AF10" dT="2024-09-16T21:36:08.37" personId="{03DF97AB-C0DB-48B2-ABC7-715EE8C305B5}" id="{A0BB2F82-30B3-4964-A3D7-A3FA32B9BDD0}">
    <text>@Sievert  Katrin we may need to contact this author since the model uses geospatial resolution to calculate costs. It would be great if you can check and validate</text>
    <mentions>
      <mention mentionpersonId="{2E446FF5-0675-F941-ADE1-95F816705888}" mentionId="{038517DA-AE40-41BC-9D01-C7A6BA8D62BC}" startIndex="0" length="16"/>
    </mentions>
  </threadedComment>
  <threadedComment ref="G11" dT="2024-10-16T18:09:16.91" personId="{ADBD25B3-0C7B-4397-830C-3135DF40BA06}" id="{C3AAB90F-A1BF-4795-9E03-463EB0B211CA}">
    <text>Note: fully electrified (not natural gas based)</text>
  </threadedComment>
  <threadedComment ref="S13" dT="2024-09-14T00:10:44.82" personId="{ADBD25B3-0C7B-4397-830C-3135DF40BA06}" id="{3077BB45-F3B3-46A3-8022-10F4E8A0F420}">
    <text>Same as APS 2011</text>
  </threadedComment>
  <threadedComment ref="S14" dT="2024-09-14T00:10:44.82" personId="{ADBD25B3-0C7B-4397-830C-3135DF40BA06}" id="{12507729-A60A-4DF5-B74A-9C4543C797FD}">
    <text>Same as APS 2011</text>
  </threadedComment>
  <threadedComment ref="S18" dT="2024-10-04T07:48:45.09" personId="{03DF97AB-C0DB-48B2-ABC7-715EE8C305B5}" id="{B6654AD4-BB7E-46DB-BDB8-C5EE8F1D0AE4}">
    <text>Electricity plant is modelled, need to derive LCOE (incl. battery) from installed cost of power plants</text>
  </threadedComment>
  <threadedComment ref="AD18" dT="2024-10-04T10:12:53.07" personId="{03DF97AB-C0DB-48B2-ABC7-715EE8C305B5}" id="{0C23BDF2-E247-4C8D-B943-607FC0C946D6}">
    <text>Note, labor is included in CAPEX for this study</text>
  </threadedComment>
  <threadedComment ref="A21" dT="2024-10-15T17:27:08.19" personId="{ADBD25B3-0C7B-4397-830C-3135DF40BA06}" id="{A463170D-1C29-4EE5-BFC4-ACBF55AAE826}">
    <text>@Katrin: exclude or not</text>
  </threadedComment>
  <threadedComment ref="AF22" dT="2024-09-16T17:44:47.08" personId="{ADBD25B3-0C7B-4397-830C-3135DF40BA06}" id="{3E1DE9F9-F373-4DD6-BFED-6455DF7D017A}" done="1">
    <text>I haven‘t done that for any of the sheets yet</text>
  </threadedComment>
  <threadedComment ref="G23" dT="2024-09-28T10:30:12.63" personId="{03DF97AB-C0DB-48B2-ABC7-715EE8C305B5}" id="{6048C8E5-CCC8-475B-A27F-E1CC465E639D}">
    <text>Although 4 technologies are mentioned, only 2 are modelled</text>
  </threadedComment>
  <threadedComment ref="S23" dT="2024-10-02T20:55:56.17" personId="{ADBD25B3-0C7B-4397-830C-3135DF40BA06}" id="{42EC91E7-31C3-4CD4-A3B6-B97E3B999614}">
    <text>@Yash Dubey (GESSWHO) , please specify range per tech</text>
  </threadedComment>
  <threadedComment ref="AG23" dT="2024-10-02T20:56:28.28" personId="{ADBD25B3-0C7B-4397-830C-3135DF40BA06}" id="{815F4C81-22A0-4CD2-9BDA-19E3A45A353D}">
    <text>@Yash Dubey (GESSWHO) , what is the status on Küng? ☺️</text>
    <mentions>
      <mention mentionpersonId="{9CD98BD0-400E-4DBA-9CBC-1EC169499640}" mentionId="{91B8E612-A34C-4ACC-A974-BA84344128DF}" startIndex="0" length="21"/>
    </mentions>
  </threadedComment>
  <threadedComment ref="G24" dT="2024-09-28T10:30:12.63" personId="{03DF97AB-C0DB-48B2-ABC7-715EE8C305B5}" id="{87DA5026-20AC-4F24-82B5-0562AB65957F}">
    <text>Although 4 technologies are mentioned, only 2 are modelled</text>
  </threadedComment>
  <threadedComment ref="AA35" dT="2024-10-09T19:22:12.97" personId="{03DF97AB-C0DB-48B2-ABC7-715EE8C305B5}" id="{602701B5-9907-4792-B53B-10DF61BD69D6}">
    <text>This is transport + storage</text>
  </threadedComment>
  <threadedComment ref="AA36" dT="2024-10-09T17:36:29.19" personId="{03DF97AB-C0DB-48B2-ABC7-715EE8C305B5}" id="{A98346E9-9A65-425F-B658-F36BEC35D8F1}">
    <text xml:space="preserve">This is transport + storage
</text>
  </threadedComment>
  <threadedComment ref="A38" dT="2024-10-13T11:47:25.14" personId="{03DF97AB-C0DB-48B2-ABC7-715EE8C305B5}" id="{541DD166-3D8A-48CE-A1F7-8A712E62D2A3}">
    <text>@Sievert  Katrin similar to Sinha 2019, there are some things missing to calculate the final cost. Do you think we can contact the authors?</text>
    <mentions>
      <mention mentionpersonId="{2E446FF5-0675-F941-ADE1-95F816705888}" mentionId="{5A281D29-EB05-4F9B-8DD2-A2DBC31A8B1C}" startIndex="0" length="16"/>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L1" dT="2024-10-03T01:13:56.33" personId="{ADBD25B3-0C7B-4397-830C-3135DF40BA06}" id="{0350936E-5044-471D-A851-AE9586EAACA6}">
    <text>Super important to distinguish results by cost type. Would be nice to differentiate the data dots in initial boxplots by cost type (e.g., starts for net removed cost; dots for levelized cost of capture, etc.) Will have to dig into the difference for meta-analysis as well</text>
  </threadedComment>
  <threadedComment ref="W1" dT="2024-09-11T17:32:13.38" personId="{ADBD25B3-0C7B-4397-830C-3135DF40BA06}" id="{64A09F6B-DB5C-4E34-952E-6D0A11E017D9}">
    <text>@Katrin: FLH might be interesting sensitivity case - see later whether to standardize/do sensitivity on</text>
  </threadedComment>
  <threadedComment ref="AD1" dT="2024-10-15T17:36:35.63" personId="{ADBD25B3-0C7B-4397-830C-3135DF40BA06}" id="{733209E8-3665-41FD-BADC-7944847F9D84}">
    <text>@Katrin: fill data on where is it taken from</text>
  </threadedComment>
  <threadedComment ref="T2" dT="2024-09-11T17:28:57.88" personId="{03DF97AB-C0DB-48B2-ABC7-715EE8C305B5}" id="{86BB2AD5-826A-425D-B333-633E4D38767A}">
    <text>Sources include Nuclear, Solar, Wind, Geothermal, Hydro, and Grid from USA, Australia, Brazil, Germany, Oman, UK, and China</text>
  </threadedComment>
  <threadedComment ref="U2" dT="2024-09-11T17:31:36.91" personId="{03DF97AB-C0DB-48B2-ABC7-715EE8C305B5}" id="{0CB68CBC-1557-4C67-93B7-53D7E7A9B650}">
    <text>Prices are based on source (Natural Gas, Geothermal, Solar) and Location</text>
  </threadedComment>
  <threadedComment ref="T3" dT="2024-09-11T17:28:57.88" personId="{03DF97AB-C0DB-48B2-ABC7-715EE8C305B5}" id="{DEF73B4C-B5F4-44BF-B216-26859C6F82B5}">
    <text>Sources include Nuclear, Solar, Wind, Geothermal, Hydro, and Grid from USA, Australia, Brazil, Germany, Oman, UK, and China</text>
  </threadedComment>
  <threadedComment ref="U3" dT="2024-09-11T17:31:36.91" personId="{03DF97AB-C0DB-48B2-ABC7-715EE8C305B5}" id="{07F57849-1FFE-4F56-AC47-C971DFCEEAC9}">
    <text>Prices are based on source (Natural Gas, Geothermal, Solar) and Location</text>
  </threadedComment>
  <threadedComment ref="T4" dT="2024-09-11T17:28:57.88" personId="{03DF97AB-C0DB-48B2-ABC7-715EE8C305B5}" id="{4E7D18A9-A9D5-4153-B291-395791263BAC}">
    <text>Sources include Nuclear, Solar, Wind, Geothermal, Hydro, and Grid from USA, Australia, Brazil, Germany, Oman, UK, and China</text>
  </threadedComment>
  <threadedComment ref="U4" dT="2024-09-11T17:31:36.91" personId="{03DF97AB-C0DB-48B2-ABC7-715EE8C305B5}" id="{BD04C056-715D-4212-8A4A-8A7D7674B6DD}">
    <text>Prices are based on source (Natural Gas, Geothermal, Solar) and Location</text>
  </threadedComment>
  <threadedComment ref="T5" dT="2024-09-11T17:28:57.88" personId="{03DF97AB-C0DB-48B2-ABC7-715EE8C305B5}" id="{1AC8CD09-0EB0-4214-951B-A26C1D273B22}">
    <text>Sources include Nuclear, Solar, Wind, Geothermal, Hydro, and Grid from USA, Australia, Brazil, Germany, Oman, UK, and China</text>
  </threadedComment>
  <threadedComment ref="U5" dT="2024-09-11T17:31:36.91" personId="{03DF97AB-C0DB-48B2-ABC7-715EE8C305B5}" id="{D1EBB37E-50DB-4F0A-AC93-E57F42603E17}">
    <text>Prices are based on source (Natural Gas, Geothermal, Solar) and Location</text>
  </threadedComment>
  <threadedComment ref="W9" dT="2024-09-11T18:45:06.86" personId="{03DF97AB-C0DB-48B2-ABC7-715EE8C305B5}" id="{35FAC218-210D-684F-B09A-02EBE0F780AE}">
    <text>Obtained from SI equation for operating hours, not mentioned explicitly</text>
  </threadedComment>
  <threadedComment ref="Q10" dT="2024-10-03T21:40:24.62" personId="{03DF97AB-C0DB-48B2-ABC7-715EE8C305B5}" id="{F536CBE0-9513-0D48-B524-50C9AB660CBC}">
    <text xml:space="preserve">This is modelled per ton of CO2
</text>
  </threadedComment>
  <threadedComment ref="Q10" dT="2024-10-03T23:50:35.06" personId="{ADBD25B3-0C7B-4397-830C-3135DF40BA06}" id="{E1F28E0D-F40E-4946-AE8C-E4808CE96D76}" parentId="{F536CBE0-9513-0D48-B524-50C9AB660CBC}">
    <text>What do you mean?</text>
  </threadedComment>
  <threadedComment ref="Q10" dT="2024-10-04T07:20:30.61" personId="{03DF97AB-C0DB-48B2-ABC7-715EE8C305B5}" id="{950655CD-A8C8-409C-ABB9-A21DB0D8FA35}" parentId="{F536CBE0-9513-0D48-B524-50C9AB660CBC}">
    <text>The paper works with CO2 productivity per collector and calculates costs for 1 collector. There is some discussion of the size of collector and land required for 1Gt capture but it is not explicitly modelled</text>
  </threadedComment>
  <threadedComment ref="AF10" dT="2024-09-16T21:36:08.37" personId="{03DF97AB-C0DB-48B2-ABC7-715EE8C305B5}" id="{1EE642E4-A716-E147-93D2-EBC82888867C}">
    <text>@Sievert  Katrin we may need to contact this author since the model uses geospatial resolution to calculate costs. It would be great if you can check and validate</text>
    <mentions>
      <mention mentionpersonId="{2E446FF5-0675-F941-ADE1-95F816705888}" mentionId="{69AB97AF-E0A7-484D-B90D-C2C0523EE7B2}" startIndex="0" length="16"/>
    </mentions>
  </threadedComment>
  <threadedComment ref="G11" dT="2024-10-16T18:09:16.91" personId="{ADBD25B3-0C7B-4397-830C-3135DF40BA06}" id="{C95C2BCC-3382-4BE7-948B-2D1F88B6C4EE}">
    <text>Note: fully electrified (not natural gas based)</text>
  </threadedComment>
  <threadedComment ref="S13" dT="2024-09-14T00:10:44.82" personId="{ADBD25B3-0C7B-4397-830C-3135DF40BA06}" id="{1B4F455C-B358-4250-8ECB-70EBFDB0C62A}">
    <text>Same as APS 2011</text>
  </threadedComment>
  <threadedComment ref="S14" dT="2024-09-14T00:10:44.82" personId="{ADBD25B3-0C7B-4397-830C-3135DF40BA06}" id="{371321C4-A3D2-4007-968B-EE1E2CB9DDCF}">
    <text>Same as APS 2011</text>
  </threadedComment>
  <threadedComment ref="S18" dT="2024-10-04T07:48:45.09" personId="{03DF97AB-C0DB-48B2-ABC7-715EE8C305B5}" id="{5E072874-0F33-4869-AA80-F4CCC7A97C3A}">
    <text>Electricity plant is modelled, need to derive LCOE (incl. battery) from installed cost of power plants</text>
  </threadedComment>
  <threadedComment ref="AD18" dT="2024-10-04T10:12:53.07" personId="{03DF97AB-C0DB-48B2-ABC7-715EE8C305B5}" id="{FC56B118-BB61-4DBC-8F46-9F3C2A3A9E4B}">
    <text>Note, labor is included in CAPEX for this study</text>
  </threadedComment>
  <threadedComment ref="A21" dT="2024-10-15T17:27:08.19" personId="{ADBD25B3-0C7B-4397-830C-3135DF40BA06}" id="{728DBFB1-DB2C-4EDA-8E92-BE2DED6B0C6B}">
    <text>@Katrin: exclude or not</text>
  </threadedComment>
  <threadedComment ref="AF22" dT="2024-09-16T17:44:47.08" personId="{ADBD25B3-0C7B-4397-830C-3135DF40BA06}" id="{3E1CE0CF-3941-44BC-9E68-9761F9B3A0C3}" done="1">
    <text>I haven‘t done that for any of the sheets yet</text>
  </threadedComment>
  <threadedComment ref="G23" dT="2024-09-28T10:30:12.63" personId="{03DF97AB-C0DB-48B2-ABC7-715EE8C305B5}" id="{4DDE1A3D-EE9B-47D8-B03C-C35299C31CC2}">
    <text>Although 4 technologies are mentioned, only 2 are modelled</text>
  </threadedComment>
  <threadedComment ref="S23" dT="2024-10-02T20:55:56.17" personId="{ADBD25B3-0C7B-4397-830C-3135DF40BA06}" id="{E1714139-03F0-4EFC-966C-2AD42AED0BCB}">
    <text>@Yash Dubey (GESSWHO) , please specify range per tech</text>
  </threadedComment>
  <threadedComment ref="AG23" dT="2024-10-02T20:56:28.28" personId="{ADBD25B3-0C7B-4397-830C-3135DF40BA06}" id="{49323A28-0DCB-49FC-989D-88DB2030BFBF}">
    <text>@Yash Dubey (GESSWHO) , what is the status on Küng? ☺️</text>
    <mentions>
      <mention mentionpersonId="{9CD98BD0-400E-4DBA-9CBC-1EC169499640}" mentionId="{C9EB15C5-85DB-4828-8040-190FD7E54B61}" startIndex="0" length="21"/>
    </mentions>
  </threadedComment>
  <threadedComment ref="G24" dT="2024-09-28T10:30:12.63" personId="{03DF97AB-C0DB-48B2-ABC7-715EE8C305B5}" id="{989D0218-F576-45FE-ABE7-DEEE1C53086D}">
    <text>Although 4 technologies are mentioned, only 2 are modelled</text>
  </threadedComment>
  <threadedComment ref="AA35" dT="2024-10-09T19:22:12.97" personId="{03DF97AB-C0DB-48B2-ABC7-715EE8C305B5}" id="{A11130B6-8F8E-41E3-ACD7-7C044B8FB67F}">
    <text>This is transport + storage</text>
  </threadedComment>
  <threadedComment ref="AA36" dT="2024-10-09T17:36:29.19" personId="{03DF97AB-C0DB-48B2-ABC7-715EE8C305B5}" id="{8C4F2012-255B-4EAF-95F0-14F0195BAF1C}">
    <text xml:space="preserve">This is transport + storage
</text>
  </threadedComment>
  <threadedComment ref="A38" dT="2024-10-13T11:47:25.14" personId="{03DF97AB-C0DB-48B2-ABC7-715EE8C305B5}" id="{0B133023-ADBB-434F-ADE6-C39EDED95688}">
    <text>@Sievert  Katrin similar to Sinha 2019, there are some things missing to calculate the final cost. Do you think we can contact the authors?</text>
    <mentions>
      <mention mentionpersonId="{2E446FF5-0675-F941-ADE1-95F816705888}" mentionId="{D9775E53-2108-46A4-8F59-EEAC0DDF908F}" startIndex="0" length="16"/>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M2" dT="2024-10-18T01:12:22.14" personId="{ADBD25B3-0C7B-4397-830C-3135DF40BA06}" id="{13FBD5C1-C7AD-481E-8BEF-2BCEE5657855}">
    <text>LCOE and carbon intensity are harmonized in the same step</text>
  </threadedComment>
  <threadedComment ref="A27" dT="2024-10-31T17:55:19.93" personId="{ADBD25B3-0C7B-4397-830C-3135DF40BA06}" id="{81F1FAF5-41A5-4877-88BA-7661CDD385FC}">
    <text>Will re-run Sievert et al. Again if any inputs to standardize change</text>
  </threadedComment>
  <threadedComment ref="K48" dT="2024-10-04T16:49:18.45" personId="{03DF97AB-C0DB-48B2-ABC7-715EE8C305B5}" id="{F9520948-9D7F-475E-A76C-5B8C0F91C279}">
    <text>This paper does not detail plant capacity</text>
  </threadedComment>
  <threadedComment ref="D60" dT="2024-10-16T18:09:33.27" personId="{ADBD25B3-0C7B-4397-830C-3135DF40BA06}" id="{2C5D1DDE-D2EB-4B36-B440-D5AC5B4DFA10}">
    <text>Note: fully electrified (not natural gas based)</text>
  </threadedComment>
  <threadedComment ref="B140" dT="2024-10-03T21:12:41.37" personId="{ADBD25B3-0C7B-4397-830C-3135DF40BA06}" id="{A5FFF8A1-ACF0-4CD3-815A-8476EBCDFC0C}">
    <text>Not specified as 2050 in Keith et al. Our assumption</text>
  </threadedComment>
  <threadedComment ref="B144" dT="2024-10-03T21:12:44.43" personId="{ADBD25B3-0C7B-4397-830C-3135DF40BA06}" id="{FD151479-DE2A-41C3-80E2-1226DA56B401}">
    <text>Not specified as 2050 in Keith et al. Our assumption</text>
  </threadedComment>
</ThreadedComment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oecd-nea.org/jcms/pl_51110/projected-costs-of-generating-electricity-2020-edition" TargetMode="External"/><Relationship Id="rId7" Type="http://schemas.openxmlformats.org/officeDocument/2006/relationships/hyperlink" Target="https://www.oecd-nea.org/jcms/pl_51110/projected-costs-of-generating-electricity-2020-edition" TargetMode="External"/><Relationship Id="rId2" Type="http://schemas.openxmlformats.org/officeDocument/2006/relationships/hyperlink" Target="https://www.bnef.com/flagships/lcoe" TargetMode="External"/><Relationship Id="rId1" Type="http://schemas.openxmlformats.org/officeDocument/2006/relationships/hyperlink" Target="https://www.bnef.com/flagships/lcoe" TargetMode="External"/><Relationship Id="rId6" Type="http://schemas.openxmlformats.org/officeDocument/2006/relationships/hyperlink" Target="https://www.bnef.com/flagships/lcoe" TargetMode="External"/><Relationship Id="rId5" Type="http://schemas.openxmlformats.org/officeDocument/2006/relationships/hyperlink" Target="https://www.irena.org/publications/2022/Jul/Renewable-Power-Generation-Costs-in-2021" TargetMode="External"/><Relationship Id="rId4" Type="http://schemas.openxmlformats.org/officeDocument/2006/relationships/hyperlink" Target="https://www.irena.org/publications/2022/Jul/Renewable-Power-Generation-Costs-in-2021"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sciencedirect.com/journal/renewable-and-sustainable-energy-reviews" TargetMode="External"/><Relationship Id="rId13" Type="http://schemas.openxmlformats.org/officeDocument/2006/relationships/vmlDrawing" Target="../drawings/vmlDrawing1.vml"/><Relationship Id="rId3" Type="http://schemas.openxmlformats.org/officeDocument/2006/relationships/hyperlink" Target="https://www.netl.doe.gov/projects/files/DirectAirCaptureCaseStudiesSorbentSystem_070822.pdf" TargetMode="External"/><Relationship Id="rId7" Type="http://schemas.openxmlformats.org/officeDocument/2006/relationships/hyperlink" Target="https://www.sciencedirect.com/journal/carbon-capture-science-and-technology" TargetMode="External"/><Relationship Id="rId12" Type="http://schemas.openxmlformats.org/officeDocument/2006/relationships/hyperlink" Target="https://roads2removal.org/" TargetMode="External"/><Relationship Id="rId2" Type="http://schemas.openxmlformats.org/officeDocument/2006/relationships/hyperlink" Target="https://netl.doe.gov/projects/files/DirectAirCaptureCaseStudiesSolventSystem_083122.pdf" TargetMode="External"/><Relationship Id="rId1" Type="http://schemas.openxmlformats.org/officeDocument/2006/relationships/hyperlink" Target="https://doi.org/10.1021/es502887y" TargetMode="External"/><Relationship Id="rId6" Type="http://schemas.openxmlformats.org/officeDocument/2006/relationships/hyperlink" Target="https://res.cloudinary.com/apsphysics/image/upload/v1698255780/Direct-Air-Capture-of-CO2-with-Chemicals_snams5.pdf?_gl=1*4c0t90*_gcl_au*OTAxNTk5NzU0LjE3MjU2NjkyNzA.*_ga*MTg0NDgyOTUuMTcyNTY2OTI3MA..*_ga_1CCM6YP0WF*MTcyNTY2OTI2OS4xLjEuMTcyNTY2OTI5Ny4zMi4wLjA.*_ga_ZS5V2B2DR1*MTcyNTY2OTI3NC4xLjAuMTcyNTY2OTI3NC4wLjAuMA.." TargetMode="External"/><Relationship Id="rId11" Type="http://schemas.openxmlformats.org/officeDocument/2006/relationships/hyperlink" Target="https://roads2removal.org/" TargetMode="External"/><Relationship Id="rId5" Type="http://schemas.openxmlformats.org/officeDocument/2006/relationships/hyperlink" Target="https://doi.org/10.17226/25259" TargetMode="External"/><Relationship Id="rId15" Type="http://schemas.microsoft.com/office/2017/10/relationships/threadedComment" Target="../threadedComments/threadedComment1.xml"/><Relationship Id="rId10" Type="http://schemas.openxmlformats.org/officeDocument/2006/relationships/hyperlink" Target="https://doi.org/10.17226/25259" TargetMode="External"/><Relationship Id="rId4" Type="http://schemas.openxmlformats.org/officeDocument/2006/relationships/hyperlink" Target="https://roads2removal.org/" TargetMode="External"/><Relationship Id="rId9" Type="http://schemas.openxmlformats.org/officeDocument/2006/relationships/hyperlink" Target="https://roads2removal.org/" TargetMode="External"/><Relationship Id="rId1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8" Type="http://schemas.openxmlformats.org/officeDocument/2006/relationships/hyperlink" Target="https://doi.org/10.17226/25259" TargetMode="External"/><Relationship Id="rId3" Type="http://schemas.openxmlformats.org/officeDocument/2006/relationships/hyperlink" Target="https://www.netl.doe.gov/projects/files/DirectAirCaptureCaseStudiesSorbentSystem_070822.pdf" TargetMode="External"/><Relationship Id="rId7" Type="http://schemas.openxmlformats.org/officeDocument/2006/relationships/hyperlink" Target="https://roads2removal.org/" TargetMode="External"/><Relationship Id="rId2" Type="http://schemas.openxmlformats.org/officeDocument/2006/relationships/hyperlink" Target="https://netl.doe.gov/projects/files/DirectAirCaptureCaseStudiesSolventSystem_083122.pdf" TargetMode="External"/><Relationship Id="rId1" Type="http://schemas.openxmlformats.org/officeDocument/2006/relationships/hyperlink" Target="https://doi.org/10.1021/es502887y" TargetMode="External"/><Relationship Id="rId6" Type="http://schemas.openxmlformats.org/officeDocument/2006/relationships/hyperlink" Target="https://res.cloudinary.com/apsphysics/image/upload/v1698255780/Direct-Air-Capture-of-CO2-with-Chemicals_snams5.pdf?_gl=1*4c0t90*_gcl_au*OTAxNTk5NzU0LjE3MjU2NjkyNzA.*_ga*MTg0NDgyOTUuMTcyNTY2OTI3MA..*_ga_1CCM6YP0WF*MTcyNTY2OTI2OS4xLjEuMTcyNTY2OTI5Ny4zMi4wLjA.*_ga_ZS5V2B2DR1*MTcyNTY2OTI3NC4xLjAuMTcyNTY2OTI3NC4wLjAuMA.." TargetMode="External"/><Relationship Id="rId11" Type="http://schemas.microsoft.com/office/2017/10/relationships/threadedComment" Target="../threadedComments/threadedComment2.xml"/><Relationship Id="rId5" Type="http://schemas.openxmlformats.org/officeDocument/2006/relationships/hyperlink" Target="https://doi.org/10.17226/25259" TargetMode="External"/><Relationship Id="rId10" Type="http://schemas.openxmlformats.org/officeDocument/2006/relationships/comments" Target="../comments2.xml"/><Relationship Id="rId4" Type="http://schemas.openxmlformats.org/officeDocument/2006/relationships/hyperlink" Target="https://roads2removal.org/" TargetMode="External"/><Relationship Id="rId9"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8" Type="http://schemas.openxmlformats.org/officeDocument/2006/relationships/hyperlink" Target="https://doi.org/10.17226/25259" TargetMode="External"/><Relationship Id="rId3" Type="http://schemas.openxmlformats.org/officeDocument/2006/relationships/hyperlink" Target="https://www.netl.doe.gov/projects/files/DirectAirCaptureCaseStudiesSorbentSystem_070822.pdf" TargetMode="External"/><Relationship Id="rId7" Type="http://schemas.openxmlformats.org/officeDocument/2006/relationships/hyperlink" Target="https://roads2removal.org/" TargetMode="External"/><Relationship Id="rId12" Type="http://schemas.microsoft.com/office/2017/10/relationships/threadedComment" Target="../threadedComments/threadedComment3.xml"/><Relationship Id="rId2" Type="http://schemas.openxmlformats.org/officeDocument/2006/relationships/hyperlink" Target="https://netl.doe.gov/projects/files/DirectAirCaptureCaseStudiesSolventSystem_083122.pdf" TargetMode="External"/><Relationship Id="rId1" Type="http://schemas.openxmlformats.org/officeDocument/2006/relationships/hyperlink" Target="https://doi.org/10.1021/es502887y" TargetMode="External"/><Relationship Id="rId6" Type="http://schemas.openxmlformats.org/officeDocument/2006/relationships/hyperlink" Target="https://res.cloudinary.com/apsphysics/image/upload/v1698255780/Direct-Air-Capture-of-CO2-with-Chemicals_snams5.pdf?_gl=1*4c0t90*_gcl_au*OTAxNTk5NzU0LjE3MjU2NjkyNzA.*_ga*MTg0NDgyOTUuMTcyNTY2OTI3MA..*_ga_1CCM6YP0WF*MTcyNTY2OTI2OS4xLjEuMTcyNTY2OTI5Ny4zMi4wLjA.*_ga_ZS5V2B2DR1*MTcyNTY2OTI3NC4xLjAuMTcyNTY2OTI3NC4wLjAuMA.." TargetMode="External"/><Relationship Id="rId11" Type="http://schemas.openxmlformats.org/officeDocument/2006/relationships/comments" Target="../comments3.xml"/><Relationship Id="rId5" Type="http://schemas.openxmlformats.org/officeDocument/2006/relationships/hyperlink" Target="https://doi.org/10.17226/25259" TargetMode="External"/><Relationship Id="rId10" Type="http://schemas.openxmlformats.org/officeDocument/2006/relationships/vmlDrawing" Target="../drawings/vmlDrawing3.vml"/><Relationship Id="rId4" Type="http://schemas.openxmlformats.org/officeDocument/2006/relationships/hyperlink" Target="https://roads2removal.org/" TargetMode="External"/><Relationship Id="rId9"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3" Type="http://schemas.openxmlformats.org/officeDocument/2006/relationships/hyperlink" Target="https://www.irs.gov/individuals/international-taxpayers/yearly-average-currency-exchange-rates" TargetMode="External"/><Relationship Id="rId2" Type="http://schemas.openxmlformats.org/officeDocument/2006/relationships/hyperlink" Target="https://data.worldbank.org/indicator/FP.CPI.TOTL.ZG?locations=US" TargetMode="External"/><Relationship Id="rId1" Type="http://schemas.openxmlformats.org/officeDocument/2006/relationships/hyperlink" Target="https://data.worldbank.org/indicator/FP.CPI.TOTL.Z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18090-0B0B-C248-B9C6-3EA8C5996CC0}">
  <sheetPr codeName="Sheet1"/>
  <dimension ref="A1"/>
  <sheetViews>
    <sheetView workbookViewId="0"/>
  </sheetViews>
  <sheetFormatPr defaultColWidth="11.125" defaultRowHeight="15.6"/>
  <sheetData>
    <row r="1" spans="1:1">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61075-588E-5843-BB7A-EDB11B09427F}">
  <sheetPr codeName="Sheet2"/>
  <dimension ref="A1"/>
  <sheetViews>
    <sheetView workbookViewId="0"/>
  </sheetViews>
  <sheetFormatPr defaultColWidth="11.125" defaultRowHeight="15.6"/>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F95F4-5606-9A4E-B5D6-523DA6069C8C}">
  <sheetPr codeName="Sheet3">
    <tabColor theme="6" tint="0.59999389629810485"/>
  </sheetPr>
  <dimension ref="A1:E29"/>
  <sheetViews>
    <sheetView workbookViewId="0">
      <selection activeCell="I21" sqref="I21"/>
    </sheetView>
  </sheetViews>
  <sheetFormatPr defaultColWidth="11.125" defaultRowHeight="15.6"/>
  <cols>
    <col min="1" max="1" width="24.125" bestFit="1" customWidth="1"/>
    <col min="2" max="2" width="11.5" bestFit="1" customWidth="1"/>
    <col min="3" max="3" width="13.625" bestFit="1" customWidth="1"/>
    <col min="4" max="4" width="11.625" customWidth="1"/>
  </cols>
  <sheetData>
    <row r="1" spans="1:5">
      <c r="A1" t="s">
        <v>1</v>
      </c>
      <c r="B1" t="s">
        <v>2</v>
      </c>
      <c r="C1" t="s">
        <v>3</v>
      </c>
      <c r="D1" s="60" t="s">
        <v>4</v>
      </c>
    </row>
    <row r="2" spans="1:5">
      <c r="A2" s="1" t="s">
        <v>5</v>
      </c>
      <c r="B2" s="1" t="s">
        <v>6</v>
      </c>
      <c r="C2" s="1" t="s">
        <v>7</v>
      </c>
      <c r="D2" s="1" t="s">
        <v>8</v>
      </c>
    </row>
    <row r="3" spans="1:5" s="8" customFormat="1">
      <c r="A3" s="7" t="s">
        <v>9</v>
      </c>
    </row>
    <row r="4" spans="1:5">
      <c r="A4" t="s">
        <v>10</v>
      </c>
      <c r="C4">
        <v>2024</v>
      </c>
    </row>
    <row r="5" spans="1:5">
      <c r="A5" t="s">
        <v>11</v>
      </c>
      <c r="C5" s="79">
        <f>Inflation!C22 / 100</f>
        <v>2.453282945060923E-2</v>
      </c>
    </row>
    <row r="6" spans="1:5">
      <c r="A6" t="s">
        <v>12</v>
      </c>
      <c r="C6" s="5">
        <v>7.0000000000000007E-2</v>
      </c>
    </row>
    <row r="7" spans="1:5">
      <c r="A7" t="s">
        <v>13</v>
      </c>
      <c r="C7" s="6">
        <f>1/AVERAGE(USD_EUR!B11:B211)</f>
        <v>0.81870109796004231</v>
      </c>
    </row>
    <row r="8" spans="1:5" s="8" customFormat="1">
      <c r="A8" s="7" t="s">
        <v>14</v>
      </c>
    </row>
    <row r="9" spans="1:5">
      <c r="A9" s="57" t="s">
        <v>15</v>
      </c>
      <c r="B9">
        <v>2024</v>
      </c>
      <c r="C9" cm="1">
        <f t="array" ref="C9">_xlfn.IFS($D$1 = "Low Electricity and CO2", 'Energy_Carbon intensity'!F30, $D$1 = "Reference",'Standard Input Calculations'!E13, $D$1="High Electricity and CO2",'Energy_Carbon intensity'!F34)</f>
        <v>64</v>
      </c>
      <c r="D9" t="s">
        <v>16</v>
      </c>
      <c r="E9" s="48" t="s">
        <v>17</v>
      </c>
    </row>
    <row r="10" spans="1:5">
      <c r="A10" s="57" t="s">
        <v>15</v>
      </c>
      <c r="B10">
        <v>2050</v>
      </c>
      <c r="C10">
        <v>11</v>
      </c>
      <c r="D10" t="s">
        <v>16</v>
      </c>
      <c r="E10" t="s">
        <v>18</v>
      </c>
    </row>
    <row r="11" spans="1:5">
      <c r="A11" s="105" t="s">
        <v>19</v>
      </c>
      <c r="B11" s="105">
        <v>2024</v>
      </c>
      <c r="C11" s="105">
        <v>14.47</v>
      </c>
      <c r="D11" s="105" t="s">
        <v>20</v>
      </c>
      <c r="E11" s="94" t="s">
        <v>21</v>
      </c>
    </row>
    <row r="12" spans="1:5">
      <c r="A12" s="105" t="s">
        <v>19</v>
      </c>
      <c r="B12" s="105">
        <v>2050</v>
      </c>
      <c r="C12" s="105">
        <v>10</v>
      </c>
      <c r="D12" s="105" t="s">
        <v>20</v>
      </c>
      <c r="E12" s="94" t="s">
        <v>21</v>
      </c>
    </row>
    <row r="13" spans="1:5">
      <c r="A13" s="105" t="s">
        <v>19</v>
      </c>
      <c r="B13" s="105">
        <v>2024</v>
      </c>
      <c r="C13" s="106">
        <f>C11*$C$29</f>
        <v>52.092000000000006</v>
      </c>
      <c r="D13" s="107" t="s">
        <v>16</v>
      </c>
      <c r="E13" s="94"/>
    </row>
    <row r="14" spans="1:5">
      <c r="A14" s="105" t="s">
        <v>19</v>
      </c>
      <c r="B14" s="105">
        <v>2050</v>
      </c>
      <c r="C14" s="106">
        <f>C12*$C$29</f>
        <v>36</v>
      </c>
      <c r="D14" s="107" t="s">
        <v>16</v>
      </c>
      <c r="E14" s="94"/>
    </row>
    <row r="15" spans="1:5">
      <c r="A15" s="105" t="s">
        <v>22</v>
      </c>
      <c r="B15" s="105">
        <v>2024</v>
      </c>
      <c r="C15" s="105">
        <v>5.49</v>
      </c>
      <c r="D15" s="105" t="s">
        <v>20</v>
      </c>
      <c r="E15" s="94" t="s">
        <v>21</v>
      </c>
    </row>
    <row r="16" spans="1:5">
      <c r="A16" s="105" t="s">
        <v>22</v>
      </c>
      <c r="B16" s="105">
        <v>2050</v>
      </c>
      <c r="C16" s="105">
        <v>5.8</v>
      </c>
      <c r="D16" s="105" t="s">
        <v>20</v>
      </c>
      <c r="E16" s="94" t="s">
        <v>21</v>
      </c>
    </row>
    <row r="17" spans="1:5">
      <c r="A17" s="105" t="s">
        <v>22</v>
      </c>
      <c r="B17" s="105">
        <v>2024</v>
      </c>
      <c r="C17" s="106">
        <f>C15*C29</f>
        <v>19.764000000000003</v>
      </c>
      <c r="D17" s="107" t="s">
        <v>16</v>
      </c>
      <c r="E17" s="94"/>
    </row>
    <row r="18" spans="1:5">
      <c r="A18" s="105" t="s">
        <v>22</v>
      </c>
      <c r="B18" s="105">
        <v>2050</v>
      </c>
      <c r="C18" s="106">
        <f>C16*C29</f>
        <v>20.88</v>
      </c>
      <c r="D18" s="107" t="s">
        <v>16</v>
      </c>
      <c r="E18" s="94"/>
    </row>
    <row r="19" spans="1:5" s="94" customFormat="1" ht="14.45">
      <c r="A19" s="94" t="s">
        <v>23</v>
      </c>
      <c r="C19" s="95">
        <v>1.7600000000000001E-2</v>
      </c>
      <c r="D19" s="94" t="s">
        <v>24</v>
      </c>
      <c r="E19" s="94" t="s">
        <v>21</v>
      </c>
    </row>
    <row r="20" spans="1:5" s="94" customFormat="1" ht="14.45">
      <c r="A20" s="94" t="s">
        <v>25</v>
      </c>
      <c r="C20" s="96">
        <v>1.5299999999999999E-2</v>
      </c>
      <c r="D20" s="94" t="s">
        <v>24</v>
      </c>
      <c r="E20" s="94" t="s">
        <v>21</v>
      </c>
    </row>
    <row r="21" spans="1:5" s="94" customFormat="1" ht="14.45">
      <c r="A21" s="94" t="s">
        <v>26</v>
      </c>
      <c r="C21" s="96">
        <f>8.43333333333333/1000</f>
        <v>8.4333333333333309E-3</v>
      </c>
      <c r="D21" s="94" t="s">
        <v>24</v>
      </c>
      <c r="E21" s="94" t="s">
        <v>21</v>
      </c>
    </row>
    <row r="22" spans="1:5" s="8" customFormat="1">
      <c r="A22" s="7" t="s">
        <v>27</v>
      </c>
    </row>
    <row r="23" spans="1:5">
      <c r="A23" t="s">
        <v>28</v>
      </c>
      <c r="B23">
        <v>2024</v>
      </c>
      <c r="C23">
        <v>25</v>
      </c>
      <c r="D23" t="s">
        <v>29</v>
      </c>
      <c r="E23" s="48" t="s">
        <v>30</v>
      </c>
    </row>
    <row r="24" spans="1:5">
      <c r="A24" t="s">
        <v>28</v>
      </c>
      <c r="B24">
        <v>2050</v>
      </c>
      <c r="C24">
        <v>15</v>
      </c>
      <c r="D24" t="s">
        <v>29</v>
      </c>
      <c r="E24" s="48" t="s">
        <v>30</v>
      </c>
    </row>
    <row r="25" spans="1:5" s="8" customFormat="1">
      <c r="A25" s="7" t="s">
        <v>31</v>
      </c>
    </row>
    <row r="26" spans="1:5">
      <c r="A26" s="57" t="s">
        <v>32</v>
      </c>
      <c r="B26">
        <v>2024</v>
      </c>
      <c r="C26" s="6">
        <v>15</v>
      </c>
      <c r="D26" t="s">
        <v>29</v>
      </c>
      <c r="E26" s="48" t="s">
        <v>30</v>
      </c>
    </row>
    <row r="27" spans="1:5">
      <c r="A27" s="57" t="s">
        <v>32</v>
      </c>
      <c r="B27">
        <v>2050</v>
      </c>
      <c r="C27">
        <v>10</v>
      </c>
      <c r="D27" t="s">
        <v>29</v>
      </c>
      <c r="E27" s="48" t="s">
        <v>30</v>
      </c>
    </row>
    <row r="29" spans="1:5" s="108" customFormat="1" ht="14.45">
      <c r="A29" s="108" t="s">
        <v>33</v>
      </c>
      <c r="C29" s="109">
        <v>3.6</v>
      </c>
      <c r="E29" s="108" t="s">
        <v>34</v>
      </c>
    </row>
  </sheetData>
  <dataValidations count="2">
    <dataValidation type="list" allowBlank="1" showInputMessage="1" showErrorMessage="1" sqref="D1" xr:uid="{70009DBE-B1D9-41DD-BB36-93A7847883A8}">
      <formula1>"Reference, Low Electricity and CO2, High Electricity and CO2"</formula1>
    </dataValidation>
    <dataValidation type="list" allowBlank="1" showInputMessage="1" showErrorMessage="1" sqref="B1" xr:uid="{12095ECF-9EC1-4D6D-93DF-CF5781AA538B}">
      <formula1>"Low Oil Price, Reference Oil Price, High Oil Price"</formula1>
    </dataValidation>
  </dataValidations>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1155D-2A55-0744-BB3C-78DAEE3CB015}">
  <dimension ref="A1:AN55"/>
  <sheetViews>
    <sheetView topLeftCell="A34" zoomScale="69" workbookViewId="0">
      <selection activeCell="A43" sqref="A43"/>
    </sheetView>
  </sheetViews>
  <sheetFormatPr defaultColWidth="8.625" defaultRowHeight="15.6"/>
  <cols>
    <col min="1" max="1" width="23.125" customWidth="1"/>
    <col min="2" max="2" width="20.125" customWidth="1"/>
    <col min="3" max="3" width="21" customWidth="1"/>
    <col min="35" max="35" width="8.625" style="47"/>
    <col min="36" max="36" width="17.125" style="41" customWidth="1"/>
    <col min="37" max="37" width="13.625" customWidth="1"/>
  </cols>
  <sheetData>
    <row r="1" spans="1:38">
      <c r="A1" s="31" t="s">
        <v>35</v>
      </c>
      <c r="B1" s="31" t="s">
        <v>36</v>
      </c>
      <c r="C1" s="31" t="s">
        <v>37</v>
      </c>
      <c r="D1" s="31">
        <v>2022</v>
      </c>
      <c r="E1" s="31">
        <v>2023</v>
      </c>
      <c r="F1" s="31">
        <v>2024</v>
      </c>
      <c r="G1" s="31">
        <v>2025</v>
      </c>
      <c r="H1" s="31">
        <v>2026</v>
      </c>
      <c r="I1" s="31">
        <v>2027</v>
      </c>
      <c r="J1" s="31">
        <v>2028</v>
      </c>
      <c r="K1" s="31">
        <v>2029</v>
      </c>
      <c r="L1" s="31">
        <v>2030</v>
      </c>
      <c r="M1" s="31">
        <v>2031</v>
      </c>
      <c r="N1" s="31">
        <v>2032</v>
      </c>
      <c r="O1" s="31">
        <v>2033</v>
      </c>
      <c r="P1" s="31">
        <v>2034</v>
      </c>
      <c r="Q1" s="31">
        <v>2035</v>
      </c>
      <c r="R1" s="31">
        <v>2036</v>
      </c>
      <c r="S1" s="31">
        <v>2037</v>
      </c>
      <c r="T1" s="31">
        <v>2038</v>
      </c>
      <c r="U1" s="31">
        <v>2039</v>
      </c>
      <c r="V1" s="31">
        <v>2040</v>
      </c>
      <c r="W1" s="31">
        <v>2041</v>
      </c>
      <c r="X1" s="31">
        <v>2042</v>
      </c>
      <c r="Y1" s="31">
        <v>2043</v>
      </c>
      <c r="Z1" s="31">
        <v>2044</v>
      </c>
      <c r="AA1" s="31">
        <v>2045</v>
      </c>
      <c r="AB1" s="31">
        <v>2046</v>
      </c>
      <c r="AC1" s="31">
        <v>2047</v>
      </c>
      <c r="AD1" s="31">
        <v>2048</v>
      </c>
      <c r="AE1" s="31">
        <v>2049</v>
      </c>
      <c r="AF1" s="31">
        <v>2050</v>
      </c>
      <c r="AG1" s="32" t="s">
        <v>38</v>
      </c>
      <c r="AH1" s="32" t="s">
        <v>39</v>
      </c>
      <c r="AI1" s="32" t="s">
        <v>40</v>
      </c>
      <c r="AJ1" s="33" t="s">
        <v>41</v>
      </c>
      <c r="AK1" s="32" t="s">
        <v>42</v>
      </c>
      <c r="AL1" s="32" t="s">
        <v>38</v>
      </c>
    </row>
    <row r="2" spans="1:38">
      <c r="A2" s="34" t="s">
        <v>43</v>
      </c>
      <c r="B2" s="34" t="s">
        <v>44</v>
      </c>
      <c r="C2" s="34" t="s">
        <v>45</v>
      </c>
      <c r="D2" s="34">
        <v>111</v>
      </c>
      <c r="E2" s="34">
        <v>97</v>
      </c>
      <c r="F2" s="34">
        <v>84</v>
      </c>
      <c r="G2" s="34">
        <v>75</v>
      </c>
      <c r="H2" s="34">
        <v>68</v>
      </c>
      <c r="I2" s="34">
        <v>62</v>
      </c>
      <c r="J2" s="34">
        <v>58</v>
      </c>
      <c r="K2" s="34">
        <v>55</v>
      </c>
      <c r="L2" s="34">
        <v>53</v>
      </c>
      <c r="M2" s="34">
        <v>50</v>
      </c>
      <c r="N2" s="34">
        <v>48</v>
      </c>
      <c r="O2" s="34">
        <v>47</v>
      </c>
      <c r="P2" s="34">
        <v>45</v>
      </c>
      <c r="Q2" s="34">
        <v>44</v>
      </c>
      <c r="R2" s="34">
        <v>43</v>
      </c>
      <c r="S2" s="34">
        <v>43</v>
      </c>
      <c r="T2" s="34">
        <v>42</v>
      </c>
      <c r="U2" s="34">
        <v>41</v>
      </c>
      <c r="V2" s="34">
        <v>41</v>
      </c>
      <c r="W2" s="34">
        <v>41</v>
      </c>
      <c r="X2" s="34">
        <v>40</v>
      </c>
      <c r="Y2" s="34">
        <v>41</v>
      </c>
      <c r="Z2" s="34">
        <v>40</v>
      </c>
      <c r="AA2" s="34">
        <v>40</v>
      </c>
      <c r="AB2" s="34">
        <v>40</v>
      </c>
      <c r="AC2" s="34">
        <v>39</v>
      </c>
      <c r="AD2" s="34">
        <v>40</v>
      </c>
      <c r="AE2" s="34">
        <v>39</v>
      </c>
      <c r="AF2" s="34">
        <v>39</v>
      </c>
      <c r="AG2" s="35" t="s">
        <v>46</v>
      </c>
      <c r="AH2" s="36" t="s">
        <v>47</v>
      </c>
      <c r="AI2" s="37" t="s">
        <v>48</v>
      </c>
      <c r="AJ2" s="38">
        <f>15.3/1000</f>
        <v>1.5300000000000001E-2</v>
      </c>
      <c r="AK2" s="39" t="s">
        <v>49</v>
      </c>
      <c r="AL2" s="39" t="s">
        <v>50</v>
      </c>
    </row>
    <row r="3" spans="1:38">
      <c r="A3" s="40" t="s">
        <v>51</v>
      </c>
      <c r="B3" s="40" t="s">
        <v>52</v>
      </c>
      <c r="C3" s="40" t="s">
        <v>45</v>
      </c>
      <c r="D3" s="40">
        <v>47</v>
      </c>
      <c r="E3" s="40">
        <v>48</v>
      </c>
      <c r="F3" s="40">
        <v>48</v>
      </c>
      <c r="G3" s="40">
        <v>48</v>
      </c>
      <c r="H3" s="40">
        <v>49</v>
      </c>
      <c r="I3" s="40">
        <v>49</v>
      </c>
      <c r="J3" s="40">
        <v>50</v>
      </c>
      <c r="K3" s="40">
        <v>51</v>
      </c>
      <c r="L3" s="40">
        <v>51</v>
      </c>
      <c r="M3" s="40">
        <v>52</v>
      </c>
      <c r="N3" s="40">
        <v>52</v>
      </c>
      <c r="O3" s="40">
        <v>53</v>
      </c>
      <c r="P3" s="40">
        <v>53</v>
      </c>
      <c r="Q3" s="40">
        <v>54</v>
      </c>
      <c r="R3" s="40">
        <v>54</v>
      </c>
      <c r="S3" s="40">
        <v>54</v>
      </c>
      <c r="T3" s="40">
        <v>55</v>
      </c>
      <c r="U3" s="40">
        <v>55</v>
      </c>
      <c r="V3" s="40">
        <v>56</v>
      </c>
      <c r="W3" s="40">
        <v>56</v>
      </c>
      <c r="X3" s="40">
        <v>56</v>
      </c>
      <c r="Y3" s="40">
        <v>56</v>
      </c>
      <c r="Z3" s="40">
        <v>57</v>
      </c>
      <c r="AA3" s="40">
        <v>57</v>
      </c>
      <c r="AB3" s="40">
        <v>57</v>
      </c>
      <c r="AC3" s="40">
        <v>57</v>
      </c>
      <c r="AD3" s="40">
        <v>57</v>
      </c>
      <c r="AE3" s="40">
        <v>57</v>
      </c>
      <c r="AF3" s="40">
        <v>57</v>
      </c>
      <c r="AG3" s="35" t="s">
        <v>46</v>
      </c>
      <c r="AH3" s="36" t="s">
        <v>47</v>
      </c>
      <c r="AI3" s="37" t="s">
        <v>48</v>
      </c>
    </row>
    <row r="4" spans="1:38">
      <c r="A4" s="40" t="s">
        <v>53</v>
      </c>
      <c r="B4" s="40" t="s">
        <v>54</v>
      </c>
      <c r="C4" s="40" t="s">
        <v>45</v>
      </c>
      <c r="D4" s="40">
        <v>151</v>
      </c>
      <c r="E4" s="40">
        <v>141</v>
      </c>
      <c r="F4" s="40">
        <v>132</v>
      </c>
      <c r="G4" s="40">
        <v>121</v>
      </c>
      <c r="H4" s="40">
        <v>112</v>
      </c>
      <c r="I4" s="40">
        <v>102</v>
      </c>
      <c r="J4" s="40">
        <v>92</v>
      </c>
      <c r="K4" s="40">
        <v>82</v>
      </c>
      <c r="L4" s="40">
        <v>72</v>
      </c>
      <c r="M4" s="40">
        <v>73</v>
      </c>
      <c r="N4" s="40">
        <v>74</v>
      </c>
      <c r="O4" s="40">
        <v>74</v>
      </c>
      <c r="P4" s="40">
        <v>75</v>
      </c>
      <c r="Q4" s="40">
        <v>75</v>
      </c>
      <c r="R4" s="40">
        <v>76</v>
      </c>
      <c r="S4" s="40">
        <v>76</v>
      </c>
      <c r="T4" s="40">
        <v>77</v>
      </c>
      <c r="U4" s="40">
        <v>77</v>
      </c>
      <c r="V4" s="40">
        <v>77</v>
      </c>
      <c r="W4" s="40">
        <v>78</v>
      </c>
      <c r="X4" s="40">
        <v>78</v>
      </c>
      <c r="Y4" s="40">
        <v>79</v>
      </c>
      <c r="Z4" s="40">
        <v>79</v>
      </c>
      <c r="AA4" s="40">
        <v>79</v>
      </c>
      <c r="AB4" s="40">
        <v>79</v>
      </c>
      <c r="AC4" s="40">
        <v>79</v>
      </c>
      <c r="AD4" s="40">
        <v>79</v>
      </c>
      <c r="AE4" s="40">
        <v>79</v>
      </c>
      <c r="AF4" s="40">
        <v>79</v>
      </c>
      <c r="AG4" s="35" t="s">
        <v>46</v>
      </c>
      <c r="AH4" s="36" t="s">
        <v>47</v>
      </c>
      <c r="AI4" s="37" t="s">
        <v>48</v>
      </c>
    </row>
    <row r="5" spans="1:38">
      <c r="A5" s="40" t="s">
        <v>55</v>
      </c>
      <c r="B5" s="40" t="s">
        <v>54</v>
      </c>
      <c r="C5" s="40" t="s">
        <v>45</v>
      </c>
      <c r="D5" s="40">
        <v>152</v>
      </c>
      <c r="E5" s="40">
        <v>141</v>
      </c>
      <c r="F5" s="40">
        <v>130</v>
      </c>
      <c r="G5" s="40">
        <v>120</v>
      </c>
      <c r="H5" s="40">
        <v>112</v>
      </c>
      <c r="I5" s="40">
        <v>104</v>
      </c>
      <c r="J5" s="40">
        <v>98</v>
      </c>
      <c r="K5" s="40">
        <v>93</v>
      </c>
      <c r="L5" s="40">
        <v>89</v>
      </c>
      <c r="M5" s="40">
        <v>86</v>
      </c>
      <c r="N5" s="40">
        <v>83</v>
      </c>
      <c r="O5" s="40">
        <v>81</v>
      </c>
      <c r="P5" s="40">
        <v>78</v>
      </c>
      <c r="Q5" s="40">
        <v>76</v>
      </c>
      <c r="R5" s="40">
        <v>74</v>
      </c>
      <c r="S5" s="40">
        <v>72</v>
      </c>
      <c r="T5" s="40">
        <v>71</v>
      </c>
      <c r="U5" s="40">
        <v>70</v>
      </c>
      <c r="V5" s="40">
        <v>69</v>
      </c>
      <c r="W5" s="40">
        <v>68</v>
      </c>
      <c r="X5" s="40">
        <v>68</v>
      </c>
      <c r="Y5" s="40">
        <v>67</v>
      </c>
      <c r="Z5" s="40">
        <v>67</v>
      </c>
      <c r="AA5" s="40">
        <v>66</v>
      </c>
      <c r="AB5" s="40">
        <v>66</v>
      </c>
      <c r="AC5" s="40">
        <v>65</v>
      </c>
      <c r="AD5" s="40">
        <v>65</v>
      </c>
      <c r="AE5" s="40">
        <v>65</v>
      </c>
      <c r="AF5" s="40">
        <v>65</v>
      </c>
      <c r="AG5" s="35" t="s">
        <v>46</v>
      </c>
      <c r="AH5" s="36" t="s">
        <v>47</v>
      </c>
      <c r="AI5" s="37" t="s">
        <v>48</v>
      </c>
    </row>
    <row r="6" spans="1:38">
      <c r="A6" s="40" t="s">
        <v>56</v>
      </c>
      <c r="B6" s="40" t="s">
        <v>54</v>
      </c>
      <c r="C6" s="40" t="s">
        <v>45</v>
      </c>
      <c r="D6" s="40">
        <v>68</v>
      </c>
      <c r="E6" s="40">
        <v>68</v>
      </c>
      <c r="F6" s="40">
        <v>68</v>
      </c>
      <c r="G6" s="40">
        <v>68</v>
      </c>
      <c r="H6" s="40">
        <v>68</v>
      </c>
      <c r="I6" s="40">
        <v>69</v>
      </c>
      <c r="J6" s="40">
        <v>70</v>
      </c>
      <c r="K6" s="40">
        <v>70</v>
      </c>
      <c r="L6" s="40">
        <v>71</v>
      </c>
      <c r="M6" s="40">
        <v>71</v>
      </c>
      <c r="N6" s="40">
        <v>72</v>
      </c>
      <c r="O6" s="40">
        <v>72</v>
      </c>
      <c r="P6" s="40">
        <v>73</v>
      </c>
      <c r="Q6" s="40">
        <v>73</v>
      </c>
      <c r="R6" s="40">
        <v>74</v>
      </c>
      <c r="S6" s="40">
        <v>74</v>
      </c>
      <c r="T6" s="40">
        <v>74</v>
      </c>
      <c r="U6" s="40">
        <v>75</v>
      </c>
      <c r="V6" s="40">
        <v>75</v>
      </c>
      <c r="W6" s="40">
        <v>76</v>
      </c>
      <c r="X6" s="40">
        <v>76</v>
      </c>
      <c r="Y6" s="40">
        <v>76</v>
      </c>
      <c r="Z6" s="40">
        <v>76</v>
      </c>
      <c r="AA6" s="40">
        <v>76</v>
      </c>
      <c r="AB6" s="40">
        <v>76</v>
      </c>
      <c r="AC6" s="40">
        <v>76</v>
      </c>
      <c r="AD6" s="40">
        <v>76</v>
      </c>
      <c r="AE6" s="40">
        <v>76</v>
      </c>
      <c r="AF6" s="40">
        <v>76</v>
      </c>
      <c r="AG6" s="35" t="s">
        <v>46</v>
      </c>
      <c r="AH6" s="36" t="s">
        <v>47</v>
      </c>
      <c r="AI6" s="37" t="s">
        <v>48</v>
      </c>
    </row>
    <row r="7" spans="1:38">
      <c r="A7" s="40" t="s">
        <v>57</v>
      </c>
      <c r="B7" s="40" t="s">
        <v>54</v>
      </c>
      <c r="C7" s="40" t="s">
        <v>45</v>
      </c>
      <c r="D7" s="40">
        <v>259</v>
      </c>
      <c r="E7" s="40">
        <v>246</v>
      </c>
      <c r="F7" s="40">
        <v>231</v>
      </c>
      <c r="G7" s="40">
        <v>212</v>
      </c>
      <c r="H7" s="40">
        <v>194</v>
      </c>
      <c r="I7" s="40">
        <v>175</v>
      </c>
      <c r="J7" s="40">
        <v>154</v>
      </c>
      <c r="K7" s="40">
        <v>133</v>
      </c>
      <c r="L7" s="40">
        <v>112</v>
      </c>
      <c r="M7" s="40">
        <v>113</v>
      </c>
      <c r="N7" s="40">
        <v>114</v>
      </c>
      <c r="O7" s="40">
        <v>115</v>
      </c>
      <c r="P7" s="40">
        <v>115</v>
      </c>
      <c r="Q7" s="40">
        <v>116</v>
      </c>
      <c r="R7" s="40">
        <v>117</v>
      </c>
      <c r="S7" s="40">
        <v>117</v>
      </c>
      <c r="T7" s="40">
        <v>118</v>
      </c>
      <c r="U7" s="40">
        <v>119</v>
      </c>
      <c r="V7" s="40">
        <v>119</v>
      </c>
      <c r="W7" s="40">
        <v>120</v>
      </c>
      <c r="X7" s="40">
        <v>120</v>
      </c>
      <c r="Y7" s="40">
        <v>120</v>
      </c>
      <c r="Z7" s="40">
        <v>120</v>
      </c>
      <c r="AA7" s="40">
        <v>120</v>
      </c>
      <c r="AB7" s="40">
        <v>120</v>
      </c>
      <c r="AC7" s="40">
        <v>120</v>
      </c>
      <c r="AD7" s="40">
        <v>120</v>
      </c>
      <c r="AE7" s="40">
        <v>120</v>
      </c>
      <c r="AF7" s="40">
        <v>120</v>
      </c>
      <c r="AG7" s="35" t="s">
        <v>46</v>
      </c>
      <c r="AH7" s="36" t="s">
        <v>47</v>
      </c>
      <c r="AI7" s="37" t="s">
        <v>48</v>
      </c>
    </row>
    <row r="8" spans="1:38">
      <c r="A8" s="40" t="s">
        <v>58</v>
      </c>
      <c r="B8" s="40" t="s">
        <v>54</v>
      </c>
      <c r="C8" s="40" t="s">
        <v>45</v>
      </c>
      <c r="D8" s="40">
        <v>96</v>
      </c>
      <c r="E8" s="40">
        <v>98</v>
      </c>
      <c r="F8" s="40">
        <v>99</v>
      </c>
      <c r="G8" s="40">
        <v>101</v>
      </c>
      <c r="H8" s="40">
        <v>102</v>
      </c>
      <c r="I8" s="40">
        <v>103</v>
      </c>
      <c r="J8" s="40">
        <v>104</v>
      </c>
      <c r="K8" s="40">
        <v>105</v>
      </c>
      <c r="L8" s="40">
        <v>106</v>
      </c>
      <c r="M8" s="40">
        <v>107</v>
      </c>
      <c r="N8" s="40">
        <v>108</v>
      </c>
      <c r="O8" s="40">
        <v>109</v>
      </c>
      <c r="P8" s="40">
        <v>109</v>
      </c>
      <c r="Q8" s="40">
        <v>110</v>
      </c>
      <c r="R8" s="40">
        <v>111</v>
      </c>
      <c r="S8" s="40">
        <v>112</v>
      </c>
      <c r="T8" s="40">
        <v>112</v>
      </c>
      <c r="U8" s="40">
        <v>113</v>
      </c>
      <c r="V8" s="40">
        <v>114</v>
      </c>
      <c r="W8" s="40">
        <v>114</v>
      </c>
      <c r="X8" s="40">
        <v>114</v>
      </c>
      <c r="Y8" s="40">
        <v>115</v>
      </c>
      <c r="Z8" s="40">
        <v>115</v>
      </c>
      <c r="AA8" s="40">
        <v>115</v>
      </c>
      <c r="AB8" s="40">
        <v>116</v>
      </c>
      <c r="AC8" s="40">
        <v>116</v>
      </c>
      <c r="AD8" s="40">
        <v>116</v>
      </c>
      <c r="AE8" s="40">
        <v>116</v>
      </c>
      <c r="AF8" s="40">
        <v>116</v>
      </c>
      <c r="AG8" s="35" t="s">
        <v>46</v>
      </c>
      <c r="AH8" s="36" t="s">
        <v>47</v>
      </c>
      <c r="AI8" s="37" t="s">
        <v>48</v>
      </c>
    </row>
    <row r="9" spans="1:38">
      <c r="A9" s="40" t="s">
        <v>59</v>
      </c>
      <c r="B9" s="40" t="s">
        <v>54</v>
      </c>
      <c r="C9" s="40" t="s">
        <v>45</v>
      </c>
      <c r="D9" s="40">
        <v>455</v>
      </c>
      <c r="E9" s="40">
        <v>432</v>
      </c>
      <c r="F9" s="40">
        <v>401</v>
      </c>
      <c r="G9" s="40">
        <v>366</v>
      </c>
      <c r="H9" s="40">
        <v>330</v>
      </c>
      <c r="I9" s="40">
        <v>293</v>
      </c>
      <c r="J9" s="40">
        <v>255</v>
      </c>
      <c r="K9" s="40">
        <v>216</v>
      </c>
      <c r="L9" s="40">
        <v>176</v>
      </c>
      <c r="M9" s="40">
        <v>178</v>
      </c>
      <c r="N9" s="40">
        <v>179</v>
      </c>
      <c r="O9" s="40">
        <v>180</v>
      </c>
      <c r="P9" s="40">
        <v>181</v>
      </c>
      <c r="Q9" s="40">
        <v>182</v>
      </c>
      <c r="R9" s="40">
        <v>183</v>
      </c>
      <c r="S9" s="40">
        <v>184</v>
      </c>
      <c r="T9" s="40">
        <v>185</v>
      </c>
      <c r="U9" s="40">
        <v>186</v>
      </c>
      <c r="V9" s="40">
        <v>187</v>
      </c>
      <c r="W9" s="40">
        <v>188</v>
      </c>
      <c r="X9" s="40">
        <v>188</v>
      </c>
      <c r="Y9" s="40">
        <v>189</v>
      </c>
      <c r="Z9" s="40">
        <v>189</v>
      </c>
      <c r="AA9" s="40">
        <v>189</v>
      </c>
      <c r="AB9" s="40">
        <v>189</v>
      </c>
      <c r="AC9" s="40">
        <v>190</v>
      </c>
      <c r="AD9" s="40">
        <v>190</v>
      </c>
      <c r="AE9" s="40">
        <v>190</v>
      </c>
      <c r="AF9" s="40">
        <v>190</v>
      </c>
      <c r="AG9" s="35" t="s">
        <v>46</v>
      </c>
      <c r="AH9" s="36" t="s">
        <v>47</v>
      </c>
      <c r="AI9" s="37" t="s">
        <v>48</v>
      </c>
    </row>
    <row r="10" spans="1:38">
      <c r="A10" s="40" t="s">
        <v>60</v>
      </c>
      <c r="B10" s="40" t="s">
        <v>54</v>
      </c>
      <c r="C10" s="40" t="s">
        <v>45</v>
      </c>
      <c r="D10" s="40">
        <v>235</v>
      </c>
      <c r="E10" s="40">
        <v>224</v>
      </c>
      <c r="F10" s="40">
        <v>213</v>
      </c>
      <c r="G10" s="40">
        <v>202</v>
      </c>
      <c r="H10" s="40">
        <v>192</v>
      </c>
      <c r="I10" s="40">
        <v>184</v>
      </c>
      <c r="J10" s="40">
        <v>176</v>
      </c>
      <c r="K10" s="40">
        <v>170</v>
      </c>
      <c r="L10" s="40">
        <v>166</v>
      </c>
      <c r="M10" s="40">
        <v>161</v>
      </c>
      <c r="N10" s="40">
        <v>158</v>
      </c>
      <c r="O10" s="40">
        <v>154</v>
      </c>
      <c r="P10" s="40">
        <v>150</v>
      </c>
      <c r="Q10" s="40">
        <v>146</v>
      </c>
      <c r="R10" s="40">
        <v>142</v>
      </c>
      <c r="S10" s="40">
        <v>139</v>
      </c>
      <c r="T10" s="40">
        <v>137</v>
      </c>
      <c r="U10" s="40">
        <v>136</v>
      </c>
      <c r="V10" s="40">
        <v>134</v>
      </c>
      <c r="W10" s="40">
        <v>134</v>
      </c>
      <c r="X10" s="40">
        <v>133</v>
      </c>
      <c r="Y10" s="40">
        <v>132</v>
      </c>
      <c r="Z10" s="40">
        <v>131</v>
      </c>
      <c r="AA10" s="40">
        <v>131</v>
      </c>
      <c r="AB10" s="40">
        <v>130</v>
      </c>
      <c r="AC10" s="40">
        <v>130</v>
      </c>
      <c r="AD10" s="40">
        <v>130</v>
      </c>
      <c r="AE10" s="40">
        <v>129</v>
      </c>
      <c r="AF10" s="40">
        <v>129</v>
      </c>
      <c r="AG10" s="35" t="s">
        <v>46</v>
      </c>
      <c r="AH10" s="36" t="s">
        <v>47</v>
      </c>
      <c r="AI10" s="37" t="s">
        <v>48</v>
      </c>
    </row>
    <row r="11" spans="1:38">
      <c r="A11" s="40" t="s">
        <v>61</v>
      </c>
      <c r="B11" s="40" t="s">
        <v>54</v>
      </c>
      <c r="C11" s="40" t="s">
        <v>45</v>
      </c>
      <c r="D11" s="40">
        <v>39</v>
      </c>
      <c r="E11" s="40">
        <v>35</v>
      </c>
      <c r="F11" s="40">
        <v>33</v>
      </c>
      <c r="G11" s="40">
        <v>29</v>
      </c>
      <c r="H11" s="40">
        <v>28</v>
      </c>
      <c r="I11" s="40">
        <v>27</v>
      </c>
      <c r="J11" s="40">
        <v>27</v>
      </c>
      <c r="K11" s="40">
        <v>25</v>
      </c>
      <c r="L11" s="40">
        <v>23</v>
      </c>
      <c r="M11" s="40">
        <v>21</v>
      </c>
      <c r="N11" s="40">
        <v>19</v>
      </c>
      <c r="O11" s="40">
        <v>19</v>
      </c>
      <c r="P11" s="40">
        <v>18</v>
      </c>
      <c r="Q11" s="40">
        <v>18</v>
      </c>
      <c r="R11" s="40">
        <v>17</v>
      </c>
      <c r="S11" s="40">
        <v>17</v>
      </c>
      <c r="T11" s="40">
        <v>16</v>
      </c>
      <c r="U11" s="40">
        <v>16</v>
      </c>
      <c r="V11" s="40">
        <v>16</v>
      </c>
      <c r="W11" s="40">
        <v>15</v>
      </c>
      <c r="X11" s="40">
        <v>15</v>
      </c>
      <c r="Y11" s="40">
        <v>15</v>
      </c>
      <c r="Z11" s="40">
        <v>14</v>
      </c>
      <c r="AA11" s="40">
        <v>14</v>
      </c>
      <c r="AB11" s="40">
        <v>14</v>
      </c>
      <c r="AC11" s="40">
        <v>14</v>
      </c>
      <c r="AD11" s="40">
        <v>13</v>
      </c>
      <c r="AE11" s="40">
        <v>13</v>
      </c>
      <c r="AF11" s="40">
        <v>13</v>
      </c>
      <c r="AG11" s="35" t="s">
        <v>46</v>
      </c>
      <c r="AH11" s="36" t="s">
        <v>47</v>
      </c>
      <c r="AI11" s="37" t="s">
        <v>48</v>
      </c>
    </row>
    <row r="12" spans="1:38">
      <c r="A12" s="40" t="s">
        <v>62</v>
      </c>
      <c r="B12" s="40" t="s">
        <v>54</v>
      </c>
      <c r="C12" s="40" t="s">
        <v>45</v>
      </c>
      <c r="D12" s="40">
        <v>58</v>
      </c>
      <c r="E12" s="40">
        <v>51</v>
      </c>
      <c r="F12" s="40">
        <v>47</v>
      </c>
      <c r="G12" s="40">
        <v>42</v>
      </c>
      <c r="H12" s="40">
        <v>40</v>
      </c>
      <c r="I12" s="40">
        <v>37</v>
      </c>
      <c r="J12" s="40">
        <v>36</v>
      </c>
      <c r="K12" s="40">
        <v>33</v>
      </c>
      <c r="L12" s="40">
        <v>31</v>
      </c>
      <c r="M12" s="40">
        <v>29</v>
      </c>
      <c r="N12" s="40">
        <v>27</v>
      </c>
      <c r="O12" s="40">
        <v>26</v>
      </c>
      <c r="P12" s="40">
        <v>26</v>
      </c>
      <c r="Q12" s="40">
        <v>25</v>
      </c>
      <c r="R12" s="40">
        <v>25</v>
      </c>
      <c r="S12" s="40">
        <v>24</v>
      </c>
      <c r="T12" s="40">
        <v>24</v>
      </c>
      <c r="U12" s="40">
        <v>23</v>
      </c>
      <c r="V12" s="40">
        <v>23</v>
      </c>
      <c r="W12" s="40">
        <v>22</v>
      </c>
      <c r="X12" s="40">
        <v>22</v>
      </c>
      <c r="Y12" s="40">
        <v>22</v>
      </c>
      <c r="Z12" s="40">
        <v>22</v>
      </c>
      <c r="AA12" s="40">
        <v>21</v>
      </c>
      <c r="AB12" s="40">
        <v>21</v>
      </c>
      <c r="AC12" s="40">
        <v>21</v>
      </c>
      <c r="AD12" s="40">
        <v>21</v>
      </c>
      <c r="AE12" s="40">
        <v>20</v>
      </c>
      <c r="AF12" s="40">
        <v>20</v>
      </c>
      <c r="AG12" s="35" t="s">
        <v>46</v>
      </c>
      <c r="AH12" s="36" t="s">
        <v>47</v>
      </c>
      <c r="AI12" s="37" t="s">
        <v>48</v>
      </c>
    </row>
    <row r="13" spans="1:38">
      <c r="A13" s="40" t="s">
        <v>63</v>
      </c>
      <c r="B13" s="40" t="s">
        <v>54</v>
      </c>
      <c r="C13" s="40" t="s">
        <v>45</v>
      </c>
      <c r="D13" s="40">
        <v>34</v>
      </c>
      <c r="E13" s="40">
        <v>31</v>
      </c>
      <c r="F13" s="40">
        <v>28</v>
      </c>
      <c r="G13" s="40">
        <v>25</v>
      </c>
      <c r="H13" s="40">
        <v>25</v>
      </c>
      <c r="I13" s="40">
        <v>24</v>
      </c>
      <c r="J13" s="40">
        <v>23</v>
      </c>
      <c r="K13" s="40">
        <v>21</v>
      </c>
      <c r="L13" s="40">
        <v>20</v>
      </c>
      <c r="M13" s="40">
        <v>18</v>
      </c>
      <c r="N13" s="40">
        <v>17</v>
      </c>
      <c r="O13" s="40">
        <v>16</v>
      </c>
      <c r="P13" s="40">
        <v>16</v>
      </c>
      <c r="Q13" s="40">
        <v>15</v>
      </c>
      <c r="R13" s="40">
        <v>15</v>
      </c>
      <c r="S13" s="40">
        <v>15</v>
      </c>
      <c r="T13" s="40">
        <v>14</v>
      </c>
      <c r="U13" s="40">
        <v>14</v>
      </c>
      <c r="V13" s="40">
        <v>13</v>
      </c>
      <c r="W13" s="40">
        <v>13</v>
      </c>
      <c r="X13" s="40">
        <v>13</v>
      </c>
      <c r="Y13" s="40">
        <v>13</v>
      </c>
      <c r="Z13" s="40">
        <v>12</v>
      </c>
      <c r="AA13" s="40">
        <v>12</v>
      </c>
      <c r="AB13" s="40">
        <v>12</v>
      </c>
      <c r="AC13" s="40">
        <v>12</v>
      </c>
      <c r="AD13" s="40">
        <v>12</v>
      </c>
      <c r="AE13" s="40">
        <v>11</v>
      </c>
      <c r="AF13" s="40">
        <v>11</v>
      </c>
      <c r="AG13" s="35" t="s">
        <v>46</v>
      </c>
      <c r="AH13" s="36" t="s">
        <v>47</v>
      </c>
      <c r="AI13" s="37" t="s">
        <v>48</v>
      </c>
    </row>
    <row r="14" spans="1:38">
      <c r="A14" s="34" t="s">
        <v>43</v>
      </c>
      <c r="B14" s="34" t="s">
        <v>54</v>
      </c>
      <c r="C14" s="34" t="s">
        <v>45</v>
      </c>
      <c r="D14" s="42">
        <v>38.620689655172413</v>
      </c>
      <c r="E14" s="34">
        <v>44</v>
      </c>
      <c r="F14" s="34">
        <v>40</v>
      </c>
      <c r="G14" s="34">
        <v>35</v>
      </c>
      <c r="H14" s="34">
        <v>34</v>
      </c>
      <c r="I14" s="34">
        <v>32</v>
      </c>
      <c r="J14" s="34">
        <v>30</v>
      </c>
      <c r="K14" s="34">
        <v>28</v>
      </c>
      <c r="L14" s="34">
        <v>26</v>
      </c>
      <c r="M14" s="34">
        <v>25</v>
      </c>
      <c r="N14" s="34">
        <v>23</v>
      </c>
      <c r="O14" s="34">
        <v>22</v>
      </c>
      <c r="P14" s="34">
        <v>22</v>
      </c>
      <c r="Q14" s="34">
        <v>21</v>
      </c>
      <c r="R14" s="34">
        <v>21</v>
      </c>
      <c r="S14" s="34">
        <v>20</v>
      </c>
      <c r="T14" s="34">
        <v>20</v>
      </c>
      <c r="U14" s="34">
        <v>20</v>
      </c>
      <c r="V14" s="34">
        <v>19</v>
      </c>
      <c r="W14" s="34">
        <v>19</v>
      </c>
      <c r="X14" s="34">
        <v>19</v>
      </c>
      <c r="Y14" s="34">
        <v>18</v>
      </c>
      <c r="Z14" s="34">
        <v>18</v>
      </c>
      <c r="AA14" s="34">
        <v>18</v>
      </c>
      <c r="AB14" s="34">
        <v>18</v>
      </c>
      <c r="AC14" s="34">
        <v>18</v>
      </c>
      <c r="AD14" s="34">
        <v>17</v>
      </c>
      <c r="AE14" s="34">
        <v>17</v>
      </c>
      <c r="AF14" s="34">
        <v>17</v>
      </c>
      <c r="AG14" s="35" t="s">
        <v>46</v>
      </c>
      <c r="AH14" s="36" t="s">
        <v>47</v>
      </c>
      <c r="AI14" s="37" t="s">
        <v>48</v>
      </c>
      <c r="AJ14" s="38">
        <f>15.3/1000</f>
        <v>1.5300000000000001E-2</v>
      </c>
      <c r="AK14" s="39" t="s">
        <v>49</v>
      </c>
      <c r="AL14" s="39" t="s">
        <v>50</v>
      </c>
    </row>
    <row r="15" spans="1:38">
      <c r="A15" s="40" t="s">
        <v>64</v>
      </c>
      <c r="B15" s="40" t="s">
        <v>54</v>
      </c>
      <c r="C15" s="40" t="s">
        <v>45</v>
      </c>
      <c r="D15" s="40">
        <v>160</v>
      </c>
      <c r="E15" s="40">
        <v>136</v>
      </c>
      <c r="F15" s="40">
        <v>119</v>
      </c>
      <c r="G15" s="40">
        <v>106</v>
      </c>
      <c r="H15" s="40">
        <v>96</v>
      </c>
      <c r="I15" s="40">
        <v>88</v>
      </c>
      <c r="J15" s="40">
        <v>81</v>
      </c>
      <c r="K15" s="40">
        <v>78</v>
      </c>
      <c r="L15" s="40">
        <v>75</v>
      </c>
      <c r="M15" s="40">
        <v>71</v>
      </c>
      <c r="N15" s="40">
        <v>67</v>
      </c>
      <c r="O15" s="40">
        <v>65</v>
      </c>
      <c r="P15" s="40">
        <v>63</v>
      </c>
      <c r="Q15" s="40">
        <v>59</v>
      </c>
      <c r="R15" s="40">
        <v>58</v>
      </c>
      <c r="S15" s="40">
        <v>57</v>
      </c>
      <c r="T15" s="40">
        <v>56</v>
      </c>
      <c r="U15" s="40">
        <v>55</v>
      </c>
      <c r="V15" s="40">
        <v>54</v>
      </c>
      <c r="W15" s="40">
        <v>54</v>
      </c>
      <c r="X15" s="40">
        <v>54</v>
      </c>
      <c r="Y15" s="40">
        <v>54</v>
      </c>
      <c r="Z15" s="40">
        <v>54</v>
      </c>
      <c r="AA15" s="40">
        <v>54</v>
      </c>
      <c r="AB15" s="40">
        <v>54</v>
      </c>
      <c r="AC15" s="40">
        <v>54</v>
      </c>
      <c r="AD15" s="40">
        <v>54</v>
      </c>
      <c r="AE15" s="40">
        <v>54</v>
      </c>
      <c r="AF15" s="40">
        <v>54</v>
      </c>
      <c r="AG15" s="35" t="s">
        <v>46</v>
      </c>
      <c r="AH15" s="36" t="s">
        <v>47</v>
      </c>
      <c r="AI15" s="37" t="s">
        <v>48</v>
      </c>
    </row>
    <row r="16" spans="1:38">
      <c r="A16" s="40" t="s">
        <v>65</v>
      </c>
      <c r="B16" s="40" t="s">
        <v>54</v>
      </c>
      <c r="C16" s="40" t="s">
        <v>45</v>
      </c>
      <c r="D16" s="40">
        <v>123</v>
      </c>
      <c r="E16" s="40">
        <v>99</v>
      </c>
      <c r="F16" s="40">
        <v>83</v>
      </c>
      <c r="G16" s="40">
        <v>72</v>
      </c>
      <c r="H16" s="40">
        <v>63</v>
      </c>
      <c r="I16" s="40">
        <v>56</v>
      </c>
      <c r="J16" s="40">
        <v>50</v>
      </c>
      <c r="K16" s="40">
        <v>47</v>
      </c>
      <c r="L16" s="40">
        <v>45</v>
      </c>
      <c r="M16" s="40">
        <v>43</v>
      </c>
      <c r="N16" s="40">
        <v>41</v>
      </c>
      <c r="O16" s="40">
        <v>39</v>
      </c>
      <c r="P16" s="40">
        <v>38</v>
      </c>
      <c r="Q16" s="40">
        <v>36</v>
      </c>
      <c r="R16" s="40">
        <v>36</v>
      </c>
      <c r="S16" s="40">
        <v>35</v>
      </c>
      <c r="T16" s="40">
        <v>35</v>
      </c>
      <c r="U16" s="40">
        <v>34</v>
      </c>
      <c r="V16" s="40">
        <v>34</v>
      </c>
      <c r="W16" s="40">
        <v>34</v>
      </c>
      <c r="X16" s="40">
        <v>34</v>
      </c>
      <c r="Y16" s="40">
        <v>34</v>
      </c>
      <c r="Z16" s="40">
        <v>34</v>
      </c>
      <c r="AA16" s="40">
        <v>34</v>
      </c>
      <c r="AB16" s="40">
        <v>34</v>
      </c>
      <c r="AC16" s="40">
        <v>34</v>
      </c>
      <c r="AD16" s="40">
        <v>34</v>
      </c>
      <c r="AE16" s="40">
        <v>34</v>
      </c>
      <c r="AF16" s="40">
        <v>34</v>
      </c>
      <c r="AG16" s="35" t="s">
        <v>46</v>
      </c>
      <c r="AH16" s="36" t="s">
        <v>47</v>
      </c>
      <c r="AI16" s="37" t="s">
        <v>48</v>
      </c>
    </row>
    <row r="17" spans="1:38">
      <c r="A17" s="40" t="s">
        <v>66</v>
      </c>
      <c r="B17" s="40" t="s">
        <v>54</v>
      </c>
      <c r="C17" s="40" t="s">
        <v>45</v>
      </c>
      <c r="D17" s="40">
        <v>116</v>
      </c>
      <c r="E17" s="40">
        <v>107</v>
      </c>
      <c r="F17" s="40">
        <v>102</v>
      </c>
      <c r="G17" s="40">
        <v>97</v>
      </c>
      <c r="H17" s="40">
        <v>94</v>
      </c>
      <c r="I17" s="40">
        <v>91</v>
      </c>
      <c r="J17" s="40">
        <v>88</v>
      </c>
      <c r="K17" s="40">
        <v>86</v>
      </c>
      <c r="L17" s="40">
        <v>54</v>
      </c>
      <c r="M17" s="40">
        <v>53</v>
      </c>
      <c r="N17" s="40">
        <v>52</v>
      </c>
      <c r="O17" s="40">
        <v>51</v>
      </c>
      <c r="P17" s="40">
        <v>50</v>
      </c>
      <c r="Q17" s="40">
        <v>49</v>
      </c>
      <c r="R17" s="40">
        <v>48</v>
      </c>
      <c r="S17" s="40">
        <v>47</v>
      </c>
      <c r="T17" s="40">
        <v>46</v>
      </c>
      <c r="U17" s="40">
        <v>45</v>
      </c>
      <c r="V17" s="40">
        <v>44</v>
      </c>
      <c r="W17" s="40">
        <v>44</v>
      </c>
      <c r="X17" s="40">
        <v>43</v>
      </c>
      <c r="Y17" s="40">
        <v>43</v>
      </c>
      <c r="Z17" s="40">
        <v>42</v>
      </c>
      <c r="AA17" s="40">
        <v>42</v>
      </c>
      <c r="AB17" s="40">
        <v>41</v>
      </c>
      <c r="AC17" s="40">
        <v>40</v>
      </c>
      <c r="AD17" s="40">
        <v>40</v>
      </c>
      <c r="AE17" s="40">
        <v>40</v>
      </c>
      <c r="AF17" s="40">
        <v>40</v>
      </c>
      <c r="AG17" s="35" t="s">
        <v>46</v>
      </c>
      <c r="AH17" s="36" t="s">
        <v>47</v>
      </c>
      <c r="AI17" s="37" t="s">
        <v>48</v>
      </c>
    </row>
    <row r="18" spans="1:38">
      <c r="A18" s="40" t="s">
        <v>67</v>
      </c>
      <c r="B18" s="40" t="s">
        <v>54</v>
      </c>
      <c r="C18" s="40" t="s">
        <v>45</v>
      </c>
      <c r="D18" s="40">
        <v>33</v>
      </c>
      <c r="E18" s="40">
        <v>31</v>
      </c>
      <c r="F18" s="40">
        <v>29</v>
      </c>
      <c r="G18" s="40">
        <v>28</v>
      </c>
      <c r="H18" s="40">
        <v>27</v>
      </c>
      <c r="I18" s="40">
        <v>26</v>
      </c>
      <c r="J18" s="40">
        <v>25</v>
      </c>
      <c r="K18" s="40">
        <v>25</v>
      </c>
      <c r="L18" s="40">
        <v>24</v>
      </c>
      <c r="M18" s="40">
        <v>24</v>
      </c>
      <c r="N18" s="40">
        <v>23</v>
      </c>
      <c r="O18" s="40">
        <v>23</v>
      </c>
      <c r="P18" s="40">
        <v>22</v>
      </c>
      <c r="Q18" s="40">
        <v>22</v>
      </c>
      <c r="R18" s="40">
        <v>22</v>
      </c>
      <c r="S18" s="40">
        <v>21</v>
      </c>
      <c r="T18" s="40">
        <v>21</v>
      </c>
      <c r="U18" s="40">
        <v>21</v>
      </c>
      <c r="V18" s="40">
        <v>21</v>
      </c>
      <c r="W18" s="40">
        <v>20</v>
      </c>
      <c r="X18" s="40">
        <v>20</v>
      </c>
      <c r="Y18" s="40">
        <v>20</v>
      </c>
      <c r="Z18" s="40">
        <v>20</v>
      </c>
      <c r="AA18" s="40">
        <v>20</v>
      </c>
      <c r="AB18" s="40">
        <v>19</v>
      </c>
      <c r="AC18" s="40">
        <v>19</v>
      </c>
      <c r="AD18" s="40">
        <v>19</v>
      </c>
      <c r="AE18" s="40">
        <v>19</v>
      </c>
      <c r="AF18" s="40">
        <v>19</v>
      </c>
      <c r="AG18" s="35" t="s">
        <v>46</v>
      </c>
      <c r="AH18" s="36" t="s">
        <v>47</v>
      </c>
      <c r="AI18" s="37" t="s">
        <v>48</v>
      </c>
    </row>
    <row r="19" spans="1:38">
      <c r="A19" s="40" t="s">
        <v>68</v>
      </c>
      <c r="B19" s="40" t="s">
        <v>54</v>
      </c>
      <c r="C19" s="40" t="s">
        <v>45</v>
      </c>
      <c r="D19" s="40">
        <v>49</v>
      </c>
      <c r="E19" s="40">
        <v>45</v>
      </c>
      <c r="F19" s="40">
        <v>42</v>
      </c>
      <c r="G19" s="40">
        <v>39</v>
      </c>
      <c r="H19" s="40">
        <v>37</v>
      </c>
      <c r="I19" s="40">
        <v>36</v>
      </c>
      <c r="J19" s="40">
        <v>35</v>
      </c>
      <c r="K19" s="40">
        <v>34</v>
      </c>
      <c r="L19" s="40">
        <v>33</v>
      </c>
      <c r="M19" s="40">
        <v>32</v>
      </c>
      <c r="N19" s="40">
        <v>31</v>
      </c>
      <c r="O19" s="40">
        <v>31</v>
      </c>
      <c r="P19" s="40">
        <v>30</v>
      </c>
      <c r="Q19" s="40">
        <v>30</v>
      </c>
      <c r="R19" s="40">
        <v>29</v>
      </c>
      <c r="S19" s="40">
        <v>29</v>
      </c>
      <c r="T19" s="40">
        <v>29</v>
      </c>
      <c r="U19" s="40">
        <v>28</v>
      </c>
      <c r="V19" s="40">
        <v>28</v>
      </c>
      <c r="W19" s="40">
        <v>28</v>
      </c>
      <c r="X19" s="40">
        <v>27</v>
      </c>
      <c r="Y19" s="40">
        <v>27</v>
      </c>
      <c r="Z19" s="40">
        <v>27</v>
      </c>
      <c r="AA19" s="40">
        <v>27</v>
      </c>
      <c r="AB19" s="40">
        <v>26</v>
      </c>
      <c r="AC19" s="40">
        <v>26</v>
      </c>
      <c r="AD19" s="40">
        <v>26</v>
      </c>
      <c r="AE19" s="40">
        <v>26</v>
      </c>
      <c r="AF19" s="40">
        <v>26</v>
      </c>
      <c r="AG19" s="35" t="s">
        <v>46</v>
      </c>
      <c r="AH19" s="36" t="s">
        <v>47</v>
      </c>
      <c r="AI19" s="37" t="s">
        <v>48</v>
      </c>
      <c r="AJ19" s="38">
        <f>5.9/1000</f>
        <v>5.9000000000000007E-3</v>
      </c>
      <c r="AK19" s="39" t="s">
        <v>49</v>
      </c>
      <c r="AL19" s="39" t="s">
        <v>50</v>
      </c>
    </row>
    <row r="20" spans="1:38">
      <c r="A20" s="40" t="s">
        <v>51</v>
      </c>
      <c r="B20" s="40" t="s">
        <v>69</v>
      </c>
      <c r="C20" s="40" t="s">
        <v>45</v>
      </c>
      <c r="D20" s="40">
        <v>93</v>
      </c>
      <c r="E20" s="40">
        <v>91</v>
      </c>
      <c r="F20" s="40">
        <v>91</v>
      </c>
      <c r="G20" s="40">
        <v>90</v>
      </c>
      <c r="H20" s="40">
        <v>90</v>
      </c>
      <c r="I20" s="40">
        <v>91</v>
      </c>
      <c r="J20" s="40">
        <v>91</v>
      </c>
      <c r="K20" s="40">
        <v>92</v>
      </c>
      <c r="L20" s="40">
        <v>92</v>
      </c>
      <c r="M20" s="40">
        <v>93</v>
      </c>
      <c r="N20" s="40">
        <v>93</v>
      </c>
      <c r="O20" s="40">
        <v>94</v>
      </c>
      <c r="P20" s="40">
        <v>94</v>
      </c>
      <c r="Q20" s="40">
        <v>94</v>
      </c>
      <c r="R20" s="40">
        <v>95</v>
      </c>
      <c r="S20" s="40">
        <v>95</v>
      </c>
      <c r="T20" s="40">
        <v>95</v>
      </c>
      <c r="U20" s="40">
        <v>96</v>
      </c>
      <c r="V20" s="40">
        <v>96</v>
      </c>
      <c r="W20" s="40">
        <v>96</v>
      </c>
      <c r="X20" s="40">
        <v>96</v>
      </c>
      <c r="Y20" s="40">
        <v>97</v>
      </c>
      <c r="Z20" s="40">
        <v>97</v>
      </c>
      <c r="AA20" s="40">
        <v>97</v>
      </c>
      <c r="AB20" s="40">
        <v>97</v>
      </c>
      <c r="AC20" s="40">
        <v>97</v>
      </c>
      <c r="AD20" s="40">
        <v>97</v>
      </c>
      <c r="AE20" s="40">
        <v>97</v>
      </c>
      <c r="AF20" s="40">
        <v>97</v>
      </c>
      <c r="AG20" s="35" t="s">
        <v>46</v>
      </c>
      <c r="AH20" s="36" t="s">
        <v>47</v>
      </c>
      <c r="AI20" s="37" t="s">
        <v>48</v>
      </c>
    </row>
    <row r="21" spans="1:38">
      <c r="A21" s="40" t="s">
        <v>53</v>
      </c>
      <c r="B21" s="40" t="s">
        <v>69</v>
      </c>
      <c r="C21" s="40" t="s">
        <v>45</v>
      </c>
      <c r="D21" s="40">
        <v>479</v>
      </c>
      <c r="E21" s="40">
        <v>435</v>
      </c>
      <c r="F21" s="40">
        <v>395</v>
      </c>
      <c r="G21" s="40">
        <v>351</v>
      </c>
      <c r="H21" s="40">
        <v>312</v>
      </c>
      <c r="I21" s="40">
        <v>274</v>
      </c>
      <c r="J21" s="40">
        <v>235</v>
      </c>
      <c r="K21" s="40">
        <v>196</v>
      </c>
      <c r="L21" s="40">
        <v>158</v>
      </c>
      <c r="M21" s="40">
        <v>158</v>
      </c>
      <c r="N21" s="40">
        <v>159</v>
      </c>
      <c r="O21" s="40">
        <v>159</v>
      </c>
      <c r="P21" s="40">
        <v>160</v>
      </c>
      <c r="Q21" s="40">
        <v>160</v>
      </c>
      <c r="R21" s="40">
        <v>161</v>
      </c>
      <c r="S21" s="40">
        <v>161</v>
      </c>
      <c r="T21" s="40">
        <v>161</v>
      </c>
      <c r="U21" s="40">
        <v>162</v>
      </c>
      <c r="V21" s="40">
        <v>162</v>
      </c>
      <c r="W21" s="40">
        <v>162</v>
      </c>
      <c r="X21" s="40">
        <v>162</v>
      </c>
      <c r="Y21" s="40">
        <v>163</v>
      </c>
      <c r="Z21" s="40">
        <v>163</v>
      </c>
      <c r="AA21" s="40">
        <v>163</v>
      </c>
      <c r="AB21" s="40">
        <v>163</v>
      </c>
      <c r="AC21" s="40">
        <v>163</v>
      </c>
      <c r="AD21" s="40">
        <v>163</v>
      </c>
      <c r="AE21" s="40">
        <v>163</v>
      </c>
      <c r="AF21" s="40">
        <v>163</v>
      </c>
      <c r="AG21" s="35" t="s">
        <v>46</v>
      </c>
      <c r="AH21" s="36" t="s">
        <v>47</v>
      </c>
      <c r="AI21" s="37" t="s">
        <v>48</v>
      </c>
    </row>
    <row r="22" spans="1:38">
      <c r="A22" s="40" t="s">
        <v>55</v>
      </c>
      <c r="B22" s="40" t="s">
        <v>69</v>
      </c>
      <c r="C22" s="40" t="s">
        <v>45</v>
      </c>
      <c r="D22" s="40">
        <v>214</v>
      </c>
      <c r="E22" s="40">
        <v>195</v>
      </c>
      <c r="F22" s="40">
        <v>181</v>
      </c>
      <c r="G22" s="40">
        <v>168</v>
      </c>
      <c r="H22" s="40">
        <v>160</v>
      </c>
      <c r="I22" s="40">
        <v>153</v>
      </c>
      <c r="J22" s="40">
        <v>147</v>
      </c>
      <c r="K22" s="40">
        <v>143</v>
      </c>
      <c r="L22" s="40">
        <v>139</v>
      </c>
      <c r="M22" s="40">
        <v>136</v>
      </c>
      <c r="N22" s="40">
        <v>133</v>
      </c>
      <c r="O22" s="40">
        <v>129</v>
      </c>
      <c r="P22" s="40">
        <v>126</v>
      </c>
      <c r="Q22" s="40">
        <v>122</v>
      </c>
      <c r="R22" s="40">
        <v>119</v>
      </c>
      <c r="S22" s="40">
        <v>117</v>
      </c>
      <c r="T22" s="40">
        <v>115</v>
      </c>
      <c r="U22" s="40">
        <v>113</v>
      </c>
      <c r="V22" s="40">
        <v>112</v>
      </c>
      <c r="W22" s="40">
        <v>111</v>
      </c>
      <c r="X22" s="40">
        <v>111</v>
      </c>
      <c r="Y22" s="40">
        <v>110</v>
      </c>
      <c r="Z22" s="40">
        <v>110</v>
      </c>
      <c r="AA22" s="40">
        <v>109</v>
      </c>
      <c r="AB22" s="40">
        <v>109</v>
      </c>
      <c r="AC22" s="40">
        <v>108</v>
      </c>
      <c r="AD22" s="40">
        <v>108</v>
      </c>
      <c r="AE22" s="40">
        <v>108</v>
      </c>
      <c r="AF22" s="40">
        <v>108</v>
      </c>
      <c r="AG22" s="35" t="s">
        <v>46</v>
      </c>
      <c r="AH22" s="36" t="s">
        <v>47</v>
      </c>
      <c r="AI22" s="37" t="s">
        <v>48</v>
      </c>
    </row>
    <row r="23" spans="1:38">
      <c r="A23" s="40" t="s">
        <v>56</v>
      </c>
      <c r="B23" s="40" t="s">
        <v>69</v>
      </c>
      <c r="C23" s="40" t="s">
        <v>45</v>
      </c>
      <c r="D23" s="40">
        <v>158</v>
      </c>
      <c r="E23" s="40">
        <v>161</v>
      </c>
      <c r="F23" s="40">
        <v>164</v>
      </c>
      <c r="G23" s="40">
        <v>164</v>
      </c>
      <c r="H23" s="40">
        <v>167</v>
      </c>
      <c r="I23" s="40">
        <v>170</v>
      </c>
      <c r="J23" s="40">
        <v>172</v>
      </c>
      <c r="K23" s="40">
        <v>174</v>
      </c>
      <c r="L23" s="40">
        <v>176</v>
      </c>
      <c r="M23" s="40">
        <v>178</v>
      </c>
      <c r="N23" s="40">
        <v>180</v>
      </c>
      <c r="O23" s="40">
        <v>182</v>
      </c>
      <c r="P23" s="40">
        <v>183</v>
      </c>
      <c r="Q23" s="40">
        <v>185</v>
      </c>
      <c r="R23" s="40">
        <v>186</v>
      </c>
      <c r="S23" s="40">
        <v>188</v>
      </c>
      <c r="T23" s="40">
        <v>189</v>
      </c>
      <c r="U23" s="40">
        <v>190</v>
      </c>
      <c r="V23" s="40">
        <v>191</v>
      </c>
      <c r="W23" s="40">
        <v>192</v>
      </c>
      <c r="X23" s="40">
        <v>192</v>
      </c>
      <c r="Y23" s="40">
        <v>192</v>
      </c>
      <c r="Z23" s="40">
        <v>192</v>
      </c>
      <c r="AA23" s="40">
        <v>192</v>
      </c>
      <c r="AB23" s="40">
        <v>192</v>
      </c>
      <c r="AC23" s="40">
        <v>192</v>
      </c>
      <c r="AD23" s="40">
        <v>192</v>
      </c>
      <c r="AE23" s="40">
        <v>192</v>
      </c>
      <c r="AF23" s="40">
        <v>192</v>
      </c>
      <c r="AG23" s="35" t="s">
        <v>46</v>
      </c>
      <c r="AH23" s="36" t="s">
        <v>47</v>
      </c>
      <c r="AI23" s="37" t="s">
        <v>48</v>
      </c>
    </row>
    <row r="24" spans="1:38">
      <c r="A24" s="40" t="s">
        <v>57</v>
      </c>
      <c r="B24" s="40" t="s">
        <v>69</v>
      </c>
      <c r="C24" s="40" t="s">
        <v>45</v>
      </c>
      <c r="D24" s="40">
        <v>730</v>
      </c>
      <c r="E24" s="40">
        <v>699</v>
      </c>
      <c r="F24" s="40">
        <v>659</v>
      </c>
      <c r="G24" s="40">
        <v>600</v>
      </c>
      <c r="H24" s="40">
        <v>546</v>
      </c>
      <c r="I24" s="40">
        <v>488</v>
      </c>
      <c r="J24" s="40">
        <v>426</v>
      </c>
      <c r="K24" s="40">
        <v>361</v>
      </c>
      <c r="L24" s="40">
        <v>293</v>
      </c>
      <c r="M24" s="40">
        <v>297</v>
      </c>
      <c r="N24" s="40">
        <v>300</v>
      </c>
      <c r="O24" s="40">
        <v>303</v>
      </c>
      <c r="P24" s="40">
        <v>305</v>
      </c>
      <c r="Q24" s="40">
        <v>308</v>
      </c>
      <c r="R24" s="40">
        <v>310</v>
      </c>
      <c r="S24" s="40">
        <v>313</v>
      </c>
      <c r="T24" s="40">
        <v>315</v>
      </c>
      <c r="U24" s="40">
        <v>317</v>
      </c>
      <c r="V24" s="40">
        <v>319</v>
      </c>
      <c r="W24" s="40">
        <v>321</v>
      </c>
      <c r="X24" s="40">
        <v>321</v>
      </c>
      <c r="Y24" s="40">
        <v>321</v>
      </c>
      <c r="Z24" s="40">
        <v>321</v>
      </c>
      <c r="AA24" s="40">
        <v>321</v>
      </c>
      <c r="AB24" s="40">
        <v>321</v>
      </c>
      <c r="AC24" s="40">
        <v>321</v>
      </c>
      <c r="AD24" s="40">
        <v>321</v>
      </c>
      <c r="AE24" s="40">
        <v>321</v>
      </c>
      <c r="AF24" s="40">
        <v>321</v>
      </c>
      <c r="AG24" s="35" t="s">
        <v>46</v>
      </c>
      <c r="AH24" s="36" t="s">
        <v>47</v>
      </c>
      <c r="AI24" s="37" t="s">
        <v>48</v>
      </c>
    </row>
    <row r="25" spans="1:38">
      <c r="A25" s="40" t="s">
        <v>58</v>
      </c>
      <c r="B25" s="40" t="s">
        <v>69</v>
      </c>
      <c r="C25" s="40" t="s">
        <v>45</v>
      </c>
      <c r="D25" s="40">
        <v>223</v>
      </c>
      <c r="E25" s="40">
        <v>224</v>
      </c>
      <c r="F25" s="40">
        <v>225</v>
      </c>
      <c r="G25" s="40">
        <v>226</v>
      </c>
      <c r="H25" s="40">
        <v>227</v>
      </c>
      <c r="I25" s="40">
        <v>229</v>
      </c>
      <c r="J25" s="40">
        <v>230</v>
      </c>
      <c r="K25" s="40">
        <v>232</v>
      </c>
      <c r="L25" s="40">
        <v>233</v>
      </c>
      <c r="M25" s="40">
        <v>235</v>
      </c>
      <c r="N25" s="40">
        <v>236</v>
      </c>
      <c r="O25" s="40">
        <v>237</v>
      </c>
      <c r="P25" s="40">
        <v>238</v>
      </c>
      <c r="Q25" s="40">
        <v>239</v>
      </c>
      <c r="R25" s="40">
        <v>241</v>
      </c>
      <c r="S25" s="40">
        <v>242</v>
      </c>
      <c r="T25" s="40">
        <v>243</v>
      </c>
      <c r="U25" s="40">
        <v>244</v>
      </c>
      <c r="V25" s="40">
        <v>244</v>
      </c>
      <c r="W25" s="40">
        <v>245</v>
      </c>
      <c r="X25" s="40">
        <v>246</v>
      </c>
      <c r="Y25" s="40">
        <v>247</v>
      </c>
      <c r="Z25" s="40">
        <v>247</v>
      </c>
      <c r="AA25" s="40">
        <v>248</v>
      </c>
      <c r="AB25" s="40">
        <v>248</v>
      </c>
      <c r="AC25" s="40">
        <v>249</v>
      </c>
      <c r="AD25" s="40">
        <v>249</v>
      </c>
      <c r="AE25" s="40">
        <v>249</v>
      </c>
      <c r="AF25" s="40">
        <v>249</v>
      </c>
      <c r="AG25" s="35" t="s">
        <v>46</v>
      </c>
      <c r="AH25" s="36" t="s">
        <v>47</v>
      </c>
      <c r="AI25" s="37" t="s">
        <v>48</v>
      </c>
    </row>
    <row r="26" spans="1:38">
      <c r="A26" s="40" t="s">
        <v>59</v>
      </c>
      <c r="B26" s="40" t="s">
        <v>69</v>
      </c>
      <c r="C26" s="40" t="s">
        <v>45</v>
      </c>
      <c r="D26" s="40" t="s">
        <v>70</v>
      </c>
      <c r="E26" s="40" t="s">
        <v>71</v>
      </c>
      <c r="F26" s="40">
        <v>964</v>
      </c>
      <c r="G26" s="40">
        <v>868</v>
      </c>
      <c r="H26" s="40">
        <v>772</v>
      </c>
      <c r="I26" s="40">
        <v>678</v>
      </c>
      <c r="J26" s="40">
        <v>584</v>
      </c>
      <c r="K26" s="40">
        <v>489</v>
      </c>
      <c r="L26" s="40">
        <v>395</v>
      </c>
      <c r="M26" s="40">
        <v>396</v>
      </c>
      <c r="N26" s="40">
        <v>398</v>
      </c>
      <c r="O26" s="40">
        <v>399</v>
      </c>
      <c r="P26" s="40">
        <v>401</v>
      </c>
      <c r="Q26" s="40">
        <v>402</v>
      </c>
      <c r="R26" s="40">
        <v>403</v>
      </c>
      <c r="S26" s="40">
        <v>404</v>
      </c>
      <c r="T26" s="40">
        <v>405</v>
      </c>
      <c r="U26" s="40">
        <v>407</v>
      </c>
      <c r="V26" s="40">
        <v>408</v>
      </c>
      <c r="W26" s="40">
        <v>409</v>
      </c>
      <c r="X26" s="40">
        <v>409</v>
      </c>
      <c r="Y26" s="40">
        <v>410</v>
      </c>
      <c r="Z26" s="40">
        <v>411</v>
      </c>
      <c r="AA26" s="40">
        <v>411</v>
      </c>
      <c r="AB26" s="40">
        <v>412</v>
      </c>
      <c r="AC26" s="40">
        <v>412</v>
      </c>
      <c r="AD26" s="40">
        <v>412</v>
      </c>
      <c r="AE26" s="40">
        <v>412</v>
      </c>
      <c r="AF26" s="40">
        <v>412</v>
      </c>
      <c r="AG26" s="35" t="s">
        <v>46</v>
      </c>
      <c r="AH26" s="36" t="s">
        <v>47</v>
      </c>
      <c r="AI26" s="37" t="s">
        <v>48</v>
      </c>
    </row>
    <row r="27" spans="1:38">
      <c r="A27" s="40" t="s">
        <v>60</v>
      </c>
      <c r="B27" s="40" t="s">
        <v>69</v>
      </c>
      <c r="C27" s="40" t="s">
        <v>45</v>
      </c>
      <c r="D27" s="40">
        <v>540</v>
      </c>
      <c r="E27" s="40">
        <v>506</v>
      </c>
      <c r="F27" s="40">
        <v>475</v>
      </c>
      <c r="G27" s="40">
        <v>447</v>
      </c>
      <c r="H27" s="40">
        <v>423</v>
      </c>
      <c r="I27" s="40">
        <v>403</v>
      </c>
      <c r="J27" s="40">
        <v>385</v>
      </c>
      <c r="K27" s="40">
        <v>371</v>
      </c>
      <c r="L27" s="40">
        <v>360</v>
      </c>
      <c r="M27" s="40">
        <v>350</v>
      </c>
      <c r="N27" s="40">
        <v>341</v>
      </c>
      <c r="O27" s="40">
        <v>332</v>
      </c>
      <c r="P27" s="40">
        <v>323</v>
      </c>
      <c r="Q27" s="40">
        <v>314</v>
      </c>
      <c r="R27" s="40">
        <v>306</v>
      </c>
      <c r="S27" s="40">
        <v>299</v>
      </c>
      <c r="T27" s="40">
        <v>295</v>
      </c>
      <c r="U27" s="40">
        <v>291</v>
      </c>
      <c r="V27" s="40">
        <v>288</v>
      </c>
      <c r="W27" s="40">
        <v>286</v>
      </c>
      <c r="X27" s="40">
        <v>284</v>
      </c>
      <c r="Y27" s="40">
        <v>283</v>
      </c>
      <c r="Z27" s="40">
        <v>281</v>
      </c>
      <c r="AA27" s="40">
        <v>280</v>
      </c>
      <c r="AB27" s="40">
        <v>279</v>
      </c>
      <c r="AC27" s="40">
        <v>278</v>
      </c>
      <c r="AD27" s="40">
        <v>278</v>
      </c>
      <c r="AE27" s="40">
        <v>277</v>
      </c>
      <c r="AF27" s="40">
        <v>277</v>
      </c>
      <c r="AG27" s="35" t="s">
        <v>46</v>
      </c>
      <c r="AH27" s="36" t="s">
        <v>47</v>
      </c>
      <c r="AI27" s="37" t="s">
        <v>48</v>
      </c>
    </row>
    <row r="28" spans="1:38">
      <c r="A28" s="40" t="s">
        <v>61</v>
      </c>
      <c r="B28" s="40" t="s">
        <v>69</v>
      </c>
      <c r="C28" s="40" t="s">
        <v>45</v>
      </c>
      <c r="D28" s="40">
        <v>60</v>
      </c>
      <c r="E28" s="40">
        <v>53</v>
      </c>
      <c r="F28" s="40">
        <v>50</v>
      </c>
      <c r="G28" s="40">
        <v>45</v>
      </c>
      <c r="H28" s="40">
        <v>43</v>
      </c>
      <c r="I28" s="40">
        <v>42</v>
      </c>
      <c r="J28" s="40">
        <v>40</v>
      </c>
      <c r="K28" s="40">
        <v>38</v>
      </c>
      <c r="L28" s="40">
        <v>35</v>
      </c>
      <c r="M28" s="40">
        <v>32</v>
      </c>
      <c r="N28" s="40">
        <v>29</v>
      </c>
      <c r="O28" s="40">
        <v>28</v>
      </c>
      <c r="P28" s="40">
        <v>28</v>
      </c>
      <c r="Q28" s="40">
        <v>27</v>
      </c>
      <c r="R28" s="40">
        <v>26</v>
      </c>
      <c r="S28" s="40">
        <v>26</v>
      </c>
      <c r="T28" s="40">
        <v>25</v>
      </c>
      <c r="U28" s="40">
        <v>24</v>
      </c>
      <c r="V28" s="40">
        <v>24</v>
      </c>
      <c r="W28" s="40">
        <v>23</v>
      </c>
      <c r="X28" s="40">
        <v>23</v>
      </c>
      <c r="Y28" s="40">
        <v>22</v>
      </c>
      <c r="Z28" s="40">
        <v>22</v>
      </c>
      <c r="AA28" s="40">
        <v>21</v>
      </c>
      <c r="AB28" s="40">
        <v>21</v>
      </c>
      <c r="AC28" s="40">
        <v>21</v>
      </c>
      <c r="AD28" s="40">
        <v>20</v>
      </c>
      <c r="AE28" s="40">
        <v>20</v>
      </c>
      <c r="AF28" s="40">
        <v>20</v>
      </c>
      <c r="AG28" s="35" t="s">
        <v>46</v>
      </c>
      <c r="AH28" s="36" t="s">
        <v>47</v>
      </c>
      <c r="AI28" s="37" t="s">
        <v>48</v>
      </c>
    </row>
    <row r="29" spans="1:38">
      <c r="A29" s="40" t="s">
        <v>62</v>
      </c>
      <c r="B29" s="40" t="s">
        <v>69</v>
      </c>
      <c r="C29" s="40" t="s">
        <v>45</v>
      </c>
      <c r="D29" s="40">
        <v>188</v>
      </c>
      <c r="E29" s="40">
        <v>163</v>
      </c>
      <c r="F29" s="40">
        <v>146</v>
      </c>
      <c r="G29" s="40">
        <v>129</v>
      </c>
      <c r="H29" s="40">
        <v>119</v>
      </c>
      <c r="I29" s="40">
        <v>110</v>
      </c>
      <c r="J29" s="40">
        <v>103</v>
      </c>
      <c r="K29" s="40">
        <v>98</v>
      </c>
      <c r="L29" s="40">
        <v>93</v>
      </c>
      <c r="M29" s="40">
        <v>88</v>
      </c>
      <c r="N29" s="40">
        <v>83</v>
      </c>
      <c r="O29" s="40">
        <v>81</v>
      </c>
      <c r="P29" s="40">
        <v>79</v>
      </c>
      <c r="Q29" s="40">
        <v>76</v>
      </c>
      <c r="R29" s="40">
        <v>75</v>
      </c>
      <c r="S29" s="40">
        <v>74</v>
      </c>
      <c r="T29" s="40">
        <v>73</v>
      </c>
      <c r="U29" s="40">
        <v>71</v>
      </c>
      <c r="V29" s="40">
        <v>70</v>
      </c>
      <c r="W29" s="40">
        <v>70</v>
      </c>
      <c r="X29" s="40">
        <v>69</v>
      </c>
      <c r="Y29" s="40">
        <v>69</v>
      </c>
      <c r="Z29" s="40">
        <v>68</v>
      </c>
      <c r="AA29" s="40">
        <v>68</v>
      </c>
      <c r="AB29" s="40">
        <v>67</v>
      </c>
      <c r="AC29" s="40">
        <v>67</v>
      </c>
      <c r="AD29" s="40">
        <v>67</v>
      </c>
      <c r="AE29" s="40">
        <v>66</v>
      </c>
      <c r="AF29" s="40">
        <v>66</v>
      </c>
      <c r="AG29" s="35" t="s">
        <v>46</v>
      </c>
      <c r="AH29" s="36" t="s">
        <v>47</v>
      </c>
      <c r="AI29" s="37" t="s">
        <v>48</v>
      </c>
    </row>
    <row r="30" spans="1:38">
      <c r="A30" s="40" t="s">
        <v>63</v>
      </c>
      <c r="B30" s="40" t="s">
        <v>69</v>
      </c>
      <c r="C30" s="40" t="s">
        <v>45</v>
      </c>
      <c r="D30" s="40">
        <v>53</v>
      </c>
      <c r="E30" s="40">
        <v>48</v>
      </c>
      <c r="F30" s="40">
        <v>44</v>
      </c>
      <c r="G30" s="40">
        <v>40</v>
      </c>
      <c r="H30" s="40">
        <v>39</v>
      </c>
      <c r="I30" s="40">
        <v>37</v>
      </c>
      <c r="J30" s="40">
        <v>36</v>
      </c>
      <c r="K30" s="40">
        <v>33</v>
      </c>
      <c r="L30" s="40">
        <v>31</v>
      </c>
      <c r="M30" s="40">
        <v>28</v>
      </c>
      <c r="N30" s="40">
        <v>26</v>
      </c>
      <c r="O30" s="40">
        <v>25</v>
      </c>
      <c r="P30" s="40">
        <v>25</v>
      </c>
      <c r="Q30" s="40">
        <v>24</v>
      </c>
      <c r="R30" s="40">
        <v>23</v>
      </c>
      <c r="S30" s="40">
        <v>23</v>
      </c>
      <c r="T30" s="40">
        <v>22</v>
      </c>
      <c r="U30" s="40">
        <v>22</v>
      </c>
      <c r="V30" s="40">
        <v>21</v>
      </c>
      <c r="W30" s="40">
        <v>21</v>
      </c>
      <c r="X30" s="40">
        <v>20</v>
      </c>
      <c r="Y30" s="40">
        <v>20</v>
      </c>
      <c r="Z30" s="40">
        <v>19</v>
      </c>
      <c r="AA30" s="40">
        <v>19</v>
      </c>
      <c r="AB30" s="40">
        <v>19</v>
      </c>
      <c r="AC30" s="40">
        <v>18</v>
      </c>
      <c r="AD30" s="40">
        <v>18</v>
      </c>
      <c r="AE30" s="40">
        <v>18</v>
      </c>
      <c r="AF30" s="40">
        <v>18</v>
      </c>
      <c r="AG30" s="35" t="s">
        <v>46</v>
      </c>
      <c r="AH30" s="36" t="s">
        <v>47</v>
      </c>
      <c r="AI30" s="37" t="s">
        <v>48</v>
      </c>
    </row>
    <row r="31" spans="1:38" s="2" customFormat="1">
      <c r="A31" s="34" t="s">
        <v>43</v>
      </c>
      <c r="B31" s="34" t="s">
        <v>69</v>
      </c>
      <c r="C31" s="34" t="s">
        <v>45</v>
      </c>
      <c r="D31" s="34">
        <v>160</v>
      </c>
      <c r="E31" s="34">
        <v>141</v>
      </c>
      <c r="F31" s="34">
        <v>124</v>
      </c>
      <c r="G31" s="34">
        <v>110</v>
      </c>
      <c r="H31" s="34">
        <v>102</v>
      </c>
      <c r="I31" s="34">
        <v>94</v>
      </c>
      <c r="J31" s="34">
        <v>88</v>
      </c>
      <c r="K31" s="34">
        <v>83</v>
      </c>
      <c r="L31" s="34">
        <v>79</v>
      </c>
      <c r="M31" s="34">
        <v>75</v>
      </c>
      <c r="N31" s="34">
        <v>71</v>
      </c>
      <c r="O31" s="34">
        <v>69</v>
      </c>
      <c r="P31" s="34">
        <v>67</v>
      </c>
      <c r="Q31" s="34">
        <v>65</v>
      </c>
      <c r="R31" s="34">
        <v>64</v>
      </c>
      <c r="S31" s="34">
        <v>63</v>
      </c>
      <c r="T31" s="34">
        <v>62</v>
      </c>
      <c r="U31" s="34">
        <v>61</v>
      </c>
      <c r="V31" s="34">
        <v>60</v>
      </c>
      <c r="W31" s="34">
        <v>60</v>
      </c>
      <c r="X31" s="34">
        <v>59</v>
      </c>
      <c r="Y31" s="34">
        <v>59</v>
      </c>
      <c r="Z31" s="34">
        <v>58</v>
      </c>
      <c r="AA31" s="34">
        <v>58</v>
      </c>
      <c r="AB31" s="34">
        <v>58</v>
      </c>
      <c r="AC31" s="34">
        <v>57</v>
      </c>
      <c r="AD31" s="34">
        <v>57</v>
      </c>
      <c r="AE31" s="34">
        <v>56</v>
      </c>
      <c r="AF31" s="34">
        <v>56</v>
      </c>
      <c r="AG31" s="43" t="s">
        <v>46</v>
      </c>
      <c r="AH31" s="44" t="s">
        <v>47</v>
      </c>
      <c r="AI31" s="45" t="s">
        <v>48</v>
      </c>
      <c r="AJ31" s="46">
        <f>15.3/1000</f>
        <v>1.5300000000000001E-2</v>
      </c>
      <c r="AK31" s="46" t="s">
        <v>49</v>
      </c>
      <c r="AL31" s="46" t="s">
        <v>50</v>
      </c>
    </row>
    <row r="32" spans="1:38">
      <c r="A32" s="40" t="s">
        <v>64</v>
      </c>
      <c r="B32" s="40" t="s">
        <v>69</v>
      </c>
      <c r="C32" s="40" t="s">
        <v>45</v>
      </c>
      <c r="D32" s="40">
        <v>287</v>
      </c>
      <c r="E32" s="40">
        <v>241</v>
      </c>
      <c r="F32" s="40">
        <v>209</v>
      </c>
      <c r="G32" s="40">
        <v>184</v>
      </c>
      <c r="H32" s="40">
        <v>165</v>
      </c>
      <c r="I32" s="40">
        <v>151</v>
      </c>
      <c r="J32" s="40">
        <v>139</v>
      </c>
      <c r="K32" s="40">
        <v>132</v>
      </c>
      <c r="L32" s="40">
        <v>127</v>
      </c>
      <c r="M32" s="40">
        <v>119</v>
      </c>
      <c r="N32" s="40">
        <v>112</v>
      </c>
      <c r="O32" s="40">
        <v>109</v>
      </c>
      <c r="P32" s="40">
        <v>106</v>
      </c>
      <c r="Q32" s="40">
        <v>98</v>
      </c>
      <c r="R32" s="40">
        <v>96</v>
      </c>
      <c r="S32" s="40">
        <v>94</v>
      </c>
      <c r="T32" s="40">
        <v>92</v>
      </c>
      <c r="U32" s="40">
        <v>90</v>
      </c>
      <c r="V32" s="40">
        <v>88</v>
      </c>
      <c r="W32" s="40">
        <v>88</v>
      </c>
      <c r="X32" s="40">
        <v>88</v>
      </c>
      <c r="Y32" s="40">
        <v>88</v>
      </c>
      <c r="Z32" s="40">
        <v>88</v>
      </c>
      <c r="AA32" s="40">
        <v>88</v>
      </c>
      <c r="AB32" s="40">
        <v>88</v>
      </c>
      <c r="AC32" s="40">
        <v>88</v>
      </c>
      <c r="AD32" s="40">
        <v>88</v>
      </c>
      <c r="AE32" s="40">
        <v>88</v>
      </c>
      <c r="AF32" s="40">
        <v>88</v>
      </c>
      <c r="AG32" s="35" t="s">
        <v>46</v>
      </c>
      <c r="AH32" s="36" t="s">
        <v>47</v>
      </c>
      <c r="AI32" s="37" t="s">
        <v>48</v>
      </c>
    </row>
    <row r="33" spans="1:40">
      <c r="A33" s="40" t="s">
        <v>65</v>
      </c>
      <c r="B33" s="40" t="s">
        <v>69</v>
      </c>
      <c r="C33" s="40" t="s">
        <v>45</v>
      </c>
      <c r="D33" s="40">
        <v>206</v>
      </c>
      <c r="E33" s="40">
        <v>172</v>
      </c>
      <c r="F33" s="40">
        <v>146</v>
      </c>
      <c r="G33" s="40">
        <v>127</v>
      </c>
      <c r="H33" s="40">
        <v>112</v>
      </c>
      <c r="I33" s="40">
        <v>100</v>
      </c>
      <c r="J33" s="40">
        <v>89</v>
      </c>
      <c r="K33" s="40">
        <v>85</v>
      </c>
      <c r="L33" s="40">
        <v>81</v>
      </c>
      <c r="M33" s="40">
        <v>77</v>
      </c>
      <c r="N33" s="40">
        <v>74</v>
      </c>
      <c r="O33" s="40">
        <v>71</v>
      </c>
      <c r="P33" s="40">
        <v>69</v>
      </c>
      <c r="Q33" s="40">
        <v>66</v>
      </c>
      <c r="R33" s="40">
        <v>65</v>
      </c>
      <c r="S33" s="40">
        <v>63</v>
      </c>
      <c r="T33" s="40">
        <v>62</v>
      </c>
      <c r="U33" s="40">
        <v>61</v>
      </c>
      <c r="V33" s="40">
        <v>60</v>
      </c>
      <c r="W33" s="40">
        <v>60</v>
      </c>
      <c r="X33" s="40">
        <v>60</v>
      </c>
      <c r="Y33" s="40">
        <v>60</v>
      </c>
      <c r="Z33" s="40">
        <v>60</v>
      </c>
      <c r="AA33" s="40">
        <v>60</v>
      </c>
      <c r="AB33" s="40">
        <v>60</v>
      </c>
      <c r="AC33" s="40">
        <v>60</v>
      </c>
      <c r="AD33" s="40">
        <v>60</v>
      </c>
      <c r="AE33" s="40">
        <v>60</v>
      </c>
      <c r="AF33" s="40">
        <v>60</v>
      </c>
      <c r="AG33" s="35" t="s">
        <v>46</v>
      </c>
      <c r="AH33" s="36" t="s">
        <v>47</v>
      </c>
      <c r="AI33" s="37" t="s">
        <v>48</v>
      </c>
    </row>
    <row r="34" spans="1:40">
      <c r="A34" s="40" t="s">
        <v>66</v>
      </c>
      <c r="B34" s="40" t="s">
        <v>69</v>
      </c>
      <c r="C34" s="40" t="s">
        <v>45</v>
      </c>
      <c r="D34" s="40">
        <v>150</v>
      </c>
      <c r="E34" s="40">
        <v>137</v>
      </c>
      <c r="F34" s="40">
        <v>130</v>
      </c>
      <c r="G34" s="40">
        <v>124</v>
      </c>
      <c r="H34" s="40">
        <v>120</v>
      </c>
      <c r="I34" s="40">
        <v>116</v>
      </c>
      <c r="J34" s="40">
        <v>113</v>
      </c>
      <c r="K34" s="40">
        <v>110</v>
      </c>
      <c r="L34" s="40">
        <v>90</v>
      </c>
      <c r="M34" s="40">
        <v>88</v>
      </c>
      <c r="N34" s="40">
        <v>86</v>
      </c>
      <c r="O34" s="40">
        <v>84</v>
      </c>
      <c r="P34" s="40">
        <v>82</v>
      </c>
      <c r="Q34" s="40">
        <v>81</v>
      </c>
      <c r="R34" s="40">
        <v>79</v>
      </c>
      <c r="S34" s="40">
        <v>77</v>
      </c>
      <c r="T34" s="40">
        <v>76</v>
      </c>
      <c r="U34" s="40">
        <v>74</v>
      </c>
      <c r="V34" s="40">
        <v>73</v>
      </c>
      <c r="W34" s="40">
        <v>71</v>
      </c>
      <c r="X34" s="40">
        <v>71</v>
      </c>
      <c r="Y34" s="40">
        <v>70</v>
      </c>
      <c r="Z34" s="40">
        <v>69</v>
      </c>
      <c r="AA34" s="40">
        <v>68</v>
      </c>
      <c r="AB34" s="40">
        <v>67</v>
      </c>
      <c r="AC34" s="40">
        <v>66</v>
      </c>
      <c r="AD34" s="40">
        <v>66</v>
      </c>
      <c r="AE34" s="40">
        <v>66</v>
      </c>
      <c r="AF34" s="40">
        <v>65</v>
      </c>
      <c r="AG34" s="35" t="s">
        <v>46</v>
      </c>
      <c r="AH34" s="36" t="s">
        <v>47</v>
      </c>
      <c r="AI34" s="37" t="s">
        <v>48</v>
      </c>
    </row>
    <row r="35" spans="1:40">
      <c r="A35" s="40" t="s">
        <v>67</v>
      </c>
      <c r="B35" s="40" t="s">
        <v>69</v>
      </c>
      <c r="C35" s="40" t="s">
        <v>45</v>
      </c>
      <c r="D35" s="40">
        <v>65</v>
      </c>
      <c r="E35" s="40">
        <v>60</v>
      </c>
      <c r="F35" s="40">
        <v>55</v>
      </c>
      <c r="G35" s="40">
        <v>52</v>
      </c>
      <c r="H35" s="40">
        <v>50</v>
      </c>
      <c r="I35" s="40">
        <v>48</v>
      </c>
      <c r="J35" s="40">
        <v>46</v>
      </c>
      <c r="K35" s="40">
        <v>45</v>
      </c>
      <c r="L35" s="40">
        <v>44</v>
      </c>
      <c r="M35" s="40">
        <v>42</v>
      </c>
      <c r="N35" s="40">
        <v>41</v>
      </c>
      <c r="O35" s="40">
        <v>41</v>
      </c>
      <c r="P35" s="40">
        <v>40</v>
      </c>
      <c r="Q35" s="40">
        <v>39</v>
      </c>
      <c r="R35" s="40">
        <v>39</v>
      </c>
      <c r="S35" s="40">
        <v>38</v>
      </c>
      <c r="T35" s="40">
        <v>38</v>
      </c>
      <c r="U35" s="40">
        <v>37</v>
      </c>
      <c r="V35" s="40">
        <v>36</v>
      </c>
      <c r="W35" s="40">
        <v>36</v>
      </c>
      <c r="X35" s="40">
        <v>36</v>
      </c>
      <c r="Y35" s="40">
        <v>35</v>
      </c>
      <c r="Z35" s="40">
        <v>35</v>
      </c>
      <c r="AA35" s="40">
        <v>34</v>
      </c>
      <c r="AB35" s="40">
        <v>34</v>
      </c>
      <c r="AC35" s="40">
        <v>34</v>
      </c>
      <c r="AD35" s="40">
        <v>33</v>
      </c>
      <c r="AE35" s="40">
        <v>33</v>
      </c>
      <c r="AF35" s="40">
        <v>33</v>
      </c>
      <c r="AG35" s="35" t="s">
        <v>46</v>
      </c>
      <c r="AH35" s="36" t="s">
        <v>47</v>
      </c>
      <c r="AI35" s="37" t="s">
        <v>48</v>
      </c>
    </row>
    <row r="36" spans="1:40">
      <c r="A36" s="40" t="s">
        <v>68</v>
      </c>
      <c r="B36" s="40" t="s">
        <v>69</v>
      </c>
      <c r="C36" s="40" t="s">
        <v>45</v>
      </c>
      <c r="D36" s="40">
        <v>132</v>
      </c>
      <c r="E36" s="40">
        <v>114</v>
      </c>
      <c r="F36" s="40">
        <v>99</v>
      </c>
      <c r="G36" s="40">
        <v>89</v>
      </c>
      <c r="H36" s="40">
        <v>82</v>
      </c>
      <c r="I36" s="40">
        <v>77</v>
      </c>
      <c r="J36" s="40">
        <v>72</v>
      </c>
      <c r="K36" s="40">
        <v>69</v>
      </c>
      <c r="L36" s="40">
        <v>67</v>
      </c>
      <c r="M36" s="40">
        <v>64</v>
      </c>
      <c r="N36" s="40">
        <v>62</v>
      </c>
      <c r="O36" s="40">
        <v>61</v>
      </c>
      <c r="P36" s="40">
        <v>59</v>
      </c>
      <c r="Q36" s="40">
        <v>58</v>
      </c>
      <c r="R36" s="40">
        <v>57</v>
      </c>
      <c r="S36" s="40">
        <v>56</v>
      </c>
      <c r="T36" s="40">
        <v>55</v>
      </c>
      <c r="U36" s="40">
        <v>54</v>
      </c>
      <c r="V36" s="40">
        <v>53</v>
      </c>
      <c r="W36" s="40">
        <v>53</v>
      </c>
      <c r="X36" s="40">
        <v>52</v>
      </c>
      <c r="Y36" s="40">
        <v>52</v>
      </c>
      <c r="Z36" s="40">
        <v>51</v>
      </c>
      <c r="AA36" s="40">
        <v>51</v>
      </c>
      <c r="AB36" s="40">
        <v>50</v>
      </c>
      <c r="AC36" s="40">
        <v>50</v>
      </c>
      <c r="AD36" s="40">
        <v>49</v>
      </c>
      <c r="AE36" s="40">
        <v>49</v>
      </c>
      <c r="AF36" s="40">
        <v>48</v>
      </c>
      <c r="AG36" s="35" t="s">
        <v>46</v>
      </c>
      <c r="AH36" s="36" t="s">
        <v>47</v>
      </c>
      <c r="AI36" s="37" t="s">
        <v>48</v>
      </c>
      <c r="AJ36" s="38">
        <f>5.9/1000</f>
        <v>5.9000000000000007E-3</v>
      </c>
      <c r="AK36" s="39" t="s">
        <v>49</v>
      </c>
      <c r="AL36" s="39" t="s">
        <v>50</v>
      </c>
    </row>
    <row r="37" spans="1:40">
      <c r="A37" s="40" t="s">
        <v>72</v>
      </c>
      <c r="B37" s="40" t="s">
        <v>54</v>
      </c>
      <c r="C37" s="40" t="s">
        <v>45</v>
      </c>
      <c r="D37" s="103">
        <v>43.9</v>
      </c>
      <c r="AI37" s="102" t="s">
        <v>73</v>
      </c>
      <c r="AJ37" s="39">
        <f>1.9/1000</f>
        <v>1.9E-3</v>
      </c>
      <c r="AK37" s="39" t="s">
        <v>49</v>
      </c>
      <c r="AL37" s="39" t="s">
        <v>74</v>
      </c>
    </row>
    <row r="38" spans="1:40">
      <c r="A38" s="40" t="s">
        <v>72</v>
      </c>
      <c r="B38" s="40" t="s">
        <v>69</v>
      </c>
      <c r="C38" s="40" t="s">
        <v>45</v>
      </c>
      <c r="D38">
        <v>98.56</v>
      </c>
      <c r="AI38" s="102" t="s">
        <v>73</v>
      </c>
      <c r="AJ38" s="39">
        <f>1.9/1000</f>
        <v>1.9E-3</v>
      </c>
      <c r="AL38" s="39" t="s">
        <v>74</v>
      </c>
    </row>
    <row r="39" spans="1:40">
      <c r="A39" s="40" t="s">
        <v>75</v>
      </c>
      <c r="B39" s="40" t="s">
        <v>54</v>
      </c>
      <c r="C39" s="40" t="s">
        <v>45</v>
      </c>
      <c r="D39">
        <v>37</v>
      </c>
      <c r="AI39" s="102" t="s">
        <v>76</v>
      </c>
      <c r="AJ39" s="39">
        <f>18.9/1000</f>
        <v>1.89E-2</v>
      </c>
      <c r="AK39" s="39" t="s">
        <v>49</v>
      </c>
      <c r="AL39" s="39" t="s">
        <v>50</v>
      </c>
      <c r="AM39" t="s">
        <v>77</v>
      </c>
      <c r="AN39" t="s">
        <v>78</v>
      </c>
    </row>
    <row r="40" spans="1:40">
      <c r="A40" s="40" t="s">
        <v>75</v>
      </c>
      <c r="B40" s="40" t="s">
        <v>69</v>
      </c>
      <c r="C40" s="40" t="s">
        <v>45</v>
      </c>
      <c r="D40" s="30">
        <v>98.879150999999993</v>
      </c>
      <c r="AI40" s="102" t="s">
        <v>76</v>
      </c>
      <c r="AJ40" s="39">
        <f>18.9/1000</f>
        <v>1.89E-2</v>
      </c>
    </row>
    <row r="42" spans="1:40">
      <c r="A42" s="1" t="s">
        <v>79</v>
      </c>
      <c r="AI42"/>
      <c r="AJ42"/>
    </row>
    <row r="43" spans="1:40">
      <c r="A43" s="97"/>
      <c r="B43" s="98" t="s">
        <v>80</v>
      </c>
      <c r="C43" s="98" t="s">
        <v>81</v>
      </c>
      <c r="D43" s="98" t="s">
        <v>82</v>
      </c>
      <c r="E43" s="98" t="s">
        <v>83</v>
      </c>
      <c r="F43" s="98" t="s">
        <v>84</v>
      </c>
      <c r="G43" s="98" t="s">
        <v>85</v>
      </c>
      <c r="H43" s="98" t="s">
        <v>86</v>
      </c>
      <c r="AI43"/>
      <c r="AJ43"/>
    </row>
    <row r="44" spans="1:40" s="1" customFormat="1">
      <c r="A44" s="99" t="s">
        <v>87</v>
      </c>
      <c r="B44" s="98" t="s">
        <v>88</v>
      </c>
      <c r="C44" s="98" t="s">
        <v>89</v>
      </c>
      <c r="D44" s="98">
        <v>3</v>
      </c>
      <c r="E44" s="98">
        <v>3.2</v>
      </c>
      <c r="F44" s="98">
        <v>9.9</v>
      </c>
      <c r="G44" s="98">
        <v>17.600000000000001</v>
      </c>
      <c r="H44" s="98">
        <v>56</v>
      </c>
      <c r="I44" s="1" t="s">
        <v>90</v>
      </c>
    </row>
    <row r="45" spans="1:40">
      <c r="A45" s="97"/>
      <c r="B45" s="100" t="s">
        <v>88</v>
      </c>
      <c r="C45" s="100" t="s">
        <v>75</v>
      </c>
      <c r="D45" s="100">
        <v>13.8</v>
      </c>
      <c r="E45" s="100">
        <v>18.7</v>
      </c>
      <c r="F45" s="100">
        <v>28.1</v>
      </c>
      <c r="G45" s="100">
        <v>3.8</v>
      </c>
      <c r="H45" s="100">
        <v>57</v>
      </c>
      <c r="I45" t="s">
        <v>91</v>
      </c>
      <c r="AI45"/>
      <c r="AJ45"/>
    </row>
    <row r="46" spans="1:40">
      <c r="A46" s="97"/>
      <c r="B46" s="100" t="s">
        <v>88</v>
      </c>
      <c r="C46" s="100" t="s">
        <v>92</v>
      </c>
      <c r="D46" s="100">
        <v>14.2</v>
      </c>
      <c r="E46" s="100">
        <v>21.5</v>
      </c>
      <c r="F46" s="100">
        <v>44.2</v>
      </c>
      <c r="G46" s="100">
        <v>3.9</v>
      </c>
      <c r="H46" s="100">
        <v>58</v>
      </c>
      <c r="I46" t="s">
        <v>93</v>
      </c>
      <c r="AI46"/>
      <c r="AJ46"/>
    </row>
    <row r="47" spans="1:40" s="1" customFormat="1">
      <c r="A47" s="99" t="s">
        <v>94</v>
      </c>
      <c r="B47" s="99" t="s">
        <v>95</v>
      </c>
      <c r="C47" s="99" t="s">
        <v>96</v>
      </c>
      <c r="D47" s="99">
        <f>AVERAGE(D44:D46)</f>
        <v>10.333333333333334</v>
      </c>
      <c r="E47" s="99">
        <f>AVERAGE(E44:E46)</f>
        <v>14.466666666666667</v>
      </c>
      <c r="F47" s="99">
        <f t="shared" ref="F47" si="0">AVERAGE(F44:F46)</f>
        <v>27.400000000000002</v>
      </c>
      <c r="G47" s="101">
        <f>AVERAGE(G44:G46)</f>
        <v>8.4333333333333336</v>
      </c>
      <c r="H47" s="99"/>
      <c r="I47" s="1" t="s">
        <v>97</v>
      </c>
    </row>
    <row r="48" spans="1:40">
      <c r="A48" t="s">
        <v>98</v>
      </c>
      <c r="AI48"/>
      <c r="AJ48"/>
    </row>
    <row r="49" spans="1:36">
      <c r="A49" t="s">
        <v>99</v>
      </c>
      <c r="AI49"/>
      <c r="AJ49"/>
    </row>
    <row r="50" spans="1:36">
      <c r="A50" t="s">
        <v>100</v>
      </c>
      <c r="AI50"/>
      <c r="AJ50"/>
    </row>
    <row r="51" spans="1:36">
      <c r="AI51"/>
      <c r="AJ51"/>
    </row>
    <row r="52" spans="1:36">
      <c r="AI52"/>
      <c r="AJ52"/>
    </row>
    <row r="53" spans="1:36">
      <c r="AI53"/>
      <c r="AJ53"/>
    </row>
    <row r="54" spans="1:36">
      <c r="AI54"/>
      <c r="AJ54"/>
    </row>
    <row r="55" spans="1:36">
      <c r="AI55"/>
      <c r="AJ55"/>
    </row>
  </sheetData>
  <hyperlinks>
    <hyperlink ref="AI3" r:id="rId1" xr:uid="{F2F2CE00-8E60-2C49-AF08-5B9EB8BED7D1}"/>
    <hyperlink ref="AI4:AI36" r:id="rId2" display="https://www.bnef.com/flagships/lcoe" xr:uid="{8E98A55B-B32E-4B4F-AE59-C62C0DD9B123}"/>
    <hyperlink ref="AI38" r:id="rId3" display="https://www.oecd-nea.org/jcms/pl_51110/projected-costs-of-generating-electricity-2020-edition" xr:uid="{6843DA57-D101-C746-AE95-85C652F36ABB}"/>
    <hyperlink ref="AI39" r:id="rId4" display="https://www.irena.org/publications/2022/Jul/Renewable-Power-Generation-Costs-in-2021" xr:uid="{0CD10D15-00B3-794F-8419-31A37DC2EB22}"/>
    <hyperlink ref="AI40" r:id="rId5" display="https://www.irena.org/publications/2022/Jul/Renewable-Power-Generation-Costs-in-2021" xr:uid="{D7690ED3-0921-2945-A154-88D6468CD3DF}"/>
    <hyperlink ref="AI2" r:id="rId6" xr:uid="{DBB7FE2C-1370-C544-8EE3-378486D12923}"/>
    <hyperlink ref="AI37" r:id="rId7" display="https://www.oecd-nea.org/jcms/pl_51110/projected-costs-of-generating-electricity-2020-edition" xr:uid="{A9D053AE-E774-2049-94AD-E8398BDB144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00A40-351E-EE4C-92AD-3BC93D7F11F0}">
  <sheetPr codeName="Sheet4"/>
  <dimension ref="A1:AR27"/>
  <sheetViews>
    <sheetView workbookViewId="0"/>
  </sheetViews>
  <sheetFormatPr defaultColWidth="10.625" defaultRowHeight="15.6"/>
  <cols>
    <col min="1" max="1" width="10.625" style="10"/>
    <col min="2" max="2" width="69.625" style="10" bestFit="1" customWidth="1"/>
    <col min="3" max="3" width="12" style="10" bestFit="1" customWidth="1"/>
    <col min="4" max="4" width="12.625" style="10" bestFit="1" customWidth="1"/>
    <col min="5" max="5" width="11.5" style="10" customWidth="1"/>
    <col min="6" max="16384" width="10.625" style="10"/>
  </cols>
  <sheetData>
    <row r="1" spans="1:44">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row>
    <row r="2" spans="1:44" ht="20.45" thickBot="1">
      <c r="A2" s="9"/>
      <c r="B2" s="11" t="s">
        <v>101</v>
      </c>
      <c r="C2" s="11"/>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row>
    <row r="3" spans="1:44" ht="16.149999999999999" thickTop="1">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row>
    <row r="4" spans="1:44">
      <c r="A4" s="9"/>
      <c r="B4" s="10" t="s">
        <v>102</v>
      </c>
      <c r="C4" s="10" t="s">
        <v>103</v>
      </c>
      <c r="D4" s="12"/>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row>
    <row r="5" spans="1:44">
      <c r="A5" s="9"/>
      <c r="B5" s="9" t="s">
        <v>6</v>
      </c>
      <c r="C5" s="13">
        <v>2022</v>
      </c>
      <c r="D5" s="14">
        <v>2023</v>
      </c>
      <c r="E5" s="14">
        <v>2024</v>
      </c>
      <c r="F5" s="14">
        <v>2025</v>
      </c>
      <c r="G5" s="14">
        <v>2026</v>
      </c>
      <c r="H5" s="14">
        <v>2027</v>
      </c>
      <c r="I5" s="14">
        <v>2028</v>
      </c>
      <c r="J5" s="14">
        <v>2029</v>
      </c>
      <c r="K5" s="14">
        <v>2030</v>
      </c>
      <c r="L5" s="14">
        <v>2031</v>
      </c>
      <c r="M5" s="14">
        <v>2032</v>
      </c>
      <c r="N5" s="14">
        <v>2033</v>
      </c>
      <c r="O5" s="14">
        <v>2034</v>
      </c>
      <c r="P5" s="14">
        <v>2035</v>
      </c>
      <c r="Q5" s="14">
        <v>2036</v>
      </c>
      <c r="R5" s="14">
        <v>2037</v>
      </c>
      <c r="S5" s="14">
        <v>2038</v>
      </c>
      <c r="T5" s="14">
        <v>2039</v>
      </c>
      <c r="U5" s="14">
        <v>2040</v>
      </c>
      <c r="V5" s="14">
        <v>2041</v>
      </c>
      <c r="W5" s="14">
        <v>2042</v>
      </c>
      <c r="X5" s="14">
        <v>2043</v>
      </c>
      <c r="Y5" s="14">
        <v>2044</v>
      </c>
      <c r="Z5" s="14">
        <v>2045</v>
      </c>
      <c r="AA5" s="14">
        <v>2046</v>
      </c>
      <c r="AB5" s="14">
        <v>2047</v>
      </c>
      <c r="AC5" s="14">
        <v>2048</v>
      </c>
      <c r="AD5" s="14">
        <v>2049</v>
      </c>
      <c r="AE5" s="14">
        <v>2050</v>
      </c>
      <c r="AF5" s="9" t="s">
        <v>104</v>
      </c>
      <c r="AG5" s="15"/>
      <c r="AH5" s="15"/>
      <c r="AI5" s="15"/>
      <c r="AJ5" s="15"/>
      <c r="AK5" s="15"/>
      <c r="AL5" s="15"/>
      <c r="AM5" s="15"/>
      <c r="AN5" s="15"/>
      <c r="AO5" s="15"/>
      <c r="AP5" s="15"/>
      <c r="AQ5" s="15"/>
      <c r="AR5" s="15"/>
    </row>
    <row r="6" spans="1:44">
      <c r="A6" s="16"/>
      <c r="B6" s="16" t="s">
        <v>105</v>
      </c>
      <c r="C6" s="17">
        <v>79</v>
      </c>
      <c r="D6" s="18">
        <v>70</v>
      </c>
      <c r="E6" s="18">
        <v>64</v>
      </c>
      <c r="F6" s="18">
        <v>55</v>
      </c>
      <c r="G6" s="18">
        <v>52</v>
      </c>
      <c r="H6" s="18">
        <v>48</v>
      </c>
      <c r="I6" s="18">
        <v>44</v>
      </c>
      <c r="J6" s="18">
        <v>42</v>
      </c>
      <c r="K6" s="18">
        <v>38</v>
      </c>
      <c r="L6" s="18">
        <v>39</v>
      </c>
      <c r="M6" s="18">
        <v>35</v>
      </c>
      <c r="N6" s="18">
        <v>34</v>
      </c>
      <c r="O6" s="18">
        <v>34</v>
      </c>
      <c r="P6" s="18">
        <v>33</v>
      </c>
      <c r="Q6" s="18">
        <v>33</v>
      </c>
      <c r="R6" s="18">
        <v>30</v>
      </c>
      <c r="S6" s="18">
        <v>32</v>
      </c>
      <c r="T6" s="18">
        <v>32</v>
      </c>
      <c r="U6" s="18">
        <v>31</v>
      </c>
      <c r="V6" s="18">
        <v>31</v>
      </c>
      <c r="W6" s="18">
        <v>31</v>
      </c>
      <c r="X6" s="18">
        <v>28</v>
      </c>
      <c r="Y6" s="18">
        <v>30</v>
      </c>
      <c r="Z6" s="18">
        <v>30</v>
      </c>
      <c r="AA6" s="18">
        <v>30</v>
      </c>
      <c r="AB6" s="18">
        <v>30</v>
      </c>
      <c r="AC6" s="18">
        <v>27</v>
      </c>
      <c r="AD6" s="18">
        <v>29</v>
      </c>
      <c r="AE6" s="18">
        <v>29</v>
      </c>
      <c r="AF6" s="16"/>
      <c r="AG6" s="19"/>
      <c r="AH6" s="19"/>
      <c r="AI6" s="19"/>
      <c r="AJ6" s="19"/>
      <c r="AK6" s="19"/>
      <c r="AL6" s="19"/>
      <c r="AM6" s="19"/>
      <c r="AN6" s="19"/>
      <c r="AO6" s="19"/>
      <c r="AP6" s="19"/>
      <c r="AQ6" s="19"/>
      <c r="AR6" s="19"/>
    </row>
    <row r="7" spans="1:44">
      <c r="A7" s="20"/>
      <c r="B7" s="20" t="s">
        <v>106</v>
      </c>
      <c r="C7" s="21">
        <v>84</v>
      </c>
      <c r="D7" s="22">
        <v>75</v>
      </c>
      <c r="E7" s="22">
        <v>68</v>
      </c>
      <c r="F7" s="22">
        <v>59</v>
      </c>
      <c r="G7" s="22">
        <v>55</v>
      </c>
      <c r="H7" s="22">
        <v>51</v>
      </c>
      <c r="I7" s="22">
        <v>47</v>
      </c>
      <c r="J7" s="22">
        <v>45</v>
      </c>
      <c r="K7" s="23">
        <v>40.53</v>
      </c>
      <c r="L7" s="22">
        <v>42</v>
      </c>
      <c r="M7" s="22">
        <v>37</v>
      </c>
      <c r="N7" s="22">
        <v>36</v>
      </c>
      <c r="O7" s="22">
        <v>36</v>
      </c>
      <c r="P7" s="22">
        <v>35</v>
      </c>
      <c r="Q7" s="22">
        <v>35</v>
      </c>
      <c r="R7" s="22">
        <v>32</v>
      </c>
      <c r="S7" s="22">
        <v>34</v>
      </c>
      <c r="T7" s="22">
        <v>34</v>
      </c>
      <c r="U7" s="22">
        <v>33</v>
      </c>
      <c r="V7" s="22">
        <v>33</v>
      </c>
      <c r="W7" s="22">
        <v>33</v>
      </c>
      <c r="X7" s="22">
        <v>30</v>
      </c>
      <c r="Y7" s="22">
        <v>32</v>
      </c>
      <c r="Z7" s="22">
        <v>32</v>
      </c>
      <c r="AA7" s="22">
        <v>32</v>
      </c>
      <c r="AB7" s="22">
        <v>32</v>
      </c>
      <c r="AC7" s="22">
        <v>29</v>
      </c>
      <c r="AD7" s="22">
        <v>31</v>
      </c>
      <c r="AE7" s="22">
        <v>31</v>
      </c>
      <c r="AF7" s="20"/>
      <c r="AG7" s="24"/>
      <c r="AH7" s="24"/>
      <c r="AI7" s="24"/>
      <c r="AJ7" s="24"/>
      <c r="AK7" s="24"/>
      <c r="AL7" s="24"/>
      <c r="AM7" s="24"/>
      <c r="AN7" s="24"/>
      <c r="AO7" s="24"/>
      <c r="AP7" s="24"/>
      <c r="AQ7" s="24"/>
      <c r="AR7" s="24"/>
    </row>
    <row r="8" spans="1:44">
      <c r="A8" s="12"/>
      <c r="B8" s="12"/>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12"/>
      <c r="AG8" s="25"/>
      <c r="AH8" s="25"/>
      <c r="AI8" s="25"/>
      <c r="AJ8" s="25"/>
      <c r="AK8" s="25"/>
      <c r="AL8" s="25"/>
      <c r="AM8" s="25"/>
      <c r="AN8" s="25"/>
      <c r="AO8" s="25"/>
      <c r="AP8" s="25"/>
      <c r="AQ8" s="25"/>
      <c r="AR8" s="25"/>
    </row>
    <row r="9" spans="1:44">
      <c r="A9" s="12"/>
      <c r="B9" s="12" t="s">
        <v>107</v>
      </c>
      <c r="C9" s="12"/>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12"/>
      <c r="AG9" s="25"/>
      <c r="AH9" s="25"/>
      <c r="AI9" s="25"/>
      <c r="AJ9" s="25"/>
      <c r="AK9" s="25"/>
      <c r="AL9" s="25"/>
      <c r="AM9" s="25"/>
      <c r="AN9" s="25"/>
      <c r="AO9" s="25"/>
      <c r="AP9" s="25"/>
      <c r="AQ9" s="25"/>
      <c r="AR9" s="25"/>
    </row>
    <row r="10" spans="1:44">
      <c r="A10" s="12"/>
      <c r="B10" s="12" t="s">
        <v>108</v>
      </c>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25"/>
      <c r="AH10" s="25"/>
      <c r="AI10" s="25"/>
      <c r="AJ10" s="25"/>
      <c r="AK10" s="25"/>
      <c r="AL10" s="25"/>
      <c r="AM10" s="25"/>
      <c r="AN10" s="25"/>
      <c r="AO10" s="25"/>
      <c r="AP10" s="25"/>
      <c r="AQ10" s="25"/>
      <c r="AR10" s="25"/>
    </row>
    <row r="11" spans="1:44">
      <c r="A11" s="12"/>
      <c r="B11" s="12" t="s">
        <v>109</v>
      </c>
      <c r="C11" s="26">
        <v>374</v>
      </c>
      <c r="D11" s="26">
        <v>327</v>
      </c>
      <c r="E11" s="26">
        <v>284</v>
      </c>
      <c r="F11" s="26">
        <v>250</v>
      </c>
      <c r="G11" s="26">
        <v>228</v>
      </c>
      <c r="H11" s="26">
        <v>208</v>
      </c>
      <c r="I11" s="26">
        <v>192</v>
      </c>
      <c r="J11" s="26">
        <v>183</v>
      </c>
      <c r="K11" s="26">
        <v>175</v>
      </c>
      <c r="L11" s="26">
        <v>169</v>
      </c>
      <c r="M11" s="26">
        <v>161</v>
      </c>
      <c r="N11" s="26">
        <v>157</v>
      </c>
      <c r="O11" s="26">
        <v>151</v>
      </c>
      <c r="P11" s="26">
        <v>147</v>
      </c>
      <c r="Q11" s="26">
        <v>146</v>
      </c>
      <c r="R11" s="26">
        <v>143</v>
      </c>
      <c r="S11" s="26">
        <v>142</v>
      </c>
      <c r="T11" s="26">
        <v>139</v>
      </c>
      <c r="U11" s="26">
        <v>138</v>
      </c>
      <c r="V11" s="26">
        <v>138</v>
      </c>
      <c r="W11" s="26">
        <v>137</v>
      </c>
      <c r="X11" s="26">
        <v>137</v>
      </c>
      <c r="Y11" s="26">
        <v>136</v>
      </c>
      <c r="Z11" s="26">
        <v>136</v>
      </c>
      <c r="AA11" s="26">
        <v>136</v>
      </c>
      <c r="AB11" s="26">
        <v>135</v>
      </c>
      <c r="AC11" s="26">
        <v>135</v>
      </c>
      <c r="AD11" s="26">
        <v>132</v>
      </c>
      <c r="AE11" s="26">
        <v>132</v>
      </c>
      <c r="AF11" s="12"/>
      <c r="AG11" s="25"/>
      <c r="AH11" s="25"/>
      <c r="AI11" s="25"/>
      <c r="AJ11" s="25"/>
      <c r="AK11" s="25"/>
      <c r="AL11" s="25"/>
      <c r="AM11" s="25"/>
      <c r="AN11" s="25"/>
      <c r="AO11" s="25"/>
      <c r="AP11" s="25"/>
      <c r="AQ11" s="25"/>
      <c r="AR11" s="25"/>
    </row>
    <row r="12" spans="1:44">
      <c r="A12" s="12"/>
      <c r="B12" s="12" t="s">
        <v>110</v>
      </c>
      <c r="C12" s="12"/>
      <c r="D12" s="12"/>
      <c r="E12" s="12"/>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12"/>
      <c r="AG12" s="25"/>
      <c r="AH12" s="25"/>
      <c r="AI12" s="25"/>
      <c r="AJ12" s="25"/>
      <c r="AK12" s="25"/>
      <c r="AL12" s="25"/>
      <c r="AM12" s="25"/>
      <c r="AN12" s="25"/>
      <c r="AO12" s="25"/>
      <c r="AP12" s="25"/>
      <c r="AQ12" s="25"/>
      <c r="AR12" s="25"/>
    </row>
    <row r="13" spans="1:44">
      <c r="A13" s="9"/>
      <c r="B13" s="12" t="s">
        <v>109</v>
      </c>
      <c r="C13" s="26">
        <v>79</v>
      </c>
      <c r="D13" s="26">
        <v>70</v>
      </c>
      <c r="E13" s="26">
        <v>64</v>
      </c>
      <c r="F13" s="26">
        <v>55</v>
      </c>
      <c r="G13" s="26">
        <v>52</v>
      </c>
      <c r="H13" s="26">
        <v>48</v>
      </c>
      <c r="I13" s="26">
        <v>44</v>
      </c>
      <c r="J13" s="26">
        <v>42</v>
      </c>
      <c r="K13" s="26">
        <v>38</v>
      </c>
      <c r="L13" s="26">
        <v>39</v>
      </c>
      <c r="M13" s="26">
        <v>35</v>
      </c>
      <c r="N13" s="26">
        <v>34</v>
      </c>
      <c r="O13" s="26">
        <v>34</v>
      </c>
      <c r="P13" s="26">
        <v>33</v>
      </c>
      <c r="Q13" s="26">
        <v>33</v>
      </c>
      <c r="R13" s="26">
        <v>30</v>
      </c>
      <c r="S13" s="26">
        <v>32</v>
      </c>
      <c r="T13" s="26">
        <v>32</v>
      </c>
      <c r="U13" s="26">
        <v>31</v>
      </c>
      <c r="V13" s="26">
        <v>31</v>
      </c>
      <c r="W13" s="26">
        <v>31</v>
      </c>
      <c r="X13" s="26">
        <v>28</v>
      </c>
      <c r="Y13" s="26">
        <v>30</v>
      </c>
      <c r="Z13" s="26">
        <v>30</v>
      </c>
      <c r="AA13" s="26">
        <v>30</v>
      </c>
      <c r="AB13" s="26">
        <v>30</v>
      </c>
      <c r="AC13" s="26">
        <v>27</v>
      </c>
      <c r="AD13" s="26">
        <v>29</v>
      </c>
      <c r="AE13" s="26">
        <v>29</v>
      </c>
      <c r="AF13" s="9"/>
      <c r="AG13" s="9"/>
      <c r="AH13" s="9"/>
      <c r="AI13" s="9"/>
      <c r="AJ13" s="9"/>
      <c r="AK13" s="9"/>
      <c r="AL13" s="9"/>
      <c r="AM13" s="9"/>
      <c r="AN13" s="9"/>
      <c r="AO13" s="9"/>
      <c r="AP13" s="9"/>
      <c r="AQ13" s="9"/>
      <c r="AR13" s="9"/>
    </row>
    <row r="14" spans="1:44">
      <c r="A14" s="9"/>
      <c r="B14" s="12" t="s">
        <v>111</v>
      </c>
      <c r="C14" s="12"/>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9"/>
      <c r="AG14" s="9"/>
      <c r="AH14" s="9"/>
      <c r="AI14" s="9"/>
      <c r="AJ14" s="9"/>
      <c r="AK14" s="9"/>
      <c r="AL14" s="9"/>
      <c r="AM14" s="9"/>
      <c r="AN14" s="9"/>
      <c r="AO14" s="9"/>
      <c r="AP14" s="9"/>
      <c r="AQ14" s="9"/>
      <c r="AR14" s="9"/>
    </row>
    <row r="15" spans="1:44">
      <c r="A15" s="9"/>
      <c r="B15" s="12" t="s">
        <v>109</v>
      </c>
      <c r="C15" s="26">
        <v>116</v>
      </c>
      <c r="D15" s="26">
        <v>107</v>
      </c>
      <c r="E15" s="26">
        <v>102</v>
      </c>
      <c r="F15" s="26">
        <v>97</v>
      </c>
      <c r="G15" s="26">
        <v>94</v>
      </c>
      <c r="H15" s="26">
        <v>91</v>
      </c>
      <c r="I15" s="26">
        <v>88</v>
      </c>
      <c r="J15" s="26">
        <v>86</v>
      </c>
      <c r="K15" s="26">
        <v>54</v>
      </c>
      <c r="L15" s="26">
        <v>53</v>
      </c>
      <c r="M15" s="26">
        <v>52</v>
      </c>
      <c r="N15" s="26">
        <v>51</v>
      </c>
      <c r="O15" s="26">
        <v>50</v>
      </c>
      <c r="P15" s="26">
        <v>49</v>
      </c>
      <c r="Q15" s="26">
        <v>48</v>
      </c>
      <c r="R15" s="26">
        <v>47</v>
      </c>
      <c r="S15" s="26">
        <v>46</v>
      </c>
      <c r="T15" s="26">
        <v>45</v>
      </c>
      <c r="U15" s="26">
        <v>44</v>
      </c>
      <c r="V15" s="26">
        <v>44</v>
      </c>
      <c r="W15" s="26">
        <v>43</v>
      </c>
      <c r="X15" s="26">
        <v>43</v>
      </c>
      <c r="Y15" s="26">
        <v>42</v>
      </c>
      <c r="Z15" s="26">
        <v>42</v>
      </c>
      <c r="AA15" s="26">
        <v>41</v>
      </c>
      <c r="AB15" s="26">
        <v>40</v>
      </c>
      <c r="AC15" s="26">
        <v>40</v>
      </c>
      <c r="AD15" s="26">
        <v>40</v>
      </c>
      <c r="AE15" s="26">
        <v>40</v>
      </c>
      <c r="AF15" s="9"/>
      <c r="AG15" s="9"/>
      <c r="AH15" s="9"/>
      <c r="AI15" s="9"/>
      <c r="AJ15" s="9"/>
      <c r="AK15" s="9"/>
      <c r="AL15" s="9"/>
      <c r="AM15" s="9"/>
      <c r="AN15" s="9"/>
      <c r="AO15" s="9"/>
      <c r="AP15" s="9"/>
      <c r="AQ15" s="9"/>
      <c r="AR15" s="9"/>
    </row>
    <row r="16" spans="1:44">
      <c r="A16" s="9"/>
      <c r="B16" s="9"/>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9"/>
      <c r="AG16" s="9"/>
      <c r="AH16" s="9"/>
      <c r="AI16" s="9"/>
      <c r="AJ16" s="9"/>
      <c r="AK16" s="9"/>
      <c r="AL16" s="9"/>
      <c r="AM16" s="9"/>
      <c r="AN16" s="9"/>
      <c r="AO16" s="9"/>
      <c r="AP16" s="9"/>
      <c r="AQ16" s="9"/>
      <c r="AR16" s="9"/>
    </row>
    <row r="17" spans="1:44">
      <c r="A17" s="9"/>
      <c r="B17" s="9"/>
      <c r="C17" s="9"/>
      <c r="D17" s="9"/>
      <c r="E17" s="9"/>
      <c r="F17" s="9"/>
      <c r="G17" s="9"/>
      <c r="H17" s="9"/>
      <c r="I17" s="9"/>
      <c r="J17" s="9"/>
      <c r="K17" s="9"/>
      <c r="L17" s="9"/>
      <c r="M17" s="9"/>
      <c r="N17" s="27"/>
      <c r="O17" s="28"/>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ht="20.45" thickBot="1">
      <c r="A18" s="9"/>
      <c r="B18" s="11" t="s">
        <v>112</v>
      </c>
      <c r="C18" s="11"/>
      <c r="D18" s="11"/>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row>
    <row r="19" spans="1:44" ht="16.149999999999999" thickTop="1">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row>
    <row r="20" spans="1:44">
      <c r="A20" s="9"/>
      <c r="B20" s="9"/>
      <c r="C20" s="9"/>
      <c r="D20" s="9"/>
      <c r="F20" s="9"/>
      <c r="G20" s="9" t="s">
        <v>38</v>
      </c>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row>
    <row r="21" spans="1:44">
      <c r="A21" s="9"/>
      <c r="B21" s="9" t="s">
        <v>112</v>
      </c>
      <c r="C21" s="29">
        <v>7.0000000000000007E-2</v>
      </c>
      <c r="D21" s="9"/>
      <c r="F21" s="9"/>
      <c r="G21" s="9" t="s">
        <v>113</v>
      </c>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row>
    <row r="22" spans="1:44">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row>
    <row r="23" spans="1:44">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row>
    <row r="24" spans="1:44">
      <c r="A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row>
    <row r="25" spans="1:44">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row>
    <row r="26" spans="1:44">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row>
    <row r="27" spans="1:44">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861D5-92D2-D641-8B69-D340B89E733B}">
  <dimension ref="A1:D17"/>
  <sheetViews>
    <sheetView workbookViewId="0">
      <selection sqref="A1:C1"/>
    </sheetView>
  </sheetViews>
  <sheetFormatPr defaultColWidth="11.125" defaultRowHeight="15.6"/>
  <cols>
    <col min="2" max="2" width="14" bestFit="1" customWidth="1"/>
    <col min="3" max="3" width="12" bestFit="1" customWidth="1"/>
  </cols>
  <sheetData>
    <row r="1" spans="1:4">
      <c r="A1" s="144" t="s">
        <v>114</v>
      </c>
      <c r="B1" s="144"/>
      <c r="C1" s="144"/>
    </row>
    <row r="2" spans="1:4">
      <c r="A2" t="s">
        <v>115</v>
      </c>
      <c r="B2" t="s">
        <v>116</v>
      </c>
    </row>
    <row r="3" spans="1:4">
      <c r="A3">
        <v>406</v>
      </c>
      <c r="B3">
        <v>79</v>
      </c>
    </row>
    <row r="4" spans="1:4">
      <c r="A4">
        <v>358</v>
      </c>
      <c r="B4">
        <v>29</v>
      </c>
    </row>
    <row r="6" spans="1:4">
      <c r="A6" t="s">
        <v>117</v>
      </c>
      <c r="B6">
        <f>(A3-A4)/(B3-B4)</f>
        <v>0.96</v>
      </c>
      <c r="C6" t="s">
        <v>118</v>
      </c>
    </row>
    <row r="9" spans="1:4">
      <c r="A9" s="144" t="s">
        <v>119</v>
      </c>
      <c r="B9" s="144"/>
    </row>
    <row r="10" spans="1:4">
      <c r="B10">
        <v>2024</v>
      </c>
      <c r="C10">
        <v>2050</v>
      </c>
    </row>
    <row r="11" spans="1:4">
      <c r="A11" t="s">
        <v>120</v>
      </c>
      <c r="B11">
        <v>116</v>
      </c>
      <c r="C11">
        <v>40</v>
      </c>
      <c r="D11" t="s">
        <v>111</v>
      </c>
    </row>
    <row r="12" spans="1:4">
      <c r="A12" t="s">
        <v>121</v>
      </c>
      <c r="B12">
        <v>64</v>
      </c>
      <c r="C12">
        <v>29</v>
      </c>
    </row>
    <row r="14" spans="1:4">
      <c r="A14" s="144" t="s">
        <v>122</v>
      </c>
      <c r="B14" s="144"/>
    </row>
    <row r="15" spans="1:4">
      <c r="B15">
        <v>2024</v>
      </c>
      <c r="C15">
        <v>2050</v>
      </c>
    </row>
    <row r="16" spans="1:4">
      <c r="A16" t="s">
        <v>120</v>
      </c>
      <c r="B16">
        <v>1477</v>
      </c>
      <c r="C16">
        <v>362</v>
      </c>
    </row>
    <row r="17" spans="1:4">
      <c r="A17" t="s">
        <v>121</v>
      </c>
      <c r="B17">
        <v>1284</v>
      </c>
      <c r="C17">
        <v>246</v>
      </c>
      <c r="D17" t="s">
        <v>123</v>
      </c>
    </row>
  </sheetData>
  <mergeCells count="3">
    <mergeCell ref="A1:C1"/>
    <mergeCell ref="A9:B9"/>
    <mergeCell ref="A14:B1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5CED7-41F6-FF44-BBF4-DBE0D457C1E0}">
  <sheetPr codeName="Sheet5"/>
  <dimension ref="A2:C2"/>
  <sheetViews>
    <sheetView workbookViewId="0"/>
  </sheetViews>
  <sheetFormatPr defaultColWidth="11.125" defaultRowHeight="15.6"/>
  <cols>
    <col min="1" max="1" width="13" bestFit="1" customWidth="1"/>
    <col min="2" max="2" width="68.5" bestFit="1" customWidth="1"/>
  </cols>
  <sheetData>
    <row r="2" spans="1:3">
      <c r="A2" t="s">
        <v>5</v>
      </c>
      <c r="B2" t="s">
        <v>39</v>
      </c>
      <c r="C2" t="s">
        <v>38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19E9D-493B-4DCE-A933-2A9A9AF40246}">
  <dimension ref="A1:AD57"/>
  <sheetViews>
    <sheetView zoomScale="91" zoomScaleNormal="95" workbookViewId="0">
      <pane ySplit="1" topLeftCell="A2" activePane="bottomLeft" state="frozen"/>
      <selection pane="bottomLeft" activeCell="S31" sqref="S31"/>
    </sheetView>
  </sheetViews>
  <sheetFormatPr defaultColWidth="8.875" defaultRowHeight="15.6" outlineLevelCol="2"/>
  <cols>
    <col min="1" max="1" width="9.125" bestFit="1" customWidth="1"/>
    <col min="2" max="2" width="26.125" customWidth="1" outlineLevel="1"/>
    <col min="3" max="3" width="8.875" hidden="1" customWidth="1" outlineLevel="2"/>
    <col min="4" max="4" width="7" hidden="1" customWidth="1" outlineLevel="2"/>
    <col min="5" max="5" width="11.625" hidden="1" customWidth="1" outlineLevel="2"/>
    <col min="6" max="6" width="16.625" hidden="1" customWidth="1" outlineLevel="2"/>
    <col min="7" max="8" width="8.875" hidden="1" customWidth="1" outlineLevel="2"/>
    <col min="9" max="9" width="10.625" hidden="1" customWidth="1" outlineLevel="2"/>
    <col min="10" max="10" width="8.375" bestFit="1" customWidth="1" outlineLevel="1" collapsed="1"/>
    <col min="12" max="13" width="8" customWidth="1"/>
    <col min="14" max="15" width="16.625" customWidth="1"/>
    <col min="16" max="16" width="20.625" customWidth="1"/>
    <col min="17" max="17" width="7" bestFit="1" customWidth="1"/>
    <col min="18" max="18" width="19.125" bestFit="1" customWidth="1"/>
    <col min="19" max="19" width="37.75" customWidth="1"/>
    <col min="20" max="20" width="34.25" customWidth="1"/>
    <col min="21" max="21" width="33.875" customWidth="1"/>
    <col min="22" max="22" width="15.125" bestFit="1" customWidth="1"/>
    <col min="23" max="23" width="20.625" bestFit="1" customWidth="1"/>
    <col min="24" max="30" width="8.625" bestFit="1" customWidth="1"/>
  </cols>
  <sheetData>
    <row r="1" spans="1:30">
      <c r="A1" s="1" t="s">
        <v>124</v>
      </c>
      <c r="B1" s="80" t="s">
        <v>125</v>
      </c>
      <c r="C1" s="80" t="s">
        <v>126</v>
      </c>
      <c r="D1" s="80" t="s">
        <v>127</v>
      </c>
      <c r="E1" s="80" t="s">
        <v>128</v>
      </c>
      <c r="F1" s="80" t="s">
        <v>129</v>
      </c>
      <c r="G1" s="80" t="s">
        <v>130</v>
      </c>
      <c r="H1" s="81" t="s">
        <v>131</v>
      </c>
      <c r="I1" s="81" t="s">
        <v>132</v>
      </c>
      <c r="J1" s="81" t="s">
        <v>133</v>
      </c>
      <c r="K1" s="81" t="s">
        <v>134</v>
      </c>
      <c r="L1" s="81" t="s">
        <v>135</v>
      </c>
      <c r="M1" s="81" t="s">
        <v>136</v>
      </c>
      <c r="N1" s="81" t="s">
        <v>137</v>
      </c>
      <c r="O1" s="1" t="s">
        <v>138</v>
      </c>
      <c r="P1" s="81" t="s">
        <v>139</v>
      </c>
      <c r="Q1" s="81" t="s">
        <v>140</v>
      </c>
      <c r="R1" s="82" t="s">
        <v>141</v>
      </c>
      <c r="S1" s="82" t="s">
        <v>142</v>
      </c>
      <c r="T1" s="82" t="s">
        <v>143</v>
      </c>
      <c r="U1" s="82" t="s">
        <v>144</v>
      </c>
      <c r="V1" s="82" t="s">
        <v>145</v>
      </c>
      <c r="W1" s="82" t="s">
        <v>146</v>
      </c>
      <c r="X1" s="82" t="s">
        <v>147</v>
      </c>
      <c r="Y1" s="82" t="s">
        <v>148</v>
      </c>
      <c r="Z1" s="82" t="s">
        <v>149</v>
      </c>
      <c r="AA1" s="82"/>
      <c r="AB1" s="82"/>
      <c r="AC1" s="82"/>
      <c r="AD1" s="82"/>
    </row>
    <row r="2" spans="1:30">
      <c r="A2" t="s">
        <v>150</v>
      </c>
      <c r="B2" t="s">
        <v>151</v>
      </c>
      <c r="C2" t="s">
        <v>152</v>
      </c>
      <c r="D2" t="s">
        <v>153</v>
      </c>
      <c r="E2">
        <v>2023</v>
      </c>
      <c r="F2" t="s">
        <v>154</v>
      </c>
      <c r="H2" t="s">
        <v>155</v>
      </c>
      <c r="L2" t="s">
        <v>156</v>
      </c>
      <c r="M2" t="s">
        <v>157</v>
      </c>
      <c r="N2" t="s">
        <v>158</v>
      </c>
      <c r="O2">
        <v>2022</v>
      </c>
      <c r="P2" t="s">
        <v>159</v>
      </c>
      <c r="Q2" t="s">
        <v>160</v>
      </c>
      <c r="S2" t="s">
        <v>161</v>
      </c>
      <c r="T2" t="s">
        <v>162</v>
      </c>
      <c r="U2" t="s">
        <v>163</v>
      </c>
      <c r="V2" t="s">
        <v>164</v>
      </c>
      <c r="W2" s="60" t="s">
        <v>165</v>
      </c>
    </row>
    <row r="3" spans="1:30">
      <c r="A3" t="s">
        <v>150</v>
      </c>
      <c r="B3" t="s">
        <v>151</v>
      </c>
      <c r="C3" t="s">
        <v>152</v>
      </c>
      <c r="D3" t="s">
        <v>153</v>
      </c>
      <c r="E3">
        <v>2023</v>
      </c>
      <c r="F3" t="s">
        <v>154</v>
      </c>
      <c r="H3" t="s">
        <v>155</v>
      </c>
      <c r="L3" t="s">
        <v>156</v>
      </c>
      <c r="M3" t="s">
        <v>157</v>
      </c>
      <c r="N3" t="s">
        <v>166</v>
      </c>
      <c r="O3">
        <v>2022</v>
      </c>
      <c r="P3" t="s">
        <v>167</v>
      </c>
      <c r="Q3" t="s">
        <v>160</v>
      </c>
      <c r="S3" t="s">
        <v>161</v>
      </c>
      <c r="T3" t="s">
        <v>162</v>
      </c>
      <c r="U3" t="s">
        <v>168</v>
      </c>
      <c r="V3" t="s">
        <v>164</v>
      </c>
      <c r="W3" s="60" t="s">
        <v>165</v>
      </c>
    </row>
    <row r="4" spans="1:30">
      <c r="A4" t="s">
        <v>150</v>
      </c>
      <c r="B4" t="s">
        <v>151</v>
      </c>
      <c r="C4" t="s">
        <v>152</v>
      </c>
      <c r="D4" t="s">
        <v>153</v>
      </c>
      <c r="E4">
        <v>2023</v>
      </c>
      <c r="F4" t="s">
        <v>154</v>
      </c>
      <c r="H4" t="s">
        <v>155</v>
      </c>
      <c r="L4" t="s">
        <v>156</v>
      </c>
      <c r="M4" t="s">
        <v>157</v>
      </c>
      <c r="N4" t="s">
        <v>169</v>
      </c>
      <c r="O4">
        <v>2022</v>
      </c>
      <c r="P4" t="s">
        <v>159</v>
      </c>
      <c r="Q4" t="s">
        <v>160</v>
      </c>
      <c r="S4" t="s">
        <v>170</v>
      </c>
      <c r="T4" t="s">
        <v>171</v>
      </c>
      <c r="U4" t="s">
        <v>172</v>
      </c>
      <c r="V4" t="s">
        <v>164</v>
      </c>
      <c r="W4" s="60"/>
    </row>
    <row r="5" spans="1:30">
      <c r="A5" t="s">
        <v>150</v>
      </c>
      <c r="B5" t="s">
        <v>151</v>
      </c>
      <c r="C5" t="s">
        <v>152</v>
      </c>
      <c r="D5" t="s">
        <v>153</v>
      </c>
      <c r="E5">
        <v>2023</v>
      </c>
      <c r="F5" t="s">
        <v>154</v>
      </c>
      <c r="H5" t="s">
        <v>155</v>
      </c>
      <c r="L5" t="s">
        <v>156</v>
      </c>
      <c r="M5" t="s">
        <v>157</v>
      </c>
      <c r="N5" t="s">
        <v>173</v>
      </c>
      <c r="O5">
        <v>2022</v>
      </c>
      <c r="P5" t="s">
        <v>159</v>
      </c>
      <c r="Q5" t="s">
        <v>160</v>
      </c>
      <c r="S5" t="s">
        <v>174</v>
      </c>
      <c r="T5" t="s">
        <v>171</v>
      </c>
      <c r="U5" t="s">
        <v>175</v>
      </c>
      <c r="V5" t="s">
        <v>164</v>
      </c>
      <c r="W5" s="60"/>
    </row>
    <row r="6" spans="1:30">
      <c r="A6" t="s">
        <v>150</v>
      </c>
      <c r="B6" t="s">
        <v>151</v>
      </c>
      <c r="C6" t="s">
        <v>152</v>
      </c>
      <c r="D6" t="s">
        <v>153</v>
      </c>
      <c r="E6">
        <v>2023</v>
      </c>
      <c r="F6" t="s">
        <v>154</v>
      </c>
      <c r="H6" t="s">
        <v>155</v>
      </c>
      <c r="L6" t="s">
        <v>176</v>
      </c>
      <c r="M6" t="s">
        <v>177</v>
      </c>
      <c r="N6" t="s">
        <v>158</v>
      </c>
      <c r="O6">
        <v>2050</v>
      </c>
      <c r="P6" t="s">
        <v>159</v>
      </c>
      <c r="Q6" t="s">
        <v>160</v>
      </c>
      <c r="S6" t="s">
        <v>178</v>
      </c>
      <c r="T6" t="s">
        <v>179</v>
      </c>
      <c r="U6" t="s">
        <v>168</v>
      </c>
      <c r="V6" t="s">
        <v>164</v>
      </c>
      <c r="W6" s="60"/>
    </row>
    <row r="7" spans="1:30">
      <c r="A7" t="s">
        <v>150</v>
      </c>
      <c r="B7" t="s">
        <v>151</v>
      </c>
      <c r="C7" t="s">
        <v>152</v>
      </c>
      <c r="D7" t="s">
        <v>153</v>
      </c>
      <c r="E7">
        <v>2023</v>
      </c>
      <c r="F7" t="s">
        <v>154</v>
      </c>
      <c r="H7" t="s">
        <v>155</v>
      </c>
      <c r="L7" t="s">
        <v>176</v>
      </c>
      <c r="M7" t="s">
        <v>177</v>
      </c>
      <c r="N7" t="s">
        <v>166</v>
      </c>
      <c r="O7">
        <v>2050</v>
      </c>
      <c r="P7" t="s">
        <v>167</v>
      </c>
      <c r="Q7" t="s">
        <v>160</v>
      </c>
      <c r="S7" t="s">
        <v>180</v>
      </c>
      <c r="T7" t="s">
        <v>179</v>
      </c>
      <c r="U7" t="s">
        <v>181</v>
      </c>
      <c r="V7" t="s">
        <v>164</v>
      </c>
      <c r="W7" s="60"/>
    </row>
    <row r="8" spans="1:30">
      <c r="A8" t="s">
        <v>150</v>
      </c>
      <c r="B8" t="s">
        <v>151</v>
      </c>
      <c r="C8" t="s">
        <v>152</v>
      </c>
      <c r="D8" t="s">
        <v>153</v>
      </c>
      <c r="E8">
        <v>2023</v>
      </c>
      <c r="F8" t="s">
        <v>154</v>
      </c>
      <c r="H8" t="s">
        <v>155</v>
      </c>
      <c r="L8" t="s">
        <v>176</v>
      </c>
      <c r="M8" t="s">
        <v>177</v>
      </c>
      <c r="N8" t="s">
        <v>169</v>
      </c>
      <c r="O8">
        <v>2050</v>
      </c>
      <c r="P8" t="s">
        <v>159</v>
      </c>
      <c r="Q8" t="s">
        <v>160</v>
      </c>
      <c r="S8" t="s">
        <v>182</v>
      </c>
      <c r="T8" t="s">
        <v>179</v>
      </c>
      <c r="U8" t="s">
        <v>183</v>
      </c>
      <c r="V8" t="s">
        <v>164</v>
      </c>
      <c r="W8" s="60"/>
    </row>
    <row r="9" spans="1:30">
      <c r="A9" t="s">
        <v>150</v>
      </c>
      <c r="B9" t="s">
        <v>151</v>
      </c>
      <c r="C9" t="s">
        <v>152</v>
      </c>
      <c r="D9" t="s">
        <v>153</v>
      </c>
      <c r="E9">
        <v>2023</v>
      </c>
      <c r="F9" t="s">
        <v>154</v>
      </c>
      <c r="H9" t="s">
        <v>155</v>
      </c>
      <c r="L9" t="s">
        <v>176</v>
      </c>
      <c r="M9" t="s">
        <v>177</v>
      </c>
      <c r="N9" t="s">
        <v>173</v>
      </c>
      <c r="O9">
        <v>2050</v>
      </c>
      <c r="P9" t="s">
        <v>159</v>
      </c>
      <c r="Q9" t="s">
        <v>160</v>
      </c>
      <c r="S9" t="s">
        <v>184</v>
      </c>
      <c r="T9" t="s">
        <v>179</v>
      </c>
      <c r="U9" t="s">
        <v>175</v>
      </c>
      <c r="V9" t="s">
        <v>164</v>
      </c>
      <c r="W9" s="60"/>
    </row>
    <row r="10" spans="1:30">
      <c r="A10" t="s">
        <v>150</v>
      </c>
      <c r="B10" t="s">
        <v>185</v>
      </c>
      <c r="C10" t="s">
        <v>186</v>
      </c>
      <c r="D10" t="s">
        <v>187</v>
      </c>
      <c r="E10">
        <v>2024</v>
      </c>
      <c r="F10" t="s">
        <v>188</v>
      </c>
      <c r="H10" t="s">
        <v>155</v>
      </c>
      <c r="L10" t="s">
        <v>156</v>
      </c>
      <c r="M10" t="s">
        <v>157</v>
      </c>
      <c r="N10" t="s">
        <v>158</v>
      </c>
      <c r="O10">
        <v>2022</v>
      </c>
      <c r="P10" t="s">
        <v>189</v>
      </c>
      <c r="Q10" t="s">
        <v>160</v>
      </c>
      <c r="S10" t="s">
        <v>190</v>
      </c>
      <c r="T10" t="s">
        <v>162</v>
      </c>
      <c r="U10" t="s">
        <v>163</v>
      </c>
      <c r="V10" t="s">
        <v>164</v>
      </c>
      <c r="W10" s="60"/>
    </row>
    <row r="11" spans="1:30">
      <c r="A11" t="s">
        <v>150</v>
      </c>
      <c r="B11" t="s">
        <v>185</v>
      </c>
      <c r="C11" t="s">
        <v>186</v>
      </c>
      <c r="D11" t="s">
        <v>187</v>
      </c>
      <c r="E11">
        <v>2024</v>
      </c>
      <c r="F11" t="s">
        <v>188</v>
      </c>
      <c r="H11" t="s">
        <v>155</v>
      </c>
      <c r="L11" t="s">
        <v>176</v>
      </c>
      <c r="M11" t="s">
        <v>177</v>
      </c>
      <c r="N11" t="s">
        <v>158</v>
      </c>
      <c r="O11">
        <v>2050</v>
      </c>
      <c r="P11" t="s">
        <v>189</v>
      </c>
      <c r="Q11" t="s">
        <v>160</v>
      </c>
      <c r="S11" t="s">
        <v>190</v>
      </c>
      <c r="T11" t="s">
        <v>162</v>
      </c>
      <c r="U11" t="s">
        <v>163</v>
      </c>
      <c r="V11" t="s">
        <v>164</v>
      </c>
      <c r="W11" s="60"/>
    </row>
    <row r="12" spans="1:30">
      <c r="A12" t="s">
        <v>150</v>
      </c>
      <c r="B12" t="s">
        <v>185</v>
      </c>
      <c r="C12" t="s">
        <v>186</v>
      </c>
      <c r="D12" t="s">
        <v>187</v>
      </c>
      <c r="E12">
        <v>2024</v>
      </c>
      <c r="F12" t="s">
        <v>188</v>
      </c>
      <c r="H12" t="s">
        <v>155</v>
      </c>
      <c r="L12" t="s">
        <v>156</v>
      </c>
      <c r="M12" t="s">
        <v>157</v>
      </c>
      <c r="N12" t="s">
        <v>166</v>
      </c>
      <c r="O12">
        <v>2022</v>
      </c>
      <c r="P12" t="s">
        <v>189</v>
      </c>
      <c r="Q12" t="s">
        <v>160</v>
      </c>
      <c r="S12" t="s">
        <v>190</v>
      </c>
      <c r="T12" t="s">
        <v>162</v>
      </c>
      <c r="U12" t="s">
        <v>191</v>
      </c>
      <c r="V12" t="s">
        <v>164</v>
      </c>
      <c r="W12" s="60"/>
    </row>
    <row r="13" spans="1:30">
      <c r="A13" t="s">
        <v>150</v>
      </c>
      <c r="B13" t="s">
        <v>185</v>
      </c>
      <c r="C13" t="s">
        <v>186</v>
      </c>
      <c r="D13" t="s">
        <v>187</v>
      </c>
      <c r="E13">
        <v>2024</v>
      </c>
      <c r="F13" t="s">
        <v>188</v>
      </c>
      <c r="H13" t="s">
        <v>155</v>
      </c>
      <c r="L13" t="s">
        <v>176</v>
      </c>
      <c r="M13" t="s">
        <v>177</v>
      </c>
      <c r="N13" t="s">
        <v>166</v>
      </c>
      <c r="O13">
        <v>2050</v>
      </c>
      <c r="P13" t="s">
        <v>189</v>
      </c>
      <c r="Q13" t="s">
        <v>160</v>
      </c>
      <c r="S13" t="s">
        <v>192</v>
      </c>
      <c r="T13" t="s">
        <v>162</v>
      </c>
      <c r="U13" t="s">
        <v>193</v>
      </c>
      <c r="V13" t="s">
        <v>164</v>
      </c>
      <c r="W13" s="60"/>
    </row>
    <row r="14" spans="1:30">
      <c r="A14" t="s">
        <v>150</v>
      </c>
      <c r="B14" t="s">
        <v>185</v>
      </c>
      <c r="C14" t="s">
        <v>186</v>
      </c>
      <c r="D14" t="s">
        <v>187</v>
      </c>
      <c r="E14">
        <v>2024</v>
      </c>
      <c r="F14" t="s">
        <v>188</v>
      </c>
      <c r="H14" t="s">
        <v>155</v>
      </c>
      <c r="L14" t="s">
        <v>156</v>
      </c>
      <c r="M14" t="s">
        <v>157</v>
      </c>
      <c r="N14" t="s">
        <v>173</v>
      </c>
      <c r="O14">
        <v>2022</v>
      </c>
      <c r="P14" t="s">
        <v>189</v>
      </c>
      <c r="Q14" t="s">
        <v>160</v>
      </c>
      <c r="S14" t="s">
        <v>194</v>
      </c>
      <c r="T14" t="s">
        <v>195</v>
      </c>
      <c r="U14" t="s">
        <v>196</v>
      </c>
      <c r="V14" t="s">
        <v>164</v>
      </c>
      <c r="W14" s="60"/>
    </row>
    <row r="15" spans="1:30">
      <c r="A15" t="s">
        <v>150</v>
      </c>
      <c r="B15" t="s">
        <v>185</v>
      </c>
      <c r="C15" t="s">
        <v>186</v>
      </c>
      <c r="D15" t="s">
        <v>187</v>
      </c>
      <c r="E15">
        <v>2024</v>
      </c>
      <c r="F15" t="s">
        <v>188</v>
      </c>
      <c r="H15" t="s">
        <v>155</v>
      </c>
      <c r="L15" t="s">
        <v>176</v>
      </c>
      <c r="M15" t="s">
        <v>177</v>
      </c>
      <c r="N15" t="s">
        <v>173</v>
      </c>
      <c r="O15">
        <v>2050</v>
      </c>
      <c r="P15" t="s">
        <v>189</v>
      </c>
      <c r="Q15" t="s">
        <v>160</v>
      </c>
      <c r="S15" t="s">
        <v>197</v>
      </c>
      <c r="T15" t="s">
        <v>198</v>
      </c>
      <c r="U15" t="s">
        <v>196</v>
      </c>
      <c r="V15" t="s">
        <v>164</v>
      </c>
      <c r="W15" s="60"/>
    </row>
    <row r="16" spans="1:30">
      <c r="A16" t="s">
        <v>150</v>
      </c>
      <c r="B16" t="s">
        <v>199</v>
      </c>
      <c r="C16" t="s">
        <v>200</v>
      </c>
      <c r="D16" t="s">
        <v>201</v>
      </c>
      <c r="E16">
        <v>2020</v>
      </c>
      <c r="F16" t="s">
        <v>202</v>
      </c>
      <c r="H16" t="s">
        <v>155</v>
      </c>
      <c r="L16" t="s">
        <v>203</v>
      </c>
      <c r="M16" t="s">
        <v>157</v>
      </c>
      <c r="N16" t="s">
        <v>166</v>
      </c>
      <c r="O16">
        <v>2022</v>
      </c>
      <c r="P16" t="s">
        <v>159</v>
      </c>
      <c r="Q16" t="s">
        <v>160</v>
      </c>
      <c r="S16" s="35" t="s">
        <v>204</v>
      </c>
      <c r="V16" t="s">
        <v>205</v>
      </c>
      <c r="W16" s="60"/>
      <c r="X16" t="s">
        <v>206</v>
      </c>
      <c r="Y16" t="s">
        <v>207</v>
      </c>
      <c r="Z16" t="s">
        <v>196</v>
      </c>
    </row>
    <row r="17" spans="1:26">
      <c r="A17" t="s">
        <v>150</v>
      </c>
      <c r="B17" t="s">
        <v>208</v>
      </c>
      <c r="C17" t="s">
        <v>152</v>
      </c>
      <c r="D17" t="s">
        <v>209</v>
      </c>
      <c r="E17">
        <v>2022</v>
      </c>
      <c r="F17" t="s">
        <v>210</v>
      </c>
      <c r="H17" t="s">
        <v>155</v>
      </c>
      <c r="L17" t="s">
        <v>211</v>
      </c>
      <c r="M17" t="s">
        <v>177</v>
      </c>
      <c r="N17" t="s">
        <v>166</v>
      </c>
      <c r="O17">
        <v>2022</v>
      </c>
      <c r="P17" t="s">
        <v>212</v>
      </c>
      <c r="Q17" t="s">
        <v>160</v>
      </c>
      <c r="S17" s="35" t="s">
        <v>204</v>
      </c>
      <c r="V17" t="s">
        <v>205</v>
      </c>
      <c r="W17" s="60"/>
      <c r="X17" t="s">
        <v>213</v>
      </c>
      <c r="Y17" t="s">
        <v>207</v>
      </c>
      <c r="Z17" t="s">
        <v>196</v>
      </c>
    </row>
    <row r="18" spans="1:26">
      <c r="A18" t="s">
        <v>150</v>
      </c>
      <c r="B18" t="s">
        <v>214</v>
      </c>
      <c r="C18" t="s">
        <v>215</v>
      </c>
      <c r="D18" t="s">
        <v>216</v>
      </c>
      <c r="E18">
        <v>2019</v>
      </c>
      <c r="F18" t="s">
        <v>217</v>
      </c>
      <c r="H18" t="s">
        <v>155</v>
      </c>
      <c r="M18" t="s">
        <v>157</v>
      </c>
      <c r="N18" t="s">
        <v>158</v>
      </c>
      <c r="S18" t="s">
        <v>218</v>
      </c>
      <c r="T18" t="s">
        <v>219</v>
      </c>
      <c r="U18" t="s">
        <v>196</v>
      </c>
      <c r="V18" t="s">
        <v>220</v>
      </c>
      <c r="W18" s="60"/>
    </row>
    <row r="19" spans="1:26">
      <c r="A19" t="s">
        <v>150</v>
      </c>
      <c r="B19" t="s">
        <v>214</v>
      </c>
      <c r="C19" t="s">
        <v>215</v>
      </c>
      <c r="D19" t="s">
        <v>216</v>
      </c>
      <c r="E19">
        <v>2019</v>
      </c>
      <c r="F19" t="s">
        <v>217</v>
      </c>
      <c r="H19" t="s">
        <v>155</v>
      </c>
      <c r="M19" t="s">
        <v>157</v>
      </c>
      <c r="N19" t="s">
        <v>166</v>
      </c>
      <c r="S19" t="s">
        <v>221</v>
      </c>
      <c r="T19" t="s">
        <v>219</v>
      </c>
      <c r="U19" t="s">
        <v>222</v>
      </c>
      <c r="V19" t="s">
        <v>220</v>
      </c>
      <c r="W19" s="60"/>
    </row>
    <row r="20" spans="1:26">
      <c r="A20" t="s">
        <v>150</v>
      </c>
      <c r="B20" t="s">
        <v>223</v>
      </c>
      <c r="C20" t="s">
        <v>224</v>
      </c>
      <c r="D20" t="s">
        <v>225</v>
      </c>
      <c r="E20">
        <v>2013</v>
      </c>
      <c r="F20" t="s">
        <v>226</v>
      </c>
      <c r="H20" t="s">
        <v>155</v>
      </c>
      <c r="M20" t="s">
        <v>157</v>
      </c>
      <c r="N20" t="s">
        <v>158</v>
      </c>
      <c r="S20" s="35" t="s">
        <v>204</v>
      </c>
      <c r="V20" t="s">
        <v>205</v>
      </c>
      <c r="W20" s="60"/>
    </row>
    <row r="21" spans="1:26">
      <c r="A21" t="s">
        <v>150</v>
      </c>
      <c r="B21" t="s">
        <v>227</v>
      </c>
      <c r="C21" t="s">
        <v>200</v>
      </c>
      <c r="D21" t="s">
        <v>228</v>
      </c>
      <c r="E21">
        <v>2014</v>
      </c>
      <c r="F21" s="49" t="s">
        <v>229</v>
      </c>
      <c r="H21" t="s">
        <v>155</v>
      </c>
      <c r="M21" t="s">
        <v>157</v>
      </c>
      <c r="N21" t="s">
        <v>158</v>
      </c>
      <c r="S21" s="35" t="s">
        <v>204</v>
      </c>
      <c r="V21" t="s">
        <v>205</v>
      </c>
      <c r="W21" s="60"/>
    </row>
    <row r="22" spans="1:26">
      <c r="A22" t="s">
        <v>150</v>
      </c>
      <c r="B22" t="s">
        <v>230</v>
      </c>
      <c r="C22" t="s">
        <v>200</v>
      </c>
      <c r="D22" t="s">
        <v>231</v>
      </c>
      <c r="E22">
        <v>2024</v>
      </c>
      <c r="F22" t="s">
        <v>232</v>
      </c>
      <c r="H22" t="s">
        <v>155</v>
      </c>
      <c r="M22" t="s">
        <v>157</v>
      </c>
      <c r="N22" t="s">
        <v>233</v>
      </c>
      <c r="S22" s="35" t="s">
        <v>204</v>
      </c>
      <c r="V22" t="s">
        <v>205</v>
      </c>
      <c r="W22" s="60"/>
    </row>
    <row r="23" spans="1:26">
      <c r="A23" t="s">
        <v>150</v>
      </c>
      <c r="B23" t="s">
        <v>230</v>
      </c>
      <c r="C23" t="s">
        <v>200</v>
      </c>
      <c r="D23" t="s">
        <v>231</v>
      </c>
      <c r="E23">
        <v>2024</v>
      </c>
      <c r="F23" t="s">
        <v>232</v>
      </c>
      <c r="H23" t="s">
        <v>155</v>
      </c>
      <c r="M23" t="s">
        <v>157</v>
      </c>
      <c r="N23" t="s">
        <v>233</v>
      </c>
      <c r="S23" s="35" t="s">
        <v>204</v>
      </c>
      <c r="V23" t="s">
        <v>205</v>
      </c>
      <c r="W23" s="60"/>
    </row>
    <row r="24" spans="1:26">
      <c r="A24" t="s">
        <v>150</v>
      </c>
      <c r="B24" t="s">
        <v>234</v>
      </c>
      <c r="C24" t="s">
        <v>200</v>
      </c>
      <c r="D24" t="s">
        <v>235</v>
      </c>
      <c r="E24">
        <v>2024</v>
      </c>
      <c r="F24" t="s">
        <v>236</v>
      </c>
      <c r="H24" t="s">
        <v>155</v>
      </c>
      <c r="M24" t="s">
        <v>157</v>
      </c>
      <c r="N24" t="s">
        <v>166</v>
      </c>
      <c r="S24" t="s">
        <v>237</v>
      </c>
      <c r="T24" t="s">
        <v>238</v>
      </c>
      <c r="U24" t="s">
        <v>239</v>
      </c>
      <c r="V24" t="s">
        <v>164</v>
      </c>
      <c r="W24" s="60"/>
    </row>
    <row r="25" spans="1:26">
      <c r="A25" t="s">
        <v>150</v>
      </c>
      <c r="B25" t="s">
        <v>240</v>
      </c>
      <c r="C25" t="s">
        <v>241</v>
      </c>
      <c r="D25" t="s">
        <v>242</v>
      </c>
      <c r="E25">
        <v>2021</v>
      </c>
      <c r="F25" t="s">
        <v>243</v>
      </c>
      <c r="H25" t="s">
        <v>155</v>
      </c>
      <c r="L25" t="s">
        <v>211</v>
      </c>
      <c r="M25" t="s">
        <v>157</v>
      </c>
      <c r="N25" s="58" t="s">
        <v>158</v>
      </c>
      <c r="O25">
        <v>2021</v>
      </c>
      <c r="Q25" t="s">
        <v>160</v>
      </c>
      <c r="S25" t="s">
        <v>244</v>
      </c>
      <c r="T25" t="s">
        <v>245</v>
      </c>
      <c r="U25" t="s">
        <v>246</v>
      </c>
      <c r="V25" t="s">
        <v>220</v>
      </c>
      <c r="W25" s="60"/>
    </row>
    <row r="26" spans="1:26">
      <c r="A26" t="s">
        <v>150</v>
      </c>
      <c r="B26" t="s">
        <v>247</v>
      </c>
      <c r="C26" t="s">
        <v>200</v>
      </c>
      <c r="D26" t="s">
        <v>248</v>
      </c>
      <c r="E26">
        <v>2023</v>
      </c>
      <c r="F26" t="s">
        <v>249</v>
      </c>
      <c r="H26" t="s">
        <v>155</v>
      </c>
      <c r="M26" t="s">
        <v>157</v>
      </c>
      <c r="N26" t="s">
        <v>166</v>
      </c>
      <c r="S26" s="35" t="s">
        <v>204</v>
      </c>
      <c r="V26" t="s">
        <v>205</v>
      </c>
      <c r="W26" s="60"/>
    </row>
    <row r="27" spans="1:26">
      <c r="A27" t="s">
        <v>150</v>
      </c>
      <c r="B27" t="s">
        <v>247</v>
      </c>
      <c r="C27" t="s">
        <v>200</v>
      </c>
      <c r="D27" t="s">
        <v>248</v>
      </c>
      <c r="E27">
        <v>2023</v>
      </c>
      <c r="F27" t="s">
        <v>249</v>
      </c>
      <c r="H27" t="s">
        <v>155</v>
      </c>
      <c r="M27" t="s">
        <v>157</v>
      </c>
      <c r="N27" t="s">
        <v>250</v>
      </c>
      <c r="S27" s="35" t="s">
        <v>204</v>
      </c>
      <c r="V27" t="s">
        <v>205</v>
      </c>
      <c r="W27" s="60"/>
    </row>
    <row r="28" spans="1:26" s="48" customFormat="1">
      <c r="A28" s="48" t="s">
        <v>150</v>
      </c>
      <c r="B28" s="48" t="s">
        <v>251</v>
      </c>
      <c r="C28" s="48" t="s">
        <v>252</v>
      </c>
      <c r="D28" s="48" t="s">
        <v>253</v>
      </c>
      <c r="E28" s="48">
        <v>2019</v>
      </c>
      <c r="F28" s="48" t="s">
        <v>254</v>
      </c>
      <c r="H28" s="48" t="s">
        <v>155</v>
      </c>
      <c r="N28" s="48" t="s">
        <v>166</v>
      </c>
      <c r="S28" s="35" t="s">
        <v>204</v>
      </c>
      <c r="W28" s="90"/>
    </row>
    <row r="29" spans="1:26">
      <c r="A29" t="s">
        <v>150</v>
      </c>
      <c r="B29" t="s">
        <v>255</v>
      </c>
      <c r="C29" t="s">
        <v>256</v>
      </c>
      <c r="D29" t="s">
        <v>257</v>
      </c>
      <c r="E29">
        <v>2011</v>
      </c>
      <c r="F29" t="s">
        <v>258</v>
      </c>
      <c r="H29" t="s">
        <v>155</v>
      </c>
      <c r="M29" t="s">
        <v>157</v>
      </c>
      <c r="N29" t="s">
        <v>259</v>
      </c>
      <c r="S29" s="35" t="s">
        <v>204</v>
      </c>
      <c r="V29" t="s">
        <v>205</v>
      </c>
      <c r="W29" s="60"/>
    </row>
    <row r="30" spans="1:26" s="48" customFormat="1">
      <c r="A30" s="48" t="s">
        <v>260</v>
      </c>
      <c r="B30" s="90" t="s">
        <v>261</v>
      </c>
      <c r="C30" s="48" t="s">
        <v>262</v>
      </c>
      <c r="D30" s="48" t="s">
        <v>263</v>
      </c>
      <c r="E30" s="48">
        <v>2021</v>
      </c>
      <c r="F30" s="48" t="s">
        <v>264</v>
      </c>
      <c r="H30" s="48" t="s">
        <v>155</v>
      </c>
      <c r="I30" s="48" t="s">
        <v>265</v>
      </c>
      <c r="L30" s="48" t="s">
        <v>266</v>
      </c>
      <c r="S30" s="35" t="s">
        <v>204</v>
      </c>
      <c r="W30" s="90"/>
    </row>
    <row r="31" spans="1:26">
      <c r="A31" t="s">
        <v>150</v>
      </c>
      <c r="B31" t="s">
        <v>267</v>
      </c>
      <c r="C31" t="s">
        <v>268</v>
      </c>
      <c r="D31" t="s">
        <v>269</v>
      </c>
      <c r="E31">
        <v>2023</v>
      </c>
      <c r="F31" t="s">
        <v>270</v>
      </c>
      <c r="H31" t="s">
        <v>155</v>
      </c>
      <c r="M31" t="s">
        <v>157</v>
      </c>
      <c r="N31" t="s">
        <v>158</v>
      </c>
      <c r="S31" s="35" t="s">
        <v>204</v>
      </c>
      <c r="V31" t="s">
        <v>205</v>
      </c>
      <c r="W31" s="60"/>
    </row>
    <row r="32" spans="1:26">
      <c r="A32" t="s">
        <v>150</v>
      </c>
      <c r="B32" t="s">
        <v>267</v>
      </c>
      <c r="C32" t="s">
        <v>268</v>
      </c>
      <c r="D32" t="s">
        <v>269</v>
      </c>
      <c r="E32">
        <v>2023</v>
      </c>
      <c r="F32" t="s">
        <v>270</v>
      </c>
      <c r="H32" t="s">
        <v>155</v>
      </c>
      <c r="M32" t="s">
        <v>157</v>
      </c>
      <c r="N32" t="s">
        <v>166</v>
      </c>
      <c r="S32" s="35" t="s">
        <v>204</v>
      </c>
      <c r="V32" t="s">
        <v>205</v>
      </c>
      <c r="W32" s="60"/>
    </row>
    <row r="33" spans="1:23">
      <c r="A33" t="s">
        <v>150</v>
      </c>
      <c r="B33" t="s">
        <v>271</v>
      </c>
      <c r="C33" t="s">
        <v>272</v>
      </c>
      <c r="D33" t="s">
        <v>273</v>
      </c>
      <c r="E33">
        <v>2022</v>
      </c>
      <c r="F33" t="s">
        <v>274</v>
      </c>
      <c r="H33" t="s">
        <v>155</v>
      </c>
      <c r="M33" t="s">
        <v>157</v>
      </c>
      <c r="N33" t="s">
        <v>158</v>
      </c>
      <c r="S33" s="35" t="s">
        <v>204</v>
      </c>
      <c r="V33" t="s">
        <v>205</v>
      </c>
      <c r="W33" s="60"/>
    </row>
    <row r="34" spans="1:23">
      <c r="A34" t="s">
        <v>150</v>
      </c>
      <c r="B34" t="s">
        <v>275</v>
      </c>
      <c r="C34" t="s">
        <v>186</v>
      </c>
      <c r="D34" t="s">
        <v>276</v>
      </c>
      <c r="E34">
        <v>2018</v>
      </c>
      <c r="F34" t="s">
        <v>277</v>
      </c>
      <c r="H34" t="s">
        <v>155</v>
      </c>
      <c r="M34" t="s">
        <v>157</v>
      </c>
      <c r="N34" t="s">
        <v>158</v>
      </c>
      <c r="S34" s="35" t="s">
        <v>204</v>
      </c>
      <c r="V34" t="s">
        <v>205</v>
      </c>
      <c r="W34" s="60"/>
    </row>
    <row r="35" spans="1:23">
      <c r="A35" t="s">
        <v>150</v>
      </c>
      <c r="B35" t="s">
        <v>278</v>
      </c>
      <c r="C35" t="s">
        <v>279</v>
      </c>
      <c r="D35" t="s">
        <v>280</v>
      </c>
      <c r="E35">
        <v>2024</v>
      </c>
      <c r="F35" t="s">
        <v>281</v>
      </c>
      <c r="H35" t="s">
        <v>155</v>
      </c>
      <c r="M35" t="s">
        <v>157</v>
      </c>
      <c r="N35" t="s">
        <v>166</v>
      </c>
      <c r="O35">
        <v>2023</v>
      </c>
      <c r="P35" t="s">
        <v>282</v>
      </c>
      <c r="Q35" t="s">
        <v>160</v>
      </c>
      <c r="S35" t="s">
        <v>283</v>
      </c>
      <c r="T35" t="s">
        <v>162</v>
      </c>
      <c r="U35" t="s">
        <v>168</v>
      </c>
      <c r="V35" t="s">
        <v>284</v>
      </c>
      <c r="W35" s="60"/>
    </row>
    <row r="36" spans="1:23">
      <c r="A36" t="s">
        <v>150</v>
      </c>
      <c r="B36" t="s">
        <v>285</v>
      </c>
      <c r="C36" t="s">
        <v>286</v>
      </c>
      <c r="D36" t="s">
        <v>287</v>
      </c>
      <c r="E36">
        <v>2024</v>
      </c>
      <c r="F36" t="s">
        <v>288</v>
      </c>
      <c r="H36" t="s">
        <v>155</v>
      </c>
      <c r="M36" t="s">
        <v>157</v>
      </c>
      <c r="N36" t="s">
        <v>158</v>
      </c>
      <c r="S36" s="35" t="s">
        <v>204</v>
      </c>
      <c r="V36" t="s">
        <v>205</v>
      </c>
      <c r="W36" s="60"/>
    </row>
    <row r="37" spans="1:23">
      <c r="A37" t="s">
        <v>150</v>
      </c>
      <c r="B37" t="s">
        <v>285</v>
      </c>
      <c r="C37" t="s">
        <v>286</v>
      </c>
      <c r="D37" t="s">
        <v>287</v>
      </c>
      <c r="E37">
        <v>2024</v>
      </c>
      <c r="F37" t="s">
        <v>288</v>
      </c>
      <c r="H37" t="s">
        <v>155</v>
      </c>
      <c r="M37" t="s">
        <v>157</v>
      </c>
      <c r="N37" t="s">
        <v>169</v>
      </c>
      <c r="S37" s="35" t="s">
        <v>204</v>
      </c>
      <c r="V37" t="s">
        <v>205</v>
      </c>
      <c r="W37" s="60"/>
    </row>
    <row r="38" spans="1:23">
      <c r="A38" t="s">
        <v>150</v>
      </c>
      <c r="B38" t="s">
        <v>285</v>
      </c>
      <c r="C38" t="s">
        <v>286</v>
      </c>
      <c r="D38" t="s">
        <v>287</v>
      </c>
      <c r="E38">
        <v>2024</v>
      </c>
      <c r="F38" t="s">
        <v>288</v>
      </c>
      <c r="H38" t="s">
        <v>155</v>
      </c>
      <c r="M38" t="s">
        <v>157</v>
      </c>
      <c r="N38" t="s">
        <v>166</v>
      </c>
      <c r="S38" s="35" t="s">
        <v>204</v>
      </c>
      <c r="V38" t="s">
        <v>205</v>
      </c>
      <c r="W38" s="60"/>
    </row>
    <row r="39" spans="1:23">
      <c r="A39" t="s">
        <v>150</v>
      </c>
      <c r="B39" t="s">
        <v>285</v>
      </c>
      <c r="C39" t="s">
        <v>286</v>
      </c>
      <c r="D39" t="s">
        <v>287</v>
      </c>
      <c r="E39">
        <v>2024</v>
      </c>
      <c r="F39" t="s">
        <v>288</v>
      </c>
      <c r="H39" t="s">
        <v>155</v>
      </c>
      <c r="M39" t="s">
        <v>157</v>
      </c>
      <c r="N39" t="s">
        <v>289</v>
      </c>
      <c r="S39" s="35" t="s">
        <v>204</v>
      </c>
      <c r="V39" t="s">
        <v>205</v>
      </c>
      <c r="W39" s="60"/>
    </row>
    <row r="40" spans="1:23" s="48" customFormat="1">
      <c r="A40" s="48" t="s">
        <v>150</v>
      </c>
      <c r="B40" s="48" t="s">
        <v>290</v>
      </c>
      <c r="C40" s="48" t="s">
        <v>291</v>
      </c>
      <c r="D40" s="48" t="s">
        <v>292</v>
      </c>
      <c r="E40" s="48">
        <v>2020</v>
      </c>
      <c r="F40" s="48" t="s">
        <v>293</v>
      </c>
      <c r="H40" s="48" t="s">
        <v>155</v>
      </c>
      <c r="S40" s="35" t="s">
        <v>204</v>
      </c>
      <c r="W40" s="90"/>
    </row>
    <row r="41" spans="1:23">
      <c r="A41" t="s">
        <v>150</v>
      </c>
      <c r="B41" t="s">
        <v>294</v>
      </c>
      <c r="C41" t="s">
        <v>295</v>
      </c>
      <c r="D41" t="s">
        <v>296</v>
      </c>
      <c r="E41">
        <v>2020</v>
      </c>
      <c r="F41" t="s">
        <v>297</v>
      </c>
      <c r="H41" t="s">
        <v>155</v>
      </c>
      <c r="M41" t="s">
        <v>157</v>
      </c>
      <c r="N41" s="58" t="s">
        <v>298</v>
      </c>
      <c r="S41" t="s">
        <v>299</v>
      </c>
      <c r="U41" t="s">
        <v>300</v>
      </c>
      <c r="V41" t="s">
        <v>220</v>
      </c>
      <c r="W41" s="60"/>
    </row>
    <row r="42" spans="1:23">
      <c r="A42" t="s">
        <v>150</v>
      </c>
      <c r="B42" t="s">
        <v>301</v>
      </c>
      <c r="C42" t="s">
        <v>186</v>
      </c>
      <c r="D42" t="s">
        <v>302</v>
      </c>
      <c r="E42">
        <v>2023</v>
      </c>
      <c r="F42" t="s">
        <v>303</v>
      </c>
      <c r="H42" t="s">
        <v>155</v>
      </c>
      <c r="M42" t="s">
        <v>157</v>
      </c>
      <c r="N42" t="s">
        <v>166</v>
      </c>
      <c r="S42" s="35" t="s">
        <v>204</v>
      </c>
      <c r="T42" t="s">
        <v>304</v>
      </c>
      <c r="U42" t="s">
        <v>305</v>
      </c>
      <c r="V42" t="s">
        <v>306</v>
      </c>
      <c r="W42" s="60"/>
    </row>
    <row r="43" spans="1:23">
      <c r="A43" t="s">
        <v>150</v>
      </c>
      <c r="B43" t="s">
        <v>307</v>
      </c>
      <c r="C43" t="s">
        <v>308</v>
      </c>
      <c r="D43" t="s">
        <v>309</v>
      </c>
      <c r="E43">
        <v>2023</v>
      </c>
      <c r="F43" t="s">
        <v>310</v>
      </c>
      <c r="H43" t="s">
        <v>155</v>
      </c>
      <c r="M43" t="s">
        <v>157</v>
      </c>
      <c r="S43" s="35" t="s">
        <v>204</v>
      </c>
      <c r="V43" t="s">
        <v>205</v>
      </c>
      <c r="W43" s="60"/>
    </row>
    <row r="44" spans="1:23">
      <c r="A44" t="s">
        <v>150</v>
      </c>
      <c r="B44" t="s">
        <v>311</v>
      </c>
      <c r="C44" t="s">
        <v>312</v>
      </c>
      <c r="D44" t="s">
        <v>313</v>
      </c>
      <c r="E44">
        <v>2020</v>
      </c>
      <c r="F44" t="s">
        <v>314</v>
      </c>
      <c r="H44" t="s">
        <v>155</v>
      </c>
      <c r="M44" t="s">
        <v>157</v>
      </c>
      <c r="S44" s="35" t="s">
        <v>204</v>
      </c>
      <c r="V44" t="s">
        <v>205</v>
      </c>
      <c r="W44" s="60"/>
    </row>
    <row r="45" spans="1:23">
      <c r="A45" t="s">
        <v>150</v>
      </c>
      <c r="B45" t="s">
        <v>315</v>
      </c>
      <c r="C45" t="s">
        <v>316</v>
      </c>
      <c r="D45" t="s">
        <v>317</v>
      </c>
      <c r="E45">
        <v>2022</v>
      </c>
      <c r="F45" t="s">
        <v>318</v>
      </c>
      <c r="H45" t="s">
        <v>155</v>
      </c>
      <c r="M45" t="s">
        <v>157</v>
      </c>
      <c r="S45" s="35" t="s">
        <v>204</v>
      </c>
      <c r="V45" t="s">
        <v>205</v>
      </c>
      <c r="W45" s="60"/>
    </row>
    <row r="46" spans="1:23" s="48" customFormat="1">
      <c r="A46" s="48" t="s">
        <v>150</v>
      </c>
      <c r="B46" s="48" t="s">
        <v>319</v>
      </c>
      <c r="C46" s="48" t="s">
        <v>291</v>
      </c>
      <c r="D46" s="48" t="s">
        <v>320</v>
      </c>
      <c r="E46" s="48">
        <v>2017</v>
      </c>
      <c r="F46" s="48" t="s">
        <v>321</v>
      </c>
      <c r="H46" s="48" t="s">
        <v>155</v>
      </c>
      <c r="S46" s="35" t="s">
        <v>204</v>
      </c>
      <c r="W46" s="90"/>
    </row>
    <row r="47" spans="1:23">
      <c r="A47" t="s">
        <v>260</v>
      </c>
      <c r="B47" s="60" t="s">
        <v>322</v>
      </c>
      <c r="C47" t="s">
        <v>295</v>
      </c>
      <c r="D47" t="s">
        <v>323</v>
      </c>
      <c r="E47">
        <v>2019</v>
      </c>
      <c r="F47" t="s">
        <v>324</v>
      </c>
      <c r="H47" t="s">
        <v>155</v>
      </c>
      <c r="I47" t="s">
        <v>265</v>
      </c>
      <c r="L47" s="48" t="s">
        <v>325</v>
      </c>
      <c r="M47" s="48"/>
      <c r="S47" s="35" t="s">
        <v>204</v>
      </c>
      <c r="W47" s="60"/>
    </row>
    <row r="48" spans="1:23">
      <c r="A48" t="s">
        <v>260</v>
      </c>
      <c r="B48" s="60" t="s">
        <v>326</v>
      </c>
      <c r="C48" t="s">
        <v>295</v>
      </c>
      <c r="D48" t="s">
        <v>327</v>
      </c>
      <c r="E48">
        <v>2021</v>
      </c>
      <c r="F48" t="s">
        <v>328</v>
      </c>
      <c r="H48" t="s">
        <v>155</v>
      </c>
      <c r="I48" t="s">
        <v>265</v>
      </c>
      <c r="L48" s="48" t="s">
        <v>325</v>
      </c>
      <c r="M48" s="48"/>
      <c r="S48" s="35" t="s">
        <v>204</v>
      </c>
      <c r="W48" s="60"/>
    </row>
    <row r="49" spans="1:26">
      <c r="A49" t="s">
        <v>150</v>
      </c>
      <c r="B49" s="3" t="s">
        <v>329</v>
      </c>
      <c r="C49" t="s">
        <v>330</v>
      </c>
      <c r="D49" t="s">
        <v>331</v>
      </c>
      <c r="E49">
        <v>2024</v>
      </c>
      <c r="F49" s="50" t="s">
        <v>332</v>
      </c>
      <c r="H49" t="s">
        <v>155</v>
      </c>
      <c r="M49" t="s">
        <v>157</v>
      </c>
      <c r="N49" t="s">
        <v>166</v>
      </c>
      <c r="O49">
        <v>2025</v>
      </c>
      <c r="S49" s="35" t="s">
        <v>204</v>
      </c>
      <c r="V49" t="s">
        <v>205</v>
      </c>
      <c r="W49" s="60"/>
      <c r="X49" t="s">
        <v>206</v>
      </c>
      <c r="Y49" t="s">
        <v>333</v>
      </c>
      <c r="Z49" t="s">
        <v>334</v>
      </c>
    </row>
    <row r="50" spans="1:26">
      <c r="A50" t="s">
        <v>150</v>
      </c>
      <c r="B50" s="3" t="s">
        <v>329</v>
      </c>
      <c r="C50" t="s">
        <v>330</v>
      </c>
      <c r="D50" t="s">
        <v>331</v>
      </c>
      <c r="E50">
        <v>2024</v>
      </c>
      <c r="F50" s="50" t="s">
        <v>332</v>
      </c>
      <c r="H50" t="s">
        <v>155</v>
      </c>
      <c r="M50" t="s">
        <v>177</v>
      </c>
      <c r="N50" t="s">
        <v>166</v>
      </c>
      <c r="O50">
        <v>2050</v>
      </c>
      <c r="S50" s="35" t="s">
        <v>204</v>
      </c>
      <c r="V50" t="s">
        <v>205</v>
      </c>
      <c r="W50" s="60"/>
      <c r="X50" t="s">
        <v>206</v>
      </c>
      <c r="Y50" t="s">
        <v>333</v>
      </c>
      <c r="Z50" t="s">
        <v>334</v>
      </c>
    </row>
    <row r="51" spans="1:26">
      <c r="A51" t="s">
        <v>150</v>
      </c>
      <c r="B51" s="3" t="s">
        <v>329</v>
      </c>
      <c r="C51" t="s">
        <v>330</v>
      </c>
      <c r="D51" t="s">
        <v>331</v>
      </c>
      <c r="E51">
        <v>2024</v>
      </c>
      <c r="F51" s="50" t="s">
        <v>332</v>
      </c>
      <c r="H51" t="s">
        <v>155</v>
      </c>
      <c r="M51" t="s">
        <v>157</v>
      </c>
      <c r="N51" t="s">
        <v>233</v>
      </c>
      <c r="O51">
        <v>2025</v>
      </c>
      <c r="S51" s="35" t="s">
        <v>204</v>
      </c>
      <c r="V51" t="s">
        <v>205</v>
      </c>
      <c r="W51" s="60"/>
      <c r="X51" t="s">
        <v>335</v>
      </c>
      <c r="Y51" t="s">
        <v>207</v>
      </c>
      <c r="Z51" t="s">
        <v>334</v>
      </c>
    </row>
    <row r="52" spans="1:26">
      <c r="A52" t="s">
        <v>150</v>
      </c>
      <c r="B52" s="3" t="s">
        <v>329</v>
      </c>
      <c r="C52" t="s">
        <v>330</v>
      </c>
      <c r="D52" t="s">
        <v>331</v>
      </c>
      <c r="E52">
        <v>2024</v>
      </c>
      <c r="F52" s="50" t="s">
        <v>332</v>
      </c>
      <c r="H52" t="s">
        <v>155</v>
      </c>
      <c r="M52" t="s">
        <v>177</v>
      </c>
      <c r="N52" t="s">
        <v>233</v>
      </c>
      <c r="O52">
        <v>2050</v>
      </c>
      <c r="S52" s="35" t="s">
        <v>204</v>
      </c>
      <c r="V52" t="s">
        <v>205</v>
      </c>
      <c r="W52" s="60"/>
      <c r="X52" t="s">
        <v>335</v>
      </c>
      <c r="Y52" t="s">
        <v>207</v>
      </c>
      <c r="Z52" t="s">
        <v>334</v>
      </c>
    </row>
    <row r="53" spans="1:26">
      <c r="A53" t="s">
        <v>150</v>
      </c>
      <c r="B53" t="s">
        <v>336</v>
      </c>
      <c r="C53" t="s">
        <v>330</v>
      </c>
      <c r="D53" t="s">
        <v>337</v>
      </c>
      <c r="E53">
        <v>2022</v>
      </c>
      <c r="F53" s="50" t="s">
        <v>338</v>
      </c>
      <c r="H53" t="s">
        <v>155</v>
      </c>
      <c r="M53" t="s">
        <v>157</v>
      </c>
      <c r="N53" t="s">
        <v>158</v>
      </c>
      <c r="S53" t="s">
        <v>339</v>
      </c>
      <c r="T53" t="s">
        <v>340</v>
      </c>
      <c r="U53" t="s">
        <v>341</v>
      </c>
      <c r="V53" t="s">
        <v>164</v>
      </c>
      <c r="W53" s="60"/>
    </row>
    <row r="54" spans="1:26">
      <c r="A54" t="s">
        <v>150</v>
      </c>
      <c r="B54" t="s">
        <v>342</v>
      </c>
      <c r="C54" t="s">
        <v>330</v>
      </c>
      <c r="D54" t="s">
        <v>337</v>
      </c>
      <c r="E54">
        <v>2022</v>
      </c>
      <c r="F54" s="50" t="s">
        <v>343</v>
      </c>
      <c r="H54" t="s">
        <v>155</v>
      </c>
      <c r="M54" t="s">
        <v>157</v>
      </c>
      <c r="N54" t="s">
        <v>166</v>
      </c>
      <c r="S54" t="s">
        <v>344</v>
      </c>
      <c r="T54" t="s">
        <v>162</v>
      </c>
      <c r="W54" s="60"/>
    </row>
    <row r="55" spans="1:26">
      <c r="A55" t="s">
        <v>150</v>
      </c>
      <c r="B55" t="s">
        <v>345</v>
      </c>
      <c r="C55" t="s">
        <v>330</v>
      </c>
      <c r="D55" t="s">
        <v>346</v>
      </c>
      <c r="E55">
        <v>2019</v>
      </c>
      <c r="F55" s="50" t="s">
        <v>347</v>
      </c>
      <c r="H55" t="s">
        <v>155</v>
      </c>
      <c r="M55" t="s">
        <v>157</v>
      </c>
      <c r="N55" t="s">
        <v>158</v>
      </c>
      <c r="S55" s="35" t="s">
        <v>204</v>
      </c>
      <c r="V55" t="s">
        <v>205</v>
      </c>
      <c r="W55" s="60"/>
    </row>
    <row r="56" spans="1:26">
      <c r="A56" t="s">
        <v>150</v>
      </c>
      <c r="B56" t="s">
        <v>345</v>
      </c>
      <c r="C56" t="s">
        <v>330</v>
      </c>
      <c r="D56" t="s">
        <v>346</v>
      </c>
      <c r="E56">
        <v>2019</v>
      </c>
      <c r="F56" s="50" t="s">
        <v>347</v>
      </c>
      <c r="H56" t="s">
        <v>155</v>
      </c>
      <c r="M56" t="s">
        <v>157</v>
      </c>
      <c r="N56" s="55" t="s">
        <v>166</v>
      </c>
      <c r="S56" s="35" t="s">
        <v>204</v>
      </c>
      <c r="V56" t="s">
        <v>205</v>
      </c>
      <c r="W56" s="60"/>
    </row>
    <row r="57" spans="1:26">
      <c r="A57" t="s">
        <v>150</v>
      </c>
      <c r="B57" t="s">
        <v>348</v>
      </c>
      <c r="C57" t="s">
        <v>330</v>
      </c>
      <c r="D57" t="s">
        <v>349</v>
      </c>
      <c r="E57">
        <v>2011</v>
      </c>
      <c r="F57" s="50" t="s">
        <v>350</v>
      </c>
      <c r="H57" t="s">
        <v>155</v>
      </c>
      <c r="M57" t="s">
        <v>157</v>
      </c>
      <c r="N57" t="s">
        <v>158</v>
      </c>
      <c r="S57" t="s">
        <v>205</v>
      </c>
      <c r="W57" s="60"/>
    </row>
  </sheetData>
  <hyperlinks>
    <hyperlink ref="F21" r:id="rId1" tooltip="DOI URL" display="https://doi.org/10.1021/es502887y" xr:uid="{19F35533-2838-4BEB-A3EC-D50DAEAFBC18}"/>
    <hyperlink ref="F53" r:id="rId2" display="https://netl.doe.gov/projects/files/DirectAirCaptureCaseStudiesSolventSystem_083122.pdf" xr:uid="{EE637D5A-ACC1-41B6-9B04-E911975B5793}"/>
    <hyperlink ref="F54" r:id="rId3" display="https://www.netl.doe.gov/projects/files/DirectAirCaptureCaseStudiesSorbentSystem_070822.pdf" xr:uid="{70BBBF93-181C-4257-9AFB-D25E1759CBE4}"/>
    <hyperlink ref="F49" r:id="rId4" display="https://roads2removal.org/" xr:uid="{DB10EEA2-9E4A-49EE-BB83-68C3BB1CF2D4}"/>
    <hyperlink ref="F56" r:id="rId5" xr:uid="{1BED5A20-1119-4DA9-A240-49E64FDB3765}"/>
    <hyperlink ref="F57" r:id="rId6" display="https://res.cloudinary.com/apsphysics/image/upload/v1698255780/Direct-Air-Capture-of-CO2-with-Chemicals_snams5.pdf?_gl=1*4c0t90*_gcl_au*OTAxNTk5NzU0LjE3MjU2NjkyNzA.*_ga*MTg0NDgyOTUuMTcyNTY2OTI3MA..*_ga_1CCM6YP0WF*MTcyNTY2OTI2OS4xLjEuMTcyNTY2OTI5Ny4zMi4wLjA.*_ga_ZS5V2B2DR1*MTcyNTY2OTI3NC4xLjAuMTcyNTY2OTI3NC4wLjAuMA.." xr:uid="{EF88B945-FE3E-49FA-8059-B3B61AA41B12}"/>
    <hyperlink ref="C33" r:id="rId7" tooltip="Go to Carbon Capture Science &amp; Technology on ScienceDirect" display="https://www.sciencedirect.com/journal/carbon-capture-science-and-technology" xr:uid="{58D2BBB2-CA12-4137-A4B4-488DABB1CCBA}"/>
    <hyperlink ref="C35" r:id="rId8" tooltip="Go to Renewable and Sustainable Energy Reviews on ScienceDirect" display="https://www.sciencedirect.com/journal/renewable-and-sustainable-energy-reviews" xr:uid="{461ECCB7-F442-4952-8419-0E196C0F5139}"/>
    <hyperlink ref="F52" r:id="rId9" display="https://roads2removal.org/" xr:uid="{CA335E47-7CA0-49A6-903F-9449B21A569C}"/>
    <hyperlink ref="F55" r:id="rId10" xr:uid="{55B773D9-F7BD-42AA-B86C-0240C64A6F64}"/>
    <hyperlink ref="F50" r:id="rId11" display="https://roads2removal.org/" xr:uid="{9768CAAD-B1EA-4470-BB34-4CF025E5FC08}"/>
    <hyperlink ref="F51" r:id="rId12" display="https://roads2removal.org/" xr:uid="{02DA1BB8-0729-4DF9-8D43-DB334DD23965}"/>
  </hyperlinks>
  <pageMargins left="0.7" right="0.7" top="0.75" bottom="0.75" header="0.3" footer="0.3"/>
  <legacyDrawing r:id="rId1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68075-C79E-496E-8470-A0201C505FA7}">
  <sheetPr filterMode="1"/>
  <dimension ref="A1:AL54"/>
  <sheetViews>
    <sheetView workbookViewId="0">
      <selection activeCell="B50" sqref="B50:L54"/>
    </sheetView>
  </sheetViews>
  <sheetFormatPr defaultColWidth="11.125" defaultRowHeight="15.6"/>
  <cols>
    <col min="1" max="1" width="23.125" customWidth="1"/>
    <col min="2" max="2" width="9.125" customWidth="1"/>
    <col min="3" max="3" width="16" customWidth="1"/>
    <col min="4" max="4" width="12.5" customWidth="1"/>
    <col min="6" max="6" width="18.5" customWidth="1"/>
    <col min="7" max="7" width="13.625" bestFit="1" customWidth="1"/>
    <col min="9" max="9" width="17.5" bestFit="1" customWidth="1"/>
    <col min="11" max="11" width="30.875" customWidth="1"/>
    <col min="12" max="12" width="26.75" customWidth="1"/>
    <col min="13" max="13" width="18" bestFit="1" customWidth="1"/>
    <col min="14" max="14" width="18" customWidth="1"/>
    <col min="15" max="15" width="18.5" bestFit="1" customWidth="1"/>
    <col min="17" max="17" width="17.5" bestFit="1" customWidth="1"/>
    <col min="18" max="18" width="18.125" customWidth="1"/>
    <col min="19" max="22" width="20.125" customWidth="1"/>
    <col min="24" max="25" width="17.5" customWidth="1"/>
    <col min="26" max="28" width="15.125" customWidth="1"/>
    <col min="29" max="29" width="22.5" bestFit="1" customWidth="1"/>
    <col min="30" max="31" width="22.5" customWidth="1"/>
    <col min="32" max="32" width="37.625" customWidth="1"/>
    <col min="33" max="33" width="19" bestFit="1" customWidth="1"/>
    <col min="34" max="34" width="19" customWidth="1"/>
    <col min="36" max="36" width="33.625" customWidth="1"/>
  </cols>
  <sheetData>
    <row r="1" spans="1:38" s="51" customFormat="1">
      <c r="A1" s="1" t="s">
        <v>4</v>
      </c>
      <c r="B1" s="1" t="s">
        <v>124</v>
      </c>
      <c r="C1" s="1" t="s">
        <v>351</v>
      </c>
      <c r="D1" s="1" t="s">
        <v>352</v>
      </c>
      <c r="E1" s="1" t="s">
        <v>129</v>
      </c>
      <c r="F1" s="1" t="s">
        <v>137</v>
      </c>
      <c r="G1" s="1" t="s">
        <v>353</v>
      </c>
      <c r="H1" s="1" t="s">
        <v>134</v>
      </c>
      <c r="I1" s="1" t="s">
        <v>354</v>
      </c>
      <c r="J1" s="1"/>
      <c r="K1" s="1" t="s">
        <v>355</v>
      </c>
      <c r="L1" s="1"/>
      <c r="M1" s="1"/>
      <c r="N1" s="1"/>
      <c r="O1" s="1"/>
      <c r="P1" s="1"/>
      <c r="Q1" s="1"/>
      <c r="R1" s="1"/>
      <c r="S1" s="1"/>
      <c r="T1" s="1"/>
      <c r="U1" s="1"/>
      <c r="V1" s="1"/>
      <c r="W1" s="1"/>
      <c r="X1" s="1"/>
      <c r="Y1" s="1"/>
      <c r="Z1" s="1"/>
      <c r="AA1" s="1"/>
      <c r="AB1" s="1"/>
      <c r="AC1" s="1"/>
      <c r="AD1" s="1"/>
      <c r="AE1" s="1"/>
      <c r="AF1" s="1"/>
      <c r="AG1" s="1"/>
      <c r="AH1" s="1"/>
      <c r="AI1" s="1"/>
      <c r="AJ1" s="1"/>
      <c r="AK1" s="1"/>
      <c r="AL1" s="1"/>
    </row>
    <row r="2" spans="1:38" s="117" customFormat="1">
      <c r="A2" s="117" t="s">
        <v>151</v>
      </c>
      <c r="B2" s="117" t="s">
        <v>150</v>
      </c>
      <c r="C2" s="117" t="s">
        <v>356</v>
      </c>
      <c r="D2" s="117" t="s">
        <v>357</v>
      </c>
      <c r="E2" s="117" t="s">
        <v>154</v>
      </c>
      <c r="F2" s="117" t="s">
        <v>158</v>
      </c>
      <c r="G2" s="117" t="s">
        <v>358</v>
      </c>
      <c r="H2" s="117" t="s">
        <v>359</v>
      </c>
      <c r="I2" s="117">
        <v>0.98</v>
      </c>
      <c r="R2" s="118"/>
      <c r="AI2" s="119"/>
    </row>
    <row r="3" spans="1:38" s="117" customFormat="1">
      <c r="A3" s="117" t="s">
        <v>151</v>
      </c>
      <c r="B3" s="117" t="s">
        <v>150</v>
      </c>
      <c r="C3" s="117" t="s">
        <v>356</v>
      </c>
      <c r="D3" s="117" t="s">
        <v>357</v>
      </c>
      <c r="E3" s="117" t="s">
        <v>154</v>
      </c>
      <c r="F3" s="117" t="s">
        <v>166</v>
      </c>
      <c r="G3" s="117" t="s">
        <v>360</v>
      </c>
      <c r="H3" s="117" t="s">
        <v>359</v>
      </c>
      <c r="I3" s="117">
        <f>46000/10^6</f>
        <v>4.5999999999999999E-2</v>
      </c>
      <c r="R3" s="118"/>
      <c r="AI3" s="119"/>
    </row>
    <row r="4" spans="1:38" s="117" customFormat="1">
      <c r="A4" s="117" t="s">
        <v>151</v>
      </c>
      <c r="B4" s="117" t="s">
        <v>150</v>
      </c>
      <c r="C4" s="117" t="s">
        <v>356</v>
      </c>
      <c r="D4" s="117" t="s">
        <v>357</v>
      </c>
      <c r="E4" s="117" t="s">
        <v>154</v>
      </c>
      <c r="F4" s="117" t="s">
        <v>169</v>
      </c>
      <c r="G4" s="117" t="s">
        <v>169</v>
      </c>
      <c r="H4" s="117" t="s">
        <v>359</v>
      </c>
      <c r="I4" s="117">
        <f>960/10^6</f>
        <v>9.6000000000000002E-4</v>
      </c>
      <c r="R4" s="118"/>
      <c r="AI4" s="119"/>
    </row>
    <row r="5" spans="1:38" s="117" customFormat="1">
      <c r="A5" s="117" t="s">
        <v>151</v>
      </c>
      <c r="B5" s="117" t="s">
        <v>150</v>
      </c>
      <c r="C5" s="117" t="s">
        <v>356</v>
      </c>
      <c r="D5" s="117" t="s">
        <v>357</v>
      </c>
      <c r="E5" s="117" t="s">
        <v>154</v>
      </c>
      <c r="F5" s="117" t="s">
        <v>173</v>
      </c>
      <c r="G5" s="117" t="s">
        <v>361</v>
      </c>
      <c r="H5" s="117" t="s">
        <v>359</v>
      </c>
      <c r="I5" s="117">
        <f>1100000/10^6</f>
        <v>1.1000000000000001</v>
      </c>
      <c r="R5" s="118"/>
      <c r="AD5" s="120"/>
      <c r="AI5" s="119"/>
    </row>
    <row r="6" spans="1:38" s="117" customFormat="1">
      <c r="A6" s="117" t="s">
        <v>185</v>
      </c>
      <c r="B6" s="117" t="s">
        <v>150</v>
      </c>
      <c r="C6" s="117" t="s">
        <v>362</v>
      </c>
      <c r="D6" s="117" t="s">
        <v>357</v>
      </c>
      <c r="E6" s="117" t="s">
        <v>188</v>
      </c>
      <c r="F6" s="117" t="s">
        <v>158</v>
      </c>
      <c r="G6" s="117" t="s">
        <v>358</v>
      </c>
      <c r="H6" s="117" t="s">
        <v>363</v>
      </c>
      <c r="I6" s="117">
        <f>500000/10^6</f>
        <v>0.5</v>
      </c>
      <c r="R6" s="121"/>
    </row>
    <row r="7" spans="1:38" s="117" customFormat="1">
      <c r="A7" s="117" t="s">
        <v>185</v>
      </c>
      <c r="B7" s="117" t="s">
        <v>150</v>
      </c>
      <c r="C7" s="117" t="s">
        <v>362</v>
      </c>
      <c r="D7" s="117" t="s">
        <v>357</v>
      </c>
      <c r="E7" s="117" t="s">
        <v>188</v>
      </c>
      <c r="F7" s="117" t="s">
        <v>166</v>
      </c>
      <c r="G7" s="117" t="s">
        <v>360</v>
      </c>
      <c r="H7" s="117" t="s">
        <v>363</v>
      </c>
      <c r="I7" s="117">
        <f>4000/10^6</f>
        <v>4.0000000000000001E-3</v>
      </c>
      <c r="O7" s="122"/>
      <c r="R7" s="121"/>
    </row>
    <row r="8" spans="1:38" s="117" customFormat="1">
      <c r="A8" s="117" t="s">
        <v>185</v>
      </c>
      <c r="B8" s="117" t="s">
        <v>150</v>
      </c>
      <c r="C8" s="117" t="s">
        <v>362</v>
      </c>
      <c r="D8" s="117" t="s">
        <v>357</v>
      </c>
      <c r="E8" s="117" t="s">
        <v>188</v>
      </c>
      <c r="F8" s="117" t="s">
        <v>173</v>
      </c>
      <c r="G8" s="117" t="s">
        <v>364</v>
      </c>
      <c r="H8" s="117" t="s">
        <v>363</v>
      </c>
      <c r="I8" s="117">
        <f>1000/10^6</f>
        <v>1E-3</v>
      </c>
      <c r="R8" s="121"/>
      <c r="AD8" s="120"/>
    </row>
    <row r="9" spans="1:38" s="2" customFormat="1" hidden="1">
      <c r="A9" s="2" t="s">
        <v>199</v>
      </c>
      <c r="B9" s="2" t="s">
        <v>365</v>
      </c>
      <c r="C9" s="2" t="s">
        <v>366</v>
      </c>
      <c r="D9" s="2" t="s">
        <v>357</v>
      </c>
      <c r="E9" s="2" t="s">
        <v>202</v>
      </c>
      <c r="F9" s="2" t="s">
        <v>166</v>
      </c>
      <c r="G9" s="2" t="s">
        <v>166</v>
      </c>
      <c r="H9" s="2">
        <v>2023</v>
      </c>
      <c r="I9" s="2">
        <v>0.1</v>
      </c>
      <c r="K9" s="2" t="s">
        <v>367</v>
      </c>
      <c r="R9" s="113"/>
      <c r="W9" s="114"/>
      <c r="AF9" s="115"/>
    </row>
    <row r="10" spans="1:38" s="2" customFormat="1" hidden="1">
      <c r="A10" s="2" t="s">
        <v>208</v>
      </c>
      <c r="B10" s="2" t="s">
        <v>365</v>
      </c>
      <c r="C10" s="2" t="s">
        <v>366</v>
      </c>
      <c r="D10" s="2" t="s">
        <v>357</v>
      </c>
      <c r="E10" s="2" t="s">
        <v>210</v>
      </c>
      <c r="F10" s="2" t="s">
        <v>166</v>
      </c>
      <c r="G10" s="2" t="s">
        <v>166</v>
      </c>
      <c r="H10" s="2">
        <v>2022</v>
      </c>
      <c r="I10" s="2" t="s">
        <v>368</v>
      </c>
      <c r="K10" s="2" t="s">
        <v>367</v>
      </c>
      <c r="L10" s="2" t="s">
        <v>369</v>
      </c>
      <c r="R10" s="113"/>
      <c r="AI10" s="116"/>
    </row>
    <row r="11" spans="1:38" s="117" customFormat="1">
      <c r="A11" s="117" t="s">
        <v>214</v>
      </c>
      <c r="B11" s="117" t="s">
        <v>150</v>
      </c>
      <c r="C11" s="117" t="s">
        <v>362</v>
      </c>
      <c r="D11" s="117" t="s">
        <v>357</v>
      </c>
      <c r="E11" s="117" t="s">
        <v>217</v>
      </c>
      <c r="F11" s="117" t="s">
        <v>158</v>
      </c>
      <c r="G11" s="117" t="s">
        <v>158</v>
      </c>
      <c r="H11" s="117" t="s">
        <v>370</v>
      </c>
      <c r="I11" s="117">
        <v>1</v>
      </c>
      <c r="R11" s="121"/>
      <c r="AI11" s="119"/>
    </row>
    <row r="12" spans="1:38" s="117" customFormat="1">
      <c r="A12" s="117" t="s">
        <v>214</v>
      </c>
      <c r="B12" s="117" t="s">
        <v>150</v>
      </c>
      <c r="C12" s="117" t="s">
        <v>362</v>
      </c>
      <c r="D12" s="117" t="s">
        <v>357</v>
      </c>
      <c r="E12" s="117" t="s">
        <v>217</v>
      </c>
      <c r="F12" s="117" t="s">
        <v>166</v>
      </c>
      <c r="G12" s="117" t="s">
        <v>166</v>
      </c>
      <c r="H12" s="117" t="s">
        <v>370</v>
      </c>
      <c r="I12" s="117">
        <v>0.36</v>
      </c>
      <c r="R12" s="121"/>
      <c r="AI12" s="119"/>
    </row>
    <row r="13" spans="1:38" s="2" customFormat="1" hidden="1">
      <c r="A13" s="2" t="s">
        <v>223</v>
      </c>
      <c r="B13" s="2" t="s">
        <v>365</v>
      </c>
      <c r="C13" s="2" t="s">
        <v>362</v>
      </c>
      <c r="D13" s="2" t="s">
        <v>357</v>
      </c>
      <c r="E13" s="2" t="s">
        <v>226</v>
      </c>
      <c r="F13" s="2" t="s">
        <v>158</v>
      </c>
      <c r="G13" s="2" t="s">
        <v>358</v>
      </c>
      <c r="H13" s="2" t="s">
        <v>371</v>
      </c>
      <c r="I13" s="2">
        <v>1</v>
      </c>
      <c r="R13" s="123"/>
      <c r="X13" s="123"/>
      <c r="Y13" s="124"/>
      <c r="Z13" s="124"/>
      <c r="AA13" s="124"/>
      <c r="AB13" s="124"/>
    </row>
    <row r="14" spans="1:38" s="2" customFormat="1" hidden="1">
      <c r="A14" s="2" t="s">
        <v>227</v>
      </c>
      <c r="B14" s="2" t="s">
        <v>365</v>
      </c>
      <c r="C14" s="2" t="s">
        <v>362</v>
      </c>
      <c r="D14" s="2" t="s">
        <v>357</v>
      </c>
      <c r="E14" s="125" t="s">
        <v>229</v>
      </c>
      <c r="F14" s="2" t="s">
        <v>158</v>
      </c>
      <c r="G14" s="2" t="s">
        <v>358</v>
      </c>
      <c r="H14" s="2" t="s">
        <v>371</v>
      </c>
      <c r="I14" s="2">
        <v>1</v>
      </c>
      <c r="R14" s="123"/>
      <c r="X14" s="123"/>
      <c r="Z14" s="124"/>
      <c r="AA14" s="124"/>
      <c r="AB14" s="124"/>
      <c r="AL14" s="2" t="s">
        <v>372</v>
      </c>
    </row>
    <row r="15" spans="1:38" s="2" customFormat="1" hidden="1">
      <c r="A15" s="2" t="s">
        <v>230</v>
      </c>
      <c r="B15" s="2" t="s">
        <v>365</v>
      </c>
      <c r="C15" s="2" t="s">
        <v>362</v>
      </c>
      <c r="D15" s="2" t="s">
        <v>357</v>
      </c>
      <c r="E15" s="2" t="s">
        <v>232</v>
      </c>
      <c r="F15" s="2" t="s">
        <v>233</v>
      </c>
      <c r="G15" s="2" t="s">
        <v>373</v>
      </c>
      <c r="H15" s="2">
        <v>2022</v>
      </c>
      <c r="I15" s="2">
        <v>1</v>
      </c>
      <c r="R15" s="126"/>
      <c r="AI15" s="116"/>
      <c r="AL15" s="127"/>
    </row>
    <row r="16" spans="1:38" s="2" customFormat="1" hidden="1">
      <c r="A16" s="2" t="s">
        <v>230</v>
      </c>
      <c r="B16" s="2" t="s">
        <v>365</v>
      </c>
      <c r="C16" s="2" t="s">
        <v>362</v>
      </c>
      <c r="D16" s="2" t="s">
        <v>357</v>
      </c>
      <c r="E16" s="2" t="s">
        <v>232</v>
      </c>
      <c r="F16" s="2" t="s">
        <v>233</v>
      </c>
      <c r="G16" s="2" t="s">
        <v>374</v>
      </c>
      <c r="H16" s="2">
        <v>2022</v>
      </c>
      <c r="I16" s="2">
        <v>1.48</v>
      </c>
      <c r="R16" s="126"/>
      <c r="AI16" s="116"/>
      <c r="AL16" s="127"/>
    </row>
    <row r="17" spans="1:36" s="2" customFormat="1" hidden="1">
      <c r="A17" s="2" t="s">
        <v>234</v>
      </c>
      <c r="B17" s="2" t="s">
        <v>365</v>
      </c>
      <c r="C17" s="2" t="s">
        <v>362</v>
      </c>
      <c r="D17" s="2" t="s">
        <v>357</v>
      </c>
      <c r="E17" s="2" t="s">
        <v>236</v>
      </c>
      <c r="F17" s="2" t="s">
        <v>166</v>
      </c>
      <c r="G17" s="2" t="s">
        <v>375</v>
      </c>
      <c r="H17" s="2">
        <v>2023</v>
      </c>
      <c r="I17" s="2">
        <v>1</v>
      </c>
      <c r="R17" s="123"/>
      <c r="AI17" s="116"/>
    </row>
    <row r="18" spans="1:36" s="128" customFormat="1" hidden="1">
      <c r="A18" s="128" t="s">
        <v>240</v>
      </c>
      <c r="B18" s="128" t="s">
        <v>365</v>
      </c>
      <c r="C18" s="128" t="s">
        <v>366</v>
      </c>
      <c r="D18" s="128" t="s">
        <v>357</v>
      </c>
      <c r="E18" s="128" t="s">
        <v>243</v>
      </c>
      <c r="F18" s="128" t="s">
        <v>158</v>
      </c>
      <c r="H18" s="128">
        <v>2020</v>
      </c>
      <c r="I18" s="128">
        <v>1</v>
      </c>
      <c r="R18" s="129"/>
      <c r="W18" s="130"/>
    </row>
    <row r="19" spans="1:36" s="2" customFormat="1" hidden="1">
      <c r="A19" s="2" t="s">
        <v>247</v>
      </c>
      <c r="B19" s="2" t="s">
        <v>365</v>
      </c>
      <c r="C19" s="2" t="s">
        <v>362</v>
      </c>
      <c r="D19" s="2" t="s">
        <v>357</v>
      </c>
      <c r="E19" s="2" t="s">
        <v>249</v>
      </c>
      <c r="F19" s="2" t="s">
        <v>166</v>
      </c>
      <c r="G19" s="2" t="s">
        <v>376</v>
      </c>
      <c r="H19" s="2">
        <v>2023</v>
      </c>
      <c r="I19" s="2">
        <f>1000/10^6</f>
        <v>1E-3</v>
      </c>
      <c r="K19" s="2" t="s">
        <v>367</v>
      </c>
      <c r="R19" s="123"/>
      <c r="X19" s="123"/>
    </row>
    <row r="20" spans="1:36" s="2" customFormat="1" hidden="1">
      <c r="A20" s="2" t="s">
        <v>247</v>
      </c>
      <c r="B20" s="2" t="s">
        <v>365</v>
      </c>
      <c r="C20" s="2" t="s">
        <v>362</v>
      </c>
      <c r="D20" s="2" t="s">
        <v>357</v>
      </c>
      <c r="E20" s="2" t="s">
        <v>249</v>
      </c>
      <c r="F20" s="2" t="s">
        <v>250</v>
      </c>
      <c r="G20" s="2" t="s">
        <v>377</v>
      </c>
      <c r="H20" s="2">
        <v>2023</v>
      </c>
      <c r="I20" s="2">
        <f>1000/10^6</f>
        <v>1E-3</v>
      </c>
      <c r="R20" s="123"/>
      <c r="X20" s="123"/>
    </row>
    <row r="21" spans="1:36" s="127" customFormat="1" hidden="1">
      <c r="A21" s="127" t="s">
        <v>251</v>
      </c>
      <c r="B21" s="127" t="s">
        <v>365</v>
      </c>
      <c r="D21" s="127" t="s">
        <v>357</v>
      </c>
      <c r="E21" s="127" t="s">
        <v>254</v>
      </c>
      <c r="F21" s="127" t="s">
        <v>166</v>
      </c>
      <c r="AG21" s="2"/>
      <c r="AH21" s="2"/>
    </row>
    <row r="22" spans="1:36" s="2" customFormat="1" hidden="1">
      <c r="A22" s="2" t="s">
        <v>255</v>
      </c>
      <c r="B22" s="2" t="s">
        <v>365</v>
      </c>
      <c r="C22" s="2" t="s">
        <v>366</v>
      </c>
      <c r="D22" s="2" t="s">
        <v>357</v>
      </c>
      <c r="E22" s="2" t="s">
        <v>258</v>
      </c>
      <c r="F22" s="2" t="s">
        <v>259</v>
      </c>
      <c r="G22" s="2" t="s">
        <v>378</v>
      </c>
      <c r="H22" s="2">
        <v>2011</v>
      </c>
      <c r="I22" s="2">
        <v>1</v>
      </c>
      <c r="K22" s="2" t="s">
        <v>367</v>
      </c>
      <c r="L22" s="2" t="s">
        <v>379</v>
      </c>
      <c r="R22" s="113"/>
      <c r="W22" s="131"/>
      <c r="X22" s="123"/>
      <c r="Z22" s="124"/>
      <c r="AA22" s="124"/>
      <c r="AB22" s="124"/>
      <c r="AF22" s="115"/>
    </row>
    <row r="23" spans="1:36" s="2" customFormat="1" hidden="1">
      <c r="A23" s="2" t="s">
        <v>267</v>
      </c>
      <c r="B23" s="2" t="s">
        <v>365</v>
      </c>
      <c r="C23" s="2" t="s">
        <v>366</v>
      </c>
      <c r="D23" s="2" t="s">
        <v>357</v>
      </c>
      <c r="E23" s="2" t="s">
        <v>270</v>
      </c>
      <c r="F23" s="2" t="s">
        <v>158</v>
      </c>
      <c r="G23" s="2" t="s">
        <v>158</v>
      </c>
      <c r="H23" s="2">
        <v>2023</v>
      </c>
      <c r="I23" s="2">
        <v>1</v>
      </c>
      <c r="K23" s="2" t="s">
        <v>380</v>
      </c>
      <c r="X23" s="123"/>
      <c r="AI23" s="116"/>
    </row>
    <row r="24" spans="1:36" s="2" customFormat="1" hidden="1">
      <c r="A24" s="2" t="s">
        <v>267</v>
      </c>
      <c r="B24" s="2" t="s">
        <v>365</v>
      </c>
      <c r="C24" s="2" t="s">
        <v>366</v>
      </c>
      <c r="D24" s="2" t="s">
        <v>357</v>
      </c>
      <c r="E24" s="2" t="s">
        <v>270</v>
      </c>
      <c r="F24" s="2" t="s">
        <v>166</v>
      </c>
      <c r="G24" s="2" t="s">
        <v>166</v>
      </c>
      <c r="H24" s="2">
        <v>2023</v>
      </c>
      <c r="I24" s="2" t="s">
        <v>381</v>
      </c>
      <c r="K24" s="2" t="s">
        <v>380</v>
      </c>
      <c r="X24" s="123"/>
      <c r="AI24" s="116"/>
    </row>
    <row r="25" spans="1:36" s="60" customFormat="1" hidden="1">
      <c r="A25" s="60" t="s">
        <v>271</v>
      </c>
      <c r="B25" s="60" t="s">
        <v>365</v>
      </c>
      <c r="D25" s="60" t="s">
        <v>357</v>
      </c>
      <c r="E25" s="60" t="s">
        <v>274</v>
      </c>
      <c r="F25" s="60" t="s">
        <v>158</v>
      </c>
      <c r="G25" s="60" t="s">
        <v>382</v>
      </c>
      <c r="K25" s="60" t="s">
        <v>383</v>
      </c>
      <c r="AI25" s="93"/>
    </row>
    <row r="26" spans="1:36" s="117" customFormat="1">
      <c r="A26" s="117" t="s">
        <v>275</v>
      </c>
      <c r="B26" s="117" t="s">
        <v>150</v>
      </c>
      <c r="C26" s="117" t="s">
        <v>362</v>
      </c>
      <c r="D26" s="117" t="s">
        <v>357</v>
      </c>
      <c r="E26" s="117" t="s">
        <v>277</v>
      </c>
      <c r="F26" s="117" t="s">
        <v>158</v>
      </c>
      <c r="G26" s="117" t="s">
        <v>358</v>
      </c>
      <c r="H26" s="117" t="s">
        <v>384</v>
      </c>
      <c r="I26" s="117">
        <v>1</v>
      </c>
      <c r="X26" s="138"/>
    </row>
    <row r="27" spans="1:36" s="2" customFormat="1" hidden="1">
      <c r="A27" s="2" t="s">
        <v>278</v>
      </c>
      <c r="B27" s="2" t="s">
        <v>365</v>
      </c>
      <c r="C27" s="2" t="s">
        <v>366</v>
      </c>
      <c r="D27" s="2" t="s">
        <v>357</v>
      </c>
      <c r="E27" s="2" t="s">
        <v>281</v>
      </c>
      <c r="F27" s="2" t="s">
        <v>166</v>
      </c>
      <c r="G27" s="2" t="s">
        <v>166</v>
      </c>
      <c r="H27" s="2">
        <v>2024</v>
      </c>
      <c r="I27" s="2">
        <v>1</v>
      </c>
      <c r="K27" s="2" t="s">
        <v>385</v>
      </c>
      <c r="R27" s="126"/>
      <c r="X27" s="123"/>
    </row>
    <row r="28" spans="1:36" hidden="1">
      <c r="A28" s="88" t="s">
        <v>285</v>
      </c>
      <c r="B28" s="60"/>
      <c r="C28" s="60" t="s">
        <v>366</v>
      </c>
      <c r="D28" s="60" t="s">
        <v>357</v>
      </c>
      <c r="E28" s="60" t="s">
        <v>288</v>
      </c>
      <c r="F28" s="60" t="s">
        <v>158</v>
      </c>
      <c r="G28" s="60" t="s">
        <v>386</v>
      </c>
      <c r="H28" s="60">
        <v>2023</v>
      </c>
      <c r="I28" s="60"/>
      <c r="R28" s="54"/>
      <c r="AI28" s="53"/>
      <c r="AJ28" s="48"/>
    </row>
    <row r="29" spans="1:36" hidden="1">
      <c r="A29" s="88" t="s">
        <v>285</v>
      </c>
      <c r="B29" s="60"/>
      <c r="C29" s="60" t="s">
        <v>366</v>
      </c>
      <c r="D29" s="60" t="s">
        <v>357</v>
      </c>
      <c r="E29" s="60" t="s">
        <v>288</v>
      </c>
      <c r="F29" s="60" t="s">
        <v>169</v>
      </c>
      <c r="G29" s="60" t="s">
        <v>387</v>
      </c>
      <c r="H29" s="60">
        <v>2023</v>
      </c>
      <c r="I29" s="60"/>
      <c r="R29" s="54"/>
      <c r="AI29" s="53"/>
      <c r="AJ29" s="48"/>
    </row>
    <row r="30" spans="1:36" hidden="1">
      <c r="A30" s="88" t="s">
        <v>285</v>
      </c>
      <c r="B30" s="60"/>
      <c r="C30" s="60" t="s">
        <v>366</v>
      </c>
      <c r="D30" s="60" t="s">
        <v>357</v>
      </c>
      <c r="E30" s="60" t="s">
        <v>288</v>
      </c>
      <c r="F30" s="60" t="s">
        <v>166</v>
      </c>
      <c r="G30" s="60" t="s">
        <v>388</v>
      </c>
      <c r="H30" s="60">
        <v>2023</v>
      </c>
      <c r="I30" s="60"/>
      <c r="R30" s="54"/>
      <c r="AI30" s="53"/>
      <c r="AJ30" s="48"/>
    </row>
    <row r="31" spans="1:36" ht="25.9" hidden="1" customHeight="1">
      <c r="A31" s="88" t="s">
        <v>285</v>
      </c>
      <c r="B31" s="60"/>
      <c r="C31" s="60" t="s">
        <v>366</v>
      </c>
      <c r="D31" s="60" t="s">
        <v>357</v>
      </c>
      <c r="E31" s="60" t="s">
        <v>288</v>
      </c>
      <c r="F31" s="60" t="s">
        <v>289</v>
      </c>
      <c r="G31" s="60" t="s">
        <v>389</v>
      </c>
      <c r="H31" s="60">
        <v>2023</v>
      </c>
      <c r="I31" s="60"/>
      <c r="R31" s="54"/>
      <c r="AD31" s="3"/>
      <c r="AI31" s="53"/>
      <c r="AJ31" s="48"/>
    </row>
    <row r="32" spans="1:36" s="48" customFormat="1" hidden="1">
      <c r="A32" s="48" t="s">
        <v>290</v>
      </c>
      <c r="B32" s="48" t="s">
        <v>365</v>
      </c>
      <c r="D32" s="48" t="s">
        <v>357</v>
      </c>
      <c r="E32" s="48" t="s">
        <v>293</v>
      </c>
      <c r="AG32"/>
      <c r="AH32"/>
      <c r="AI32" s="87"/>
    </row>
    <row r="33" spans="1:35" s="112" customFormat="1" hidden="1">
      <c r="A33" s="112" t="s">
        <v>294</v>
      </c>
      <c r="B33" s="112" t="s">
        <v>365</v>
      </c>
      <c r="C33" s="112" t="s">
        <v>366</v>
      </c>
      <c r="D33" s="112" t="s">
        <v>357</v>
      </c>
      <c r="E33" s="112" t="s">
        <v>297</v>
      </c>
      <c r="F33" s="112" t="s">
        <v>298</v>
      </c>
      <c r="G33" s="112" t="s">
        <v>390</v>
      </c>
      <c r="H33" s="112">
        <v>2020</v>
      </c>
      <c r="I33" s="112" t="s">
        <v>391</v>
      </c>
      <c r="K33" s="112" t="s">
        <v>392</v>
      </c>
      <c r="L33" s="41"/>
      <c r="X33" s="132"/>
    </row>
    <row r="34" spans="1:35" s="2" customFormat="1" hidden="1">
      <c r="A34" s="2" t="s">
        <v>301</v>
      </c>
      <c r="B34" s="2" t="s">
        <v>365</v>
      </c>
      <c r="C34" s="2" t="s">
        <v>362</v>
      </c>
      <c r="D34" s="2" t="s">
        <v>357</v>
      </c>
      <c r="E34" s="2" t="s">
        <v>303</v>
      </c>
      <c r="F34" s="2" t="s">
        <v>166</v>
      </c>
      <c r="G34" s="2" t="s">
        <v>393</v>
      </c>
      <c r="H34" s="2">
        <v>2023</v>
      </c>
      <c r="I34" s="127" t="s">
        <v>394</v>
      </c>
      <c r="Q34" s="127"/>
      <c r="AI34" s="116"/>
    </row>
    <row r="35" spans="1:35" s="2" customFormat="1" hidden="1">
      <c r="A35" s="2" t="s">
        <v>307</v>
      </c>
      <c r="B35" s="2" t="s">
        <v>365</v>
      </c>
      <c r="C35" s="2" t="s">
        <v>366</v>
      </c>
      <c r="D35" s="2" t="s">
        <v>357</v>
      </c>
      <c r="E35" s="2" t="s">
        <v>310</v>
      </c>
      <c r="F35" s="2" t="s">
        <v>166</v>
      </c>
      <c r="G35" s="2" t="s">
        <v>395</v>
      </c>
      <c r="H35" s="2">
        <v>2023</v>
      </c>
      <c r="I35" s="2">
        <v>1</v>
      </c>
    </row>
    <row r="36" spans="1:35" s="2" customFormat="1" hidden="1">
      <c r="A36" s="2" t="s">
        <v>311</v>
      </c>
      <c r="B36" s="2" t="s">
        <v>365</v>
      </c>
      <c r="C36" s="2" t="s">
        <v>366</v>
      </c>
      <c r="D36" s="2" t="s">
        <v>357</v>
      </c>
      <c r="E36" s="2" t="s">
        <v>314</v>
      </c>
      <c r="F36" s="2" t="s">
        <v>173</v>
      </c>
      <c r="G36" s="2" t="s">
        <v>395</v>
      </c>
      <c r="H36" s="2">
        <v>2020</v>
      </c>
      <c r="I36" s="2">
        <v>1</v>
      </c>
      <c r="R36" s="126"/>
      <c r="X36" s="133"/>
      <c r="AA36" s="134"/>
    </row>
    <row r="37" spans="1:35" s="2" customFormat="1" hidden="1">
      <c r="A37" s="2" t="s">
        <v>315</v>
      </c>
      <c r="B37" s="2" t="s">
        <v>365</v>
      </c>
      <c r="C37" s="2" t="s">
        <v>366</v>
      </c>
      <c r="D37" s="2" t="s">
        <v>357</v>
      </c>
      <c r="E37" s="2" t="s">
        <v>318</v>
      </c>
      <c r="F37" s="2" t="s">
        <v>158</v>
      </c>
      <c r="H37" s="2">
        <v>2022</v>
      </c>
      <c r="I37" s="2">
        <v>8.0000000000000002E-3</v>
      </c>
      <c r="R37" s="126"/>
    </row>
    <row r="38" spans="1:35" s="2" customFormat="1" hidden="1">
      <c r="A38" s="127" t="s">
        <v>319</v>
      </c>
      <c r="B38" s="127" t="s">
        <v>365</v>
      </c>
      <c r="C38" s="127"/>
      <c r="D38" s="127" t="s">
        <v>357</v>
      </c>
      <c r="E38" s="127" t="s">
        <v>321</v>
      </c>
      <c r="F38" s="127"/>
    </row>
    <row r="39" spans="1:35" s="117" customFormat="1">
      <c r="A39" s="122" t="s">
        <v>329</v>
      </c>
      <c r="B39" s="122" t="s">
        <v>150</v>
      </c>
      <c r="C39" s="117" t="s">
        <v>366</v>
      </c>
      <c r="D39" s="117" t="s">
        <v>330</v>
      </c>
      <c r="E39" s="140" t="s">
        <v>332</v>
      </c>
      <c r="F39" s="117" t="s">
        <v>166</v>
      </c>
      <c r="G39" s="117" t="s">
        <v>166</v>
      </c>
      <c r="H39" s="117" t="s">
        <v>396</v>
      </c>
      <c r="I39" s="117">
        <f>1000/10^6</f>
        <v>1E-3</v>
      </c>
      <c r="R39" s="141"/>
      <c r="X39" s="141"/>
    </row>
    <row r="40" spans="1:35" s="117" customFormat="1">
      <c r="A40" s="122" t="s">
        <v>329</v>
      </c>
      <c r="B40" s="122" t="s">
        <v>150</v>
      </c>
      <c r="C40" s="117" t="s">
        <v>366</v>
      </c>
      <c r="D40" s="117" t="s">
        <v>330</v>
      </c>
      <c r="E40" s="140" t="s">
        <v>332</v>
      </c>
      <c r="F40" s="117" t="s">
        <v>233</v>
      </c>
      <c r="G40" s="117" t="s">
        <v>358</v>
      </c>
      <c r="H40" s="117" t="s">
        <v>396</v>
      </c>
      <c r="I40" s="117">
        <v>1</v>
      </c>
      <c r="R40" s="141"/>
      <c r="X40" s="141"/>
      <c r="AD40" s="142"/>
      <c r="AE40" s="120"/>
      <c r="AF40" s="142"/>
    </row>
    <row r="41" spans="1:35" s="2" customFormat="1" hidden="1">
      <c r="A41" s="124" t="s">
        <v>336</v>
      </c>
      <c r="B41" s="124" t="s">
        <v>365</v>
      </c>
      <c r="C41" s="2" t="s">
        <v>362</v>
      </c>
      <c r="D41" s="2" t="s">
        <v>330</v>
      </c>
      <c r="E41" s="125" t="s">
        <v>338</v>
      </c>
      <c r="F41" s="2" t="s">
        <v>158</v>
      </c>
      <c r="G41" s="2" t="s">
        <v>358</v>
      </c>
      <c r="H41" s="2">
        <v>2022</v>
      </c>
      <c r="I41" s="2" t="s">
        <v>397</v>
      </c>
      <c r="X41" s="123"/>
      <c r="AD41" s="135"/>
      <c r="AE41" s="43"/>
    </row>
    <row r="42" spans="1:35" s="2" customFormat="1" hidden="1">
      <c r="A42" s="124" t="s">
        <v>342</v>
      </c>
      <c r="B42" s="124" t="s">
        <v>365</v>
      </c>
      <c r="C42" s="2" t="s">
        <v>362</v>
      </c>
      <c r="D42" s="2" t="s">
        <v>330</v>
      </c>
      <c r="E42" s="125" t="s">
        <v>343</v>
      </c>
      <c r="F42" s="2" t="s">
        <v>166</v>
      </c>
      <c r="G42" s="2" t="s">
        <v>398</v>
      </c>
      <c r="H42" s="2">
        <v>2022</v>
      </c>
      <c r="I42" s="2" t="s">
        <v>399</v>
      </c>
      <c r="X42" s="123"/>
      <c r="AE42" s="43"/>
    </row>
    <row r="43" spans="1:35" s="137" customFormat="1" hidden="1">
      <c r="A43" s="124" t="s">
        <v>345</v>
      </c>
      <c r="B43" s="124" t="s">
        <v>365</v>
      </c>
      <c r="C43" s="124" t="s">
        <v>362</v>
      </c>
      <c r="D43" s="124" t="s">
        <v>330</v>
      </c>
      <c r="E43" s="136" t="s">
        <v>347</v>
      </c>
      <c r="F43" s="124" t="s">
        <v>158</v>
      </c>
      <c r="G43" s="2" t="s">
        <v>358</v>
      </c>
      <c r="H43" s="2">
        <v>2019</v>
      </c>
      <c r="I43" s="2">
        <v>1000000</v>
      </c>
      <c r="K43" s="2"/>
      <c r="L43" s="2"/>
      <c r="M43" s="2"/>
      <c r="N43" s="2"/>
      <c r="O43" s="2"/>
      <c r="P43" s="2"/>
      <c r="Q43" s="2"/>
      <c r="R43" s="2"/>
      <c r="S43" s="2"/>
      <c r="T43" s="2"/>
      <c r="U43" s="2"/>
      <c r="V43" s="2"/>
      <c r="X43" s="2"/>
      <c r="Y43" s="2"/>
      <c r="Z43" s="2"/>
      <c r="AD43" s="2"/>
      <c r="AF43" s="124"/>
      <c r="AG43" s="2"/>
      <c r="AH43" s="2"/>
    </row>
    <row r="44" spans="1:35" s="137" customFormat="1" hidden="1">
      <c r="A44" s="124" t="s">
        <v>345</v>
      </c>
      <c r="B44" s="124" t="s">
        <v>365</v>
      </c>
      <c r="C44" s="124" t="s">
        <v>362</v>
      </c>
      <c r="D44" s="124" t="s">
        <v>330</v>
      </c>
      <c r="E44" s="136" t="s">
        <v>347</v>
      </c>
      <c r="F44" s="124" t="s">
        <v>166</v>
      </c>
      <c r="G44" s="2" t="s">
        <v>166</v>
      </c>
      <c r="H44" s="2">
        <v>2019</v>
      </c>
      <c r="I44" s="2">
        <v>1000000</v>
      </c>
      <c r="K44" s="2"/>
      <c r="L44" s="2"/>
      <c r="M44" s="2"/>
      <c r="N44" s="2"/>
      <c r="O44" s="2"/>
      <c r="P44" s="2"/>
      <c r="Q44" s="2"/>
      <c r="R44" s="2"/>
      <c r="S44" s="2"/>
      <c r="T44" s="2"/>
      <c r="U44" s="2"/>
      <c r="V44" s="2"/>
      <c r="X44" s="2"/>
      <c r="Y44" s="2"/>
      <c r="Z44" s="2"/>
      <c r="AD44" s="2"/>
      <c r="AF44" s="124"/>
      <c r="AG44" s="2"/>
      <c r="AH44" s="2"/>
    </row>
    <row r="45" spans="1:35" s="2" customFormat="1" hidden="1">
      <c r="A45" s="2" t="s">
        <v>348</v>
      </c>
      <c r="B45" s="2" t="s">
        <v>365</v>
      </c>
      <c r="C45" s="2" t="s">
        <v>362</v>
      </c>
      <c r="D45" s="2" t="s">
        <v>330</v>
      </c>
      <c r="E45" s="125" t="s">
        <v>350</v>
      </c>
      <c r="F45" s="2" t="s">
        <v>158</v>
      </c>
      <c r="G45" s="2" t="s">
        <v>358</v>
      </c>
      <c r="H45" s="2" t="s">
        <v>400</v>
      </c>
      <c r="R45" s="123"/>
      <c r="X45" s="123"/>
    </row>
    <row r="46" spans="1:35">
      <c r="A46" s="48"/>
    </row>
    <row r="50" spans="2:12">
      <c r="B50" s="143" t="s">
        <v>35</v>
      </c>
      <c r="C50" s="143" t="s">
        <v>401</v>
      </c>
      <c r="D50" s="143">
        <v>2025</v>
      </c>
      <c r="E50" s="143">
        <v>2030</v>
      </c>
      <c r="F50" s="143">
        <v>2035</v>
      </c>
      <c r="G50" s="143">
        <v>2040</v>
      </c>
      <c r="H50" s="143">
        <v>2045</v>
      </c>
      <c r="I50" s="143">
        <v>2050</v>
      </c>
      <c r="J50" s="143">
        <v>2055</v>
      </c>
      <c r="K50" s="143">
        <v>2060</v>
      </c>
      <c r="L50" s="143" t="s">
        <v>8</v>
      </c>
    </row>
    <row r="51" spans="2:12">
      <c r="B51" s="143" t="s">
        <v>402</v>
      </c>
      <c r="C51" s="143" t="s">
        <v>403</v>
      </c>
      <c r="D51" s="143"/>
      <c r="E51" s="143"/>
      <c r="F51" s="143"/>
      <c r="G51" s="143"/>
      <c r="H51" s="143"/>
      <c r="I51" s="143"/>
      <c r="J51" s="143"/>
      <c r="K51" s="143"/>
      <c r="L51" s="143" t="s">
        <v>29</v>
      </c>
    </row>
    <row r="52" spans="2:12">
      <c r="B52" s="143"/>
      <c r="C52" s="143" t="s">
        <v>404</v>
      </c>
      <c r="D52" s="143"/>
      <c r="E52" s="143"/>
      <c r="F52" s="143"/>
      <c r="G52" s="143"/>
      <c r="H52" s="143"/>
      <c r="I52" s="143"/>
      <c r="J52" s="143"/>
      <c r="K52" s="143"/>
      <c r="L52" s="143" t="s">
        <v>29</v>
      </c>
    </row>
    <row r="53" spans="2:12">
      <c r="B53" s="143" t="s">
        <v>405</v>
      </c>
      <c r="C53" s="143" t="s">
        <v>403</v>
      </c>
      <c r="D53" s="143"/>
      <c r="E53" s="143"/>
      <c r="F53" s="143"/>
      <c r="G53" s="143"/>
      <c r="H53" s="143"/>
      <c r="I53" s="143"/>
      <c r="J53" s="143"/>
      <c r="K53" s="143"/>
      <c r="L53" s="143" t="s">
        <v>29</v>
      </c>
    </row>
    <row r="54" spans="2:12">
      <c r="B54" s="143"/>
      <c r="C54" s="143" t="s">
        <v>404</v>
      </c>
      <c r="D54" s="143"/>
      <c r="E54" s="143"/>
      <c r="F54" s="143"/>
      <c r="G54" s="143"/>
      <c r="H54" s="143"/>
      <c r="I54" s="143"/>
      <c r="J54" s="143"/>
      <c r="K54" s="143"/>
      <c r="L54" s="143" t="s">
        <v>29</v>
      </c>
    </row>
  </sheetData>
  <autoFilter ref="A1:AL45" xr:uid="{99968075-C79E-496E-8470-A0201C505FA7}">
    <filterColumn colId="1">
      <filters>
        <filter val="y"/>
      </filters>
    </filterColumn>
  </autoFilter>
  <conditionalFormatting sqref="AG1:AH1048576">
    <cfRule type="cellIs" dxfId="5" priority="1" operator="equal">
      <formula>"will exclude"</formula>
    </cfRule>
    <cfRule type="cellIs" dxfId="4" priority="2" operator="equal">
      <formula>"Awaiting reply"</formula>
    </cfRule>
    <cfRule type="containsText" dxfId="3" priority="3" operator="containsText" text="completed">
      <formula>NOT(ISERROR(SEARCH("completed",AG1)))</formula>
    </cfRule>
  </conditionalFormatting>
  <hyperlinks>
    <hyperlink ref="E14" r:id="rId1" tooltip="DOI URL" display="https://doi.org/10.1021/es502887y" xr:uid="{9B0C36E3-8CB0-46F3-B579-0CBFB85DF283}"/>
    <hyperlink ref="E41" r:id="rId2" display="https://netl.doe.gov/projects/files/DirectAirCaptureCaseStudiesSolventSystem_083122.pdf" xr:uid="{BFF92FDF-8F9B-4216-A3CE-5B38C72FA026}"/>
    <hyperlink ref="E42" r:id="rId3" display="https://www.netl.doe.gov/projects/files/DirectAirCaptureCaseStudiesSorbentSystem_070822.pdf" xr:uid="{B6070F7D-1CB5-437F-AE21-F388112D931E}"/>
    <hyperlink ref="E39" r:id="rId4" display="https://roads2removal.org/" xr:uid="{DCCF5E4B-DCA2-415D-A257-0D0CB7A3702C}"/>
    <hyperlink ref="E43" r:id="rId5" xr:uid="{FA6A06F5-FB3F-4088-BFE1-F5E74AB324E4}"/>
    <hyperlink ref="E45" r:id="rId6" display="https://res.cloudinary.com/apsphysics/image/upload/v1698255780/Direct-Air-Capture-of-CO2-with-Chemicals_snams5.pdf?_gl=1*4c0t90*_gcl_au*OTAxNTk5NzU0LjE3MjU2NjkyNzA.*_ga*MTg0NDgyOTUuMTcyNTY2OTI3MA..*_ga_1CCM6YP0WF*MTcyNTY2OTI2OS4xLjEuMTcyNTY2OTI5Ny4zMi4wLjA.*_ga_ZS5V2B2DR1*MTcyNTY2OTI3NC4xLjAuMTcyNTY2OTI3NC4wLjAuMA.." xr:uid="{A4E6B9FF-3D62-4316-905F-02219C203823}"/>
    <hyperlink ref="E40" r:id="rId7" display="https://roads2removal.org/" xr:uid="{62A9C3AE-AB06-40AA-AA2F-4E73C83CB224}"/>
    <hyperlink ref="E44" r:id="rId8" xr:uid="{B91E911E-B96F-4504-BA6C-A3F2DE47CF69}"/>
  </hyperlinks>
  <pageMargins left="0.7" right="0.7" top="0.75" bottom="0.75" header="0.3" footer="0.3"/>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E050F-07F8-FE48-85C0-51954A76FC24}">
  <sheetPr codeName="Sheet6" filterMode="1"/>
  <dimension ref="A1:AL47"/>
  <sheetViews>
    <sheetView topLeftCell="L1" zoomScale="74" workbookViewId="0">
      <pane ySplit="1" topLeftCell="A2" activePane="bottomLeft" state="frozen"/>
      <selection pane="bottomLeft" activeCell="U50" sqref="U50"/>
    </sheetView>
  </sheetViews>
  <sheetFormatPr defaultColWidth="11.125" defaultRowHeight="15.6"/>
  <cols>
    <col min="1" max="1" width="23.125" customWidth="1"/>
    <col min="2" max="2" width="9.125" customWidth="1"/>
    <col min="4" max="4" width="12.5" customWidth="1"/>
    <col min="6" max="6" width="18.5" customWidth="1"/>
    <col min="7" max="7" width="13.625" bestFit="1" customWidth="1"/>
    <col min="9" max="9" width="13.5" bestFit="1" customWidth="1"/>
    <col min="11" max="11" width="6.875" customWidth="1"/>
    <col min="12" max="12" width="26.75" customWidth="1"/>
    <col min="13" max="13" width="18" bestFit="1" customWidth="1"/>
    <col min="14" max="14" width="18" customWidth="1"/>
    <col min="15" max="15" width="18.5" bestFit="1" customWidth="1"/>
    <col min="17" max="17" width="17.5" bestFit="1" customWidth="1"/>
    <col min="18" max="18" width="18.125" customWidth="1"/>
    <col min="19" max="22" width="20.125" customWidth="1"/>
    <col min="24" max="25" width="17.5" customWidth="1"/>
    <col min="26" max="28" width="15.125" customWidth="1"/>
    <col min="29" max="29" width="22.5" bestFit="1" customWidth="1"/>
    <col min="30" max="31" width="22.5" customWidth="1"/>
    <col min="32" max="32" width="37.625" customWidth="1"/>
    <col min="33" max="33" width="19" bestFit="1" customWidth="1"/>
    <col min="34" max="34" width="19" customWidth="1"/>
    <col min="36" max="36" width="33.625" customWidth="1"/>
  </cols>
  <sheetData>
    <row r="1" spans="1:38" s="51" customFormat="1">
      <c r="A1" s="1" t="s">
        <v>4</v>
      </c>
      <c r="B1" s="1" t="s">
        <v>124</v>
      </c>
      <c r="C1" s="1" t="s">
        <v>351</v>
      </c>
      <c r="D1" s="1" t="s">
        <v>352</v>
      </c>
      <c r="E1" s="1" t="s">
        <v>129</v>
      </c>
      <c r="F1" s="1" t="s">
        <v>137</v>
      </c>
      <c r="G1" s="1" t="s">
        <v>353</v>
      </c>
      <c r="H1" s="1" t="s">
        <v>134</v>
      </c>
      <c r="I1" s="1" t="s">
        <v>406</v>
      </c>
      <c r="J1" s="1" t="s">
        <v>407</v>
      </c>
      <c r="K1" s="1" t="s">
        <v>408</v>
      </c>
      <c r="L1" s="1" t="s">
        <v>133</v>
      </c>
      <c r="M1" s="1" t="s">
        <v>409</v>
      </c>
      <c r="N1" s="1" t="s">
        <v>410</v>
      </c>
      <c r="O1" s="1" t="s">
        <v>411</v>
      </c>
      <c r="P1" s="1" t="s">
        <v>8</v>
      </c>
      <c r="Q1" s="1" t="s">
        <v>354</v>
      </c>
      <c r="R1" s="1" t="s">
        <v>412</v>
      </c>
      <c r="S1" s="1" t="s">
        <v>413</v>
      </c>
      <c r="T1" s="1" t="s">
        <v>414</v>
      </c>
      <c r="U1" s="1" t="s">
        <v>415</v>
      </c>
      <c r="V1" s="1" t="s">
        <v>416</v>
      </c>
      <c r="W1" s="1" t="s">
        <v>417</v>
      </c>
      <c r="X1" s="1" t="s">
        <v>284</v>
      </c>
      <c r="Y1" s="1" t="s">
        <v>418</v>
      </c>
      <c r="Z1" s="1" t="s">
        <v>419</v>
      </c>
      <c r="AA1" s="1" t="s">
        <v>420</v>
      </c>
      <c r="AB1" s="1" t="s">
        <v>421</v>
      </c>
      <c r="AC1" s="1" t="s">
        <v>422</v>
      </c>
      <c r="AD1" s="1" t="s">
        <v>423</v>
      </c>
      <c r="AE1" s="1" t="s">
        <v>145</v>
      </c>
      <c r="AF1" s="1" t="s">
        <v>424</v>
      </c>
      <c r="AG1" s="1" t="s">
        <v>425</v>
      </c>
      <c r="AH1" s="1" t="s">
        <v>426</v>
      </c>
      <c r="AI1" s="1" t="s">
        <v>427</v>
      </c>
      <c r="AJ1" s="1" t="s">
        <v>428</v>
      </c>
      <c r="AK1" s="1" t="s">
        <v>429</v>
      </c>
      <c r="AL1" s="1"/>
    </row>
    <row r="2" spans="1:38">
      <c r="A2" t="s">
        <v>151</v>
      </c>
      <c r="B2" t="s">
        <v>150</v>
      </c>
      <c r="C2" t="s">
        <v>356</v>
      </c>
      <c r="D2" t="s">
        <v>357</v>
      </c>
      <c r="E2" t="s">
        <v>154</v>
      </c>
      <c r="F2" t="s">
        <v>158</v>
      </c>
      <c r="G2" t="s">
        <v>358</v>
      </c>
      <c r="H2" t="s">
        <v>359</v>
      </c>
      <c r="I2" t="s">
        <v>430</v>
      </c>
      <c r="J2" s="35" t="s">
        <v>431</v>
      </c>
      <c r="K2" t="s">
        <v>368</v>
      </c>
      <c r="L2" t="s">
        <v>432</v>
      </c>
      <c r="M2" t="s">
        <v>433</v>
      </c>
      <c r="N2" t="s">
        <v>368</v>
      </c>
      <c r="O2" t="s">
        <v>434</v>
      </c>
      <c r="P2" t="s">
        <v>435</v>
      </c>
      <c r="Q2">
        <v>0.98</v>
      </c>
      <c r="R2" s="52" t="s">
        <v>436</v>
      </c>
      <c r="S2" t="s">
        <v>437</v>
      </c>
      <c r="T2" t="s">
        <v>438</v>
      </c>
      <c r="U2" t="s">
        <v>439</v>
      </c>
      <c r="V2" t="s">
        <v>440</v>
      </c>
      <c r="W2" t="s">
        <v>441</v>
      </c>
      <c r="X2" t="s">
        <v>442</v>
      </c>
      <c r="Y2">
        <v>25</v>
      </c>
      <c r="Z2" t="s">
        <v>443</v>
      </c>
      <c r="AA2" t="s">
        <v>444</v>
      </c>
      <c r="AB2" t="s">
        <v>445</v>
      </c>
      <c r="AC2" t="s">
        <v>446</v>
      </c>
      <c r="AD2" t="s">
        <v>447</v>
      </c>
      <c r="AF2" t="s">
        <v>448</v>
      </c>
      <c r="AG2" t="s">
        <v>449</v>
      </c>
      <c r="AH2" t="s">
        <v>449</v>
      </c>
      <c r="AI2" s="53">
        <v>45548</v>
      </c>
      <c r="AK2" t="s">
        <v>450</v>
      </c>
    </row>
    <row r="3" spans="1:38">
      <c r="A3" t="s">
        <v>151</v>
      </c>
      <c r="B3" t="s">
        <v>150</v>
      </c>
      <c r="C3" t="s">
        <v>356</v>
      </c>
      <c r="D3" t="s">
        <v>357</v>
      </c>
      <c r="E3" t="s">
        <v>154</v>
      </c>
      <c r="F3" t="s">
        <v>166</v>
      </c>
      <c r="G3" t="s">
        <v>360</v>
      </c>
      <c r="H3" t="s">
        <v>359</v>
      </c>
      <c r="I3" t="s">
        <v>430</v>
      </c>
      <c r="J3" s="35" t="s">
        <v>451</v>
      </c>
      <c r="K3" t="s">
        <v>368</v>
      </c>
      <c r="L3" t="s">
        <v>432</v>
      </c>
      <c r="M3" t="s">
        <v>452</v>
      </c>
      <c r="N3" t="s">
        <v>368</v>
      </c>
      <c r="O3" t="s">
        <v>453</v>
      </c>
      <c r="P3" t="s">
        <v>435</v>
      </c>
      <c r="Q3">
        <f>46000/10^6</f>
        <v>4.5999999999999999E-2</v>
      </c>
      <c r="R3" s="52" t="s">
        <v>436</v>
      </c>
      <c r="S3" t="s">
        <v>437</v>
      </c>
      <c r="T3" t="s">
        <v>438</v>
      </c>
      <c r="U3" t="s">
        <v>439</v>
      </c>
      <c r="V3" t="s">
        <v>440</v>
      </c>
      <c r="W3" t="s">
        <v>441</v>
      </c>
      <c r="X3" t="s">
        <v>442</v>
      </c>
      <c r="Y3">
        <v>25</v>
      </c>
      <c r="Z3" t="s">
        <v>443</v>
      </c>
      <c r="AA3" t="s">
        <v>444</v>
      </c>
      <c r="AB3" t="s">
        <v>445</v>
      </c>
      <c r="AD3" t="s">
        <v>454</v>
      </c>
      <c r="AF3" t="s">
        <v>448</v>
      </c>
      <c r="AG3" t="s">
        <v>449</v>
      </c>
      <c r="AH3" t="s">
        <v>449</v>
      </c>
      <c r="AI3" s="53"/>
    </row>
    <row r="4" spans="1:38">
      <c r="A4" t="s">
        <v>151</v>
      </c>
      <c r="B4" t="s">
        <v>150</v>
      </c>
      <c r="C4" t="s">
        <v>356</v>
      </c>
      <c r="D4" t="s">
        <v>357</v>
      </c>
      <c r="E4" t="s">
        <v>154</v>
      </c>
      <c r="F4" t="s">
        <v>169</v>
      </c>
      <c r="G4" t="s">
        <v>169</v>
      </c>
      <c r="H4" t="s">
        <v>359</v>
      </c>
      <c r="I4" t="s">
        <v>430</v>
      </c>
      <c r="J4" s="35" t="s">
        <v>455</v>
      </c>
      <c r="K4" t="s">
        <v>368</v>
      </c>
      <c r="L4" t="s">
        <v>432</v>
      </c>
      <c r="M4" t="s">
        <v>456</v>
      </c>
      <c r="N4" t="s">
        <v>368</v>
      </c>
      <c r="O4" t="s">
        <v>457</v>
      </c>
      <c r="P4" t="s">
        <v>435</v>
      </c>
      <c r="Q4">
        <f>960/10^6</f>
        <v>9.6000000000000002E-4</v>
      </c>
      <c r="R4" s="52" t="s">
        <v>436</v>
      </c>
      <c r="S4" t="s">
        <v>437</v>
      </c>
      <c r="T4" t="s">
        <v>438</v>
      </c>
      <c r="U4" t="s">
        <v>439</v>
      </c>
      <c r="V4" t="s">
        <v>440</v>
      </c>
      <c r="W4" t="s">
        <v>441</v>
      </c>
      <c r="X4" t="s">
        <v>442</v>
      </c>
      <c r="Y4">
        <v>25</v>
      </c>
      <c r="Z4" t="s">
        <v>443</v>
      </c>
      <c r="AA4" t="s">
        <v>444</v>
      </c>
      <c r="AB4" t="s">
        <v>445</v>
      </c>
      <c r="AD4" t="s">
        <v>290</v>
      </c>
      <c r="AF4" t="s">
        <v>448</v>
      </c>
      <c r="AG4" t="s">
        <v>449</v>
      </c>
      <c r="AH4" t="s">
        <v>449</v>
      </c>
      <c r="AI4" s="53"/>
    </row>
    <row r="5" spans="1:38">
      <c r="A5" t="s">
        <v>151</v>
      </c>
      <c r="B5" t="s">
        <v>150</v>
      </c>
      <c r="C5" t="s">
        <v>356</v>
      </c>
      <c r="D5" t="s">
        <v>357</v>
      </c>
      <c r="E5" t="s">
        <v>154</v>
      </c>
      <c r="F5" t="s">
        <v>173</v>
      </c>
      <c r="G5" t="s">
        <v>361</v>
      </c>
      <c r="H5" t="s">
        <v>359</v>
      </c>
      <c r="I5" t="s">
        <v>430</v>
      </c>
      <c r="J5" s="35" t="s">
        <v>431</v>
      </c>
      <c r="K5" t="s">
        <v>368</v>
      </c>
      <c r="L5" t="s">
        <v>432</v>
      </c>
      <c r="M5" t="s">
        <v>458</v>
      </c>
      <c r="N5" t="s">
        <v>368</v>
      </c>
      <c r="O5" t="s">
        <v>459</v>
      </c>
      <c r="P5" t="s">
        <v>435</v>
      </c>
      <c r="Q5">
        <f>1100000/10^6</f>
        <v>1.1000000000000001</v>
      </c>
      <c r="R5" s="52" t="s">
        <v>436</v>
      </c>
      <c r="S5" t="s">
        <v>437</v>
      </c>
      <c r="T5" t="s">
        <v>438</v>
      </c>
      <c r="U5" t="s">
        <v>439</v>
      </c>
      <c r="V5" t="s">
        <v>440</v>
      </c>
      <c r="W5" t="s">
        <v>441</v>
      </c>
      <c r="X5" t="s">
        <v>442</v>
      </c>
      <c r="Y5">
        <v>25</v>
      </c>
      <c r="Z5" t="s">
        <v>443</v>
      </c>
      <c r="AA5" t="s">
        <v>460</v>
      </c>
      <c r="AB5" t="s">
        <v>445</v>
      </c>
      <c r="AD5" s="58" t="s">
        <v>461</v>
      </c>
      <c r="AF5" t="s">
        <v>448</v>
      </c>
      <c r="AG5" t="s">
        <v>449</v>
      </c>
      <c r="AH5" t="s">
        <v>449</v>
      </c>
      <c r="AI5" s="53"/>
    </row>
    <row r="6" spans="1:38">
      <c r="A6" t="s">
        <v>185</v>
      </c>
      <c r="B6" t="s">
        <v>150</v>
      </c>
      <c r="C6" t="s">
        <v>362</v>
      </c>
      <c r="D6" t="s">
        <v>357</v>
      </c>
      <c r="E6" t="s">
        <v>188</v>
      </c>
      <c r="F6" t="s">
        <v>158</v>
      </c>
      <c r="G6" t="s">
        <v>358</v>
      </c>
      <c r="H6" t="s">
        <v>363</v>
      </c>
      <c r="I6" t="s">
        <v>462</v>
      </c>
      <c r="J6">
        <v>8</v>
      </c>
      <c r="K6">
        <v>8</v>
      </c>
      <c r="L6" t="s">
        <v>432</v>
      </c>
      <c r="M6" t="s">
        <v>463</v>
      </c>
      <c r="N6" t="s">
        <v>368</v>
      </c>
      <c r="O6" t="s">
        <v>464</v>
      </c>
      <c r="P6" t="s">
        <v>435</v>
      </c>
      <c r="Q6">
        <f>500000/10^6</f>
        <v>0.5</v>
      </c>
      <c r="R6" s="4">
        <v>7.0000000000000007E-2</v>
      </c>
      <c r="S6" t="s">
        <v>465</v>
      </c>
      <c r="T6" t="s">
        <v>466</v>
      </c>
      <c r="U6" t="s">
        <v>467</v>
      </c>
      <c r="V6" t="s">
        <v>468</v>
      </c>
      <c r="W6">
        <v>8760</v>
      </c>
      <c r="X6" t="s">
        <v>469</v>
      </c>
      <c r="Y6">
        <v>25</v>
      </c>
      <c r="Z6" t="s">
        <v>443</v>
      </c>
      <c r="AA6" t="s">
        <v>470</v>
      </c>
      <c r="AB6" t="s">
        <v>471</v>
      </c>
      <c r="AD6" t="s">
        <v>447</v>
      </c>
      <c r="AG6" t="s">
        <v>472</v>
      </c>
      <c r="AH6" t="s">
        <v>449</v>
      </c>
      <c r="AK6" t="s">
        <v>450</v>
      </c>
    </row>
    <row r="7" spans="1:38">
      <c r="A7" t="s">
        <v>185</v>
      </c>
      <c r="B7" t="s">
        <v>150</v>
      </c>
      <c r="C7" t="s">
        <v>362</v>
      </c>
      <c r="D7" t="s">
        <v>357</v>
      </c>
      <c r="E7" t="s">
        <v>188</v>
      </c>
      <c r="F7" t="s">
        <v>166</v>
      </c>
      <c r="G7" t="s">
        <v>360</v>
      </c>
      <c r="H7" t="s">
        <v>363</v>
      </c>
      <c r="I7" t="s">
        <v>462</v>
      </c>
      <c r="J7">
        <v>12</v>
      </c>
      <c r="K7">
        <v>12</v>
      </c>
      <c r="L7" t="s">
        <v>432</v>
      </c>
      <c r="M7" t="s">
        <v>473</v>
      </c>
      <c r="N7" t="s">
        <v>368</v>
      </c>
      <c r="O7" s="3" t="s">
        <v>474</v>
      </c>
      <c r="P7" t="s">
        <v>435</v>
      </c>
      <c r="Q7">
        <f>4000/10^6</f>
        <v>4.0000000000000001E-3</v>
      </c>
      <c r="R7" s="4">
        <v>7.0000000000000007E-2</v>
      </c>
      <c r="S7" t="s">
        <v>465</v>
      </c>
      <c r="T7" t="s">
        <v>466</v>
      </c>
      <c r="U7" t="s">
        <v>467</v>
      </c>
      <c r="V7" t="s">
        <v>368</v>
      </c>
      <c r="W7">
        <v>8760</v>
      </c>
      <c r="X7" t="s">
        <v>475</v>
      </c>
      <c r="Y7">
        <v>25</v>
      </c>
      <c r="Z7" t="s">
        <v>443</v>
      </c>
      <c r="AA7" t="s">
        <v>470</v>
      </c>
      <c r="AB7" t="s">
        <v>471</v>
      </c>
      <c r="AD7" t="s">
        <v>50</v>
      </c>
      <c r="AG7" t="s">
        <v>472</v>
      </c>
      <c r="AH7" t="s">
        <v>449</v>
      </c>
      <c r="AK7" t="s">
        <v>450</v>
      </c>
    </row>
    <row r="8" spans="1:38">
      <c r="A8" t="s">
        <v>185</v>
      </c>
      <c r="B8" t="s">
        <v>150</v>
      </c>
      <c r="C8" t="s">
        <v>362</v>
      </c>
      <c r="D8" t="s">
        <v>357</v>
      </c>
      <c r="E8" t="s">
        <v>188</v>
      </c>
      <c r="F8" t="s">
        <v>173</v>
      </c>
      <c r="G8" t="s">
        <v>364</v>
      </c>
      <c r="H8" t="s">
        <v>363</v>
      </c>
      <c r="I8" t="s">
        <v>462</v>
      </c>
      <c r="J8">
        <v>14</v>
      </c>
      <c r="K8">
        <v>14</v>
      </c>
      <c r="L8" t="s">
        <v>432</v>
      </c>
      <c r="M8" t="s">
        <v>476</v>
      </c>
      <c r="N8" t="s">
        <v>368</v>
      </c>
      <c r="O8" t="s">
        <v>477</v>
      </c>
      <c r="P8" t="s">
        <v>435</v>
      </c>
      <c r="Q8">
        <f>1000/10^6</f>
        <v>1E-3</v>
      </c>
      <c r="R8" s="4">
        <v>7.0000000000000007E-2</v>
      </c>
      <c r="S8" t="s">
        <v>465</v>
      </c>
      <c r="T8" t="s">
        <v>466</v>
      </c>
      <c r="U8" t="s">
        <v>467</v>
      </c>
      <c r="V8" t="s">
        <v>368</v>
      </c>
      <c r="W8">
        <v>8760</v>
      </c>
      <c r="X8" t="s">
        <v>469</v>
      </c>
      <c r="Y8">
        <v>25</v>
      </c>
      <c r="Z8" t="s">
        <v>443</v>
      </c>
      <c r="AA8" t="s">
        <v>470</v>
      </c>
      <c r="AB8" t="s">
        <v>471</v>
      </c>
      <c r="AD8" s="58" t="s">
        <v>478</v>
      </c>
      <c r="AG8" t="s">
        <v>472</v>
      </c>
      <c r="AH8" t="s">
        <v>449</v>
      </c>
      <c r="AK8" t="s">
        <v>450</v>
      </c>
    </row>
    <row r="9" spans="1:38" hidden="1">
      <c r="A9" t="s">
        <v>199</v>
      </c>
      <c r="B9" t="s">
        <v>150</v>
      </c>
      <c r="C9" t="s">
        <v>366</v>
      </c>
      <c r="D9" t="s">
        <v>357</v>
      </c>
      <c r="E9" t="s">
        <v>202</v>
      </c>
      <c r="F9" t="s">
        <v>166</v>
      </c>
      <c r="G9" t="s">
        <v>166</v>
      </c>
      <c r="H9">
        <v>2023</v>
      </c>
      <c r="I9" t="s">
        <v>462</v>
      </c>
      <c r="J9" s="35" t="s">
        <v>479</v>
      </c>
      <c r="K9" t="s">
        <v>368</v>
      </c>
      <c r="L9" t="s">
        <v>480</v>
      </c>
      <c r="M9" t="s">
        <v>481</v>
      </c>
      <c r="N9" t="s">
        <v>368</v>
      </c>
      <c r="O9" t="s">
        <v>368</v>
      </c>
      <c r="P9" t="s">
        <v>435</v>
      </c>
      <c r="Q9">
        <v>0.1</v>
      </c>
      <c r="R9" s="4" t="s">
        <v>482</v>
      </c>
      <c r="S9" t="s">
        <v>483</v>
      </c>
      <c r="T9" t="s">
        <v>484</v>
      </c>
      <c r="U9" t="s">
        <v>485</v>
      </c>
      <c r="V9" t="s">
        <v>486</v>
      </c>
      <c r="W9" s="30">
        <v>7920</v>
      </c>
      <c r="X9">
        <v>0.9</v>
      </c>
      <c r="Y9">
        <v>10</v>
      </c>
      <c r="Z9" t="s">
        <v>443</v>
      </c>
      <c r="AA9" t="s">
        <v>487</v>
      </c>
      <c r="AB9" t="s">
        <v>487</v>
      </c>
      <c r="AC9" t="s">
        <v>334</v>
      </c>
      <c r="AD9" t="s">
        <v>488</v>
      </c>
      <c r="AE9" t="s">
        <v>489</v>
      </c>
      <c r="AF9" s="3"/>
      <c r="AG9" t="s">
        <v>449</v>
      </c>
    </row>
    <row r="10" spans="1:38" hidden="1">
      <c r="A10" t="s">
        <v>208</v>
      </c>
      <c r="B10" t="s">
        <v>150</v>
      </c>
      <c r="C10" t="s">
        <v>366</v>
      </c>
      <c r="D10" t="s">
        <v>357</v>
      </c>
      <c r="E10" t="s">
        <v>210</v>
      </c>
      <c r="F10" t="s">
        <v>166</v>
      </c>
      <c r="G10" t="s">
        <v>166</v>
      </c>
      <c r="H10">
        <v>2022</v>
      </c>
      <c r="I10" t="s">
        <v>462</v>
      </c>
      <c r="J10" t="s">
        <v>368</v>
      </c>
      <c r="K10" t="s">
        <v>368</v>
      </c>
      <c r="L10" t="s">
        <v>432</v>
      </c>
      <c r="M10" t="s">
        <v>490</v>
      </c>
      <c r="N10" t="s">
        <v>368</v>
      </c>
      <c r="O10" t="s">
        <v>368</v>
      </c>
      <c r="P10" t="s">
        <v>435</v>
      </c>
      <c r="Q10" t="s">
        <v>368</v>
      </c>
      <c r="R10" s="4" t="s">
        <v>491</v>
      </c>
      <c r="S10" t="s">
        <v>492</v>
      </c>
      <c r="T10" t="s">
        <v>486</v>
      </c>
      <c r="U10" t="s">
        <v>493</v>
      </c>
      <c r="V10" t="s">
        <v>486</v>
      </c>
      <c r="W10" t="s">
        <v>486</v>
      </c>
      <c r="X10">
        <v>0.9</v>
      </c>
      <c r="Y10">
        <v>25</v>
      </c>
      <c r="Z10" t="s">
        <v>494</v>
      </c>
      <c r="AA10" t="s">
        <v>368</v>
      </c>
      <c r="AB10" t="s">
        <v>368</v>
      </c>
      <c r="AC10" t="s">
        <v>446</v>
      </c>
      <c r="AD10" t="s">
        <v>488</v>
      </c>
      <c r="AE10" t="s">
        <v>489</v>
      </c>
      <c r="AG10" t="s">
        <v>449</v>
      </c>
      <c r="AI10" s="53">
        <v>45552</v>
      </c>
      <c r="AJ10" t="s">
        <v>495</v>
      </c>
    </row>
    <row r="11" spans="1:38">
      <c r="A11" t="s">
        <v>214</v>
      </c>
      <c r="B11" t="s">
        <v>150</v>
      </c>
      <c r="C11" t="s">
        <v>362</v>
      </c>
      <c r="D11" t="s">
        <v>357</v>
      </c>
      <c r="E11" t="s">
        <v>217</v>
      </c>
      <c r="F11" t="s">
        <v>158</v>
      </c>
      <c r="G11" t="s">
        <v>158</v>
      </c>
      <c r="H11" t="s">
        <v>370</v>
      </c>
      <c r="I11" t="s">
        <v>496</v>
      </c>
      <c r="J11" t="s">
        <v>497</v>
      </c>
      <c r="K11" s="54">
        <v>0.03</v>
      </c>
      <c r="L11" t="s">
        <v>480</v>
      </c>
      <c r="M11">
        <v>268</v>
      </c>
      <c r="N11" t="s">
        <v>368</v>
      </c>
      <c r="O11" t="s">
        <v>498</v>
      </c>
      <c r="P11" t="s">
        <v>499</v>
      </c>
      <c r="Q11">
        <v>1</v>
      </c>
      <c r="R11" s="4">
        <v>7.0000000000000007E-2</v>
      </c>
      <c r="S11" t="s">
        <v>500</v>
      </c>
      <c r="T11" t="s">
        <v>486</v>
      </c>
      <c r="U11" t="s">
        <v>501</v>
      </c>
      <c r="V11" t="s">
        <v>486</v>
      </c>
      <c r="W11">
        <v>8000</v>
      </c>
      <c r="Y11" t="s">
        <v>502</v>
      </c>
      <c r="Z11" t="s">
        <v>503</v>
      </c>
      <c r="AG11" t="s">
        <v>449</v>
      </c>
      <c r="AH11" t="s">
        <v>449</v>
      </c>
      <c r="AI11" s="53">
        <v>45546</v>
      </c>
      <c r="AK11" t="s">
        <v>450</v>
      </c>
    </row>
    <row r="12" spans="1:38">
      <c r="A12" t="s">
        <v>214</v>
      </c>
      <c r="B12" t="s">
        <v>150</v>
      </c>
      <c r="C12" t="s">
        <v>362</v>
      </c>
      <c r="D12" t="s">
        <v>357</v>
      </c>
      <c r="E12" t="s">
        <v>217</v>
      </c>
      <c r="F12" t="s">
        <v>166</v>
      </c>
      <c r="G12" t="s">
        <v>166</v>
      </c>
      <c r="H12" t="s">
        <v>370</v>
      </c>
      <c r="I12" t="s">
        <v>496</v>
      </c>
      <c r="J12" t="s">
        <v>497</v>
      </c>
      <c r="K12" s="5">
        <v>3.6999999999999998E-2</v>
      </c>
      <c r="L12" t="s">
        <v>480</v>
      </c>
      <c r="M12">
        <v>222</v>
      </c>
      <c r="N12" t="s">
        <v>368</v>
      </c>
      <c r="O12" t="s">
        <v>504</v>
      </c>
      <c r="P12" t="s">
        <v>499</v>
      </c>
      <c r="Q12">
        <v>0.36</v>
      </c>
      <c r="R12" s="4">
        <v>7.0000000000000007E-2</v>
      </c>
      <c r="S12" t="s">
        <v>500</v>
      </c>
      <c r="T12" t="s">
        <v>486</v>
      </c>
      <c r="U12" t="s">
        <v>505</v>
      </c>
      <c r="V12" t="s">
        <v>486</v>
      </c>
      <c r="W12">
        <v>8000</v>
      </c>
      <c r="Y12" t="s">
        <v>506</v>
      </c>
      <c r="Z12" t="s">
        <v>503</v>
      </c>
      <c r="AG12" t="s">
        <v>449</v>
      </c>
      <c r="AH12" t="s">
        <v>449</v>
      </c>
      <c r="AI12" s="53"/>
    </row>
    <row r="13" spans="1:38" hidden="1">
      <c r="A13" t="s">
        <v>223</v>
      </c>
      <c r="B13" t="s">
        <v>150</v>
      </c>
      <c r="C13" t="s">
        <v>362</v>
      </c>
      <c r="D13" t="s">
        <v>357</v>
      </c>
      <c r="E13" t="s">
        <v>226</v>
      </c>
      <c r="F13" t="s">
        <v>158</v>
      </c>
      <c r="G13" t="s">
        <v>358</v>
      </c>
      <c r="H13" t="s">
        <v>371</v>
      </c>
      <c r="I13" t="s">
        <v>507</v>
      </c>
      <c r="J13" t="s">
        <v>368</v>
      </c>
      <c r="K13" t="s">
        <v>368</v>
      </c>
      <c r="L13" t="s">
        <v>508</v>
      </c>
      <c r="M13" t="s">
        <v>509</v>
      </c>
      <c r="N13" t="s">
        <v>368</v>
      </c>
      <c r="O13" t="s">
        <v>368</v>
      </c>
      <c r="P13" t="s">
        <v>435</v>
      </c>
      <c r="Q13">
        <v>1</v>
      </c>
      <c r="R13" s="54">
        <v>0.12</v>
      </c>
      <c r="S13" t="s">
        <v>510</v>
      </c>
      <c r="T13" t="s">
        <v>511</v>
      </c>
      <c r="U13" t="s">
        <v>512</v>
      </c>
      <c r="V13" t="s">
        <v>513</v>
      </c>
      <c r="W13">
        <v>8000</v>
      </c>
      <c r="X13" s="54">
        <v>0.9</v>
      </c>
      <c r="Y13" s="55">
        <v>20</v>
      </c>
      <c r="Z13" s="55" t="s">
        <v>514</v>
      </c>
      <c r="AA13" s="55"/>
      <c r="AB13" s="55"/>
      <c r="AD13" t="s">
        <v>515</v>
      </c>
      <c r="AF13" t="s">
        <v>516</v>
      </c>
      <c r="AG13" t="s">
        <v>449</v>
      </c>
    </row>
    <row r="14" spans="1:38" hidden="1">
      <c r="A14" t="s">
        <v>227</v>
      </c>
      <c r="B14" t="s">
        <v>150</v>
      </c>
      <c r="C14" t="s">
        <v>362</v>
      </c>
      <c r="D14" t="s">
        <v>357</v>
      </c>
      <c r="E14" s="49" t="s">
        <v>229</v>
      </c>
      <c r="F14" t="s">
        <v>158</v>
      </c>
      <c r="G14" t="s">
        <v>358</v>
      </c>
      <c r="H14" t="s">
        <v>371</v>
      </c>
      <c r="I14" t="s">
        <v>507</v>
      </c>
      <c r="J14" t="s">
        <v>368</v>
      </c>
      <c r="K14" t="s">
        <v>368</v>
      </c>
      <c r="L14" t="s">
        <v>508</v>
      </c>
      <c r="M14">
        <v>580</v>
      </c>
      <c r="N14" t="s">
        <v>368</v>
      </c>
      <c r="O14" t="s">
        <v>368</v>
      </c>
      <c r="P14" t="s">
        <v>435</v>
      </c>
      <c r="Q14">
        <v>1</v>
      </c>
      <c r="R14" s="54">
        <v>0.12</v>
      </c>
      <c r="S14" t="s">
        <v>510</v>
      </c>
      <c r="T14" t="s">
        <v>511</v>
      </c>
      <c r="U14" t="s">
        <v>512</v>
      </c>
      <c r="V14" t="s">
        <v>513</v>
      </c>
      <c r="W14">
        <v>8000</v>
      </c>
      <c r="X14" s="54">
        <v>0.9</v>
      </c>
      <c r="Y14">
        <v>20</v>
      </c>
      <c r="Z14" s="55" t="s">
        <v>514</v>
      </c>
      <c r="AA14" s="55"/>
      <c r="AB14" s="55"/>
      <c r="AF14" t="s">
        <v>517</v>
      </c>
      <c r="AG14" t="s">
        <v>449</v>
      </c>
      <c r="AK14" t="s">
        <v>450</v>
      </c>
      <c r="AL14" t="s">
        <v>372</v>
      </c>
    </row>
    <row r="15" spans="1:38" hidden="1">
      <c r="A15" t="s">
        <v>230</v>
      </c>
      <c r="B15" t="s">
        <v>150</v>
      </c>
      <c r="C15" t="s">
        <v>362</v>
      </c>
      <c r="D15" t="s">
        <v>357</v>
      </c>
      <c r="E15" t="s">
        <v>232</v>
      </c>
      <c r="F15" t="s">
        <v>233</v>
      </c>
      <c r="G15" t="s">
        <v>373</v>
      </c>
      <c r="H15">
        <v>2022</v>
      </c>
      <c r="I15" t="s">
        <v>462</v>
      </c>
      <c r="J15" t="s">
        <v>368</v>
      </c>
      <c r="K15" t="s">
        <v>368</v>
      </c>
      <c r="L15" t="s">
        <v>432</v>
      </c>
      <c r="M15" t="s">
        <v>518</v>
      </c>
      <c r="N15" t="s">
        <v>368</v>
      </c>
      <c r="O15" t="s">
        <v>368</v>
      </c>
      <c r="P15" t="s">
        <v>435</v>
      </c>
      <c r="Q15">
        <v>1</v>
      </c>
      <c r="R15" s="5">
        <v>4.2000000000000003E-2</v>
      </c>
      <c r="S15" t="s">
        <v>519</v>
      </c>
      <c r="T15" t="s">
        <v>511</v>
      </c>
      <c r="U15" t="s">
        <v>520</v>
      </c>
      <c r="V15" t="s">
        <v>521</v>
      </c>
      <c r="X15">
        <v>0.9</v>
      </c>
      <c r="Y15">
        <v>25</v>
      </c>
      <c r="Z15" t="s">
        <v>522</v>
      </c>
      <c r="AA15" t="s">
        <v>368</v>
      </c>
      <c r="AB15" t="s">
        <v>523</v>
      </c>
      <c r="AD15" t="s">
        <v>447</v>
      </c>
      <c r="AG15" t="s">
        <v>449</v>
      </c>
      <c r="AI15" s="53">
        <v>45546</v>
      </c>
      <c r="AK15" t="s">
        <v>450</v>
      </c>
      <c r="AL15" s="48"/>
    </row>
    <row r="16" spans="1:38" hidden="1">
      <c r="A16" t="s">
        <v>230</v>
      </c>
      <c r="B16" t="s">
        <v>150</v>
      </c>
      <c r="C16" t="s">
        <v>362</v>
      </c>
      <c r="D16" t="s">
        <v>357</v>
      </c>
      <c r="E16" t="s">
        <v>232</v>
      </c>
      <c r="F16" t="s">
        <v>233</v>
      </c>
      <c r="G16" t="s">
        <v>374</v>
      </c>
      <c r="H16">
        <v>2022</v>
      </c>
      <c r="I16" t="s">
        <v>462</v>
      </c>
      <c r="J16" t="s">
        <v>368</v>
      </c>
      <c r="K16" t="s">
        <v>368</v>
      </c>
      <c r="L16" t="s">
        <v>432</v>
      </c>
      <c r="M16" t="s">
        <v>524</v>
      </c>
      <c r="N16" t="s">
        <v>368</v>
      </c>
      <c r="O16" t="s">
        <v>368</v>
      </c>
      <c r="P16" t="s">
        <v>435</v>
      </c>
      <c r="Q16">
        <v>1.48</v>
      </c>
      <c r="R16" s="5">
        <v>4.2000000000000003E-2</v>
      </c>
      <c r="S16" t="s">
        <v>368</v>
      </c>
      <c r="T16" t="s">
        <v>511</v>
      </c>
      <c r="U16" t="s">
        <v>525</v>
      </c>
      <c r="V16" t="s">
        <v>513</v>
      </c>
      <c r="X16">
        <v>0.9</v>
      </c>
      <c r="Y16">
        <v>25</v>
      </c>
      <c r="Z16" t="s">
        <v>522</v>
      </c>
      <c r="AA16" t="s">
        <v>368</v>
      </c>
      <c r="AB16" t="s">
        <v>523</v>
      </c>
      <c r="AD16" t="s">
        <v>447</v>
      </c>
      <c r="AG16" t="s">
        <v>449</v>
      </c>
      <c r="AI16" s="53">
        <v>45546</v>
      </c>
      <c r="AK16" t="s">
        <v>450</v>
      </c>
      <c r="AL16" s="48"/>
    </row>
    <row r="17" spans="1:37" hidden="1">
      <c r="A17" t="s">
        <v>234</v>
      </c>
      <c r="B17" t="s">
        <v>150</v>
      </c>
      <c r="C17" t="s">
        <v>362</v>
      </c>
      <c r="D17" t="s">
        <v>357</v>
      </c>
      <c r="E17" t="s">
        <v>236</v>
      </c>
      <c r="F17" t="s">
        <v>166</v>
      </c>
      <c r="G17" t="s">
        <v>375</v>
      </c>
      <c r="H17">
        <v>2023</v>
      </c>
      <c r="I17" t="s">
        <v>526</v>
      </c>
      <c r="J17" t="s">
        <v>368</v>
      </c>
      <c r="K17" t="s">
        <v>368</v>
      </c>
      <c r="L17" t="s">
        <v>432</v>
      </c>
      <c r="M17" t="s">
        <v>527</v>
      </c>
      <c r="N17" t="s">
        <v>368</v>
      </c>
      <c r="O17" t="s">
        <v>368</v>
      </c>
      <c r="P17" t="s">
        <v>499</v>
      </c>
      <c r="Q17">
        <v>1</v>
      </c>
      <c r="R17" s="54">
        <v>5.0999999999999997E-2</v>
      </c>
      <c r="S17" t="s">
        <v>528</v>
      </c>
      <c r="T17" t="s">
        <v>529</v>
      </c>
      <c r="U17" t="s">
        <v>530</v>
      </c>
      <c r="V17" t="s">
        <v>511</v>
      </c>
      <c r="W17">
        <v>8000</v>
      </c>
      <c r="Y17">
        <v>20</v>
      </c>
      <c r="Z17" t="s">
        <v>443</v>
      </c>
      <c r="AA17" t="s">
        <v>531</v>
      </c>
      <c r="AB17" t="s">
        <v>532</v>
      </c>
      <c r="AG17" t="s">
        <v>449</v>
      </c>
      <c r="AI17" s="53">
        <v>45547</v>
      </c>
      <c r="AJ17" t="s">
        <v>533</v>
      </c>
    </row>
    <row r="18" spans="1:37" s="58" customFormat="1" hidden="1">
      <c r="A18" s="58" t="s">
        <v>240</v>
      </c>
      <c r="C18" s="58" t="s">
        <v>366</v>
      </c>
      <c r="D18" s="58" t="s">
        <v>357</v>
      </c>
      <c r="E18" s="58" t="s">
        <v>243</v>
      </c>
      <c r="F18" s="58" t="s">
        <v>158</v>
      </c>
      <c r="H18" s="58">
        <v>2020</v>
      </c>
      <c r="I18" s="58" t="s">
        <v>430</v>
      </c>
      <c r="J18" s="58" t="s">
        <v>368</v>
      </c>
      <c r="K18" s="58" t="s">
        <v>368</v>
      </c>
      <c r="L18" s="58" t="s">
        <v>432</v>
      </c>
      <c r="M18" s="58" t="s">
        <v>534</v>
      </c>
      <c r="N18" s="58" t="s">
        <v>368</v>
      </c>
      <c r="O18" s="58" t="s">
        <v>368</v>
      </c>
      <c r="P18" s="58" t="s">
        <v>435</v>
      </c>
      <c r="Q18" s="58">
        <v>1</v>
      </c>
      <c r="R18" s="71">
        <v>8.5000000000000006E-2</v>
      </c>
      <c r="S18" s="58" t="s">
        <v>535</v>
      </c>
      <c r="T18" s="58" t="s">
        <v>536</v>
      </c>
      <c r="U18" s="58" t="s">
        <v>537</v>
      </c>
      <c r="V18" s="58" t="s">
        <v>468</v>
      </c>
      <c r="W18" s="72">
        <v>7884</v>
      </c>
      <c r="X18" s="58">
        <v>0.9</v>
      </c>
      <c r="Y18" s="58">
        <v>20</v>
      </c>
      <c r="Z18" s="58" t="s">
        <v>503</v>
      </c>
      <c r="AA18" s="58" t="s">
        <v>368</v>
      </c>
      <c r="AB18" s="58" t="s">
        <v>368</v>
      </c>
      <c r="AC18" s="58" t="s">
        <v>538</v>
      </c>
      <c r="AD18" s="58" t="s">
        <v>539</v>
      </c>
      <c r="AE18" s="58" t="s">
        <v>540</v>
      </c>
      <c r="AF18" s="58" t="s">
        <v>541</v>
      </c>
      <c r="AG18" s="58" t="s">
        <v>449</v>
      </c>
    </row>
    <row r="19" spans="1:37" hidden="1">
      <c r="A19" t="s">
        <v>247</v>
      </c>
      <c r="B19" t="s">
        <v>150</v>
      </c>
      <c r="C19" t="s">
        <v>362</v>
      </c>
      <c r="D19" t="s">
        <v>357</v>
      </c>
      <c r="E19" t="s">
        <v>249</v>
      </c>
      <c r="F19" t="s">
        <v>166</v>
      </c>
      <c r="G19" t="s">
        <v>376</v>
      </c>
      <c r="H19">
        <v>2023</v>
      </c>
      <c r="I19" t="s">
        <v>462</v>
      </c>
      <c r="J19" t="s">
        <v>368</v>
      </c>
      <c r="K19" t="s">
        <v>368</v>
      </c>
      <c r="L19" t="s">
        <v>480</v>
      </c>
      <c r="M19" t="s">
        <v>542</v>
      </c>
      <c r="N19" t="s">
        <v>368</v>
      </c>
      <c r="O19" t="s">
        <v>368</v>
      </c>
      <c r="P19" t="s">
        <v>435</v>
      </c>
      <c r="Q19">
        <f>1000/10^6</f>
        <v>1E-3</v>
      </c>
      <c r="R19" s="54">
        <v>0.12</v>
      </c>
      <c r="S19" t="s">
        <v>543</v>
      </c>
      <c r="T19" t="s">
        <v>544</v>
      </c>
      <c r="U19" t="s">
        <v>368</v>
      </c>
      <c r="V19" t="s">
        <v>368</v>
      </c>
      <c r="X19" s="54">
        <v>1</v>
      </c>
      <c r="Y19">
        <v>20</v>
      </c>
      <c r="Z19" t="s">
        <v>545</v>
      </c>
      <c r="AB19" t="s">
        <v>523</v>
      </c>
      <c r="AF19" t="s">
        <v>546</v>
      </c>
      <c r="AG19" t="s">
        <v>449</v>
      </c>
    </row>
    <row r="20" spans="1:37" hidden="1">
      <c r="A20" t="s">
        <v>247</v>
      </c>
      <c r="B20" t="s">
        <v>150</v>
      </c>
      <c r="C20" t="s">
        <v>362</v>
      </c>
      <c r="D20" t="s">
        <v>357</v>
      </c>
      <c r="E20" t="s">
        <v>249</v>
      </c>
      <c r="F20" t="s">
        <v>250</v>
      </c>
      <c r="G20" t="s">
        <v>377</v>
      </c>
      <c r="H20">
        <v>2023</v>
      </c>
      <c r="I20" t="s">
        <v>462</v>
      </c>
      <c r="J20" t="s">
        <v>368</v>
      </c>
      <c r="K20" t="s">
        <v>368</v>
      </c>
      <c r="L20" t="s">
        <v>480</v>
      </c>
      <c r="M20" t="s">
        <v>547</v>
      </c>
      <c r="N20" t="s">
        <v>368</v>
      </c>
      <c r="O20" t="s">
        <v>368</v>
      </c>
      <c r="P20" t="s">
        <v>435</v>
      </c>
      <c r="Q20">
        <f>1000/10^6</f>
        <v>1E-3</v>
      </c>
      <c r="R20" s="54">
        <v>0.12</v>
      </c>
      <c r="S20" t="s">
        <v>543</v>
      </c>
      <c r="T20" t="s">
        <v>544</v>
      </c>
      <c r="U20" t="s">
        <v>368</v>
      </c>
      <c r="V20" t="s">
        <v>368</v>
      </c>
      <c r="X20" s="54">
        <v>1</v>
      </c>
      <c r="Y20">
        <v>20</v>
      </c>
      <c r="Z20" t="s">
        <v>545</v>
      </c>
      <c r="AB20" t="s">
        <v>523</v>
      </c>
      <c r="AF20" t="s">
        <v>546</v>
      </c>
      <c r="AG20" t="s">
        <v>449</v>
      </c>
    </row>
    <row r="21" spans="1:37" s="48" customFormat="1" hidden="1">
      <c r="A21" s="48" t="s">
        <v>251</v>
      </c>
      <c r="B21" s="48" t="s">
        <v>365</v>
      </c>
      <c r="D21" s="48" t="s">
        <v>357</v>
      </c>
      <c r="E21" s="48" t="s">
        <v>254</v>
      </c>
      <c r="F21" s="48" t="s">
        <v>166</v>
      </c>
      <c r="AF21" s="48" t="s">
        <v>548</v>
      </c>
      <c r="AG21" t="s">
        <v>549</v>
      </c>
      <c r="AH21"/>
    </row>
    <row r="22" spans="1:37" hidden="1">
      <c r="A22" t="s">
        <v>255</v>
      </c>
      <c r="B22" t="s">
        <v>150</v>
      </c>
      <c r="C22" t="s">
        <v>366</v>
      </c>
      <c r="D22" t="s">
        <v>357</v>
      </c>
      <c r="E22" t="s">
        <v>258</v>
      </c>
      <c r="F22" t="s">
        <v>259</v>
      </c>
      <c r="G22" t="s">
        <v>378</v>
      </c>
      <c r="H22">
        <v>2011</v>
      </c>
      <c r="I22" t="s">
        <v>550</v>
      </c>
      <c r="J22" t="s">
        <v>368</v>
      </c>
      <c r="K22" t="s">
        <v>368</v>
      </c>
      <c r="L22" t="s">
        <v>551</v>
      </c>
      <c r="M22" t="s">
        <v>552</v>
      </c>
      <c r="N22" t="s">
        <v>368</v>
      </c>
      <c r="O22" t="s">
        <v>368</v>
      </c>
      <c r="P22" t="s">
        <v>435</v>
      </c>
      <c r="Q22">
        <v>1</v>
      </c>
      <c r="R22" s="4">
        <v>0.1</v>
      </c>
      <c r="S22" t="s">
        <v>553</v>
      </c>
      <c r="T22" t="s">
        <v>486</v>
      </c>
      <c r="U22" t="s">
        <v>554</v>
      </c>
      <c r="V22" t="s">
        <v>368</v>
      </c>
      <c r="W22" s="56">
        <v>7900</v>
      </c>
      <c r="X22" s="54">
        <v>0.9</v>
      </c>
      <c r="Y22">
        <v>30</v>
      </c>
      <c r="Z22" s="55" t="s">
        <v>514</v>
      </c>
      <c r="AA22" s="55" t="s">
        <v>368</v>
      </c>
      <c r="AB22" s="55" t="s">
        <v>368</v>
      </c>
      <c r="AC22" t="s">
        <v>446</v>
      </c>
      <c r="AD22" t="s">
        <v>488</v>
      </c>
      <c r="AE22" t="s">
        <v>555</v>
      </c>
      <c r="AF22" s="3"/>
      <c r="AG22" t="s">
        <v>449</v>
      </c>
    </row>
    <row r="23" spans="1:37" hidden="1">
      <c r="A23" t="s">
        <v>267</v>
      </c>
      <c r="B23" t="s">
        <v>150</v>
      </c>
      <c r="C23" t="s">
        <v>366</v>
      </c>
      <c r="D23" t="s">
        <v>357</v>
      </c>
      <c r="E23" t="s">
        <v>270</v>
      </c>
      <c r="F23" t="s">
        <v>158</v>
      </c>
      <c r="G23" t="s">
        <v>158</v>
      </c>
      <c r="H23">
        <v>2023</v>
      </c>
      <c r="I23" t="s">
        <v>462</v>
      </c>
      <c r="J23" t="s">
        <v>368</v>
      </c>
      <c r="K23" t="s">
        <v>368</v>
      </c>
      <c r="L23" t="s">
        <v>432</v>
      </c>
      <c r="M23" t="s">
        <v>556</v>
      </c>
      <c r="N23" t="s">
        <v>368</v>
      </c>
      <c r="O23" t="s">
        <v>368</v>
      </c>
      <c r="P23" t="s">
        <v>435</v>
      </c>
      <c r="Q23">
        <v>1</v>
      </c>
      <c r="R23" t="s">
        <v>557</v>
      </c>
      <c r="S23" t="s">
        <v>558</v>
      </c>
      <c r="T23" t="s">
        <v>559</v>
      </c>
      <c r="U23" t="s">
        <v>560</v>
      </c>
      <c r="V23" t="s">
        <v>468</v>
      </c>
      <c r="W23">
        <v>7884</v>
      </c>
      <c r="X23" s="54">
        <v>0.9</v>
      </c>
      <c r="Y23">
        <v>20</v>
      </c>
      <c r="Z23" t="s">
        <v>561</v>
      </c>
      <c r="AA23" t="s">
        <v>368</v>
      </c>
      <c r="AB23" t="s">
        <v>368</v>
      </c>
      <c r="AC23" t="s">
        <v>562</v>
      </c>
      <c r="AE23" t="s">
        <v>563</v>
      </c>
      <c r="AF23" t="s">
        <v>564</v>
      </c>
      <c r="AG23" t="s">
        <v>449</v>
      </c>
      <c r="AI23" s="53" t="s">
        <v>565</v>
      </c>
      <c r="AJ23" t="s">
        <v>566</v>
      </c>
    </row>
    <row r="24" spans="1:37" hidden="1">
      <c r="A24" t="s">
        <v>267</v>
      </c>
      <c r="B24" t="s">
        <v>150</v>
      </c>
      <c r="C24" t="s">
        <v>366</v>
      </c>
      <c r="D24" t="s">
        <v>357</v>
      </c>
      <c r="E24" t="s">
        <v>270</v>
      </c>
      <c r="F24" t="s">
        <v>166</v>
      </c>
      <c r="G24" t="s">
        <v>166</v>
      </c>
      <c r="H24">
        <v>2023</v>
      </c>
      <c r="I24" t="s">
        <v>462</v>
      </c>
      <c r="J24" t="s">
        <v>368</v>
      </c>
      <c r="K24" t="s">
        <v>368</v>
      </c>
      <c r="L24" t="s">
        <v>432</v>
      </c>
      <c r="M24" t="s">
        <v>567</v>
      </c>
      <c r="N24" t="s">
        <v>368</v>
      </c>
      <c r="O24" t="s">
        <v>368</v>
      </c>
      <c r="P24" t="s">
        <v>435</v>
      </c>
      <c r="Q24" t="s">
        <v>381</v>
      </c>
      <c r="R24" t="s">
        <v>557</v>
      </c>
      <c r="S24" t="s">
        <v>558</v>
      </c>
      <c r="T24" t="s">
        <v>559</v>
      </c>
      <c r="U24" t="s">
        <v>560</v>
      </c>
      <c r="V24" t="s">
        <v>468</v>
      </c>
      <c r="W24">
        <v>7884</v>
      </c>
      <c r="X24" s="54">
        <v>0.9</v>
      </c>
      <c r="Y24">
        <v>40</v>
      </c>
      <c r="Z24" t="s">
        <v>561</v>
      </c>
      <c r="AA24" t="s">
        <v>368</v>
      </c>
      <c r="AB24" t="s">
        <v>368</v>
      </c>
      <c r="AC24" t="s">
        <v>562</v>
      </c>
      <c r="AE24" t="s">
        <v>563</v>
      </c>
      <c r="AF24" t="s">
        <v>564</v>
      </c>
      <c r="AG24" t="s">
        <v>449</v>
      </c>
      <c r="AI24" s="53" t="s">
        <v>565</v>
      </c>
      <c r="AJ24" t="s">
        <v>566</v>
      </c>
    </row>
    <row r="25" spans="1:37" s="60" customFormat="1" hidden="1">
      <c r="A25" s="60" t="s">
        <v>271</v>
      </c>
      <c r="D25" s="60" t="s">
        <v>357</v>
      </c>
      <c r="E25" s="60" t="s">
        <v>274</v>
      </c>
      <c r="F25" s="60" t="s">
        <v>158</v>
      </c>
      <c r="G25" s="60" t="s">
        <v>382</v>
      </c>
      <c r="AF25" s="60" t="s">
        <v>568</v>
      </c>
      <c r="AG25" s="60" t="s">
        <v>569</v>
      </c>
      <c r="AI25" s="93" t="s">
        <v>565</v>
      </c>
      <c r="AK25" s="60" t="s">
        <v>570</v>
      </c>
    </row>
    <row r="26" spans="1:37">
      <c r="A26" t="s">
        <v>275</v>
      </c>
      <c r="B26" t="s">
        <v>150</v>
      </c>
      <c r="C26" t="s">
        <v>362</v>
      </c>
      <c r="D26" t="s">
        <v>357</v>
      </c>
      <c r="E26" t="s">
        <v>277</v>
      </c>
      <c r="F26" t="s">
        <v>158</v>
      </c>
      <c r="G26" t="s">
        <v>358</v>
      </c>
      <c r="H26" t="s">
        <v>384</v>
      </c>
      <c r="I26" t="s">
        <v>571</v>
      </c>
      <c r="J26" t="s">
        <v>368</v>
      </c>
      <c r="K26" t="s">
        <v>368</v>
      </c>
      <c r="L26" t="s">
        <v>480</v>
      </c>
      <c r="M26" t="s">
        <v>572</v>
      </c>
      <c r="N26" t="s">
        <v>368</v>
      </c>
      <c r="O26" t="s">
        <v>573</v>
      </c>
      <c r="P26" t="s">
        <v>435</v>
      </c>
      <c r="Q26">
        <v>1</v>
      </c>
      <c r="R26" t="s">
        <v>574</v>
      </c>
      <c r="S26" t="s">
        <v>575</v>
      </c>
      <c r="T26" t="s">
        <v>511</v>
      </c>
      <c r="U26" t="s">
        <v>576</v>
      </c>
      <c r="V26" t="s">
        <v>468</v>
      </c>
      <c r="X26" s="54">
        <v>0.9</v>
      </c>
      <c r="Y26">
        <v>25</v>
      </c>
      <c r="Z26" t="s">
        <v>577</v>
      </c>
      <c r="AF26" t="s">
        <v>578</v>
      </c>
      <c r="AG26" t="s">
        <v>449</v>
      </c>
      <c r="AH26" t="s">
        <v>449</v>
      </c>
      <c r="AK26" t="s">
        <v>579</v>
      </c>
    </row>
    <row r="27" spans="1:37" hidden="1">
      <c r="A27" t="s">
        <v>278</v>
      </c>
      <c r="B27" t="s">
        <v>150</v>
      </c>
      <c r="C27" t="s">
        <v>366</v>
      </c>
      <c r="D27" t="s">
        <v>357</v>
      </c>
      <c r="E27" t="s">
        <v>281</v>
      </c>
      <c r="F27" t="s">
        <v>166</v>
      </c>
      <c r="G27" t="s">
        <v>166</v>
      </c>
      <c r="H27">
        <v>2024</v>
      </c>
      <c r="I27" t="s">
        <v>526</v>
      </c>
      <c r="J27" t="s">
        <v>368</v>
      </c>
      <c r="K27" t="s">
        <v>368</v>
      </c>
      <c r="L27" t="s">
        <v>480</v>
      </c>
      <c r="M27">
        <v>1014</v>
      </c>
      <c r="N27" t="s">
        <v>368</v>
      </c>
      <c r="O27" t="s">
        <v>368</v>
      </c>
      <c r="P27" t="s">
        <v>499</v>
      </c>
      <c r="Q27">
        <v>1</v>
      </c>
      <c r="R27" s="5">
        <v>0.06</v>
      </c>
      <c r="S27" t="s">
        <v>580</v>
      </c>
      <c r="T27" t="s">
        <v>581</v>
      </c>
      <c r="U27" t="s">
        <v>368</v>
      </c>
      <c r="V27" t="s">
        <v>582</v>
      </c>
      <c r="W27">
        <v>8760</v>
      </c>
      <c r="X27" s="54">
        <v>1</v>
      </c>
      <c r="Y27">
        <v>25</v>
      </c>
      <c r="Z27" t="s">
        <v>443</v>
      </c>
      <c r="AA27" t="s">
        <v>368</v>
      </c>
      <c r="AB27" t="s">
        <v>368</v>
      </c>
      <c r="AC27" t="s">
        <v>446</v>
      </c>
      <c r="AF27" t="s">
        <v>583</v>
      </c>
      <c r="AG27" t="s">
        <v>449</v>
      </c>
      <c r="AH27" t="s">
        <v>449</v>
      </c>
      <c r="AK27" t="s">
        <v>584</v>
      </c>
    </row>
    <row r="28" spans="1:37" hidden="1">
      <c r="A28" s="88" t="s">
        <v>285</v>
      </c>
      <c r="B28" s="60"/>
      <c r="C28" s="60" t="s">
        <v>366</v>
      </c>
      <c r="D28" s="60" t="s">
        <v>357</v>
      </c>
      <c r="E28" s="60" t="s">
        <v>288</v>
      </c>
      <c r="F28" s="60" t="s">
        <v>158</v>
      </c>
      <c r="G28" s="60" t="s">
        <v>386</v>
      </c>
      <c r="H28" s="60">
        <v>2023</v>
      </c>
      <c r="I28" s="60" t="s">
        <v>430</v>
      </c>
      <c r="J28" s="60"/>
      <c r="K28" s="60"/>
      <c r="L28" s="60" t="s">
        <v>480</v>
      </c>
      <c r="M28" s="60"/>
      <c r="N28" s="60"/>
      <c r="O28" s="60"/>
      <c r="P28" s="60" t="s">
        <v>435</v>
      </c>
      <c r="Q28" s="60"/>
      <c r="R28" s="89">
        <v>7.0000000000000007E-2</v>
      </c>
      <c r="S28" s="60"/>
      <c r="T28" s="60"/>
      <c r="U28" s="60"/>
      <c r="V28" s="60"/>
      <c r="W28" s="60"/>
      <c r="X28" s="60"/>
      <c r="Y28" s="60">
        <v>20</v>
      </c>
      <c r="Z28" s="60" t="s">
        <v>577</v>
      </c>
      <c r="AA28" s="60"/>
      <c r="AB28" s="60"/>
      <c r="AC28" s="60"/>
      <c r="AD28" s="60" t="s">
        <v>447</v>
      </c>
      <c r="AE28" s="60"/>
      <c r="AF28" s="60" t="s">
        <v>585</v>
      </c>
      <c r="AG28" t="s">
        <v>569</v>
      </c>
      <c r="AI28" s="53" t="s">
        <v>565</v>
      </c>
      <c r="AJ28" s="48" t="s">
        <v>586</v>
      </c>
      <c r="AK28" t="s">
        <v>587</v>
      </c>
    </row>
    <row r="29" spans="1:37" hidden="1">
      <c r="A29" s="88" t="s">
        <v>285</v>
      </c>
      <c r="B29" s="60"/>
      <c r="C29" s="60" t="s">
        <v>366</v>
      </c>
      <c r="D29" s="60" t="s">
        <v>357</v>
      </c>
      <c r="E29" s="60" t="s">
        <v>288</v>
      </c>
      <c r="F29" s="60" t="s">
        <v>169</v>
      </c>
      <c r="G29" s="60" t="s">
        <v>387</v>
      </c>
      <c r="H29" s="60">
        <v>2023</v>
      </c>
      <c r="I29" s="60" t="s">
        <v>430</v>
      </c>
      <c r="J29" s="60"/>
      <c r="K29" s="60"/>
      <c r="L29" s="60" t="s">
        <v>480</v>
      </c>
      <c r="M29" s="60"/>
      <c r="N29" s="60"/>
      <c r="O29" s="60"/>
      <c r="P29" s="60" t="s">
        <v>435</v>
      </c>
      <c r="Q29" s="60"/>
      <c r="R29" s="89">
        <v>7.0000000000000007E-2</v>
      </c>
      <c r="S29" s="60"/>
      <c r="T29" s="60"/>
      <c r="U29" s="60"/>
      <c r="V29" s="60"/>
      <c r="W29" s="60"/>
      <c r="X29" s="60"/>
      <c r="Y29" s="60">
        <v>20</v>
      </c>
      <c r="Z29" s="60" t="s">
        <v>577</v>
      </c>
      <c r="AA29" s="60"/>
      <c r="AB29" s="60"/>
      <c r="AC29" s="60"/>
      <c r="AD29" s="60" t="s">
        <v>588</v>
      </c>
      <c r="AE29" s="60"/>
      <c r="AF29" s="60" t="s">
        <v>585</v>
      </c>
      <c r="AG29" t="s">
        <v>569</v>
      </c>
      <c r="AI29" s="53" t="s">
        <v>565</v>
      </c>
      <c r="AJ29" s="48" t="s">
        <v>586</v>
      </c>
      <c r="AK29" t="s">
        <v>587</v>
      </c>
    </row>
    <row r="30" spans="1:37" hidden="1">
      <c r="A30" s="88" t="s">
        <v>285</v>
      </c>
      <c r="B30" s="60"/>
      <c r="C30" s="60" t="s">
        <v>366</v>
      </c>
      <c r="D30" s="60" t="s">
        <v>357</v>
      </c>
      <c r="E30" s="60" t="s">
        <v>288</v>
      </c>
      <c r="F30" s="60" t="s">
        <v>166</v>
      </c>
      <c r="G30" s="60" t="s">
        <v>388</v>
      </c>
      <c r="H30" s="60">
        <v>2023</v>
      </c>
      <c r="I30" s="60" t="s">
        <v>430</v>
      </c>
      <c r="J30" s="60"/>
      <c r="K30" s="60"/>
      <c r="L30" s="60" t="s">
        <v>480</v>
      </c>
      <c r="M30" s="60"/>
      <c r="N30" s="60"/>
      <c r="O30" s="60"/>
      <c r="P30" s="60" t="s">
        <v>435</v>
      </c>
      <c r="Q30" s="60"/>
      <c r="R30" s="89">
        <v>7.0000000000000007E-2</v>
      </c>
      <c r="S30" s="60"/>
      <c r="T30" s="60"/>
      <c r="U30" s="60"/>
      <c r="V30" s="60"/>
      <c r="W30" s="60"/>
      <c r="X30" s="60"/>
      <c r="Y30" s="60">
        <v>20</v>
      </c>
      <c r="Z30" s="60" t="s">
        <v>577</v>
      </c>
      <c r="AA30" s="60"/>
      <c r="AB30" s="60"/>
      <c r="AC30" s="60"/>
      <c r="AD30" s="60" t="s">
        <v>589</v>
      </c>
      <c r="AE30" s="60"/>
      <c r="AF30" s="60" t="s">
        <v>585</v>
      </c>
      <c r="AG30" t="s">
        <v>569</v>
      </c>
      <c r="AI30" s="53" t="s">
        <v>565</v>
      </c>
      <c r="AJ30" s="48" t="s">
        <v>586</v>
      </c>
      <c r="AK30" t="s">
        <v>587</v>
      </c>
    </row>
    <row r="31" spans="1:37" ht="25.9" hidden="1" customHeight="1">
      <c r="A31" s="88" t="s">
        <v>285</v>
      </c>
      <c r="B31" s="60"/>
      <c r="C31" s="60" t="s">
        <v>366</v>
      </c>
      <c r="D31" s="60" t="s">
        <v>357</v>
      </c>
      <c r="E31" s="60" t="s">
        <v>288</v>
      </c>
      <c r="F31" s="60" t="s">
        <v>289</v>
      </c>
      <c r="G31" s="60" t="s">
        <v>389</v>
      </c>
      <c r="H31" s="60">
        <v>2023</v>
      </c>
      <c r="I31" s="60" t="s">
        <v>430</v>
      </c>
      <c r="J31" s="60"/>
      <c r="K31" s="60"/>
      <c r="L31" s="60" t="s">
        <v>480</v>
      </c>
      <c r="M31" s="60"/>
      <c r="N31" s="60"/>
      <c r="O31" s="60"/>
      <c r="P31" s="60" t="s">
        <v>435</v>
      </c>
      <c r="Q31" s="60"/>
      <c r="R31" s="89">
        <v>7.0000000000000007E-2</v>
      </c>
      <c r="S31" s="60"/>
      <c r="T31" s="60"/>
      <c r="U31" s="60"/>
      <c r="V31" s="60"/>
      <c r="W31" s="60"/>
      <c r="X31" s="60"/>
      <c r="Y31" s="60">
        <v>20</v>
      </c>
      <c r="Z31" s="60" t="s">
        <v>577</v>
      </c>
      <c r="AA31" s="60"/>
      <c r="AB31" s="60"/>
      <c r="AC31" s="60"/>
      <c r="AD31" s="110" t="s">
        <v>590</v>
      </c>
      <c r="AE31" s="60"/>
      <c r="AF31" s="60" t="s">
        <v>585</v>
      </c>
      <c r="AG31" t="s">
        <v>569</v>
      </c>
      <c r="AI31" s="53" t="s">
        <v>565</v>
      </c>
      <c r="AJ31" s="48" t="s">
        <v>586</v>
      </c>
      <c r="AK31" t="s">
        <v>587</v>
      </c>
    </row>
    <row r="32" spans="1:37" s="48" customFormat="1" hidden="1">
      <c r="A32" s="48" t="s">
        <v>290</v>
      </c>
      <c r="D32" s="48" t="s">
        <v>357</v>
      </c>
      <c r="E32" s="48" t="s">
        <v>293</v>
      </c>
      <c r="AF32" s="48" t="s">
        <v>585</v>
      </c>
      <c r="AG32" t="s">
        <v>549</v>
      </c>
      <c r="AH32"/>
      <c r="AI32" s="87" t="s">
        <v>565</v>
      </c>
      <c r="AK32" s="48" t="s">
        <v>587</v>
      </c>
    </row>
    <row r="33" spans="1:37" s="58" customFormat="1" hidden="1">
      <c r="A33" s="58" t="s">
        <v>294</v>
      </c>
      <c r="C33" s="58" t="s">
        <v>366</v>
      </c>
      <c r="D33" s="58" t="s">
        <v>357</v>
      </c>
      <c r="E33" s="58" t="s">
        <v>297</v>
      </c>
      <c r="F33" s="58" t="s">
        <v>298</v>
      </c>
      <c r="G33" s="58" t="s">
        <v>390</v>
      </c>
      <c r="H33" s="58">
        <v>2020</v>
      </c>
      <c r="I33" s="58" t="s">
        <v>430</v>
      </c>
      <c r="J33" s="58" t="s">
        <v>368</v>
      </c>
      <c r="K33" s="58" t="s">
        <v>368</v>
      </c>
      <c r="L33" t="s">
        <v>480</v>
      </c>
      <c r="M33" s="58" t="s">
        <v>591</v>
      </c>
      <c r="N33" s="58" t="s">
        <v>592</v>
      </c>
      <c r="O33" s="58" t="s">
        <v>368</v>
      </c>
      <c r="P33" s="58" t="s">
        <v>435</v>
      </c>
      <c r="Q33" s="58" t="s">
        <v>391</v>
      </c>
      <c r="R33" s="58" t="s">
        <v>593</v>
      </c>
      <c r="S33" s="58" t="s">
        <v>594</v>
      </c>
      <c r="T33" s="58" t="s">
        <v>595</v>
      </c>
      <c r="U33" s="58" t="s">
        <v>596</v>
      </c>
      <c r="V33" s="58" t="s">
        <v>468</v>
      </c>
      <c r="W33" s="58" t="s">
        <v>368</v>
      </c>
      <c r="X33" s="59">
        <v>0.9</v>
      </c>
      <c r="Y33" s="58">
        <v>20</v>
      </c>
      <c r="Z33" s="58" t="s">
        <v>577</v>
      </c>
      <c r="AA33" s="58" t="s">
        <v>368</v>
      </c>
      <c r="AB33" s="58" t="s">
        <v>368</v>
      </c>
      <c r="AC33" s="58" t="s">
        <v>368</v>
      </c>
      <c r="AG33" s="58" t="s">
        <v>449</v>
      </c>
    </row>
    <row r="34" spans="1:37" hidden="1">
      <c r="A34" t="s">
        <v>301</v>
      </c>
      <c r="C34" t="s">
        <v>362</v>
      </c>
      <c r="D34" t="s">
        <v>357</v>
      </c>
      <c r="E34" t="s">
        <v>303</v>
      </c>
      <c r="F34" t="s">
        <v>166</v>
      </c>
      <c r="G34" t="s">
        <v>393</v>
      </c>
      <c r="H34">
        <v>2023</v>
      </c>
      <c r="I34" t="s">
        <v>462</v>
      </c>
      <c r="J34" t="s">
        <v>368</v>
      </c>
      <c r="K34" t="s">
        <v>368</v>
      </c>
      <c r="L34" t="s">
        <v>480</v>
      </c>
      <c r="M34">
        <v>160</v>
      </c>
      <c r="N34" t="s">
        <v>368</v>
      </c>
      <c r="O34" t="s">
        <v>368</v>
      </c>
      <c r="P34" t="s">
        <v>435</v>
      </c>
      <c r="Q34" s="48" t="s">
        <v>394</v>
      </c>
      <c r="R34" t="s">
        <v>368</v>
      </c>
      <c r="S34" t="s">
        <v>597</v>
      </c>
      <c r="T34" t="s">
        <v>598</v>
      </c>
      <c r="U34" t="s">
        <v>599</v>
      </c>
      <c r="V34" t="s">
        <v>599</v>
      </c>
      <c r="W34" t="s">
        <v>368</v>
      </c>
      <c r="X34" t="s">
        <v>368</v>
      </c>
      <c r="Y34">
        <v>10</v>
      </c>
      <c r="Z34" t="s">
        <v>577</v>
      </c>
      <c r="AF34" t="s">
        <v>600</v>
      </c>
      <c r="AG34" t="s">
        <v>449</v>
      </c>
      <c r="AI34" s="53">
        <v>45559</v>
      </c>
    </row>
    <row r="35" spans="1:37" hidden="1">
      <c r="A35" t="s">
        <v>307</v>
      </c>
      <c r="C35" t="s">
        <v>366</v>
      </c>
      <c r="D35" t="s">
        <v>357</v>
      </c>
      <c r="E35" t="s">
        <v>310</v>
      </c>
      <c r="F35" t="s">
        <v>166</v>
      </c>
      <c r="G35" t="s">
        <v>395</v>
      </c>
      <c r="H35">
        <v>2023</v>
      </c>
      <c r="I35" t="s">
        <v>601</v>
      </c>
      <c r="J35" t="s">
        <v>368</v>
      </c>
      <c r="K35" t="s">
        <v>368</v>
      </c>
      <c r="L35" t="s">
        <v>480</v>
      </c>
      <c r="M35" t="s">
        <v>602</v>
      </c>
      <c r="N35" t="s">
        <v>368</v>
      </c>
      <c r="O35" t="s">
        <v>368</v>
      </c>
      <c r="P35" t="s">
        <v>435</v>
      </c>
      <c r="Q35">
        <v>1</v>
      </c>
      <c r="R35" t="s">
        <v>603</v>
      </c>
      <c r="S35" t="s">
        <v>604</v>
      </c>
      <c r="T35" t="s">
        <v>605</v>
      </c>
      <c r="U35" t="s">
        <v>606</v>
      </c>
      <c r="V35" t="s">
        <v>605</v>
      </c>
      <c r="W35">
        <v>8760</v>
      </c>
      <c r="X35" t="s">
        <v>442</v>
      </c>
      <c r="Y35">
        <v>30</v>
      </c>
      <c r="Z35" t="s">
        <v>607</v>
      </c>
      <c r="AA35" t="s">
        <v>608</v>
      </c>
      <c r="AC35" t="s">
        <v>368</v>
      </c>
      <c r="AD35" t="s">
        <v>609</v>
      </c>
      <c r="AE35" t="s">
        <v>610</v>
      </c>
      <c r="AG35" t="s">
        <v>449</v>
      </c>
    </row>
    <row r="36" spans="1:37" hidden="1">
      <c r="A36" t="s">
        <v>311</v>
      </c>
      <c r="C36" t="s">
        <v>366</v>
      </c>
      <c r="D36" t="s">
        <v>357</v>
      </c>
      <c r="E36" t="s">
        <v>314</v>
      </c>
      <c r="F36" t="s">
        <v>173</v>
      </c>
      <c r="G36" t="s">
        <v>395</v>
      </c>
      <c r="H36">
        <v>2020</v>
      </c>
      <c r="I36" t="s">
        <v>611</v>
      </c>
      <c r="J36" t="s">
        <v>368</v>
      </c>
      <c r="K36" t="s">
        <v>368</v>
      </c>
      <c r="L36" t="s">
        <v>480</v>
      </c>
      <c r="M36" t="s">
        <v>612</v>
      </c>
      <c r="N36" t="s">
        <v>368</v>
      </c>
      <c r="O36" t="s">
        <v>368</v>
      </c>
      <c r="P36" t="s">
        <v>435</v>
      </c>
      <c r="Q36">
        <v>1</v>
      </c>
      <c r="R36" s="5">
        <v>0.10879999999999999</v>
      </c>
      <c r="S36" t="s">
        <v>613</v>
      </c>
      <c r="T36" t="s">
        <v>511</v>
      </c>
      <c r="U36" t="s">
        <v>614</v>
      </c>
      <c r="V36" t="s">
        <v>486</v>
      </c>
      <c r="W36">
        <v>8760</v>
      </c>
      <c r="X36" s="84" t="s">
        <v>442</v>
      </c>
      <c r="Y36" t="s">
        <v>368</v>
      </c>
      <c r="Z36" t="s">
        <v>607</v>
      </c>
      <c r="AA36" s="83" t="s">
        <v>615</v>
      </c>
      <c r="AC36" t="s">
        <v>368</v>
      </c>
      <c r="AD36" t="s">
        <v>609</v>
      </c>
      <c r="AE36" t="s">
        <v>610</v>
      </c>
      <c r="AG36" t="s">
        <v>449</v>
      </c>
    </row>
    <row r="37" spans="1:37" hidden="1">
      <c r="A37" t="s">
        <v>315</v>
      </c>
      <c r="C37" t="s">
        <v>366</v>
      </c>
      <c r="D37" t="s">
        <v>357</v>
      </c>
      <c r="E37" t="s">
        <v>318</v>
      </c>
      <c r="F37" t="s">
        <v>158</v>
      </c>
      <c r="H37">
        <v>2022</v>
      </c>
      <c r="I37" t="s">
        <v>430</v>
      </c>
      <c r="J37" t="s">
        <v>368</v>
      </c>
      <c r="K37" t="s">
        <v>368</v>
      </c>
      <c r="L37" t="s">
        <v>480</v>
      </c>
      <c r="M37" t="s">
        <v>616</v>
      </c>
      <c r="N37" t="s">
        <v>368</v>
      </c>
      <c r="O37" t="s">
        <v>368</v>
      </c>
      <c r="P37" t="s">
        <v>435</v>
      </c>
      <c r="Q37">
        <v>8.0000000000000002E-3</v>
      </c>
      <c r="R37" s="5">
        <v>5.5599999999999997E-2</v>
      </c>
      <c r="S37" t="s">
        <v>510</v>
      </c>
      <c r="T37" t="s">
        <v>486</v>
      </c>
      <c r="U37" t="s">
        <v>599</v>
      </c>
      <c r="V37" t="s">
        <v>368</v>
      </c>
      <c r="W37">
        <v>7884</v>
      </c>
      <c r="X37" t="s">
        <v>442</v>
      </c>
      <c r="Y37">
        <v>25</v>
      </c>
      <c r="Z37" t="s">
        <v>577</v>
      </c>
      <c r="AA37" t="s">
        <v>368</v>
      </c>
      <c r="AB37" t="s">
        <v>368</v>
      </c>
      <c r="AC37" t="s">
        <v>368</v>
      </c>
      <c r="AD37" t="s">
        <v>488</v>
      </c>
      <c r="AE37" t="s">
        <v>610</v>
      </c>
      <c r="AG37" t="s">
        <v>449</v>
      </c>
    </row>
    <row r="38" spans="1:37" hidden="1">
      <c r="A38" s="48" t="s">
        <v>319</v>
      </c>
      <c r="B38" s="48"/>
      <c r="C38" s="48"/>
      <c r="D38" s="48" t="s">
        <v>357</v>
      </c>
      <c r="E38" s="48" t="s">
        <v>321</v>
      </c>
      <c r="F38" s="48"/>
    </row>
    <row r="39" spans="1:37">
      <c r="A39" s="3" t="s">
        <v>329</v>
      </c>
      <c r="B39" s="3"/>
      <c r="C39" t="s">
        <v>366</v>
      </c>
      <c r="D39" t="s">
        <v>330</v>
      </c>
      <c r="E39" s="50" t="s">
        <v>332</v>
      </c>
      <c r="F39" t="s">
        <v>166</v>
      </c>
      <c r="G39" t="s">
        <v>166</v>
      </c>
      <c r="H39" t="s">
        <v>396</v>
      </c>
      <c r="I39" t="s">
        <v>617</v>
      </c>
      <c r="J39" s="5" t="s">
        <v>618</v>
      </c>
      <c r="K39" t="s">
        <v>368</v>
      </c>
      <c r="L39" t="s">
        <v>432</v>
      </c>
      <c r="M39" t="s">
        <v>619</v>
      </c>
      <c r="N39" t="s">
        <v>368</v>
      </c>
      <c r="O39" t="s">
        <v>620</v>
      </c>
      <c r="P39" t="s">
        <v>435</v>
      </c>
      <c r="Q39">
        <f>1000/10^6</f>
        <v>1E-3</v>
      </c>
      <c r="R39" s="5" t="s">
        <v>482</v>
      </c>
      <c r="S39" t="s">
        <v>621</v>
      </c>
      <c r="T39" t="s">
        <v>622</v>
      </c>
      <c r="U39" t="s">
        <v>623</v>
      </c>
      <c r="V39" t="s">
        <v>468</v>
      </c>
      <c r="W39" t="s">
        <v>368</v>
      </c>
      <c r="X39" s="5">
        <v>0.9</v>
      </c>
      <c r="Y39">
        <v>20</v>
      </c>
      <c r="Z39" t="s">
        <v>443</v>
      </c>
      <c r="AA39" t="s">
        <v>624</v>
      </c>
      <c r="AB39" t="s">
        <v>523</v>
      </c>
      <c r="AD39" t="s">
        <v>625</v>
      </c>
      <c r="AE39" t="s">
        <v>610</v>
      </c>
      <c r="AF39" t="s">
        <v>626</v>
      </c>
      <c r="AG39" t="s">
        <v>449</v>
      </c>
    </row>
    <row r="40" spans="1:37">
      <c r="A40" s="3" t="s">
        <v>329</v>
      </c>
      <c r="B40" s="3"/>
      <c r="C40" t="s">
        <v>366</v>
      </c>
      <c r="D40" t="s">
        <v>330</v>
      </c>
      <c r="E40" s="50" t="s">
        <v>332</v>
      </c>
      <c r="F40" t="s">
        <v>233</v>
      </c>
      <c r="G40" t="s">
        <v>358</v>
      </c>
      <c r="H40" t="s">
        <v>396</v>
      </c>
      <c r="I40" t="s">
        <v>617</v>
      </c>
      <c r="J40" s="5" t="s">
        <v>618</v>
      </c>
      <c r="K40" t="s">
        <v>368</v>
      </c>
      <c r="L40" t="s">
        <v>432</v>
      </c>
      <c r="M40" t="s">
        <v>627</v>
      </c>
      <c r="N40" t="s">
        <v>368</v>
      </c>
      <c r="O40">
        <v>124</v>
      </c>
      <c r="P40" t="s">
        <v>435</v>
      </c>
      <c r="Q40">
        <v>1</v>
      </c>
      <c r="R40" s="5" t="s">
        <v>482</v>
      </c>
      <c r="S40" t="s">
        <v>621</v>
      </c>
      <c r="T40" t="s">
        <v>622</v>
      </c>
      <c r="U40" t="s">
        <v>623</v>
      </c>
      <c r="V40" t="s">
        <v>468</v>
      </c>
      <c r="W40" t="s">
        <v>368</v>
      </c>
      <c r="X40" s="5">
        <v>0.9</v>
      </c>
      <c r="Y40">
        <v>20</v>
      </c>
      <c r="Z40" t="s">
        <v>443</v>
      </c>
      <c r="AA40" t="s">
        <v>624</v>
      </c>
      <c r="AB40" t="s">
        <v>523</v>
      </c>
      <c r="AD40" s="9" t="s">
        <v>628</v>
      </c>
      <c r="AE40" s="58" t="s">
        <v>610</v>
      </c>
      <c r="AF40" s="9" t="s">
        <v>629</v>
      </c>
      <c r="AG40" t="s">
        <v>449</v>
      </c>
    </row>
    <row r="41" spans="1:37" hidden="1">
      <c r="A41" s="55" t="s">
        <v>336</v>
      </c>
      <c r="B41" s="55" t="s">
        <v>150</v>
      </c>
      <c r="C41" t="s">
        <v>362</v>
      </c>
      <c r="D41" t="s">
        <v>330</v>
      </c>
      <c r="E41" s="50" t="s">
        <v>338</v>
      </c>
      <c r="F41" t="s">
        <v>158</v>
      </c>
      <c r="G41" t="s">
        <v>358</v>
      </c>
      <c r="H41">
        <v>2022</v>
      </c>
      <c r="I41" t="s">
        <v>430</v>
      </c>
      <c r="J41" t="s">
        <v>368</v>
      </c>
      <c r="K41" t="s">
        <v>368</v>
      </c>
      <c r="L41" t="s">
        <v>432</v>
      </c>
      <c r="M41" t="s">
        <v>630</v>
      </c>
      <c r="N41" t="s">
        <v>368</v>
      </c>
      <c r="O41" t="s">
        <v>368</v>
      </c>
      <c r="P41" t="s">
        <v>435</v>
      </c>
      <c r="Q41" t="s">
        <v>397</v>
      </c>
      <c r="S41" t="s">
        <v>368</v>
      </c>
      <c r="T41" t="s">
        <v>368</v>
      </c>
      <c r="U41" t="s">
        <v>631</v>
      </c>
      <c r="V41" t="s">
        <v>468</v>
      </c>
      <c r="X41" s="54" t="s">
        <v>632</v>
      </c>
      <c r="Y41" t="s">
        <v>633</v>
      </c>
      <c r="Z41" t="s">
        <v>634</v>
      </c>
      <c r="AA41" t="s">
        <v>635</v>
      </c>
      <c r="AC41" t="s">
        <v>368</v>
      </c>
      <c r="AD41" s="9" t="s">
        <v>636</v>
      </c>
      <c r="AE41" s="35" t="s">
        <v>637</v>
      </c>
      <c r="AF41" t="s">
        <v>638</v>
      </c>
      <c r="AG41" t="s">
        <v>449</v>
      </c>
    </row>
    <row r="42" spans="1:37" hidden="1">
      <c r="A42" s="55" t="s">
        <v>342</v>
      </c>
      <c r="B42" s="55" t="s">
        <v>150</v>
      </c>
      <c r="C42" t="s">
        <v>362</v>
      </c>
      <c r="D42" t="s">
        <v>330</v>
      </c>
      <c r="E42" s="50" t="s">
        <v>343</v>
      </c>
      <c r="F42" t="s">
        <v>166</v>
      </c>
      <c r="G42" t="s">
        <v>398</v>
      </c>
      <c r="H42">
        <v>2022</v>
      </c>
      <c r="I42" t="s">
        <v>430</v>
      </c>
      <c r="J42" t="s">
        <v>368</v>
      </c>
      <c r="K42" t="s">
        <v>368</v>
      </c>
      <c r="L42" t="s">
        <v>432</v>
      </c>
      <c r="M42" t="s">
        <v>639</v>
      </c>
      <c r="N42" t="s">
        <v>368</v>
      </c>
      <c r="O42" t="s">
        <v>368</v>
      </c>
      <c r="P42" t="s">
        <v>435</v>
      </c>
      <c r="Q42" t="s">
        <v>399</v>
      </c>
      <c r="S42" t="s">
        <v>640</v>
      </c>
      <c r="T42" t="s">
        <v>641</v>
      </c>
      <c r="U42" t="s">
        <v>599</v>
      </c>
      <c r="V42" t="s">
        <v>599</v>
      </c>
      <c r="X42" s="54" t="s">
        <v>632</v>
      </c>
      <c r="Z42" t="s">
        <v>634</v>
      </c>
      <c r="AA42" t="s">
        <v>642</v>
      </c>
      <c r="AC42" t="s">
        <v>368</v>
      </c>
      <c r="AE42" s="35" t="s">
        <v>643</v>
      </c>
      <c r="AG42" t="s">
        <v>449</v>
      </c>
    </row>
    <row r="43" spans="1:37" s="92" customFormat="1" hidden="1">
      <c r="A43" s="55" t="s">
        <v>345</v>
      </c>
      <c r="B43" s="55"/>
      <c r="C43" s="55" t="s">
        <v>362</v>
      </c>
      <c r="D43" s="55" t="s">
        <v>330</v>
      </c>
      <c r="E43" s="91" t="s">
        <v>347</v>
      </c>
      <c r="F43" s="55" t="s">
        <v>158</v>
      </c>
      <c r="G43" t="s">
        <v>358</v>
      </c>
      <c r="H43">
        <v>2019</v>
      </c>
      <c r="I43" t="s">
        <v>644</v>
      </c>
      <c r="J43" t="s">
        <v>368</v>
      </c>
      <c r="K43" t="s">
        <v>368</v>
      </c>
      <c r="L43" t="s">
        <v>432</v>
      </c>
      <c r="M43" t="s">
        <v>645</v>
      </c>
      <c r="N43" t="s">
        <v>368</v>
      </c>
      <c r="O43" t="s">
        <v>368</v>
      </c>
      <c r="P43" t="s">
        <v>435</v>
      </c>
      <c r="Q43">
        <v>1000000</v>
      </c>
      <c r="R43">
        <v>0.11550000000000001</v>
      </c>
      <c r="S43" t="s">
        <v>640</v>
      </c>
      <c r="T43" t="s">
        <v>511</v>
      </c>
      <c r="U43">
        <v>3.25</v>
      </c>
      <c r="V43" t="s">
        <v>468</v>
      </c>
      <c r="X43" t="s">
        <v>511</v>
      </c>
      <c r="Y43">
        <v>30</v>
      </c>
      <c r="Z43" t="s">
        <v>577</v>
      </c>
      <c r="AD43" t="s">
        <v>646</v>
      </c>
      <c r="AF43" s="55" t="s">
        <v>647</v>
      </c>
      <c r="AG43" t="s">
        <v>449</v>
      </c>
      <c r="AH43"/>
      <c r="AK43" s="92" t="s">
        <v>648</v>
      </c>
    </row>
    <row r="44" spans="1:37" s="92" customFormat="1" hidden="1">
      <c r="A44" s="55" t="s">
        <v>345</v>
      </c>
      <c r="B44" s="55"/>
      <c r="C44" s="55" t="s">
        <v>362</v>
      </c>
      <c r="D44" s="55" t="s">
        <v>330</v>
      </c>
      <c r="E44" s="91" t="s">
        <v>347</v>
      </c>
      <c r="F44" s="55" t="s">
        <v>166</v>
      </c>
      <c r="G44" t="s">
        <v>166</v>
      </c>
      <c r="H44">
        <v>2019</v>
      </c>
      <c r="I44" t="s">
        <v>644</v>
      </c>
      <c r="J44" t="s">
        <v>368</v>
      </c>
      <c r="K44" t="s">
        <v>368</v>
      </c>
      <c r="L44" t="s">
        <v>432</v>
      </c>
      <c r="M44" t="s">
        <v>649</v>
      </c>
      <c r="N44" t="s">
        <v>368</v>
      </c>
      <c r="O44" t="s">
        <v>368</v>
      </c>
      <c r="P44" t="s">
        <v>435</v>
      </c>
      <c r="Q44">
        <v>1000000</v>
      </c>
      <c r="R44" t="s">
        <v>304</v>
      </c>
      <c r="S44" t="s">
        <v>640</v>
      </c>
      <c r="T44" t="s">
        <v>650</v>
      </c>
      <c r="U44" t="s">
        <v>651</v>
      </c>
      <c r="V44" t="s">
        <v>652</v>
      </c>
      <c r="X44" t="s">
        <v>511</v>
      </c>
      <c r="Y44" t="s">
        <v>511</v>
      </c>
      <c r="Z44" t="s">
        <v>577</v>
      </c>
      <c r="AD44" t="s">
        <v>488</v>
      </c>
      <c r="AF44" s="55" t="s">
        <v>653</v>
      </c>
      <c r="AG44" t="s">
        <v>449</v>
      </c>
      <c r="AH44"/>
    </row>
    <row r="45" spans="1:37" hidden="1">
      <c r="A45" t="s">
        <v>348</v>
      </c>
      <c r="B45" t="s">
        <v>150</v>
      </c>
      <c r="C45" t="s">
        <v>362</v>
      </c>
      <c r="D45" t="s">
        <v>330</v>
      </c>
      <c r="E45" s="50" t="s">
        <v>350</v>
      </c>
      <c r="F45" t="s">
        <v>158</v>
      </c>
      <c r="G45" t="s">
        <v>358</v>
      </c>
      <c r="H45" t="s">
        <v>400</v>
      </c>
      <c r="I45" t="s">
        <v>507</v>
      </c>
      <c r="J45" t="s">
        <v>368</v>
      </c>
      <c r="K45" t="s">
        <v>368</v>
      </c>
      <c r="L45" t="s">
        <v>508</v>
      </c>
      <c r="M45" t="s">
        <v>654</v>
      </c>
      <c r="O45" t="s">
        <v>368</v>
      </c>
      <c r="Q45" s="60"/>
      <c r="R45" s="54">
        <v>0.12</v>
      </c>
      <c r="S45" t="s">
        <v>510</v>
      </c>
      <c r="T45" t="s">
        <v>511</v>
      </c>
      <c r="U45" t="s">
        <v>512</v>
      </c>
      <c r="V45" t="s">
        <v>468</v>
      </c>
      <c r="W45" t="s">
        <v>511</v>
      </c>
      <c r="X45" s="54">
        <v>0.9</v>
      </c>
      <c r="Y45">
        <v>20</v>
      </c>
      <c r="Z45" t="s">
        <v>514</v>
      </c>
      <c r="AG45" t="s">
        <v>449</v>
      </c>
      <c r="AK45" t="s">
        <v>450</v>
      </c>
    </row>
    <row r="46" spans="1:37" hidden="1">
      <c r="A46" s="48"/>
    </row>
    <row r="47" spans="1:37" hidden="1"/>
  </sheetData>
  <autoFilter ref="A1:AL47" xr:uid="{2E9E050F-07F8-FE48-85C0-51954A76FC24}">
    <filterColumn colId="0">
      <filters>
        <filter val="Fasihi et al. 2019"/>
        <filter val="Keith et al. 2018"/>
        <filter val="Pett-Ridge et al. 2024"/>
        <filter val="Sievert et al. 2024"/>
        <filter val="Young et al. 2023"/>
      </filters>
    </filterColumn>
  </autoFilter>
  <conditionalFormatting sqref="AG1:AH1048576">
    <cfRule type="cellIs" dxfId="2" priority="1" operator="equal">
      <formula>"will exclude"</formula>
    </cfRule>
    <cfRule type="cellIs" dxfId="1" priority="2" operator="equal">
      <formula>"Awaiting reply"</formula>
    </cfRule>
    <cfRule type="containsText" dxfId="0" priority="3" operator="containsText" text="completed">
      <formula>NOT(ISERROR(SEARCH("completed",AG1)))</formula>
    </cfRule>
  </conditionalFormatting>
  <hyperlinks>
    <hyperlink ref="E14" r:id="rId1" tooltip="DOI URL" display="https://doi.org/10.1021/es502887y" xr:uid="{0CD5E680-9C17-4C4D-A3DB-B0E51C3993DB}"/>
    <hyperlink ref="E41" r:id="rId2" display="https://netl.doe.gov/projects/files/DirectAirCaptureCaseStudiesSolventSystem_083122.pdf" xr:uid="{62FE8C65-06E5-42AE-8539-B7701489EEEB}"/>
    <hyperlink ref="E42" r:id="rId3" display="https://www.netl.doe.gov/projects/files/DirectAirCaptureCaseStudiesSorbentSystem_070822.pdf" xr:uid="{4203186C-E690-4B28-8196-6AD9C622D6CD}"/>
    <hyperlink ref="E39" r:id="rId4" display="https://roads2removal.org/" xr:uid="{F48BF7DA-53DA-44FC-B4B8-35F703C64E81}"/>
    <hyperlink ref="E43" r:id="rId5" xr:uid="{D37915C0-790E-4D05-ABD8-4E3AFDCAFB43}"/>
    <hyperlink ref="E45" r:id="rId6" display="https://res.cloudinary.com/apsphysics/image/upload/v1698255780/Direct-Air-Capture-of-CO2-with-Chemicals_snams5.pdf?_gl=1*4c0t90*_gcl_au*OTAxNTk5NzU0LjE3MjU2NjkyNzA.*_ga*MTg0NDgyOTUuMTcyNTY2OTI3MA..*_ga_1CCM6YP0WF*MTcyNTY2OTI2OS4xLjEuMTcyNTY2OTI5Ny4zMi4wLjA.*_ga_ZS5V2B2DR1*MTcyNTY2OTI3NC4xLjAuMTcyNTY2OTI3NC4wLjAuMA.." xr:uid="{95C550B3-A593-4291-B8C4-C35D7AC8CAC2}"/>
    <hyperlink ref="E40" r:id="rId7" display="https://roads2removal.org/" xr:uid="{E7F0F2B7-5398-45D9-82BF-A232D8BCBA3B}"/>
    <hyperlink ref="E44" r:id="rId8" xr:uid="{B0FD87B4-2D73-4456-9946-D959C728556C}"/>
  </hyperlinks>
  <pageMargins left="0.7" right="0.7" top="0.75" bottom="0.75" header="0.3" footer="0.3"/>
  <pageSetup paperSize="9" orientation="portrait" horizontalDpi="1200" verticalDpi="1200" r:id="rId9"/>
  <legacyDrawing r:id="rId1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B99AC-5C89-CE47-B699-CCA57CE6E758}">
  <sheetPr codeName="Sheet7" filterMode="1">
    <tabColor theme="4" tint="0.39997558519241921"/>
  </sheetPr>
  <dimension ref="A1:W180"/>
  <sheetViews>
    <sheetView tabSelected="1" topLeftCell="G1" zoomScale="63" workbookViewId="0">
      <selection activeCell="O18" sqref="O18"/>
    </sheetView>
  </sheetViews>
  <sheetFormatPr defaultColWidth="11.125" defaultRowHeight="15.6"/>
  <cols>
    <col min="1" max="1" width="19.125" bestFit="1" customWidth="1"/>
    <col min="2" max="2" width="14.5" customWidth="1"/>
    <col min="4" max="4" width="40.125" bestFit="1" customWidth="1"/>
    <col min="5" max="5" width="14.625" customWidth="1"/>
    <col min="6" max="6" width="8.875" customWidth="1"/>
    <col min="7" max="7" width="19.625" customWidth="1"/>
    <col min="8" max="8" width="12" customWidth="1"/>
    <col min="9" max="9" width="18" customWidth="1"/>
    <col min="10" max="10" width="15.375" customWidth="1"/>
    <col min="11" max="11" width="13.625" customWidth="1"/>
    <col min="12" max="13" width="24.125" customWidth="1"/>
    <col min="14" max="14" width="17.625" bestFit="1" customWidth="1"/>
    <col min="15" max="15" width="18.125" bestFit="1" customWidth="1"/>
    <col min="16" max="22" width="18.125" customWidth="1"/>
  </cols>
  <sheetData>
    <row r="1" spans="1:23">
      <c r="L1" s="144" t="s">
        <v>655</v>
      </c>
      <c r="M1" s="144"/>
      <c r="N1" s="144"/>
      <c r="O1" t="s">
        <v>656</v>
      </c>
      <c r="P1" s="144" t="s">
        <v>657</v>
      </c>
      <c r="Q1" s="144"/>
      <c r="R1" s="144"/>
    </row>
    <row r="2" spans="1:23">
      <c r="A2" t="s">
        <v>4</v>
      </c>
      <c r="B2" t="s">
        <v>138</v>
      </c>
      <c r="C2" t="s">
        <v>129</v>
      </c>
      <c r="D2" t="s">
        <v>137</v>
      </c>
      <c r="E2" t="s">
        <v>353</v>
      </c>
      <c r="F2" t="s">
        <v>658</v>
      </c>
      <c r="G2" t="s">
        <v>659</v>
      </c>
      <c r="H2" t="s">
        <v>660</v>
      </c>
      <c r="I2" t="s">
        <v>661</v>
      </c>
      <c r="J2" t="s">
        <v>662</v>
      </c>
      <c r="K2" t="s">
        <v>663</v>
      </c>
      <c r="L2" t="s">
        <v>664</v>
      </c>
      <c r="M2" t="s">
        <v>665</v>
      </c>
      <c r="N2" t="s">
        <v>666</v>
      </c>
      <c r="O2" t="s">
        <v>667</v>
      </c>
      <c r="P2" t="s">
        <v>334</v>
      </c>
      <c r="Q2" t="s">
        <v>668</v>
      </c>
      <c r="R2" t="s">
        <v>335</v>
      </c>
      <c r="S2" s="4" t="s">
        <v>669</v>
      </c>
      <c r="T2" s="4" t="s">
        <v>670</v>
      </c>
      <c r="U2" s="4" t="s">
        <v>671</v>
      </c>
      <c r="V2" s="4" t="s">
        <v>672</v>
      </c>
      <c r="W2" t="s">
        <v>424</v>
      </c>
    </row>
    <row r="3" spans="1:23" hidden="1">
      <c r="A3" t="s">
        <v>151</v>
      </c>
      <c r="B3">
        <v>2022</v>
      </c>
      <c r="C3" t="str">
        <f>'Study Parameters'!E2</f>
        <v>10.1016/j.oneear.2023.06.004</v>
      </c>
      <c r="D3" t="s">
        <v>158</v>
      </c>
      <c r="E3" t="s">
        <v>358</v>
      </c>
      <c r="F3" t="s">
        <v>430</v>
      </c>
      <c r="G3">
        <v>2019</v>
      </c>
      <c r="H3" t="s">
        <v>673</v>
      </c>
      <c r="I3" t="s">
        <v>4</v>
      </c>
      <c r="J3" t="s">
        <v>432</v>
      </c>
      <c r="K3">
        <f>'Study Parameters'!Q2</f>
        <v>0.98</v>
      </c>
      <c r="L3" s="30">
        <f>'[1]Young results solar_LS'!$I$2* ((1+Inputs!$C$5) ^ (2023-G3))</f>
        <v>564.48964946547915</v>
      </c>
      <c r="M3" s="30"/>
      <c r="O3" s="30">
        <f>'[1]Inputs and TEA calculations'!$I$2* ((1+Inputs!$C$5) ^ (2023-G3))</f>
        <v>414.8542592918007</v>
      </c>
    </row>
    <row r="4" spans="1:23" hidden="1">
      <c r="A4" t="s">
        <v>151</v>
      </c>
      <c r="B4">
        <v>2022</v>
      </c>
      <c r="C4" t="s">
        <v>154</v>
      </c>
      <c r="D4" t="s">
        <v>158</v>
      </c>
      <c r="E4" t="s">
        <v>358</v>
      </c>
      <c r="F4" t="s">
        <v>430</v>
      </c>
      <c r="G4">
        <v>2019</v>
      </c>
      <c r="H4" t="s">
        <v>673</v>
      </c>
      <c r="I4" t="s">
        <v>674</v>
      </c>
      <c r="J4" t="s">
        <v>432</v>
      </c>
      <c r="K4">
        <f>'Study Parameters'!Q2</f>
        <v>0.98</v>
      </c>
      <c r="L4" s="30">
        <f>'[1]Young results solar_LS'!$I$3* ((1+Inputs!$C$5) ^ (2023-G4))</f>
        <v>387.8998806365733</v>
      </c>
      <c r="M4" s="30"/>
      <c r="O4" s="30">
        <f>'[1]Inputs and TEA calculations'!$I$3* ((1+Inputs!$C$5) ^ (2023-G4))</f>
        <v>342.50358359189738</v>
      </c>
    </row>
    <row r="5" spans="1:23" hidden="1">
      <c r="A5" t="s">
        <v>151</v>
      </c>
      <c r="B5">
        <v>2022</v>
      </c>
      <c r="C5" t="s">
        <v>154</v>
      </c>
      <c r="D5" t="s">
        <v>158</v>
      </c>
      <c r="E5" t="s">
        <v>358</v>
      </c>
      <c r="F5" t="s">
        <v>430</v>
      </c>
      <c r="G5">
        <v>2019</v>
      </c>
      <c r="H5" t="s">
        <v>673</v>
      </c>
      <c r="I5" t="s">
        <v>675</v>
      </c>
      <c r="J5" t="s">
        <v>432</v>
      </c>
      <c r="K5">
        <f>'Study Parameters'!Q2</f>
        <v>0.98</v>
      </c>
      <c r="L5" s="30">
        <f>'[1]Young results solar_LS'!$I$4* ((1+Inputs!$C$5) ^ (2023-G5))</f>
        <v>849.35817008357492</v>
      </c>
      <c r="M5" s="30"/>
      <c r="O5" s="30">
        <f>'[1]Inputs and TEA calculations'!$I$4* ((1+Inputs!$C$5) ^ (2023-G5))</f>
        <v>523.95174204407829</v>
      </c>
    </row>
    <row r="6" spans="1:23">
      <c r="A6" t="s">
        <v>151</v>
      </c>
      <c r="B6">
        <v>2050</v>
      </c>
      <c r="C6" t="s">
        <v>154</v>
      </c>
      <c r="D6" t="s">
        <v>158</v>
      </c>
      <c r="E6" t="s">
        <v>358</v>
      </c>
      <c r="F6" t="s">
        <v>430</v>
      </c>
      <c r="G6">
        <v>2019</v>
      </c>
      <c r="H6" t="s">
        <v>673</v>
      </c>
      <c r="I6" t="s">
        <v>4</v>
      </c>
      <c r="J6" t="s">
        <v>432</v>
      </c>
      <c r="K6">
        <v>1000</v>
      </c>
      <c r="L6" s="30">
        <f>'[2]Young results solar_LS'!$I$15* ((1+Inputs!$C$5) ^ (2023-G3))</f>
        <v>307.14252592459331</v>
      </c>
      <c r="M6" s="30"/>
      <c r="O6" s="30">
        <f>'[2]Inputs and TEA calculations'!$I$15* ((1+Inputs!$C$5) ^ (2023-G3))</f>
        <v>178.17125904435753</v>
      </c>
    </row>
    <row r="7" spans="1:23">
      <c r="A7" t="s">
        <v>151</v>
      </c>
      <c r="B7">
        <v>2050</v>
      </c>
      <c r="C7" t="s">
        <v>154</v>
      </c>
      <c r="D7" t="s">
        <v>158</v>
      </c>
      <c r="E7" t="s">
        <v>358</v>
      </c>
      <c r="F7" t="s">
        <v>430</v>
      </c>
      <c r="G7">
        <v>2019</v>
      </c>
      <c r="H7" t="s">
        <v>673</v>
      </c>
      <c r="I7" t="s">
        <v>674</v>
      </c>
      <c r="J7" t="s">
        <v>432</v>
      </c>
      <c r="K7">
        <v>1000</v>
      </c>
      <c r="L7" s="30">
        <f>'[2]Young results solar_LS'!$I$16* ((1+Inputs!$C$5) ^ (2023-G3))</f>
        <v>162.78468605357452</v>
      </c>
      <c r="M7" s="30"/>
      <c r="O7" s="30">
        <f>'[2]Inputs and TEA calculations'!$I$16* ((1+Inputs!$C$5) ^ (2023-G3))</f>
        <v>115.54374663969233</v>
      </c>
    </row>
    <row r="8" spans="1:23">
      <c r="A8" t="s">
        <v>151</v>
      </c>
      <c r="B8">
        <v>2050</v>
      </c>
      <c r="C8" t="s">
        <v>154</v>
      </c>
      <c r="D8" t="s">
        <v>158</v>
      </c>
      <c r="E8" t="s">
        <v>358</v>
      </c>
      <c r="F8" t="s">
        <v>430</v>
      </c>
      <c r="G8">
        <v>2019</v>
      </c>
      <c r="H8" t="s">
        <v>673</v>
      </c>
      <c r="I8" t="s">
        <v>675</v>
      </c>
      <c r="J8" t="s">
        <v>432</v>
      </c>
      <c r="K8">
        <v>1000</v>
      </c>
      <c r="L8" s="30">
        <f>'[2]Young results solar_LS'!$I$17* ((1+Inputs!$C$5) ^ (2023-G3))</f>
        <v>659.95769038813012</v>
      </c>
      <c r="M8" s="30"/>
      <c r="O8" s="30">
        <f>'[2]Inputs and TEA calculations'!$I$17* ((1+Inputs!$C$5) ^ (2023-G3))</f>
        <v>330.64194453183813</v>
      </c>
    </row>
    <row r="9" spans="1:23" hidden="1">
      <c r="A9" t="str">
        <f>'Study Parameters'!A3</f>
        <v>Young et al. 2023</v>
      </c>
      <c r="B9">
        <v>2022</v>
      </c>
      <c r="C9" t="str">
        <f>'Study Parameters'!E3</f>
        <v>10.1016/j.oneear.2023.06.004</v>
      </c>
      <c r="D9" t="str">
        <f>'Study Parameters'!F3</f>
        <v>Solid sorbent</v>
      </c>
      <c r="E9" t="str">
        <f>'Study Parameters'!G3</f>
        <v>Solid sorbent DAC using temperature vacuum swing adsorption</v>
      </c>
      <c r="F9" t="str">
        <f>'Study Parameters'!I3</f>
        <v>2019 USD</v>
      </c>
      <c r="G9">
        <v>2019</v>
      </c>
      <c r="H9" t="s">
        <v>673</v>
      </c>
      <c r="I9" t="s">
        <v>4</v>
      </c>
      <c r="J9" t="s">
        <v>432</v>
      </c>
      <c r="K9">
        <f>'Study Parameters'!Q3</f>
        <v>4.5999999999999999E-2</v>
      </c>
      <c r="L9" s="30">
        <f>'[3]Copy of Young results solar_SS'!$I$2* ((1+Inputs!$C$5) ^ (2023-G9))</f>
        <v>2531.3604612486406</v>
      </c>
      <c r="M9" s="30"/>
      <c r="N9" s="30"/>
      <c r="O9" s="30">
        <f>'[3]Inputs and TEA calculations'!$I$2* ((1+Inputs!$C$5) ^ (2023-G9))</f>
        <v>2060.169523488109</v>
      </c>
    </row>
    <row r="10" spans="1:23" hidden="1">
      <c r="A10" t="s">
        <v>151</v>
      </c>
      <c r="B10">
        <v>2022</v>
      </c>
      <c r="C10" t="s">
        <v>154</v>
      </c>
      <c r="D10" t="s">
        <v>166</v>
      </c>
      <c r="E10" t="s">
        <v>360</v>
      </c>
      <c r="F10" t="s">
        <v>430</v>
      </c>
      <c r="G10">
        <v>2019</v>
      </c>
      <c r="H10" t="s">
        <v>673</v>
      </c>
      <c r="I10" t="s">
        <v>674</v>
      </c>
      <c r="J10" t="s">
        <v>432</v>
      </c>
      <c r="K10">
        <v>4.5999999999999999E-2</v>
      </c>
      <c r="L10" s="30">
        <f>'[3]Copy of Young results solar_SS'!$I$3* ((1+Inputs!$C$5) ^ (2023-G10))</f>
        <v>1564.9496468118368</v>
      </c>
      <c r="M10" s="30"/>
      <c r="N10" s="30"/>
      <c r="O10" s="30">
        <f>'[3]Inputs and TEA calculations'!$I$3* ((1+Inputs!$C$5) ^ (2023-G10))</f>
        <v>1488.7216799143798</v>
      </c>
    </row>
    <row r="11" spans="1:23" hidden="1">
      <c r="A11" t="s">
        <v>151</v>
      </c>
      <c r="B11">
        <v>2022</v>
      </c>
      <c r="C11" t="s">
        <v>154</v>
      </c>
      <c r="D11" t="s">
        <v>166</v>
      </c>
      <c r="E11" t="s">
        <v>360</v>
      </c>
      <c r="F11" t="s">
        <v>430</v>
      </c>
      <c r="G11">
        <v>2019</v>
      </c>
      <c r="H11" t="s">
        <v>673</v>
      </c>
      <c r="I11" t="s">
        <v>675</v>
      </c>
      <c r="J11" t="s">
        <v>432</v>
      </c>
      <c r="K11">
        <v>4.5999999999999999E-2</v>
      </c>
      <c r="L11" s="30">
        <f>'[3]Copy of Young results solar_SS'!$I$4* ((1+Inputs!$C$5) ^ (2023-G11))</f>
        <v>3697.1555944673496</v>
      </c>
      <c r="M11" s="30"/>
      <c r="N11" s="30"/>
      <c r="O11" s="30">
        <f>'[3]Inputs and TEA calculations'!$I$4* ((1+Inputs!$C$5) ^ (2023-G11))</f>
        <v>2729.5646158724885</v>
      </c>
    </row>
    <row r="12" spans="1:23">
      <c r="A12" t="s">
        <v>151</v>
      </c>
      <c r="B12">
        <v>2050</v>
      </c>
      <c r="C12" t="s">
        <v>154</v>
      </c>
      <c r="D12" t="s">
        <v>166</v>
      </c>
      <c r="E12" t="s">
        <v>360</v>
      </c>
      <c r="F12" t="s">
        <v>430</v>
      </c>
      <c r="G12">
        <v>2019</v>
      </c>
      <c r="H12" t="s">
        <v>673</v>
      </c>
      <c r="I12" t="s">
        <v>4</v>
      </c>
      <c r="J12" t="s">
        <v>432</v>
      </c>
      <c r="K12">
        <v>1000</v>
      </c>
      <c r="L12" s="30">
        <f>'[4]Copy of Young results solar_SS'!$I$15* ((1+Inputs!$C$5) ^ (2023-G12))</f>
        <v>336.88679502123603</v>
      </c>
      <c r="M12" s="30"/>
      <c r="N12" s="30"/>
      <c r="O12" s="30">
        <f>'[4]Inputs and TEA calculations'!$I$15* ((1+Inputs!$C$5) ^ (2023-G12))</f>
        <v>224.86809733459555</v>
      </c>
    </row>
    <row r="13" spans="1:23">
      <c r="A13" t="s">
        <v>151</v>
      </c>
      <c r="B13">
        <v>2050</v>
      </c>
      <c r="C13" t="s">
        <v>154</v>
      </c>
      <c r="D13" t="s">
        <v>166</v>
      </c>
      <c r="E13" t="s">
        <v>360</v>
      </c>
      <c r="F13" t="s">
        <v>430</v>
      </c>
      <c r="G13">
        <v>2019</v>
      </c>
      <c r="H13" t="s">
        <v>673</v>
      </c>
      <c r="I13" t="s">
        <v>674</v>
      </c>
      <c r="J13" t="s">
        <v>432</v>
      </c>
      <c r="K13">
        <v>1000</v>
      </c>
      <c r="L13" s="30">
        <f>'[4]Copy of Young results solar_SS'!$I$16* ((1+Inputs!$C$5) ^ (2023-G13))</f>
        <v>175.93258894278239</v>
      </c>
      <c r="M13" s="30"/>
      <c r="N13" s="30"/>
      <c r="O13" s="30">
        <f>'[4]Inputs and TEA calculations'!$I$16* ((1+Inputs!$C$5) ^ (2023-G13))</f>
        <v>118.84522043664496</v>
      </c>
    </row>
    <row r="14" spans="1:23">
      <c r="A14" t="s">
        <v>151</v>
      </c>
      <c r="B14">
        <v>2050</v>
      </c>
      <c r="C14" t="s">
        <v>154</v>
      </c>
      <c r="D14" t="s">
        <v>166</v>
      </c>
      <c r="E14" t="s">
        <v>360</v>
      </c>
      <c r="F14" t="s">
        <v>430</v>
      </c>
      <c r="G14">
        <v>2019</v>
      </c>
      <c r="H14" t="s">
        <v>673</v>
      </c>
      <c r="I14" t="s">
        <v>675</v>
      </c>
      <c r="J14" t="s">
        <v>432</v>
      </c>
      <c r="K14">
        <v>1000</v>
      </c>
      <c r="L14" s="30">
        <f>'[4]Copy of Young results solar_SS'!$I$17* ((1+Inputs!$C$5) ^ (2023-G14))</f>
        <v>879.987608883652</v>
      </c>
      <c r="M14" s="30"/>
      <c r="N14" s="30"/>
      <c r="O14" s="30">
        <f>'[4]Inputs and TEA calculations'!$I$17* ((1+Inputs!$C$5) ^ (2023-G14))</f>
        <v>519.66873204743047</v>
      </c>
    </row>
    <row r="15" spans="1:23" hidden="1">
      <c r="A15" t="str">
        <f>'Study Parameters'!A4</f>
        <v>Young et al. 2023</v>
      </c>
      <c r="B15">
        <v>2022</v>
      </c>
      <c r="C15" t="str">
        <f>'Study Parameters'!E4</f>
        <v>10.1016/j.oneear.2023.06.004</v>
      </c>
      <c r="D15" t="str">
        <f>'Study Parameters'!F4</f>
        <v>Liquid solvent with electrochemical regeneration</v>
      </c>
      <c r="E15" t="str">
        <f>'Study Parameters'!G4</f>
        <v>Liquid solvent with electrochemical regeneration</v>
      </c>
      <c r="F15" t="str">
        <f>'Study Parameters'!I4</f>
        <v>2019 USD</v>
      </c>
      <c r="G15">
        <v>2019</v>
      </c>
      <c r="H15" t="s">
        <v>673</v>
      </c>
      <c r="I15" t="s">
        <v>4</v>
      </c>
      <c r="J15" t="s">
        <v>432</v>
      </c>
      <c r="K15">
        <f>'Study Parameters'!Q4</f>
        <v>9.6000000000000002E-4</v>
      </c>
      <c r="L15" s="30">
        <f>'[5]Young results solar_electrochem'!$I$2* ((1+Inputs!$C$5) ^ (2023-G15))</f>
        <v>2001.3635218101065</v>
      </c>
      <c r="M15" s="30"/>
      <c r="O15" s="139">
        <f>'[5]Inputs and TEA calculations'!$I$2* ((1+Inputs!$C$5) ^ (2023-G15))</f>
        <v>1308.9151041939408</v>
      </c>
    </row>
    <row r="16" spans="1:23" hidden="1">
      <c r="A16" t="s">
        <v>151</v>
      </c>
      <c r="B16">
        <v>2022</v>
      </c>
      <c r="C16" t="s">
        <v>154</v>
      </c>
      <c r="D16" t="s">
        <v>169</v>
      </c>
      <c r="E16" t="s">
        <v>169</v>
      </c>
      <c r="F16" t="s">
        <v>430</v>
      </c>
      <c r="G16">
        <v>2019</v>
      </c>
      <c r="H16" t="s">
        <v>673</v>
      </c>
      <c r="I16" t="s">
        <v>674</v>
      </c>
      <c r="J16" t="s">
        <v>432</v>
      </c>
      <c r="K16">
        <v>9.6000000000000002E-4</v>
      </c>
      <c r="L16" s="30">
        <f>'[5]Young results solar_electrochem'!$I$3* ((1+Inputs!$C$5) ^ (2023-G16))</f>
        <v>1565.3014869205219</v>
      </c>
      <c r="M16" s="30"/>
      <c r="O16" s="139">
        <f>'[5]Inputs and TEA calculations'!$I$3* ((1+Inputs!$C$5) ^ (2023-G15))</f>
        <v>1185.9075603382862</v>
      </c>
    </row>
    <row r="17" spans="1:15" hidden="1">
      <c r="A17" t="s">
        <v>151</v>
      </c>
      <c r="B17">
        <v>2022</v>
      </c>
      <c r="C17" t="s">
        <v>154</v>
      </c>
      <c r="D17" t="s">
        <v>169</v>
      </c>
      <c r="E17" t="s">
        <v>169</v>
      </c>
      <c r="F17" t="s">
        <v>430</v>
      </c>
      <c r="G17">
        <v>2019</v>
      </c>
      <c r="H17" t="s">
        <v>673</v>
      </c>
      <c r="I17" t="s">
        <v>675</v>
      </c>
      <c r="J17" t="s">
        <v>432</v>
      </c>
      <c r="K17">
        <v>9.6000000000000002E-4</v>
      </c>
      <c r="L17" s="30">
        <f>'[5]Young results solar_electrochem'!$I$4* ((1+Inputs!$C$5) ^ (2023-G17))</f>
        <v>2770.145129544921</v>
      </c>
      <c r="M17" s="30"/>
      <c r="O17" s="139">
        <f>'[5]Inputs and TEA calculations'!$I$4* ((1+Inputs!$C$5) ^ (2023-G15))</f>
        <v>1518.5576325147504</v>
      </c>
    </row>
    <row r="18" spans="1:15">
      <c r="A18" t="s">
        <v>151</v>
      </c>
      <c r="B18">
        <v>2050</v>
      </c>
      <c r="C18" t="s">
        <v>154</v>
      </c>
      <c r="D18" t="s">
        <v>169</v>
      </c>
      <c r="E18" t="s">
        <v>169</v>
      </c>
      <c r="F18" t="s">
        <v>430</v>
      </c>
      <c r="G18">
        <v>2019</v>
      </c>
      <c r="H18" t="s">
        <v>673</v>
      </c>
      <c r="I18" t="s">
        <v>4</v>
      </c>
      <c r="J18" t="s">
        <v>432</v>
      </c>
      <c r="K18">
        <v>1000</v>
      </c>
      <c r="L18" s="30">
        <f>'[6]Young results solar_electrochem'!$I$15* ((1+Inputs!$C$5) ^ (2023-G17))</f>
        <v>978.01181022586809</v>
      </c>
      <c r="M18" s="30"/>
      <c r="O18" s="139">
        <f>'[6]Inputs and TEA calculations'!$I$2* ((1+Inputs!$C$5) ^ (2023-G18))</f>
        <v>998.92902308774705</v>
      </c>
    </row>
    <row r="19" spans="1:15">
      <c r="A19" t="s">
        <v>151</v>
      </c>
      <c r="B19">
        <v>2050</v>
      </c>
      <c r="C19" t="s">
        <v>154</v>
      </c>
      <c r="D19" t="s">
        <v>169</v>
      </c>
      <c r="E19" t="s">
        <v>169</v>
      </c>
      <c r="F19" t="s">
        <v>430</v>
      </c>
      <c r="G19">
        <v>2019</v>
      </c>
      <c r="H19" t="s">
        <v>673</v>
      </c>
      <c r="I19" t="s">
        <v>674</v>
      </c>
      <c r="J19" t="s">
        <v>432</v>
      </c>
      <c r="K19">
        <v>1000</v>
      </c>
      <c r="L19" s="30">
        <f>'[6]Young results solar_electrochem'!$I$16* ((1+Inputs!$C$5) ^ (2023-G17))</f>
        <v>513.58354346091437</v>
      </c>
      <c r="M19" s="30"/>
      <c r="O19" s="139">
        <f>'[6]Inputs and TEA calculations'!$I$3* ((1+Inputs!$C$5) ^ (2023-G19))</f>
        <v>876.07354020402272</v>
      </c>
    </row>
    <row r="20" spans="1:15">
      <c r="A20" t="s">
        <v>151</v>
      </c>
      <c r="B20">
        <v>2050</v>
      </c>
      <c r="C20" t="s">
        <v>154</v>
      </c>
      <c r="D20" t="s">
        <v>169</v>
      </c>
      <c r="E20" t="s">
        <v>169</v>
      </c>
      <c r="F20" t="s">
        <v>430</v>
      </c>
      <c r="G20">
        <v>2019</v>
      </c>
      <c r="H20" t="s">
        <v>673</v>
      </c>
      <c r="I20" t="s">
        <v>675</v>
      </c>
      <c r="J20" t="s">
        <v>432</v>
      </c>
      <c r="K20">
        <v>1000</v>
      </c>
      <c r="L20" s="30">
        <f>'[6]Young results solar_electrochem'!$I$17* ((1+Inputs!$C$5) ^ (2023-G17))</f>
        <v>2166.1251021560388</v>
      </c>
      <c r="M20" s="30"/>
      <c r="O20" s="139">
        <f>'[6]Inputs and TEA calculations'!$I$4* ((1+Inputs!$C$5) ^ (2023-G20))</f>
        <v>1208.3181164553391</v>
      </c>
    </row>
    <row r="21" spans="1:15" hidden="1">
      <c r="A21" t="str">
        <f>'Study Parameters'!A5</f>
        <v>Young et al. 2023</v>
      </c>
      <c r="B21">
        <v>2022</v>
      </c>
      <c r="C21" t="str">
        <f>'Study Parameters'!E5</f>
        <v>10.1016/j.oneear.2023.06.004</v>
      </c>
      <c r="D21" t="str">
        <f>'Study Parameters'!F5</f>
        <v>Ambient weathering</v>
      </c>
      <c r="E21" t="str">
        <f>'Study Parameters'!G5</f>
        <v>MgO ambient weathering with regeneration via calcination</v>
      </c>
      <c r="F21" t="str">
        <f>'Study Parameters'!I5</f>
        <v>2019 USD</v>
      </c>
      <c r="G21">
        <v>2019</v>
      </c>
      <c r="H21" t="s">
        <v>673</v>
      </c>
      <c r="I21" t="s">
        <v>4</v>
      </c>
      <c r="J21" t="s">
        <v>432</v>
      </c>
      <c r="K21">
        <f>'Study Parameters'!Q5</f>
        <v>1.1000000000000001</v>
      </c>
      <c r="L21" s="30">
        <f>'[7]Copy Young results solar_ambwea'!$I$2* ((1+Inputs!$C$5) ^ (2023-G21))</f>
        <v>619.67662723129013</v>
      </c>
      <c r="M21" s="30"/>
      <c r="O21" s="139">
        <f>'[7]Inputs and TEA calculations'!$I$2* ((1+Inputs!$C$5) ^ (2023-G21))</f>
        <v>484.59306078439545</v>
      </c>
    </row>
    <row r="22" spans="1:15" hidden="1">
      <c r="A22" t="s">
        <v>151</v>
      </c>
      <c r="B22">
        <v>2022</v>
      </c>
      <c r="C22" t="s">
        <v>154</v>
      </c>
      <c r="D22" t="s">
        <v>173</v>
      </c>
      <c r="E22" t="s">
        <v>361</v>
      </c>
      <c r="F22" t="s">
        <v>430</v>
      </c>
      <c r="G22">
        <v>2019</v>
      </c>
      <c r="H22" t="s">
        <v>673</v>
      </c>
      <c r="I22" t="s">
        <v>674</v>
      </c>
      <c r="J22" t="s">
        <v>432</v>
      </c>
      <c r="K22">
        <v>1.1000000000000001</v>
      </c>
      <c r="L22" s="30">
        <f>'[7]Copy Young results solar_ambwea'!$I$3* ((1+Inputs!$C$5) ^ (2023-G22))</f>
        <v>402.73573015360546</v>
      </c>
      <c r="M22" s="30"/>
      <c r="O22" s="139">
        <f>'[7]Inputs and TEA calculations'!$I$3* ((1+Inputs!$C$5) ^ (2023-G22))</f>
        <v>382.81191676230259</v>
      </c>
    </row>
    <row r="23" spans="1:15" hidden="1">
      <c r="A23" t="s">
        <v>151</v>
      </c>
      <c r="B23">
        <v>2022</v>
      </c>
      <c r="C23" t="s">
        <v>154</v>
      </c>
      <c r="D23" t="s">
        <v>173</v>
      </c>
      <c r="E23" t="s">
        <v>361</v>
      </c>
      <c r="F23" t="s">
        <v>430</v>
      </c>
      <c r="G23">
        <v>2019</v>
      </c>
      <c r="H23" t="s">
        <v>673</v>
      </c>
      <c r="I23" t="s">
        <v>675</v>
      </c>
      <c r="J23" t="s">
        <v>432</v>
      </c>
      <c r="K23">
        <v>1.1000000000000001</v>
      </c>
      <c r="L23" s="30">
        <f>'[7]Copy Young results solar_ambwea'!$I$4* ((1+Inputs!$C$5) ^ (2023-G23))</f>
        <v>995.17802520711678</v>
      </c>
      <c r="M23" s="30"/>
      <c r="O23" s="139">
        <f>'[7]Inputs and TEA calculations'!$I$4* ((1+Inputs!$C$5) ^ (2023-G23))</f>
        <v>657.89384726964306</v>
      </c>
    </row>
    <row r="24" spans="1:15">
      <c r="A24" t="s">
        <v>151</v>
      </c>
      <c r="B24">
        <v>2050</v>
      </c>
      <c r="C24" t="s">
        <v>154</v>
      </c>
      <c r="D24" t="s">
        <v>173</v>
      </c>
      <c r="E24" t="s">
        <v>361</v>
      </c>
      <c r="F24" t="s">
        <v>430</v>
      </c>
      <c r="G24">
        <v>2019</v>
      </c>
      <c r="H24" t="s">
        <v>673</v>
      </c>
      <c r="I24" t="s">
        <v>4</v>
      </c>
      <c r="J24" t="s">
        <v>432</v>
      </c>
      <c r="K24">
        <v>1000</v>
      </c>
      <c r="L24" s="30">
        <f>'[8]Copy Young results solar_ambwea'!$I$15* ((1+Inputs!$C$5) ^ (2023-G24))</f>
        <v>322.23990712677391</v>
      </c>
      <c r="M24" s="30"/>
      <c r="O24" s="139">
        <f>'[8]Inputs and TEA calculations'!$I$2* ((1+Inputs!$C$5) ^ (2023-G24))</f>
        <v>404.77135523294874</v>
      </c>
    </row>
    <row r="25" spans="1:15">
      <c r="A25" t="s">
        <v>151</v>
      </c>
      <c r="B25">
        <v>2050</v>
      </c>
      <c r="C25" t="s">
        <v>154</v>
      </c>
      <c r="D25" t="s">
        <v>173</v>
      </c>
      <c r="E25" t="s">
        <v>361</v>
      </c>
      <c r="F25" t="s">
        <v>430</v>
      </c>
      <c r="G25">
        <v>2019</v>
      </c>
      <c r="H25" t="s">
        <v>673</v>
      </c>
      <c r="I25" t="s">
        <v>674</v>
      </c>
      <c r="J25" t="s">
        <v>432</v>
      </c>
      <c r="K25">
        <v>1000</v>
      </c>
      <c r="L25" s="30">
        <f>'[8]Copy Young results solar_ambwea'!$I$16* ((1+Inputs!$C$5) ^ (2023-G25))</f>
        <v>162.24612645124</v>
      </c>
      <c r="M25" s="30"/>
      <c r="O25" s="139">
        <f>'[8]Inputs and TEA calculations'!$I$3* ((1+Inputs!$C$5) ^ (2023-G25))</f>
        <v>303.01793088681831</v>
      </c>
    </row>
    <row r="26" spans="1:15">
      <c r="A26" t="s">
        <v>151</v>
      </c>
      <c r="B26">
        <v>2050</v>
      </c>
      <c r="C26" t="s">
        <v>154</v>
      </c>
      <c r="D26" t="s">
        <v>173</v>
      </c>
      <c r="E26" t="s">
        <v>361</v>
      </c>
      <c r="F26" t="s">
        <v>430</v>
      </c>
      <c r="G26">
        <v>2019</v>
      </c>
      <c r="H26" t="s">
        <v>673</v>
      </c>
      <c r="I26" t="s">
        <v>675</v>
      </c>
      <c r="J26" t="s">
        <v>432</v>
      </c>
      <c r="K26">
        <v>1000</v>
      </c>
      <c r="L26" s="30">
        <f>'[8]Copy Young results solar_ambwea'!$I$17* ((1+Inputs!$C$5) ^ (2023-G26))</f>
        <v>742.0903562768932</v>
      </c>
      <c r="M26" s="30"/>
      <c r="O26" s="139">
        <f>'[8]Inputs and TEA calculations'!$I$4* ((1+Inputs!$C$5) ^ (2023-G26))</f>
        <v>578.02594225825874</v>
      </c>
    </row>
    <row r="27" spans="1:15" hidden="1">
      <c r="A27" s="48" t="str">
        <f>'Study Parameters'!A6</f>
        <v>Sievert et al. 2024</v>
      </c>
      <c r="B27">
        <v>2022</v>
      </c>
      <c r="C27" t="str">
        <f>'Study Parameters'!E6</f>
        <v>10.1016/j.joule.2024.02.005</v>
      </c>
      <c r="D27" t="str">
        <f>'Study Parameters'!F6</f>
        <v>Liquid solvent</v>
      </c>
      <c r="E27" t="str">
        <f>'Study Parameters'!G6</f>
        <v>KOH absorption paired with regeneration via Ca looping</v>
      </c>
      <c r="F27" t="str">
        <f>'Study Parameters'!I6</f>
        <v>2022 USD</v>
      </c>
      <c r="G27">
        <v>2022</v>
      </c>
      <c r="H27" t="s">
        <v>673</v>
      </c>
      <c r="I27" t="s">
        <v>4</v>
      </c>
      <c r="J27" t="s">
        <v>432</v>
      </c>
      <c r="K27">
        <f>'Study Parameters'!Q6</f>
        <v>0.5</v>
      </c>
      <c r="L27" s="30">
        <f>[9]LS_summary!$J$2* ((1+Inputs!$C$5) ^ (2022-G27))</f>
        <v>635</v>
      </c>
      <c r="M27" s="30"/>
      <c r="O27" s="30">
        <v>669.94069463308699</v>
      </c>
    </row>
    <row r="28" spans="1:15" hidden="1">
      <c r="A28" t="s">
        <v>185</v>
      </c>
      <c r="B28">
        <v>2022</v>
      </c>
      <c r="C28" t="s">
        <v>188</v>
      </c>
      <c r="D28" t="s">
        <v>158</v>
      </c>
      <c r="E28" t="s">
        <v>358</v>
      </c>
      <c r="F28" t="s">
        <v>462</v>
      </c>
      <c r="G28">
        <v>2022</v>
      </c>
      <c r="H28" t="s">
        <v>673</v>
      </c>
      <c r="I28" t="s">
        <v>674</v>
      </c>
      <c r="J28" t="s">
        <v>432</v>
      </c>
      <c r="K28">
        <f>'Study Parameters'!Q7</f>
        <v>4.0000000000000001E-3</v>
      </c>
      <c r="L28" s="30">
        <f>[9]LS_summary!$R$2* ((1+Inputs!$C$5) ^ (2022-G28))</f>
        <v>527</v>
      </c>
      <c r="M28" s="30"/>
      <c r="O28" s="30">
        <v>521.31303134173265</v>
      </c>
    </row>
    <row r="29" spans="1:15" hidden="1">
      <c r="A29" t="s">
        <v>185</v>
      </c>
      <c r="B29">
        <v>2022</v>
      </c>
      <c r="C29" t="s">
        <v>188</v>
      </c>
      <c r="D29" t="s">
        <v>158</v>
      </c>
      <c r="E29" t="s">
        <v>358</v>
      </c>
      <c r="F29" t="s">
        <v>462</v>
      </c>
      <c r="G29">
        <v>2022</v>
      </c>
      <c r="H29" t="s">
        <v>673</v>
      </c>
      <c r="I29" t="s">
        <v>675</v>
      </c>
      <c r="J29" t="s">
        <v>432</v>
      </c>
      <c r="K29">
        <f>'Study Parameters'!Q8</f>
        <v>1E-3</v>
      </c>
      <c r="L29" s="30">
        <f>[9]LS_summary!$B$2* ((1+Inputs!$C$5) ^ (2022-G29))</f>
        <v>827</v>
      </c>
      <c r="M29" s="30"/>
      <c r="O29" s="30">
        <v>894.39776183919753</v>
      </c>
    </row>
    <row r="30" spans="1:15">
      <c r="A30" t="s">
        <v>185</v>
      </c>
      <c r="B30">
        <v>2050</v>
      </c>
      <c r="C30" t="s">
        <v>188</v>
      </c>
      <c r="D30" t="s">
        <v>158</v>
      </c>
      <c r="E30" t="s">
        <v>358</v>
      </c>
      <c r="F30" t="s">
        <v>462</v>
      </c>
      <c r="G30">
        <v>2022</v>
      </c>
      <c r="H30" t="s">
        <v>673</v>
      </c>
      <c r="I30" t="s">
        <v>4</v>
      </c>
      <c r="J30" t="s">
        <v>432</v>
      </c>
      <c r="K30">
        <v>1000</v>
      </c>
      <c r="L30" s="30">
        <f>[9]LS_summary!$J$51* ((1+Inputs!$C$5) ^ (2022-G30))</f>
        <v>349</v>
      </c>
      <c r="M30" s="30"/>
      <c r="O30" s="30">
        <f>[9]LS_summary!$J$51</f>
        <v>349</v>
      </c>
    </row>
    <row r="31" spans="1:15">
      <c r="A31" t="s">
        <v>185</v>
      </c>
      <c r="B31">
        <v>2050</v>
      </c>
      <c r="C31" t="s">
        <v>188</v>
      </c>
      <c r="D31" t="s">
        <v>158</v>
      </c>
      <c r="E31" t="s">
        <v>358</v>
      </c>
      <c r="F31" t="s">
        <v>462</v>
      </c>
      <c r="G31">
        <v>2022</v>
      </c>
      <c r="H31" t="s">
        <v>673</v>
      </c>
      <c r="I31" t="s">
        <v>674</v>
      </c>
      <c r="J31" t="s">
        <v>432</v>
      </c>
      <c r="K31">
        <v>1000</v>
      </c>
      <c r="L31" s="30">
        <f>[9]LS_summary!$R$51* ((1+Inputs!$C$5) ^ (2022-G31))</f>
        <v>226</v>
      </c>
      <c r="M31" s="30"/>
      <c r="O31" s="30">
        <f>[9]LS_summary!$R$51</f>
        <v>226</v>
      </c>
    </row>
    <row r="32" spans="1:15">
      <c r="A32" t="s">
        <v>185</v>
      </c>
      <c r="B32">
        <v>2050</v>
      </c>
      <c r="C32" t="s">
        <v>188</v>
      </c>
      <c r="D32" t="s">
        <v>158</v>
      </c>
      <c r="E32" t="s">
        <v>358</v>
      </c>
      <c r="F32" t="s">
        <v>462</v>
      </c>
      <c r="G32">
        <v>2022</v>
      </c>
      <c r="H32" t="s">
        <v>673</v>
      </c>
      <c r="I32" t="s">
        <v>675</v>
      </c>
      <c r="J32" t="s">
        <v>432</v>
      </c>
      <c r="K32">
        <v>1000</v>
      </c>
      <c r="L32" s="30">
        <f>[9]LS_summary!$B$51* ((1+Inputs!$C$5) ^ (2022-G32))</f>
        <v>532</v>
      </c>
      <c r="M32" s="30"/>
      <c r="O32" s="30">
        <f>[9]LS_summary!$B$51</f>
        <v>532</v>
      </c>
    </row>
    <row r="33" spans="1:15" hidden="1">
      <c r="A33" t="str">
        <f>'Study Parameters'!A7</f>
        <v>Sievert et al. 2024</v>
      </c>
      <c r="B33">
        <v>2022</v>
      </c>
      <c r="C33" t="str">
        <f>'Study Parameters'!E7</f>
        <v>10.1016/j.joule.2024.02.005</v>
      </c>
      <c r="D33" t="str">
        <f>'Study Parameters'!F7</f>
        <v>Solid sorbent</v>
      </c>
      <c r="E33" t="str">
        <f>'Study Parameters'!G7</f>
        <v>Solid sorbent DAC using temperature vacuum swing adsorption</v>
      </c>
      <c r="F33" t="str">
        <f>'Study Parameters'!I7</f>
        <v>2022 USD</v>
      </c>
      <c r="G33">
        <v>2022</v>
      </c>
      <c r="H33" t="s">
        <v>673</v>
      </c>
      <c r="I33" t="s">
        <v>4</v>
      </c>
      <c r="J33" t="s">
        <v>432</v>
      </c>
      <c r="K33">
        <f>'Study Parameters'!Q7</f>
        <v>4.0000000000000001E-3</v>
      </c>
      <c r="L33" s="30">
        <f>[9]SS_summary!$J$2* ((1+Inputs!$C$5) ^ (2022-G33))</f>
        <v>1279</v>
      </c>
      <c r="M33" s="30"/>
      <c r="O33" s="30">
        <v>1282.314450530346</v>
      </c>
    </row>
    <row r="34" spans="1:15" hidden="1">
      <c r="A34" t="s">
        <v>185</v>
      </c>
      <c r="B34">
        <v>2022</v>
      </c>
      <c r="C34" t="s">
        <v>188</v>
      </c>
      <c r="D34" t="s">
        <v>166</v>
      </c>
      <c r="E34" t="s">
        <v>360</v>
      </c>
      <c r="F34" t="s">
        <v>462</v>
      </c>
      <c r="G34">
        <v>2022</v>
      </c>
      <c r="H34" t="s">
        <v>673</v>
      </c>
      <c r="I34" t="s">
        <v>674</v>
      </c>
      <c r="J34" t="s">
        <v>432</v>
      </c>
      <c r="K34">
        <v>4.0000000000000001E-3</v>
      </c>
      <c r="L34" s="30">
        <f>[9]SS_summary!$R$2* ((1+Inputs!$C$5) ^ (2022-G34))</f>
        <v>1231</v>
      </c>
      <c r="M34" s="30"/>
      <c r="O34" s="30">
        <v>1180.094323057237</v>
      </c>
    </row>
    <row r="35" spans="1:15" hidden="1">
      <c r="A35" t="s">
        <v>185</v>
      </c>
      <c r="B35">
        <v>2022</v>
      </c>
      <c r="C35" t="s">
        <v>188</v>
      </c>
      <c r="D35" t="s">
        <v>166</v>
      </c>
      <c r="E35" t="s">
        <v>360</v>
      </c>
      <c r="F35" t="s">
        <v>462</v>
      </c>
      <c r="G35">
        <v>2022</v>
      </c>
      <c r="H35" t="s">
        <v>673</v>
      </c>
      <c r="I35" t="s">
        <v>675</v>
      </c>
      <c r="J35" t="s">
        <v>432</v>
      </c>
      <c r="K35">
        <v>4.0000000000000001E-3</v>
      </c>
      <c r="L35" s="30">
        <f>[9]SS_summary!$B$2* ((1+Inputs!$C$5) ^ (2022-G35))</f>
        <v>1381</v>
      </c>
      <c r="M35" s="30"/>
      <c r="O35" s="30">
        <v>1392.3242644152151</v>
      </c>
    </row>
    <row r="36" spans="1:15">
      <c r="A36" t="s">
        <v>185</v>
      </c>
      <c r="B36">
        <v>2050</v>
      </c>
      <c r="C36" t="s">
        <v>188</v>
      </c>
      <c r="D36" t="s">
        <v>166</v>
      </c>
      <c r="E36" t="s">
        <v>360</v>
      </c>
      <c r="F36" t="s">
        <v>462</v>
      </c>
      <c r="G36">
        <v>2022</v>
      </c>
      <c r="H36" t="s">
        <v>673</v>
      </c>
      <c r="I36" t="s">
        <v>4</v>
      </c>
      <c r="J36" t="s">
        <v>432</v>
      </c>
      <c r="K36">
        <v>1000</v>
      </c>
      <c r="L36" s="30">
        <f>[9]SS_summary!$J$51* ((1+Inputs!$C$5) ^ (2022-G36))</f>
        <v>441</v>
      </c>
      <c r="M36" s="30"/>
      <c r="O36" s="30">
        <f>[9]SS_summary!$J$51</f>
        <v>441</v>
      </c>
    </row>
    <row r="37" spans="1:15">
      <c r="A37" t="s">
        <v>185</v>
      </c>
      <c r="B37">
        <v>2050</v>
      </c>
      <c r="C37" t="s">
        <v>188</v>
      </c>
      <c r="D37" t="s">
        <v>166</v>
      </c>
      <c r="E37" t="s">
        <v>360</v>
      </c>
      <c r="F37" t="s">
        <v>462</v>
      </c>
      <c r="G37">
        <v>2022</v>
      </c>
      <c r="H37" t="s">
        <v>673</v>
      </c>
      <c r="I37" t="s">
        <v>674</v>
      </c>
      <c r="J37" t="s">
        <v>432</v>
      </c>
      <c r="K37">
        <v>1000</v>
      </c>
      <c r="L37" s="30">
        <f>[9]SS_summary!$R$51* ((1+Inputs!$C$5) ^ (2022-G37))</f>
        <v>308</v>
      </c>
      <c r="M37" s="30"/>
      <c r="O37" s="30">
        <f>'[9]SS_summary_11$MWh'!$R$51</f>
        <v>280</v>
      </c>
    </row>
    <row r="38" spans="1:15">
      <c r="A38" t="s">
        <v>185</v>
      </c>
      <c r="B38">
        <v>2050</v>
      </c>
      <c r="C38" t="s">
        <v>188</v>
      </c>
      <c r="D38" t="s">
        <v>166</v>
      </c>
      <c r="E38" t="s">
        <v>360</v>
      </c>
      <c r="F38" t="s">
        <v>462</v>
      </c>
      <c r="G38">
        <v>2022</v>
      </c>
      <c r="H38" t="s">
        <v>673</v>
      </c>
      <c r="I38" t="s">
        <v>675</v>
      </c>
      <c r="J38" t="s">
        <v>432</v>
      </c>
      <c r="K38">
        <v>1000</v>
      </c>
      <c r="L38" s="30">
        <f>[9]SS_summary!$B$51* ((1+Inputs!$C$5) ^ (2022-G38))</f>
        <v>702</v>
      </c>
      <c r="M38" s="30"/>
      <c r="O38" s="30">
        <f>[9]SS_summary!$B$51</f>
        <v>702</v>
      </c>
    </row>
    <row r="39" spans="1:15" hidden="1">
      <c r="A39" t="str">
        <f>'Study Parameters'!A8</f>
        <v>Sievert et al. 2024</v>
      </c>
      <c r="B39">
        <v>2022</v>
      </c>
      <c r="C39" t="str">
        <f>'Study Parameters'!E8</f>
        <v>10.1016/j.joule.2024.02.005</v>
      </c>
      <c r="D39" t="str">
        <f>'Study Parameters'!F8</f>
        <v>Ambient weathering</v>
      </c>
      <c r="E39" t="str">
        <f>'Study Parameters'!G8</f>
        <v>CaO ambient weathering with regeneration via calcination</v>
      </c>
      <c r="F39" t="str">
        <f>'Study Parameters'!I8</f>
        <v>2022 USD</v>
      </c>
      <c r="G39">
        <v>2022</v>
      </c>
      <c r="H39" t="s">
        <v>673</v>
      </c>
      <c r="I39" t="s">
        <v>4</v>
      </c>
      <c r="J39" t="s">
        <v>432</v>
      </c>
      <c r="K39">
        <f>'Study Parameters'!Q8</f>
        <v>1E-3</v>
      </c>
      <c r="L39" s="30">
        <f>[9]CaO_summary!$J$2* ((1+Inputs!$C$5) ^ (2022-G39))</f>
        <v>2352</v>
      </c>
      <c r="M39" s="30"/>
      <c r="O39" s="30">
        <v>2481.3480043001368</v>
      </c>
    </row>
    <row r="40" spans="1:15" hidden="1">
      <c r="A40" t="s">
        <v>185</v>
      </c>
      <c r="B40">
        <v>2022</v>
      </c>
      <c r="C40" t="s">
        <v>188</v>
      </c>
      <c r="D40" t="s">
        <v>173</v>
      </c>
      <c r="E40" t="s">
        <v>364</v>
      </c>
      <c r="F40" t="s">
        <v>462</v>
      </c>
      <c r="G40">
        <v>2022</v>
      </c>
      <c r="H40" t="s">
        <v>673</v>
      </c>
      <c r="I40" t="s">
        <v>674</v>
      </c>
      <c r="J40" t="s">
        <v>432</v>
      </c>
      <c r="K40">
        <v>1E-3</v>
      </c>
      <c r="L40" s="30">
        <f>[9]CaO_summary!$R$2* ((1+Inputs!$C$5) ^ (2022-G40))</f>
        <v>2155</v>
      </c>
      <c r="M40" s="30"/>
      <c r="O40" s="30">
        <v>2153.1601565847341</v>
      </c>
    </row>
    <row r="41" spans="1:15" hidden="1">
      <c r="A41" t="s">
        <v>185</v>
      </c>
      <c r="B41">
        <v>2022</v>
      </c>
      <c r="C41" t="s">
        <v>188</v>
      </c>
      <c r="D41" t="s">
        <v>173</v>
      </c>
      <c r="E41" t="s">
        <v>364</v>
      </c>
      <c r="F41" t="s">
        <v>462</v>
      </c>
      <c r="G41">
        <v>2022</v>
      </c>
      <c r="H41" t="s">
        <v>673</v>
      </c>
      <c r="I41" t="s">
        <v>675</v>
      </c>
      <c r="J41" t="s">
        <v>432</v>
      </c>
      <c r="K41">
        <v>1E-3</v>
      </c>
      <c r="L41" s="30">
        <f>[9]CaO_summary!$B$2* ((1+Inputs!$C$5) ^ (2022-G41))</f>
        <v>2849</v>
      </c>
      <c r="M41" s="30"/>
      <c r="O41" s="30">
        <v>2874.3199941446942</v>
      </c>
    </row>
    <row r="42" spans="1:15">
      <c r="A42" t="s">
        <v>185</v>
      </c>
      <c r="B42">
        <v>2050</v>
      </c>
      <c r="C42" t="s">
        <v>188</v>
      </c>
      <c r="D42" t="s">
        <v>173</v>
      </c>
      <c r="E42" t="s">
        <v>364</v>
      </c>
      <c r="F42" t="s">
        <v>462</v>
      </c>
      <c r="G42">
        <v>2022</v>
      </c>
      <c r="H42" t="s">
        <v>673</v>
      </c>
      <c r="I42" t="s">
        <v>4</v>
      </c>
      <c r="J42" t="s">
        <v>432</v>
      </c>
      <c r="K42">
        <v>1000</v>
      </c>
      <c r="L42" s="30">
        <f>[9]CaO_summary!$J$51* ((1+Inputs!$C$5) ^ (2022-G42))</f>
        <v>372</v>
      </c>
      <c r="M42" s="30"/>
      <c r="O42" s="30">
        <f>[9]CaO_summary!$J$51</f>
        <v>372</v>
      </c>
    </row>
    <row r="43" spans="1:15">
      <c r="A43" t="s">
        <v>185</v>
      </c>
      <c r="B43">
        <v>2050</v>
      </c>
      <c r="C43" t="s">
        <v>188</v>
      </c>
      <c r="D43" t="s">
        <v>173</v>
      </c>
      <c r="E43" t="s">
        <v>364</v>
      </c>
      <c r="F43" t="s">
        <v>462</v>
      </c>
      <c r="G43">
        <v>2022</v>
      </c>
      <c r="H43" t="s">
        <v>673</v>
      </c>
      <c r="I43" t="s">
        <v>674</v>
      </c>
      <c r="J43" t="s">
        <v>432</v>
      </c>
      <c r="K43">
        <v>1000</v>
      </c>
      <c r="L43" s="30">
        <f>[9]CaO_summary!$R$51* ((1+Inputs!$C$5) ^ (2022-G43))</f>
        <v>318</v>
      </c>
      <c r="M43" s="30"/>
      <c r="O43" s="30">
        <f>'[9]CaO_summary_11$MWh'!$R$51</f>
        <v>260</v>
      </c>
    </row>
    <row r="44" spans="1:15">
      <c r="A44" t="s">
        <v>185</v>
      </c>
      <c r="B44">
        <v>2050</v>
      </c>
      <c r="C44" t="s">
        <v>188</v>
      </c>
      <c r="D44" t="s">
        <v>173</v>
      </c>
      <c r="E44" t="s">
        <v>364</v>
      </c>
      <c r="F44" t="s">
        <v>462</v>
      </c>
      <c r="G44">
        <v>2022</v>
      </c>
      <c r="H44" t="s">
        <v>673</v>
      </c>
      <c r="I44" t="s">
        <v>675</v>
      </c>
      <c r="J44" t="s">
        <v>432</v>
      </c>
      <c r="K44">
        <v>1000</v>
      </c>
      <c r="L44" s="30">
        <f>[9]CaO_summary!$B$51* ((1+Inputs!$C$5) ^ (2022-G44))</f>
        <v>624</v>
      </c>
      <c r="M44" s="30"/>
      <c r="O44" s="30">
        <f>'[9]CaO_summary_11$MWh'!$B$51</f>
        <v>575</v>
      </c>
    </row>
    <row r="45" spans="1:15" hidden="1">
      <c r="A45" t="str">
        <f>'Study Parameters'!A9</f>
        <v>McQueen et al. 2020a</v>
      </c>
      <c r="B45">
        <v>2023</v>
      </c>
      <c r="C45" t="str">
        <f>'Study Parameters'!E9</f>
        <v>10.1021/acs.est.0c00476</v>
      </c>
      <c r="D45" t="s">
        <v>166</v>
      </c>
      <c r="E45" t="s">
        <v>360</v>
      </c>
      <c r="F45" t="s">
        <v>462</v>
      </c>
      <c r="G45">
        <v>2022</v>
      </c>
      <c r="H45" t="s">
        <v>673</v>
      </c>
      <c r="I45" t="s">
        <v>676</v>
      </c>
      <c r="J45" t="s">
        <v>677</v>
      </c>
      <c r="K45" s="73">
        <v>0.1</v>
      </c>
      <c r="L45" s="30">
        <f>[10]Baseline!$B$9* ((1+Inputs!$C$5) ^ (2022-G45))</f>
        <v>243.19087562746984</v>
      </c>
      <c r="M45" s="30">
        <f>'[10]Step 1 LCOE - EE'!$B$10</f>
        <v>281.4604652955673</v>
      </c>
      <c r="N45" s="30">
        <f>'[10]Step 2 WACC'!$B$10</f>
        <v>253.01246179996221</v>
      </c>
      <c r="O45" s="30">
        <f>'[10]Step 3 T&amp;S'!$B$10</f>
        <v>293.01246179996224</v>
      </c>
    </row>
    <row r="46" spans="1:15" hidden="1">
      <c r="A46" t="str">
        <f>'Study Parameters'!A9</f>
        <v>McQueen et al. 2020a</v>
      </c>
      <c r="B46">
        <v>2023</v>
      </c>
      <c r="C46" t="str">
        <f>'Study Parameters'!E9</f>
        <v>10.1021/acs.est.0c00476</v>
      </c>
      <c r="D46" t="str">
        <f>'Study Parameters'!F9</f>
        <v>Solid sorbent</v>
      </c>
      <c r="E46" t="s">
        <v>360</v>
      </c>
      <c r="F46" t="str">
        <f>'Study Parameters'!I9</f>
        <v>2022 USD</v>
      </c>
      <c r="G46">
        <v>2022</v>
      </c>
      <c r="H46" t="s">
        <v>673</v>
      </c>
      <c r="I46" t="s">
        <v>75</v>
      </c>
      <c r="J46" t="s">
        <v>677</v>
      </c>
      <c r="K46" s="73">
        <v>0.1</v>
      </c>
      <c r="L46" s="30">
        <f>[10]Baseline!$B$16* ((1+Inputs!$C$5) ^ (2022-G46))</f>
        <v>220.91190758755869</v>
      </c>
      <c r="M46" s="30">
        <f>'[10]Step 1 LCOE - EE'!$B$18</f>
        <v>255.99089829145115</v>
      </c>
      <c r="N46" s="30">
        <f>'[10]Step 2 WACC'!$B$18</f>
        <v>227.33390287547573</v>
      </c>
      <c r="O46" s="30">
        <f>'[10]Step 3 T&amp;S'!$B$18</f>
        <v>267.3339028754757</v>
      </c>
    </row>
    <row r="47" spans="1:15" hidden="1">
      <c r="A47" t="str">
        <f>'Study Parameters'!A9</f>
        <v>McQueen et al. 2020a</v>
      </c>
      <c r="B47">
        <v>2023</v>
      </c>
      <c r="C47" t="str">
        <f>'Study Parameters'!E9</f>
        <v>10.1021/acs.est.0c00476</v>
      </c>
      <c r="D47" t="str">
        <f>'Study Parameters'!F9</f>
        <v>Solid sorbent</v>
      </c>
      <c r="E47" t="s">
        <v>360</v>
      </c>
      <c r="F47" t="str">
        <f>'Study Parameters'!I9</f>
        <v>2022 USD</v>
      </c>
      <c r="G47">
        <v>2022</v>
      </c>
      <c r="H47" t="s">
        <v>673</v>
      </c>
      <c r="I47" t="s">
        <v>72</v>
      </c>
      <c r="J47" t="s">
        <v>677</v>
      </c>
      <c r="K47" s="73">
        <v>0.1</v>
      </c>
      <c r="L47" s="30">
        <f>[10]Baseline!$B$23* ((1+Inputs!$C$5) ^ (2022-G47))</f>
        <v>252.29289736301058</v>
      </c>
      <c r="M47" s="30">
        <f>'[10]Step 1 LCOE - EE'!$B$26</f>
        <v>291.90515143423369</v>
      </c>
      <c r="N47" s="30">
        <f>'[10]Step 2 WACC'!$B$26</f>
        <v>263.19697040786667</v>
      </c>
      <c r="O47" s="30">
        <f>'[10]Step 3 T&amp;S'!$B$26</f>
        <v>303.19697040786667</v>
      </c>
    </row>
    <row r="48" spans="1:15" hidden="1">
      <c r="A48" t="str">
        <f>'Study Parameters'!$A$10</f>
        <v>Sendi et al. 2022</v>
      </c>
      <c r="B48">
        <v>2022</v>
      </c>
      <c r="C48" t="s">
        <v>210</v>
      </c>
      <c r="D48" t="s">
        <v>166</v>
      </c>
      <c r="E48" t="s">
        <v>166</v>
      </c>
      <c r="F48" t="s">
        <v>462</v>
      </c>
      <c r="G48">
        <v>2022</v>
      </c>
      <c r="H48" t="s">
        <v>673</v>
      </c>
      <c r="I48" t="s">
        <v>678</v>
      </c>
      <c r="K48" s="73"/>
      <c r="L48" s="30">
        <f>[11]Baseline!$B$3* ((1+Inputs!$C$5) ^ (2022-G48))</f>
        <v>195.79914443846775</v>
      </c>
      <c r="M48" s="30">
        <f>'[11]Step 1 LCOE - EE'!$B$10</f>
        <v>237.95480106262713</v>
      </c>
      <c r="N48" s="30">
        <f>'[11]Step 2 WACC'!$B$10</f>
        <v>238.51244114406214</v>
      </c>
      <c r="O48" s="30">
        <f>'[11]Step 3 T&amp;S'!$B$3</f>
        <v>278.51244114406211</v>
      </c>
    </row>
    <row r="49" spans="1:15" hidden="1">
      <c r="A49" t="str">
        <f>'Study Parameters'!$A$10</f>
        <v>Sendi et al. 2022</v>
      </c>
      <c r="B49">
        <v>2022</v>
      </c>
      <c r="C49" t="s">
        <v>210</v>
      </c>
      <c r="D49" t="s">
        <v>166</v>
      </c>
      <c r="E49" t="s">
        <v>166</v>
      </c>
      <c r="F49" t="s">
        <v>462</v>
      </c>
      <c r="G49">
        <v>2022</v>
      </c>
      <c r="H49" t="s">
        <v>673</v>
      </c>
      <c r="I49" t="s">
        <v>679</v>
      </c>
      <c r="K49" s="73"/>
      <c r="L49" s="30">
        <f>[11]Baseline!$B$4* ((1+Inputs!$C$5) ^ (2022-G49))</f>
        <v>180.2232319711996</v>
      </c>
      <c r="M49" s="30">
        <f>'[11]Step 1 LCOE - EE'!$B$11</f>
        <v>236.5428746531436</v>
      </c>
      <c r="N49" s="30">
        <f>'[11]Step 1 LCOE - EE'!$B$11</f>
        <v>236.5428746531436</v>
      </c>
      <c r="O49" s="30">
        <f>'[11]Step 3 T&amp;S'!$B$4</f>
        <v>260.17305813012763</v>
      </c>
    </row>
    <row r="50" spans="1:15" hidden="1">
      <c r="A50" t="str">
        <f>'Study Parameters'!$A$10</f>
        <v>Sendi et al. 2022</v>
      </c>
      <c r="B50">
        <v>2022</v>
      </c>
      <c r="C50" t="s">
        <v>210</v>
      </c>
      <c r="D50" t="s">
        <v>166</v>
      </c>
      <c r="E50" t="s">
        <v>166</v>
      </c>
      <c r="F50" t="s">
        <v>462</v>
      </c>
      <c r="G50">
        <v>2022</v>
      </c>
      <c r="H50" t="s">
        <v>673</v>
      </c>
      <c r="I50" t="s">
        <v>680</v>
      </c>
      <c r="K50" s="73"/>
      <c r="L50" s="30">
        <f>[11]Baseline!$B$5* ((1+Inputs!$C$5) ^ (2022-G50))</f>
        <v>241.93412260542041</v>
      </c>
      <c r="M50" s="30">
        <f>'[11]Step 1 LCOE - EE'!$B$12</f>
        <v>290.12604931223825</v>
      </c>
      <c r="N50" s="30">
        <f>'[11]Step 1 LCOE - EE'!$B$12</f>
        <v>290.12604931223825</v>
      </c>
      <c r="O50" s="30">
        <f>'[11]Step 3 T&amp;S'!$B$5</f>
        <v>334.02175471233329</v>
      </c>
    </row>
    <row r="51" spans="1:15" hidden="1">
      <c r="A51" t="str">
        <f>'Study Parameters'!$A$10</f>
        <v>Sendi et al. 2022</v>
      </c>
      <c r="B51">
        <v>2022</v>
      </c>
      <c r="C51" t="s">
        <v>210</v>
      </c>
      <c r="D51" t="s">
        <v>166</v>
      </c>
      <c r="E51" t="s">
        <v>166</v>
      </c>
      <c r="F51" t="s">
        <v>462</v>
      </c>
      <c r="G51">
        <v>2022</v>
      </c>
      <c r="H51" t="s">
        <v>673</v>
      </c>
      <c r="I51" t="s">
        <v>681</v>
      </c>
      <c r="K51" s="73"/>
      <c r="L51" s="30">
        <f>[11]Baseline!$B$6</f>
        <v>253.04087873301455</v>
      </c>
      <c r="M51" s="30">
        <f>'[11]Step 1 LCOE - EE'!$B$13</f>
        <v>346.94775545674526</v>
      </c>
      <c r="N51" s="30">
        <f>'[11]Step 1 LCOE - EE'!$B$13</f>
        <v>346.94775545674526</v>
      </c>
      <c r="O51" s="30">
        <f>'[11]Step 3 T&amp;S'!$B$6</f>
        <v>347.52430793993972</v>
      </c>
    </row>
    <row r="52" spans="1:15" hidden="1">
      <c r="A52" t="str">
        <f>'Study Parameters'!$A$10</f>
        <v>Sendi et al. 2022</v>
      </c>
      <c r="B52">
        <v>2022</v>
      </c>
      <c r="C52" t="s">
        <v>210</v>
      </c>
      <c r="D52" t="s">
        <v>166</v>
      </c>
      <c r="E52" t="s">
        <v>166</v>
      </c>
      <c r="F52" t="s">
        <v>462</v>
      </c>
      <c r="G52">
        <v>2022</v>
      </c>
      <c r="H52" t="s">
        <v>673</v>
      </c>
      <c r="I52" t="s">
        <v>682</v>
      </c>
      <c r="K52" s="73"/>
      <c r="L52" s="30">
        <f>[11]Baseline!$C$3* ((1+Inputs!$C$5) ^ (2022-G52))</f>
        <v>337.61992148906455</v>
      </c>
      <c r="M52" s="30">
        <f>'[11]Step 1 LCOE - EE'!$C$10</f>
        <v>392.06362812033171</v>
      </c>
      <c r="N52" s="30">
        <f>'[11]Step 1 LCOE - EE'!$C$10</f>
        <v>392.06362812033171</v>
      </c>
      <c r="O52" s="30">
        <f>'[11]Step 3 T&amp;S'!$C$3</f>
        <v>431.20952014305874</v>
      </c>
    </row>
    <row r="53" spans="1:15" hidden="1">
      <c r="A53" t="str">
        <f>'Study Parameters'!$A$10</f>
        <v>Sendi et al. 2022</v>
      </c>
      <c r="B53">
        <v>2022</v>
      </c>
      <c r="C53" t="s">
        <v>210</v>
      </c>
      <c r="D53" t="s">
        <v>166</v>
      </c>
      <c r="E53" t="s">
        <v>166</v>
      </c>
      <c r="F53" t="s">
        <v>462</v>
      </c>
      <c r="G53">
        <v>2022</v>
      </c>
      <c r="H53" t="s">
        <v>673</v>
      </c>
      <c r="I53" t="s">
        <v>683</v>
      </c>
      <c r="K53" s="73"/>
      <c r="L53" s="30">
        <f>[11]Baseline!$C$4* ((1+Inputs!$C$5) ^ (2022-G53))</f>
        <v>314.58902698307497</v>
      </c>
      <c r="M53" s="30">
        <f>'[11]Step 1 LCOE - EE'!$C$11</f>
        <v>394.50572316503008</v>
      </c>
      <c r="N53" s="30">
        <f>'[11]Step 1 LCOE - EE'!$C$11</f>
        <v>394.50572316503008</v>
      </c>
      <c r="O53" s="30">
        <f>'[11]Step 3 T&amp;S'!$C$4</f>
        <v>405.58125796275607</v>
      </c>
    </row>
    <row r="54" spans="1:15" hidden="1">
      <c r="A54" t="str">
        <f>'Study Parameters'!$A$10</f>
        <v>Sendi et al. 2022</v>
      </c>
      <c r="B54">
        <v>2022</v>
      </c>
      <c r="C54" t="s">
        <v>210</v>
      </c>
      <c r="D54" t="s">
        <v>166</v>
      </c>
      <c r="E54" t="s">
        <v>166</v>
      </c>
      <c r="F54" t="s">
        <v>462</v>
      </c>
      <c r="G54">
        <v>2022</v>
      </c>
      <c r="H54" t="s">
        <v>673</v>
      </c>
      <c r="I54" t="s">
        <v>684</v>
      </c>
      <c r="K54" s="73"/>
      <c r="L54" s="30">
        <f>[11]Baseline!$C$5* ((1+Inputs!$C$5) ^ (2022-G54))</f>
        <v>425.41295915949337</v>
      </c>
      <c r="M54" s="30">
        <f>'[11]Step 1 LCOE - EE'!$C$12</f>
        <v>488.54667876866756</v>
      </c>
      <c r="N54" s="30">
        <f>'[11]Step 1 LCOE - EE'!$C$12</f>
        <v>488.54667876866756</v>
      </c>
      <c r="O54" s="30">
        <f>'[11]Step 3 T&amp;S'!$C$5</f>
        <v>532.88151930075014</v>
      </c>
    </row>
    <row r="55" spans="1:15" hidden="1">
      <c r="A55" t="str">
        <f>'Study Parameters'!$A$10</f>
        <v>Sendi et al. 2022</v>
      </c>
      <c r="B55">
        <f>'Study Parameters'!H10</f>
        <v>2022</v>
      </c>
      <c r="C55" t="str">
        <f>'Study Parameters'!E10</f>
        <v>10.1016/j.oneear.2022.09.003</v>
      </c>
      <c r="D55" t="str">
        <f>'Study Parameters'!F10</f>
        <v>Solid sorbent</v>
      </c>
      <c r="E55" t="str">
        <f>'Study Parameters'!G10</f>
        <v>Solid sorbent</v>
      </c>
      <c r="F55" t="str">
        <f>'Study Parameters'!I10</f>
        <v>2022 USD</v>
      </c>
      <c r="G55">
        <v>2022</v>
      </c>
      <c r="H55" t="s">
        <v>673</v>
      </c>
      <c r="I55" t="s">
        <v>685</v>
      </c>
      <c r="L55" s="30">
        <f>[11]Baseline!$C$6* ((1+Inputs!$C$5) ^ (2022-G55))</f>
        <v>482.58604585743416</v>
      </c>
      <c r="M55" s="30">
        <f>'[11]Step 1 LCOE - EE'!$C$13</f>
        <v>632.16735720171778</v>
      </c>
      <c r="N55" s="30">
        <f>'[11]Step 1 LCOE - EE'!$C$13</f>
        <v>632.16735720171778</v>
      </c>
      <c r="O55" s="30">
        <f>'[11]Step 3 T&amp;S'!$C$6</f>
        <v>598.00725415939087</v>
      </c>
    </row>
    <row r="56" spans="1:15" hidden="1">
      <c r="A56" t="str">
        <f>'Study Parameters'!$A$10</f>
        <v>Sendi et al. 2022</v>
      </c>
      <c r="B56">
        <v>2022</v>
      </c>
      <c r="C56" t="s">
        <v>210</v>
      </c>
      <c r="D56" t="s">
        <v>166</v>
      </c>
      <c r="E56" t="s">
        <v>166</v>
      </c>
      <c r="F56" t="s">
        <v>462</v>
      </c>
      <c r="G56">
        <v>2022</v>
      </c>
      <c r="H56" t="s">
        <v>673</v>
      </c>
      <c r="I56" t="s">
        <v>686</v>
      </c>
      <c r="L56" s="30">
        <f>[11]Baseline!$D$3* ((1+Inputs!$C$5) ^ (2022-G56))</f>
        <v>488.01436593001387</v>
      </c>
      <c r="M56" s="30">
        <f>'[11]Step 1 LCOE - EE'!$D$10</f>
        <v>556.5909201633358</v>
      </c>
      <c r="N56" s="30">
        <f>'[11]Step 1 LCOE - EE'!$D$10</f>
        <v>556.5909201633358</v>
      </c>
      <c r="O56" s="30">
        <f>'[11]Step 3 T&amp;S'!$D$3</f>
        <v>594.26871158968584</v>
      </c>
    </row>
    <row r="57" spans="1:15" hidden="1">
      <c r="A57" t="str">
        <f>'Study Parameters'!$A$10</f>
        <v>Sendi et al. 2022</v>
      </c>
      <c r="B57">
        <v>2022</v>
      </c>
      <c r="C57" t="s">
        <v>210</v>
      </c>
      <c r="D57" t="s">
        <v>166</v>
      </c>
      <c r="E57" t="s">
        <v>166</v>
      </c>
      <c r="F57" t="s">
        <v>462</v>
      </c>
      <c r="G57">
        <v>2022</v>
      </c>
      <c r="H57" t="s">
        <v>673</v>
      </c>
      <c r="I57" t="s">
        <v>687</v>
      </c>
      <c r="L57" s="30">
        <f>[11]Baseline!$D$4* ((1+Inputs!$C$5) ^ (2022-G57))</f>
        <v>453.60276346122942</v>
      </c>
      <c r="M57" s="30">
        <f>'[11]Step 1 LCOE - EE'!$D$11</f>
        <v>558.56832845298004</v>
      </c>
      <c r="N57" s="30">
        <f>'[11]Step 1 LCOE - EE'!$D$11</f>
        <v>558.56832845298004</v>
      </c>
      <c r="O57" s="30">
        <f>'[11]Step 3 T&amp;S'!$D$4</f>
        <v>556.61504560775791</v>
      </c>
    </row>
    <row r="58" spans="1:15" hidden="1">
      <c r="A58" t="str">
        <f>'Study Parameters'!$A$10</f>
        <v>Sendi et al. 2022</v>
      </c>
      <c r="B58">
        <v>2022</v>
      </c>
      <c r="C58" t="s">
        <v>210</v>
      </c>
      <c r="D58" t="s">
        <v>166</v>
      </c>
      <c r="E58" t="s">
        <v>166</v>
      </c>
      <c r="F58" t="s">
        <v>462</v>
      </c>
      <c r="G58">
        <v>2022</v>
      </c>
      <c r="H58" t="s">
        <v>673</v>
      </c>
      <c r="I58" t="s">
        <v>688</v>
      </c>
      <c r="L58" s="30">
        <f>[11]Baseline!$D$5* ((1+Inputs!$C$5) ^ (2022-G58))</f>
        <v>620.65519476571251</v>
      </c>
      <c r="M58" s="30">
        <f>'[11]Step 1 LCOE - EE'!$D$12</f>
        <v>701.07244150424765</v>
      </c>
      <c r="N58" s="30">
        <f>'[11]Step 1 LCOE - EE'!$D$12</f>
        <v>701.07244150424765</v>
      </c>
      <c r="O58" s="30">
        <f>'[11]Step 3 T&amp;S'!$D$5</f>
        <v>745.92213758183834</v>
      </c>
    </row>
    <row r="59" spans="1:15" hidden="1">
      <c r="A59" t="str">
        <f>'Study Parameters'!$A$10</f>
        <v>Sendi et al. 2022</v>
      </c>
      <c r="B59">
        <v>2022</v>
      </c>
      <c r="C59" t="s">
        <v>210</v>
      </c>
      <c r="D59" t="s">
        <v>166</v>
      </c>
      <c r="E59" t="s">
        <v>166</v>
      </c>
      <c r="F59" t="s">
        <v>462</v>
      </c>
      <c r="G59">
        <v>2022</v>
      </c>
      <c r="H59" t="s">
        <v>673</v>
      </c>
      <c r="I59" t="s">
        <v>689</v>
      </c>
      <c r="L59" s="30">
        <f>[11]Baseline!$D$6* ((1+Inputs!$C$5) ^ (2022-G59))</f>
        <v>724.43464831783103</v>
      </c>
      <c r="M59" s="30">
        <f>'[11]Step 1 LCOE - EE'!$D$13</f>
        <v>934.25435834426344</v>
      </c>
      <c r="N59" s="30">
        <f>'[11]Step 1 LCOE - EE'!$D$13</f>
        <v>934.25435834426344</v>
      </c>
      <c r="O59" s="30">
        <f>'[11]Step 3 T&amp;S'!$D$6</f>
        <v>863.3220713069054</v>
      </c>
    </row>
    <row r="60" spans="1:15" hidden="1">
      <c r="A60" t="str">
        <f>'Study Parameters'!A11</f>
        <v>Fasihi et al. 2019</v>
      </c>
      <c r="B60">
        <v>2020</v>
      </c>
      <c r="C60" t="str">
        <f>'Study Parameters'!E11</f>
        <v>10.1016/j.jclepro.2019.03.086</v>
      </c>
      <c r="D60" t="str">
        <f>'Study Parameters'!F11</f>
        <v>Liquid solvent</v>
      </c>
      <c r="E60" t="str">
        <f>'Study Parameters'!G11</f>
        <v>Liquid solvent</v>
      </c>
      <c r="F60" t="str">
        <f>'Study Parameters'!I11</f>
        <v>2018 EUR</v>
      </c>
      <c r="G60">
        <v>2018</v>
      </c>
      <c r="H60" t="s">
        <v>673</v>
      </c>
      <c r="I60" t="s">
        <v>676</v>
      </c>
      <c r="J60" t="str">
        <f>'Study Parameters'!L11</f>
        <v>Levelized cost of capture</v>
      </c>
      <c r="K60">
        <v>1.5</v>
      </c>
      <c r="L60" s="30">
        <f>'[12]Base Case LS'!$I$28* ((1+Inputs!$C$5) ^ (2022-G60))</f>
        <v>327.72996608278714</v>
      </c>
      <c r="M60" s="30">
        <f>'[12]Step 1 LCOE LS'!$I$31* ((1+Inputs!$C$5) ^ (2022-G60))</f>
        <v>277.94108353342045</v>
      </c>
      <c r="N60" s="30">
        <f>'[12]Step 2 WACC LS'!$I$31</f>
        <v>252.26048677321859</v>
      </c>
      <c r="O60" s="30">
        <f>'[12]Step 3 T&amp;S LS'!$I$34</f>
        <v>289.21430381427916</v>
      </c>
    </row>
    <row r="61" spans="1:15" hidden="1">
      <c r="A61" t="s">
        <v>214</v>
      </c>
      <c r="B61">
        <v>2020</v>
      </c>
      <c r="C61" t="s">
        <v>217</v>
      </c>
      <c r="D61" t="s">
        <v>158</v>
      </c>
      <c r="E61" t="s">
        <v>158</v>
      </c>
      <c r="F61" t="s">
        <v>496</v>
      </c>
      <c r="G61">
        <v>2018</v>
      </c>
      <c r="H61" t="s">
        <v>673</v>
      </c>
      <c r="I61" t="s">
        <v>690</v>
      </c>
      <c r="J61" t="s">
        <v>480</v>
      </c>
      <c r="K61">
        <v>1.5</v>
      </c>
      <c r="L61" s="104">
        <f>'[12]Base Case LS'!$D$28* ((1+Inputs!$C$5) ^ (2022-G61))</f>
        <v>327.72996608278714</v>
      </c>
      <c r="M61" s="30">
        <f>'[12]Step 1 LCOE LS'!$D$31* ((1+Inputs!$C$5) ^ (2022-G61))</f>
        <v>277.94108353342045</v>
      </c>
      <c r="N61" s="30">
        <f>'[12]Step 2 WACC LS'!$D$31</f>
        <v>252.26048677321859</v>
      </c>
      <c r="O61" s="30">
        <f>'[12]Step 3 T&amp;S LS'!$D$34</f>
        <v>289.21430381427916</v>
      </c>
    </row>
    <row r="62" spans="1:15">
      <c r="A62" t="s">
        <v>214</v>
      </c>
      <c r="B62">
        <v>2050</v>
      </c>
      <c r="C62" t="s">
        <v>217</v>
      </c>
      <c r="D62" t="s">
        <v>158</v>
      </c>
      <c r="E62" t="s">
        <v>158</v>
      </c>
      <c r="F62" t="s">
        <v>496</v>
      </c>
      <c r="G62">
        <v>2018</v>
      </c>
      <c r="H62" t="s">
        <v>673</v>
      </c>
      <c r="I62" t="s">
        <v>676</v>
      </c>
      <c r="J62" t="s">
        <v>480</v>
      </c>
      <c r="K62">
        <v>15357</v>
      </c>
      <c r="L62" s="104">
        <f>'[12]Base Case LS'!$L$28* ((1+Inputs!$C$5) ^ (2022-G62))</f>
        <v>65.583390561999551</v>
      </c>
      <c r="M62" s="30">
        <f>'[12]Step 1 LCOE LS'!$L$31* ((1+Inputs!$C$5) ^ (2022-G62))</f>
        <v>34.232046362283334</v>
      </c>
      <c r="N62" s="30">
        <f>'[12]Step 2 WACC LS'!$L$31</f>
        <v>31.069148068405784</v>
      </c>
      <c r="O62" s="30">
        <f>'[12]Step 3 T&amp;S LS'!$L$34</f>
        <v>54.16528371906864</v>
      </c>
    </row>
    <row r="63" spans="1:15">
      <c r="A63" t="s">
        <v>214</v>
      </c>
      <c r="B63">
        <v>2050</v>
      </c>
      <c r="C63" t="s">
        <v>217</v>
      </c>
      <c r="D63" t="s">
        <v>158</v>
      </c>
      <c r="E63" t="s">
        <v>158</v>
      </c>
      <c r="F63" t="s">
        <v>496</v>
      </c>
      <c r="G63">
        <v>2018</v>
      </c>
      <c r="H63" t="s">
        <v>673</v>
      </c>
      <c r="I63" t="s">
        <v>690</v>
      </c>
      <c r="J63" t="s">
        <v>480</v>
      </c>
      <c r="K63">
        <v>7679</v>
      </c>
      <c r="L63" s="104">
        <f>'[12]Base Case LS'!$G$28* ((1+Inputs!$C$5) ^ (2022-G63))</f>
        <v>86.547859946869096</v>
      </c>
      <c r="M63" s="30">
        <f>'[12]Step 1 LCOE LS'!$G$31* ((1+Inputs!$C$5) ^ (2022-G63))</f>
        <v>56.8348891342768</v>
      </c>
      <c r="N63" s="30">
        <f>'[12]Step 2 WACC LS'!$G$31</f>
        <v>51.583582450093708</v>
      </c>
      <c r="O63" s="30">
        <f>'[12]Step 3 T&amp;S LS'!$G$34</f>
        <v>74.67971810075656</v>
      </c>
    </row>
    <row r="64" spans="1:15" hidden="1">
      <c r="A64" t="str">
        <f>'Study Parameters'!A12</f>
        <v>Fasihi et al. 2019</v>
      </c>
      <c r="B64">
        <v>2020</v>
      </c>
      <c r="C64" t="str">
        <f>'Study Parameters'!E12</f>
        <v>10.1016/j.jclepro.2019.03.086</v>
      </c>
      <c r="D64" t="str">
        <f>'Study Parameters'!F12</f>
        <v>Solid sorbent</v>
      </c>
      <c r="E64" t="str">
        <f>'Study Parameters'!G12</f>
        <v>Solid sorbent</v>
      </c>
      <c r="F64" t="str">
        <f>'Study Parameters'!I12</f>
        <v>2018 EUR</v>
      </c>
      <c r="G64">
        <v>2018</v>
      </c>
      <c r="H64" t="s">
        <v>673</v>
      </c>
      <c r="I64" t="s">
        <v>676</v>
      </c>
      <c r="J64" t="s">
        <v>480</v>
      </c>
      <c r="K64">
        <v>1.5</v>
      </c>
      <c r="L64" s="104">
        <f>'[12]Base Case SS'!$I$28* ((1+Inputs!$C$5) ^ (2022-G64))</f>
        <v>272.30052757664026</v>
      </c>
      <c r="M64" s="30">
        <f>'[12]Step 1 LCOE SS'!$I$31* ((1+Inputs!$C$5) ^ (2022-G64))</f>
        <v>281.53877722718562</v>
      </c>
      <c r="N64" s="30">
        <f>'[12]Step 2 WACC SS'!$I$31</f>
        <v>255.52576857651488</v>
      </c>
      <c r="O64" s="30">
        <f>'[12]Step 3 T&amp;S SS'!$I$34</f>
        <v>292.47958561757542</v>
      </c>
    </row>
    <row r="65" spans="1:15" hidden="1">
      <c r="A65" t="s">
        <v>214</v>
      </c>
      <c r="B65">
        <v>2020</v>
      </c>
      <c r="C65" t="s">
        <v>217</v>
      </c>
      <c r="D65" t="s">
        <v>166</v>
      </c>
      <c r="E65" t="s">
        <v>166</v>
      </c>
      <c r="F65" t="s">
        <v>496</v>
      </c>
      <c r="G65">
        <v>2018</v>
      </c>
      <c r="H65" t="s">
        <v>673</v>
      </c>
      <c r="I65" t="s">
        <v>690</v>
      </c>
      <c r="J65" t="s">
        <v>480</v>
      </c>
      <c r="K65">
        <v>1.5</v>
      </c>
      <c r="L65" s="104">
        <f>'[12]Base Case SS'!$D$28* ((1+Inputs!$C$5) ^ (2022-G65))</f>
        <v>272.30052757664026</v>
      </c>
      <c r="M65" s="30">
        <f>'[12]Step 1 LCOE SS'!$D$31* ((1+Inputs!$C$5) ^ (2022-G65))</f>
        <v>281.53877722718562</v>
      </c>
      <c r="N65" s="30">
        <f>'[12]Step 2 WACC SS'!$D$31</f>
        <v>255.52576857651488</v>
      </c>
      <c r="O65" s="30">
        <f>'[12]Step 3 T&amp;S SS'!$D$34</f>
        <v>292.47958561757542</v>
      </c>
    </row>
    <row r="66" spans="1:15">
      <c r="A66" t="s">
        <v>214</v>
      </c>
      <c r="B66">
        <v>2050</v>
      </c>
      <c r="C66" t="s">
        <v>217</v>
      </c>
      <c r="D66" t="s">
        <v>166</v>
      </c>
      <c r="E66" t="s">
        <v>368</v>
      </c>
      <c r="F66" t="s">
        <v>496</v>
      </c>
      <c r="G66">
        <v>2018</v>
      </c>
      <c r="H66" t="s">
        <v>673</v>
      </c>
      <c r="I66" t="s">
        <v>676</v>
      </c>
      <c r="J66" t="s">
        <v>480</v>
      </c>
      <c r="K66">
        <v>15357</v>
      </c>
      <c r="L66" s="104">
        <f>'[12]Base Case SS'!$L$28* ((1+Inputs!$C$5) ^ (2022-G66))</f>
        <v>47.687620739920739</v>
      </c>
      <c r="M66" s="30">
        <f>'[12]Step 1 LCOE SS'!$L$31* ((1+Inputs!$C$5) ^ (2022-G66))</f>
        <v>67.513183443189845</v>
      </c>
      <c r="N66" s="30">
        <f>'[12]Step 2 WACC SS'!$L$31</f>
        <v>61.275246906565449</v>
      </c>
      <c r="O66" s="30">
        <f>'[12]Step 3 T&amp;S SS'!$L$34</f>
        <v>84.371382557228301</v>
      </c>
    </row>
    <row r="67" spans="1:15">
      <c r="A67" t="s">
        <v>214</v>
      </c>
      <c r="B67">
        <v>2050</v>
      </c>
      <c r="C67" t="s">
        <v>217</v>
      </c>
      <c r="D67" t="s">
        <v>166</v>
      </c>
      <c r="E67" t="s">
        <v>368</v>
      </c>
      <c r="F67" t="s">
        <v>496</v>
      </c>
      <c r="G67">
        <v>2018</v>
      </c>
      <c r="H67" t="s">
        <v>673</v>
      </c>
      <c r="I67" t="s">
        <v>690</v>
      </c>
      <c r="J67" t="s">
        <v>480</v>
      </c>
      <c r="K67">
        <v>7679</v>
      </c>
      <c r="L67" s="104">
        <f>'[12]Base Case SS'!$G$28* ((1+Inputs!$C$5) ^ (2022-G67))</f>
        <v>66.279970905605978</v>
      </c>
      <c r="M67" s="30">
        <f>'[12]Step 1 LCOE SS'!$G$31* ((1+Inputs!$C$5) ^ (2022-G67))</f>
        <v>86.967988398148719</v>
      </c>
      <c r="N67" s="30">
        <f>'[12]Step 2 WACC SS'!$G$31</f>
        <v>78.932509034299216</v>
      </c>
      <c r="O67" s="30">
        <f>'[12]Step 3 T&amp;S SS'!$G$34</f>
        <v>102.02864468496207</v>
      </c>
    </row>
    <row r="68" spans="1:15" hidden="1">
      <c r="A68" t="str">
        <f>'Study Parameters'!A13</f>
        <v>Mazzotti et al. 2013</v>
      </c>
      <c r="B68">
        <v>2008</v>
      </c>
      <c r="C68" t="str">
        <f>'Study Parameters'!E13</f>
        <v>10.1007/s10584-012-0679-y</v>
      </c>
      <c r="D68" t="str">
        <f>'Study Parameters'!F13</f>
        <v>Liquid solvent</v>
      </c>
      <c r="E68" t="str">
        <f>'Study Parameters'!G13</f>
        <v>KOH absorption paired with regeneration via Ca looping</v>
      </c>
      <c r="F68" t="str">
        <f>'Study Parameters'!I13</f>
        <v>2008 USD</v>
      </c>
      <c r="G68">
        <v>2008</v>
      </c>
      <c r="H68" t="s">
        <v>673</v>
      </c>
      <c r="I68" t="s">
        <v>691</v>
      </c>
      <c r="J68" t="s">
        <v>692</v>
      </c>
      <c r="K68">
        <f>'Study Parameters'!Q13</f>
        <v>1</v>
      </c>
      <c r="L68" s="30">
        <f>'[13]Base Case'!$I$75* ((1+Inputs!$C$5) ^ (2022-G70))</f>
        <v>736.05921463997004</v>
      </c>
      <c r="M68" s="30"/>
    </row>
    <row r="69" spans="1:15" hidden="1">
      <c r="A69" t="s">
        <v>223</v>
      </c>
      <c r="B69">
        <v>2008</v>
      </c>
      <c r="C69" t="s">
        <v>226</v>
      </c>
      <c r="D69" t="s">
        <v>158</v>
      </c>
      <c r="E69" t="s">
        <v>358</v>
      </c>
      <c r="F69" t="s">
        <v>507</v>
      </c>
      <c r="G69">
        <v>2008</v>
      </c>
      <c r="H69" t="s">
        <v>673</v>
      </c>
      <c r="I69" t="s">
        <v>693</v>
      </c>
      <c r="J69" t="s">
        <v>692</v>
      </c>
      <c r="K69">
        <v>1</v>
      </c>
      <c r="L69" s="30">
        <f>'[14]Base Case'!$C$58* ((1+Inputs!$C$5) ^ (2022-G71))</f>
        <v>814.56686808331233</v>
      </c>
      <c r="M69" s="30"/>
    </row>
    <row r="70" spans="1:15" hidden="1">
      <c r="A70" t="s">
        <v>223</v>
      </c>
      <c r="B70">
        <v>2008</v>
      </c>
      <c r="C70" t="s">
        <v>226</v>
      </c>
      <c r="D70" t="s">
        <v>158</v>
      </c>
      <c r="E70" t="s">
        <v>358</v>
      </c>
      <c r="F70" t="s">
        <v>507</v>
      </c>
      <c r="G70">
        <v>2008</v>
      </c>
      <c r="H70" t="s">
        <v>673</v>
      </c>
      <c r="I70" t="s">
        <v>694</v>
      </c>
      <c r="J70" t="s">
        <v>692</v>
      </c>
      <c r="K70">
        <v>1</v>
      </c>
      <c r="L70" s="30">
        <f>'[15]Solar L-DAC'!$G$24* ((1+Inputs!$C$5) ^ (2022-G72))</f>
        <v>256.45660434639348</v>
      </c>
      <c r="M70" s="30"/>
    </row>
    <row r="71" spans="1:15" hidden="1">
      <c r="A71" t="str">
        <f>'Study Parameters'!A14</f>
        <v>Zeman 2014</v>
      </c>
      <c r="B71">
        <v>2008</v>
      </c>
      <c r="C71" t="str">
        <f>'Study Parameters'!E14</f>
        <v>10.1021/es502887y</v>
      </c>
      <c r="D71" t="str">
        <f>'Study Parameters'!F14</f>
        <v>Liquid solvent</v>
      </c>
      <c r="E71" t="str">
        <f>'Study Parameters'!G14</f>
        <v>KOH absorption paired with regeneration via Ca looping</v>
      </c>
      <c r="F71" t="str">
        <f>'Study Parameters'!I14</f>
        <v>2008 USD</v>
      </c>
      <c r="G71">
        <v>2008</v>
      </c>
      <c r="H71" t="s">
        <v>673</v>
      </c>
      <c r="I71" t="s">
        <v>4</v>
      </c>
      <c r="J71" t="s">
        <v>692</v>
      </c>
      <c r="K71">
        <f>'Study Parameters'!Q14</f>
        <v>1</v>
      </c>
      <c r="L71" s="30">
        <f>'[15]Solar L-DAC'!$H$24* ((1+Inputs!$C$5) ^ (2022-G73))</f>
        <v>325.04805347717041</v>
      </c>
      <c r="M71" s="30"/>
    </row>
    <row r="72" spans="1:15" hidden="1">
      <c r="A72" t="str">
        <f>'Study Parameters'!A15</f>
        <v>Prats-Salvado et al. 2024</v>
      </c>
      <c r="B72">
        <f>'Study Parameters'!H15</f>
        <v>2022</v>
      </c>
      <c r="C72" t="str">
        <f>'Study Parameters'!E15</f>
        <v>10.1021/acs.est.3c08269</v>
      </c>
      <c r="D72" t="str">
        <f>'Study Parameters'!F15</f>
        <v xml:space="preserve">Liquid solvent </v>
      </c>
      <c r="E72" t="str">
        <f>'Study Parameters'!G15</f>
        <v>Solar thermal powered liquid solvent</v>
      </c>
      <c r="F72" t="str">
        <f>'Study Parameters'!I15</f>
        <v>2022 USD</v>
      </c>
      <c r="G72">
        <v>2022</v>
      </c>
      <c r="H72" t="s">
        <v>673</v>
      </c>
      <c r="I72" t="s">
        <v>695</v>
      </c>
      <c r="J72" t="str">
        <f>'Study Parameters'!L15</f>
        <v>Net removed cost</v>
      </c>
      <c r="K72">
        <f>'Study Parameters'!Q15</f>
        <v>1</v>
      </c>
      <c r="L72" s="30">
        <f>[15]Keith2018_ScenarioA!$D$20* ((1+Inputs!$C$5) ^ (2022-G74))</f>
        <v>310.27517413966501</v>
      </c>
      <c r="M72" s="30"/>
    </row>
    <row r="73" spans="1:15" hidden="1">
      <c r="A73" t="s">
        <v>230</v>
      </c>
      <c r="B73">
        <v>2022</v>
      </c>
      <c r="C73" t="s">
        <v>232</v>
      </c>
      <c r="D73" t="s">
        <v>233</v>
      </c>
      <c r="E73" t="s">
        <v>373</v>
      </c>
      <c r="F73" t="s">
        <v>462</v>
      </c>
      <c r="G73">
        <v>2022</v>
      </c>
      <c r="H73" t="s">
        <v>673</v>
      </c>
      <c r="I73" t="s">
        <v>696</v>
      </c>
      <c r="J73" t="str">
        <f>'Study Parameters'!L16</f>
        <v>Net removed cost</v>
      </c>
      <c r="K73">
        <v>1</v>
      </c>
      <c r="L73" s="30">
        <f>[15]Keith2018_ScenarioA!$E$20* ((1+Inputs!$C$5) ^ (2022-G75))</f>
        <v>435.8114944243153</v>
      </c>
      <c r="M73" s="30"/>
    </row>
    <row r="74" spans="1:15" hidden="1">
      <c r="A74" t="str">
        <f>'Study Parameters'!A16</f>
        <v>Prats-Salvado et al. 2024</v>
      </c>
      <c r="B74">
        <f>'Study Parameters'!H16</f>
        <v>2022</v>
      </c>
      <c r="C74" t="str">
        <f>'Study Parameters'!E16</f>
        <v>10.1021/acs.est.3c08269</v>
      </c>
      <c r="D74" t="str">
        <f>'Study Parameters'!F16</f>
        <v xml:space="preserve">Liquid solvent </v>
      </c>
      <c r="E74" t="str">
        <f>'Study Parameters'!G16</f>
        <v>Conventional: KOH absorption paired with regeneration via Ca looping</v>
      </c>
      <c r="F74" t="str">
        <f>'Study Parameters'!I16</f>
        <v>2022 USD</v>
      </c>
      <c r="G74">
        <v>2022</v>
      </c>
      <c r="H74" t="s">
        <v>673</v>
      </c>
      <c r="I74" t="s">
        <v>697</v>
      </c>
      <c r="J74" t="s">
        <v>432</v>
      </c>
      <c r="K74">
        <f>'Study Parameters'!Q16</f>
        <v>1.48</v>
      </c>
      <c r="L74" s="30">
        <f>'[16]Base Case SS'!$E$23* ((1+Inputs!$C$5) ^ (2022-G76))</f>
        <v>1052.4286997509143</v>
      </c>
      <c r="M74" s="30"/>
    </row>
    <row r="75" spans="1:15" hidden="1">
      <c r="A75" t="s">
        <v>230</v>
      </c>
      <c r="B75">
        <v>2022</v>
      </c>
      <c r="C75" t="s">
        <v>232</v>
      </c>
      <c r="D75" t="s">
        <v>233</v>
      </c>
      <c r="E75" t="s">
        <v>374</v>
      </c>
      <c r="F75" t="s">
        <v>462</v>
      </c>
      <c r="G75">
        <v>2022</v>
      </c>
      <c r="H75" t="s">
        <v>673</v>
      </c>
      <c r="I75" t="s">
        <v>698</v>
      </c>
      <c r="J75" t="s">
        <v>432</v>
      </c>
      <c r="K75">
        <v>1.48</v>
      </c>
      <c r="L75" s="30">
        <f>'[16]Base Case SS'!$F$23* ((1+Inputs!$C$5) ^ (2022-G77))</f>
        <v>812.93819900144138</v>
      </c>
      <c r="M75" s="30"/>
    </row>
    <row r="76" spans="1:15" hidden="1">
      <c r="A76" t="str">
        <f>'Study Parameters'!A17</f>
        <v>Terlouw et al. 2024</v>
      </c>
      <c r="B76">
        <f>'Study Parameters'!H17</f>
        <v>2023</v>
      </c>
      <c r="C76" t="str">
        <f>'Study Parameters'!E17</f>
        <v>10.1021/acs.est.3c10041</v>
      </c>
      <c r="D76" t="str">
        <f>'Study Parameters'!F17</f>
        <v>Solid sorbent</v>
      </c>
      <c r="E76" t="str">
        <f>'Study Parameters'!G17</f>
        <v>Temperature-vacuum swing adsorption (TVSA)</v>
      </c>
      <c r="F76" t="str">
        <f>'Study Parameters'!I17</f>
        <v>2023 EUR</v>
      </c>
      <c r="G76">
        <v>2023</v>
      </c>
      <c r="H76" t="s">
        <v>673</v>
      </c>
      <c r="I76" t="s">
        <v>699</v>
      </c>
      <c r="J76" t="s">
        <v>432</v>
      </c>
      <c r="K76">
        <v>1</v>
      </c>
      <c r="L76" s="30">
        <f>[17]Baseline!$B$11* ((1+Inputs!$C$5) ^ (2022-G78))</f>
        <v>254.43115113964345</v>
      </c>
      <c r="M76" s="62"/>
    </row>
    <row r="77" spans="1:15" hidden="1">
      <c r="A77" t="s">
        <v>234</v>
      </c>
      <c r="B77">
        <v>2023</v>
      </c>
      <c r="C77" t="s">
        <v>236</v>
      </c>
      <c r="D77" t="s">
        <v>166</v>
      </c>
      <c r="E77" t="s">
        <v>375</v>
      </c>
      <c r="F77" t="s">
        <v>526</v>
      </c>
      <c r="G77">
        <v>2023</v>
      </c>
      <c r="H77" t="s">
        <v>673</v>
      </c>
      <c r="I77" t="s">
        <v>700</v>
      </c>
      <c r="J77" t="s">
        <v>432</v>
      </c>
      <c r="K77" s="6">
        <v>1.1275539999999999</v>
      </c>
      <c r="L77" s="30">
        <f>[17]Baseline!$B$15* ((1+Inputs!$C$5) ^ (2022-G79))</f>
        <v>349.94164508285263</v>
      </c>
      <c r="M77" s="62"/>
    </row>
    <row r="78" spans="1:15" hidden="1">
      <c r="A78" t="str">
        <f>'Study Parameters'!A18</f>
        <v>McQueen et al. 2021</v>
      </c>
      <c r="B78">
        <f>'Study Parameters'!H18</f>
        <v>2020</v>
      </c>
      <c r="C78" t="str">
        <f>'Study Parameters'!E18</f>
        <v>10.3389/fclim.2020.618644</v>
      </c>
      <c r="D78" t="str">
        <f>'Study Parameters'!F18</f>
        <v>Liquid solvent</v>
      </c>
      <c r="E78" t="s">
        <v>358</v>
      </c>
      <c r="F78" t="str">
        <f>'Study Parameters'!I18</f>
        <v>2019 USD</v>
      </c>
      <c r="G78">
        <v>2019</v>
      </c>
      <c r="H78" t="s">
        <v>673</v>
      </c>
      <c r="I78" t="s">
        <v>701</v>
      </c>
      <c r="J78" t="s">
        <v>432</v>
      </c>
      <c r="K78">
        <v>1</v>
      </c>
      <c r="L78" s="30">
        <f>[17]Baseline!$B$12* ((1+Inputs!$C$5) ^ (2022-G80))</f>
        <v>400.60217261536002</v>
      </c>
    </row>
    <row r="79" spans="1:15" hidden="1">
      <c r="A79" t="s">
        <v>240</v>
      </c>
      <c r="B79">
        <v>2020</v>
      </c>
      <c r="C79" t="s">
        <v>243</v>
      </c>
      <c r="D79" t="s">
        <v>158</v>
      </c>
      <c r="E79" t="s">
        <v>358</v>
      </c>
      <c r="F79" t="s">
        <v>430</v>
      </c>
      <c r="G79">
        <v>2019</v>
      </c>
      <c r="H79" t="s">
        <v>673</v>
      </c>
      <c r="I79" t="s">
        <v>702</v>
      </c>
      <c r="J79" t="s">
        <v>432</v>
      </c>
      <c r="K79">
        <v>1</v>
      </c>
      <c r="L79" s="30">
        <f>[17]Baseline!$B$16* ((1+Inputs!$C$5) ^ (2022-G81))</f>
        <v>881.5737078159442</v>
      </c>
    </row>
    <row r="80" spans="1:15" hidden="1">
      <c r="A80" t="s">
        <v>240</v>
      </c>
      <c r="B80">
        <v>2020</v>
      </c>
      <c r="C80" t="s">
        <v>243</v>
      </c>
      <c r="D80" t="s">
        <v>158</v>
      </c>
      <c r="E80" t="s">
        <v>358</v>
      </c>
      <c r="F80" t="s">
        <v>430</v>
      </c>
      <c r="G80">
        <v>2019</v>
      </c>
      <c r="H80" t="s">
        <v>673</v>
      </c>
      <c r="I80" t="s">
        <v>703</v>
      </c>
      <c r="J80" t="s">
        <v>432</v>
      </c>
      <c r="K80">
        <v>1</v>
      </c>
      <c r="L80" s="30">
        <f>[17]Baseline!$B$12* ((1+Inputs!$C$5) ^ (2022-G80))</f>
        <v>400.60217261536002</v>
      </c>
    </row>
    <row r="81" spans="1:13" hidden="1">
      <c r="A81" t="s">
        <v>240</v>
      </c>
      <c r="B81">
        <v>2020</v>
      </c>
      <c r="C81" t="s">
        <v>243</v>
      </c>
      <c r="D81" t="s">
        <v>158</v>
      </c>
      <c r="E81" t="s">
        <v>358</v>
      </c>
      <c r="F81" t="s">
        <v>430</v>
      </c>
      <c r="G81">
        <v>2019</v>
      </c>
      <c r="H81" t="s">
        <v>673</v>
      </c>
      <c r="I81" t="s">
        <v>704</v>
      </c>
      <c r="J81" t="s">
        <v>432</v>
      </c>
      <c r="K81">
        <v>1</v>
      </c>
      <c r="L81" s="30">
        <f>[17]Baseline!$B$16* ((1+Inputs!$C$5) ^ (2022-G81))</f>
        <v>881.5737078159442</v>
      </c>
    </row>
    <row r="82" spans="1:13" hidden="1">
      <c r="A82" t="s">
        <v>240</v>
      </c>
      <c r="B82">
        <v>2020</v>
      </c>
      <c r="C82" t="s">
        <v>243</v>
      </c>
      <c r="D82" t="s">
        <v>158</v>
      </c>
      <c r="E82" t="s">
        <v>358</v>
      </c>
      <c r="F82" t="s">
        <v>430</v>
      </c>
      <c r="G82">
        <v>2019</v>
      </c>
      <c r="H82" t="s">
        <v>673</v>
      </c>
      <c r="I82" t="s">
        <v>705</v>
      </c>
      <c r="J82" t="s">
        <v>432</v>
      </c>
      <c r="K82">
        <v>1</v>
      </c>
      <c r="L82" s="30">
        <f>[17]Baseline!$B$26* ((1+Inputs!$C$5) ^ (2022-G82))</f>
        <v>463.06098024892566</v>
      </c>
    </row>
    <row r="83" spans="1:13" hidden="1">
      <c r="A83" t="s">
        <v>240</v>
      </c>
      <c r="B83">
        <v>2020</v>
      </c>
      <c r="C83" t="s">
        <v>243</v>
      </c>
      <c r="D83" t="s">
        <v>158</v>
      </c>
      <c r="E83" t="s">
        <v>358</v>
      </c>
      <c r="F83" t="s">
        <v>430</v>
      </c>
      <c r="G83">
        <v>2019</v>
      </c>
      <c r="H83" t="s">
        <v>673</v>
      </c>
      <c r="I83" t="s">
        <v>706</v>
      </c>
      <c r="J83" t="s">
        <v>432</v>
      </c>
      <c r="K83">
        <v>1</v>
      </c>
      <c r="L83" s="30">
        <f>[17]Baseline!$B$30* ((1+Inputs!$C$5) ^ (2022-G83))</f>
        <v>558.57147419213493</v>
      </c>
    </row>
    <row r="84" spans="1:13" hidden="1">
      <c r="A84" t="s">
        <v>240</v>
      </c>
      <c r="B84">
        <v>2020</v>
      </c>
      <c r="C84" t="s">
        <v>243</v>
      </c>
      <c r="D84" t="s">
        <v>158</v>
      </c>
      <c r="E84" t="s">
        <v>358</v>
      </c>
      <c r="F84" t="s">
        <v>430</v>
      </c>
      <c r="G84">
        <v>2019</v>
      </c>
      <c r="H84" t="s">
        <v>673</v>
      </c>
      <c r="I84" t="s">
        <v>707</v>
      </c>
      <c r="J84" t="s">
        <v>432</v>
      </c>
      <c r="K84">
        <v>1</v>
      </c>
      <c r="L84" s="30">
        <f>[17]Baseline!$B$27* ((1+Inputs!$C$5) ^ (2022-G84))</f>
        <v>777.69611217374995</v>
      </c>
    </row>
    <row r="85" spans="1:13" hidden="1">
      <c r="A85" t="s">
        <v>240</v>
      </c>
      <c r="B85">
        <v>2020</v>
      </c>
      <c r="C85" t="s">
        <v>243</v>
      </c>
      <c r="D85" t="s">
        <v>158</v>
      </c>
      <c r="E85" t="s">
        <v>358</v>
      </c>
      <c r="F85" t="s">
        <v>430</v>
      </c>
      <c r="G85">
        <v>2019</v>
      </c>
      <c r="H85" t="s">
        <v>673</v>
      </c>
      <c r="I85" t="s">
        <v>708</v>
      </c>
      <c r="J85" t="s">
        <v>432</v>
      </c>
      <c r="K85">
        <v>1</v>
      </c>
      <c r="L85" s="30">
        <f>[17]Baseline!$B$31* ((1+Inputs!$C$5) ^ (2022-G85))</f>
        <v>2052.1001665091567</v>
      </c>
    </row>
    <row r="86" spans="1:13" hidden="1">
      <c r="A86" t="str">
        <f>'Study Parameters'!A19</f>
        <v>Datta et al. 2023</v>
      </c>
      <c r="B86">
        <f>'Study Parameters'!H19</f>
        <v>2023</v>
      </c>
      <c r="C86" t="str">
        <f>'Study Parameters'!E19</f>
        <v>10.1021/acs.est.2c05194</v>
      </c>
      <c r="D86" t="str">
        <f>'Study Parameters'!F19</f>
        <v>Solid sorbent</v>
      </c>
      <c r="E86" t="str">
        <f>'Study Parameters'!G19</f>
        <v>Temperature swing adsorption-based DAC</v>
      </c>
      <c r="F86" t="str">
        <f>'Study Parameters'!I19</f>
        <v>2022 USD</v>
      </c>
      <c r="G86">
        <v>2022</v>
      </c>
      <c r="H86" t="s">
        <v>673</v>
      </c>
      <c r="I86" t="s">
        <v>4</v>
      </c>
      <c r="J86" t="str">
        <f>'Study Parameters'!L19</f>
        <v>Levelized cost of capture</v>
      </c>
      <c r="K86">
        <f>'Study Parameters'!Q19</f>
        <v>1E-3</v>
      </c>
      <c r="L86" s="30">
        <f>'[18]Base Case SS'!$B$14* ((1+Inputs!$C$5) ^ (2022-G86))</f>
        <v>225.16987179537728</v>
      </c>
      <c r="M86" s="30"/>
    </row>
    <row r="87" spans="1:13" hidden="1">
      <c r="A87" t="str">
        <f>'Study Parameters'!A20</f>
        <v>Datta et al. 2023</v>
      </c>
      <c r="B87">
        <f>'Study Parameters'!H20</f>
        <v>2023</v>
      </c>
      <c r="C87" t="str">
        <f>'Study Parameters'!E20</f>
        <v>10.1021/acs.est.2c05194</v>
      </c>
      <c r="D87" t="str">
        <f>'Study Parameters'!F20</f>
        <v>Membrane-based m-DAC</v>
      </c>
      <c r="E87" t="str">
        <f>'Study Parameters'!G20</f>
        <v>Membrane-based DAC</v>
      </c>
      <c r="F87" t="str">
        <f>'Study Parameters'!I20</f>
        <v>2022 USD</v>
      </c>
      <c r="G87">
        <v>2022</v>
      </c>
      <c r="H87" t="s">
        <v>673</v>
      </c>
      <c r="I87" t="s">
        <v>4</v>
      </c>
      <c r="J87" t="str">
        <f>'Study Parameters'!L20</f>
        <v>Levelized cost of capture</v>
      </c>
      <c r="K87">
        <f>'Study Parameters'!Q20</f>
        <v>1E-3</v>
      </c>
      <c r="L87" s="30">
        <f>'[18]Base Case Membrane'!$B$13* ((1+Inputs!$C$5) ^ (2022-G87))</f>
        <v>90.328729240821261</v>
      </c>
      <c r="M87" s="30"/>
    </row>
    <row r="88" spans="1:13" hidden="1">
      <c r="A88" t="s">
        <v>255</v>
      </c>
      <c r="B88">
        <v>2011</v>
      </c>
      <c r="C88" t="s">
        <v>258</v>
      </c>
      <c r="D88" t="s">
        <v>166</v>
      </c>
      <c r="E88" t="s">
        <v>259</v>
      </c>
      <c r="F88" t="s">
        <v>550</v>
      </c>
      <c r="G88">
        <v>2011</v>
      </c>
      <c r="H88" t="s">
        <v>673</v>
      </c>
      <c r="I88" t="s">
        <v>709</v>
      </c>
      <c r="J88" t="s">
        <v>551</v>
      </c>
      <c r="K88">
        <v>1</v>
      </c>
      <c r="L88" s="30">
        <f>[19]Baseline!$B$16* ((1+Inputs!$C$5) ^ (2022-G88))</f>
        <v>364.39430717296864</v>
      </c>
      <c r="M88" s="30"/>
    </row>
    <row r="89" spans="1:13" hidden="1">
      <c r="A89" t="s">
        <v>255</v>
      </c>
      <c r="B89">
        <v>2011</v>
      </c>
      <c r="C89" t="s">
        <v>258</v>
      </c>
      <c r="D89" t="s">
        <v>166</v>
      </c>
      <c r="E89" t="s">
        <v>259</v>
      </c>
      <c r="F89" t="s">
        <v>550</v>
      </c>
      <c r="G89">
        <v>2011</v>
      </c>
      <c r="H89" t="s">
        <v>673</v>
      </c>
      <c r="I89" t="s">
        <v>710</v>
      </c>
      <c r="J89" t="s">
        <v>551</v>
      </c>
      <c r="K89">
        <v>1</v>
      </c>
      <c r="L89" s="30">
        <f>[19]Baseline!$B$17* ((1+Inputs!$C$5) ^ (2022-G89))</f>
        <v>355.81577635370695</v>
      </c>
      <c r="M89" s="30"/>
    </row>
    <row r="90" spans="1:13" hidden="1">
      <c r="A90" t="s">
        <v>255</v>
      </c>
      <c r="B90">
        <v>2011</v>
      </c>
      <c r="C90" t="s">
        <v>258</v>
      </c>
      <c r="D90" t="s">
        <v>166</v>
      </c>
      <c r="E90" t="s">
        <v>259</v>
      </c>
      <c r="F90" t="s">
        <v>550</v>
      </c>
      <c r="G90">
        <v>2011</v>
      </c>
      <c r="H90" t="s">
        <v>673</v>
      </c>
      <c r="I90" t="s">
        <v>711</v>
      </c>
      <c r="J90" t="s">
        <v>551</v>
      </c>
      <c r="K90">
        <v>1</v>
      </c>
      <c r="L90" s="30">
        <f>[19]Baseline!$B$18* ((1+Inputs!$C$5) ^ (2022-G90))</f>
        <v>979.38997942744334</v>
      </c>
      <c r="M90" s="30"/>
    </row>
    <row r="91" spans="1:13" hidden="1">
      <c r="A91" t="s">
        <v>255</v>
      </c>
      <c r="B91">
        <v>2011</v>
      </c>
      <c r="C91" t="s">
        <v>258</v>
      </c>
      <c r="D91" t="s">
        <v>166</v>
      </c>
      <c r="E91" t="s">
        <v>259</v>
      </c>
      <c r="F91" t="s">
        <v>550</v>
      </c>
      <c r="G91">
        <v>2011</v>
      </c>
      <c r="H91" t="s">
        <v>673</v>
      </c>
      <c r="I91" t="s">
        <v>712</v>
      </c>
      <c r="J91" t="s">
        <v>551</v>
      </c>
      <c r="K91">
        <v>1</v>
      </c>
      <c r="L91" s="30">
        <f>[19]Baseline!$B$19* ((1+Inputs!$C$5) ^ (2022-G91))</f>
        <v>361.42048628638901</v>
      </c>
      <c r="M91" s="30"/>
    </row>
    <row r="92" spans="1:13" hidden="1">
      <c r="A92" t="s">
        <v>255</v>
      </c>
      <c r="B92">
        <v>2011</v>
      </c>
      <c r="C92" t="s">
        <v>258</v>
      </c>
      <c r="D92" t="s">
        <v>166</v>
      </c>
      <c r="E92" t="s">
        <v>259</v>
      </c>
      <c r="F92" t="s">
        <v>550</v>
      </c>
      <c r="G92">
        <v>2011</v>
      </c>
      <c r="H92" t="s">
        <v>673</v>
      </c>
      <c r="I92" t="s">
        <v>713</v>
      </c>
      <c r="J92" t="s">
        <v>551</v>
      </c>
      <c r="K92">
        <v>1</v>
      </c>
      <c r="L92" s="30">
        <f>[19]Baseline!$B$42* ((1+Inputs!$C$5) ^ (2022-G92))</f>
        <v>1280.6053490927088</v>
      </c>
      <c r="M92" s="30"/>
    </row>
    <row r="93" spans="1:13" hidden="1">
      <c r="A93" t="s">
        <v>255</v>
      </c>
      <c r="B93">
        <v>2011</v>
      </c>
      <c r="C93" t="s">
        <v>258</v>
      </c>
      <c r="D93" t="s">
        <v>166</v>
      </c>
      <c r="E93" t="s">
        <v>259</v>
      </c>
      <c r="F93" t="s">
        <v>550</v>
      </c>
      <c r="G93">
        <v>2011</v>
      </c>
      <c r="H93" t="s">
        <v>673</v>
      </c>
      <c r="I93" t="s">
        <v>714</v>
      </c>
      <c r="J93" t="s">
        <v>551</v>
      </c>
      <c r="K93">
        <v>1</v>
      </c>
      <c r="L93" s="30">
        <f>[19]Baseline!$B$43* ((1+Inputs!$C$5) ^ (2022-G93))</f>
        <v>1299.8365803959118</v>
      </c>
      <c r="M93" s="30"/>
    </row>
    <row r="94" spans="1:13" hidden="1">
      <c r="A94" t="s">
        <v>255</v>
      </c>
      <c r="B94">
        <v>2011</v>
      </c>
      <c r="C94" t="s">
        <v>258</v>
      </c>
      <c r="D94" t="s">
        <v>166</v>
      </c>
      <c r="E94" t="s">
        <v>259</v>
      </c>
      <c r="F94" t="s">
        <v>550</v>
      </c>
      <c r="G94">
        <v>2011</v>
      </c>
      <c r="H94" t="s">
        <v>673</v>
      </c>
      <c r="I94" t="s">
        <v>715</v>
      </c>
      <c r="J94" t="s">
        <v>551</v>
      </c>
      <c r="K94">
        <v>1</v>
      </c>
      <c r="L94" s="30">
        <f>[19]Baseline!$B$44* ((1+Inputs!$C$5) ^ (2022-G94))</f>
        <v>3412.5637097801709</v>
      </c>
      <c r="M94" s="30"/>
    </row>
    <row r="95" spans="1:13" hidden="1">
      <c r="A95" t="s">
        <v>255</v>
      </c>
      <c r="B95">
        <v>2011</v>
      </c>
      <c r="C95" t="s">
        <v>258</v>
      </c>
      <c r="D95" t="s">
        <v>166</v>
      </c>
      <c r="E95" t="s">
        <v>259</v>
      </c>
      <c r="F95" t="s">
        <v>550</v>
      </c>
      <c r="G95">
        <v>2011</v>
      </c>
      <c r="H95" t="s">
        <v>673</v>
      </c>
      <c r="I95" t="s">
        <v>716</v>
      </c>
      <c r="J95" t="s">
        <v>551</v>
      </c>
      <c r="K95">
        <v>1</v>
      </c>
      <c r="L95" s="30">
        <f>[19]Baseline!$B$45* ((1+Inputs!$C$5) ^ (2022-G95))</f>
        <v>1245.9464849814128</v>
      </c>
      <c r="M95" s="30"/>
    </row>
    <row r="96" spans="1:13" hidden="1">
      <c r="A96" t="s">
        <v>255</v>
      </c>
      <c r="B96">
        <v>2011</v>
      </c>
      <c r="C96" t="s">
        <v>258</v>
      </c>
      <c r="D96" t="s">
        <v>166</v>
      </c>
      <c r="E96" t="s">
        <v>259</v>
      </c>
      <c r="F96" t="s">
        <v>550</v>
      </c>
      <c r="G96">
        <v>2011</v>
      </c>
      <c r="H96" t="s">
        <v>673</v>
      </c>
      <c r="I96" t="s">
        <v>717</v>
      </c>
      <c r="J96" t="s">
        <v>551</v>
      </c>
      <c r="K96">
        <v>1</v>
      </c>
      <c r="L96" s="30">
        <f>[19]Baseline!$B$29* ((1+Inputs!$C$5) ^ (2022-G96))</f>
        <v>261.61466710843848</v>
      </c>
      <c r="M96" s="30"/>
    </row>
    <row r="97" spans="1:12" hidden="1">
      <c r="A97" t="str">
        <f>'Study Parameters'!A22</f>
        <v>Simon et al. 2011</v>
      </c>
      <c r="B97">
        <f>'Study Parameters'!H22</f>
        <v>2011</v>
      </c>
      <c r="C97" t="str">
        <f>'Study Parameters'!E22</f>
        <v>10.1016/j.egypro.2011.02.196</v>
      </c>
      <c r="D97" t="s">
        <v>166</v>
      </c>
      <c r="E97" t="s">
        <v>259</v>
      </c>
      <c r="F97" t="str">
        <f>'Study Parameters'!I22</f>
        <v>2011 USD</v>
      </c>
      <c r="G97">
        <v>2011</v>
      </c>
      <c r="H97" t="s">
        <v>673</v>
      </c>
      <c r="I97" t="s">
        <v>718</v>
      </c>
      <c r="J97" t="str">
        <f>'Study Parameters'!L22</f>
        <v>Cost of capture, transport, storage</v>
      </c>
      <c r="K97">
        <v>1</v>
      </c>
      <c r="L97" s="30">
        <f>[19]Baseline!$B$30* ((1+Inputs!$C$5) ^ (2022-G97))</f>
        <v>304.707654655694</v>
      </c>
    </row>
    <row r="98" spans="1:12" hidden="1">
      <c r="A98" t="s">
        <v>255</v>
      </c>
      <c r="B98">
        <v>2011</v>
      </c>
      <c r="C98" t="s">
        <v>258</v>
      </c>
      <c r="D98" t="s">
        <v>166</v>
      </c>
      <c r="E98" t="s">
        <v>259</v>
      </c>
      <c r="F98" t="s">
        <v>550</v>
      </c>
      <c r="G98">
        <v>2011</v>
      </c>
      <c r="H98" t="s">
        <v>673</v>
      </c>
      <c r="I98" t="s">
        <v>719</v>
      </c>
      <c r="J98" t="str">
        <f>'Study Parameters'!L22</f>
        <v>Cost of capture, transport, storage</v>
      </c>
      <c r="K98">
        <v>1</v>
      </c>
      <c r="L98" s="30">
        <f>[19]Baseline!$B$31* ((1+Inputs!$C$5) ^ (2022-G98))</f>
        <v>803.14143939193252</v>
      </c>
    </row>
    <row r="99" spans="1:12" hidden="1">
      <c r="A99" t="s">
        <v>255</v>
      </c>
      <c r="B99">
        <v>2011</v>
      </c>
      <c r="C99" t="s">
        <v>258</v>
      </c>
      <c r="D99" t="s">
        <v>166</v>
      </c>
      <c r="E99" t="s">
        <v>259</v>
      </c>
      <c r="F99" t="s">
        <v>550</v>
      </c>
      <c r="G99">
        <v>2011</v>
      </c>
      <c r="H99" t="s">
        <v>673</v>
      </c>
      <c r="I99" t="s">
        <v>720</v>
      </c>
      <c r="J99" t="str">
        <f>'Study Parameters'!L22</f>
        <v>Cost of capture, transport, storage</v>
      </c>
      <c r="K99">
        <v>1</v>
      </c>
      <c r="L99" s="30">
        <f>[19]Baseline!$B$32* ((1+Inputs!$C$5) ^ (2022-G99))</f>
        <v>329.15418006599049</v>
      </c>
    </row>
    <row r="100" spans="1:12" hidden="1">
      <c r="A100" t="s">
        <v>267</v>
      </c>
      <c r="B100">
        <v>2023</v>
      </c>
      <c r="C100" t="s">
        <v>270</v>
      </c>
      <c r="D100" t="s">
        <v>158</v>
      </c>
      <c r="E100" t="s">
        <v>721</v>
      </c>
      <c r="F100" t="s">
        <v>462</v>
      </c>
      <c r="G100">
        <v>2022</v>
      </c>
      <c r="H100" t="s">
        <v>673</v>
      </c>
      <c r="I100" t="str">
        <f>[20]baseline_output!$C2</f>
        <v>Amino acid salt solution-1c</v>
      </c>
      <c r="K100" s="111">
        <f>[20]baseline_output!$S2</f>
        <v>2.294244E-3</v>
      </c>
      <c r="L100" s="30">
        <f>[20]baseline_output!$BD2</f>
        <v>779.02843503778104</v>
      </c>
    </row>
    <row r="101" spans="1:12" hidden="1">
      <c r="A101" t="s">
        <v>267</v>
      </c>
      <c r="B101">
        <v>2023</v>
      </c>
      <c r="C101" t="s">
        <v>270</v>
      </c>
      <c r="D101" t="s">
        <v>158</v>
      </c>
      <c r="E101" t="s">
        <v>721</v>
      </c>
      <c r="F101" t="s">
        <v>462</v>
      </c>
      <c r="G101">
        <v>2022</v>
      </c>
      <c r="H101" t="s">
        <v>673</v>
      </c>
      <c r="I101" t="str">
        <f>[20]baseline_output!$C3</f>
        <v>Amino acid salt solution-1c</v>
      </c>
      <c r="K101" s="111">
        <f>[20]baseline_output!$S3</f>
        <v>2.294244E-3</v>
      </c>
      <c r="L101" s="30">
        <f>[20]baseline_output!$BD3</f>
        <v>831.75510668257198</v>
      </c>
    </row>
    <row r="102" spans="1:12" hidden="1">
      <c r="A102" t="s">
        <v>267</v>
      </c>
      <c r="B102">
        <v>2023</v>
      </c>
      <c r="C102" t="s">
        <v>270</v>
      </c>
      <c r="D102" t="s">
        <v>158</v>
      </c>
      <c r="E102" t="s">
        <v>158</v>
      </c>
      <c r="F102" t="s">
        <v>462</v>
      </c>
      <c r="G102">
        <v>2022</v>
      </c>
      <c r="H102" t="s">
        <v>673</v>
      </c>
      <c r="I102" t="str">
        <f>[20]baseline_output!$C4</f>
        <v>CE electricity-1a</v>
      </c>
      <c r="K102" s="111">
        <f>[20]baseline_output!$S4</f>
        <v>0.87307416000000004</v>
      </c>
      <c r="L102" s="30">
        <f>[20]baseline_output!$BD4</f>
        <v>317.24671499539198</v>
      </c>
    </row>
    <row r="103" spans="1:12" hidden="1">
      <c r="A103" t="s">
        <v>267</v>
      </c>
      <c r="B103">
        <v>2023</v>
      </c>
      <c r="C103" t="s">
        <v>270</v>
      </c>
      <c r="D103" t="s">
        <v>158</v>
      </c>
      <c r="E103" t="s">
        <v>158</v>
      </c>
      <c r="F103" t="s">
        <v>462</v>
      </c>
      <c r="G103">
        <v>2022</v>
      </c>
      <c r="H103" t="s">
        <v>673</v>
      </c>
      <c r="I103" t="str">
        <f>[20]baseline_output!$C5</f>
        <v>CE electricity-1a</v>
      </c>
      <c r="K103" s="111">
        <f>[20]baseline_output!$S5</f>
        <v>0.87307416000000004</v>
      </c>
      <c r="L103" s="30">
        <f>[20]baseline_output!$BD5</f>
        <v>371.938416568371</v>
      </c>
    </row>
    <row r="104" spans="1:12" hidden="1">
      <c r="A104" t="s">
        <v>267</v>
      </c>
      <c r="B104">
        <v>2023</v>
      </c>
      <c r="C104" t="s">
        <v>270</v>
      </c>
      <c r="D104" t="s">
        <v>158</v>
      </c>
      <c r="E104" t="s">
        <v>158</v>
      </c>
      <c r="F104" t="s">
        <v>462</v>
      </c>
      <c r="G104">
        <v>2022</v>
      </c>
      <c r="H104" t="s">
        <v>673</v>
      </c>
      <c r="I104" t="str">
        <f>[20]baseline_output!$C6</f>
        <v>CE gas-1a</v>
      </c>
      <c r="K104" s="111">
        <f>[20]baseline_output!$S6</f>
        <v>0.87307416000000004</v>
      </c>
      <c r="L104" s="30">
        <f>[20]baseline_output!$BD6</f>
        <v>291.241690193887</v>
      </c>
    </row>
    <row r="105" spans="1:12" hidden="1">
      <c r="A105" t="s">
        <v>267</v>
      </c>
      <c r="B105">
        <v>2023</v>
      </c>
      <c r="C105" t="s">
        <v>270</v>
      </c>
      <c r="D105" t="s">
        <v>158</v>
      </c>
      <c r="E105" t="s">
        <v>158</v>
      </c>
      <c r="F105" t="s">
        <v>462</v>
      </c>
      <c r="G105">
        <v>2022</v>
      </c>
      <c r="H105" t="s">
        <v>673</v>
      </c>
      <c r="I105" t="str">
        <f>[20]baseline_output!$C7</f>
        <v>CE gas-1a</v>
      </c>
      <c r="K105" s="111">
        <f>[20]baseline_output!$S7</f>
        <v>0.87307416000000004</v>
      </c>
      <c r="L105" s="30">
        <f>[20]baseline_output!$BD7</f>
        <v>355.05876736764702</v>
      </c>
    </row>
    <row r="106" spans="1:12" hidden="1">
      <c r="A106" t="s">
        <v>267</v>
      </c>
      <c r="B106">
        <v>2023</v>
      </c>
      <c r="C106" t="s">
        <v>270</v>
      </c>
      <c r="D106" t="s">
        <v>158</v>
      </c>
      <c r="E106" t="s">
        <v>158</v>
      </c>
      <c r="F106" t="s">
        <v>462</v>
      </c>
      <c r="G106">
        <v>2022</v>
      </c>
      <c r="H106" t="s">
        <v>673</v>
      </c>
      <c r="I106" t="str">
        <f>[20]baseline_output!$C8</f>
        <v>CE syngas-1a</v>
      </c>
      <c r="K106" s="111">
        <f>[20]baseline_output!$S8</f>
        <v>0.87307416000000004</v>
      </c>
      <c r="L106" s="30">
        <f>[20]baseline_output!$BD8</f>
        <v>267.11083137986202</v>
      </c>
    </row>
    <row r="107" spans="1:12" hidden="1">
      <c r="A107" t="str">
        <f>'Study Parameters'!A23</f>
        <v>Küng et al. 2023</v>
      </c>
      <c r="B107">
        <f>'Study Parameters'!H23</f>
        <v>2023</v>
      </c>
      <c r="C107" t="str">
        <f>'Study Parameters'!E23</f>
        <v>10.1039/d3ee01008b</v>
      </c>
      <c r="D107" t="str">
        <f>'Study Parameters'!F23</f>
        <v>Liquid solvent</v>
      </c>
      <c r="E107" t="str">
        <f>'Study Parameters'!G23</f>
        <v>Liquid solvent</v>
      </c>
      <c r="F107" t="str">
        <f>'Study Parameters'!I23</f>
        <v>2022 USD</v>
      </c>
      <c r="G107">
        <v>2022</v>
      </c>
      <c r="H107" t="s">
        <v>673</v>
      </c>
      <c r="I107" t="str">
        <f>[20]baseline_output!$C9</f>
        <v>CE syngas-1a</v>
      </c>
      <c r="K107" s="111">
        <f>[20]baseline_output!$S9</f>
        <v>0.87307416000000004</v>
      </c>
      <c r="L107" s="30">
        <f>[20]baseline_output!$BD9</f>
        <v>314.61251708631102</v>
      </c>
    </row>
    <row r="108" spans="1:12" hidden="1">
      <c r="A108" t="s">
        <v>267</v>
      </c>
      <c r="B108">
        <v>2023</v>
      </c>
      <c r="C108" t="s">
        <v>270</v>
      </c>
      <c r="D108" t="s">
        <v>158</v>
      </c>
      <c r="E108" t="s">
        <v>722</v>
      </c>
      <c r="F108" t="s">
        <v>462</v>
      </c>
      <c r="G108">
        <v>2022</v>
      </c>
      <c r="H108" t="s">
        <v>673</v>
      </c>
      <c r="I108" t="str">
        <f>[20]baseline_output!$C10</f>
        <v>MEA-based-1c</v>
      </c>
      <c r="K108" s="111">
        <f>[20]baseline_output!$S10</f>
        <v>2.294244E-3</v>
      </c>
      <c r="L108" s="30">
        <f>[20]baseline_output!$BD10</f>
        <v>1817.71250053524</v>
      </c>
    </row>
    <row r="109" spans="1:12" hidden="1">
      <c r="A109" t="s">
        <v>267</v>
      </c>
      <c r="B109">
        <v>2023</v>
      </c>
      <c r="C109" t="s">
        <v>270</v>
      </c>
      <c r="D109" t="s">
        <v>158</v>
      </c>
      <c r="E109" t="s">
        <v>722</v>
      </c>
      <c r="F109" t="s">
        <v>462</v>
      </c>
      <c r="G109">
        <v>2022</v>
      </c>
      <c r="H109" t="s">
        <v>673</v>
      </c>
      <c r="I109" t="str">
        <f>[20]baseline_output!$C11</f>
        <v>MEA-based-1c</v>
      </c>
      <c r="K109" s="111">
        <f>[20]baseline_output!$S11</f>
        <v>2.294244E-3</v>
      </c>
      <c r="L109" s="30">
        <f>[20]baseline_output!$BD11</f>
        <v>1990.0315112179401</v>
      </c>
    </row>
    <row r="110" spans="1:12" hidden="1">
      <c r="A110" t="s">
        <v>267</v>
      </c>
      <c r="B110">
        <v>2023</v>
      </c>
      <c r="C110" t="s">
        <v>270</v>
      </c>
      <c r="D110" t="s">
        <v>158</v>
      </c>
      <c r="E110" t="s">
        <v>721</v>
      </c>
      <c r="F110" t="s">
        <v>462</v>
      </c>
      <c r="G110">
        <v>2022</v>
      </c>
      <c r="H110" t="s">
        <v>673</v>
      </c>
      <c r="I110" t="str">
        <f>[20]baseline_output!$C20</f>
        <v>Amino acid salt solution-1c</v>
      </c>
      <c r="K110" s="111">
        <f>[20]baseline_output!$S20</f>
        <v>2.294244E-3</v>
      </c>
      <c r="L110" s="30">
        <f>[20]baseline_output!$BD20</f>
        <v>980.75097520117902</v>
      </c>
    </row>
    <row r="111" spans="1:12" hidden="1">
      <c r="A111" t="s">
        <v>267</v>
      </c>
      <c r="B111">
        <v>2023</v>
      </c>
      <c r="C111" t="s">
        <v>270</v>
      </c>
      <c r="D111" t="s">
        <v>158</v>
      </c>
      <c r="E111" t="s">
        <v>721</v>
      </c>
      <c r="F111" t="s">
        <v>462</v>
      </c>
      <c r="G111">
        <v>2022</v>
      </c>
      <c r="H111" t="s">
        <v>673</v>
      </c>
      <c r="I111" t="str">
        <f>[20]baseline_output!$C21</f>
        <v>Amino acid salt solution-1c</v>
      </c>
      <c r="K111" s="111">
        <f>[20]baseline_output!$S21</f>
        <v>2.294244E-3</v>
      </c>
      <c r="L111" s="30">
        <f>[20]baseline_output!$BD21</f>
        <v>1064.51188379418</v>
      </c>
    </row>
    <row r="112" spans="1:12" hidden="1">
      <c r="A112" t="s">
        <v>267</v>
      </c>
      <c r="B112">
        <v>2023</v>
      </c>
      <c r="C112" t="s">
        <v>270</v>
      </c>
      <c r="D112" t="s">
        <v>158</v>
      </c>
      <c r="E112" t="s">
        <v>158</v>
      </c>
      <c r="F112" t="s">
        <v>462</v>
      </c>
      <c r="G112">
        <v>2022</v>
      </c>
      <c r="H112" t="s">
        <v>673</v>
      </c>
      <c r="I112" t="str">
        <f>[20]baseline_output!$C22</f>
        <v>CE electricity-1a</v>
      </c>
      <c r="K112" s="111">
        <f>[20]baseline_output!$S22</f>
        <v>0.87307416000000004</v>
      </c>
      <c r="L112" s="30">
        <f>[20]baseline_output!$BD22</f>
        <v>411.65027432423102</v>
      </c>
    </row>
    <row r="113" spans="1:12" hidden="1">
      <c r="A113" t="s">
        <v>267</v>
      </c>
      <c r="B113">
        <v>2023</v>
      </c>
      <c r="C113" t="s">
        <v>270</v>
      </c>
      <c r="D113" t="s">
        <v>158</v>
      </c>
      <c r="E113" t="s">
        <v>158</v>
      </c>
      <c r="F113" t="s">
        <v>462</v>
      </c>
      <c r="G113">
        <v>2022</v>
      </c>
      <c r="H113" t="s">
        <v>673</v>
      </c>
      <c r="I113" t="str">
        <f>[20]baseline_output!$C23</f>
        <v>CE electricity-1a</v>
      </c>
      <c r="K113" s="111">
        <f>[20]baseline_output!$S23</f>
        <v>0.87307416000000004</v>
      </c>
      <c r="L113" s="30">
        <f>[20]baseline_output!$BD23</f>
        <v>488.64611354083598</v>
      </c>
    </row>
    <row r="114" spans="1:12" hidden="1">
      <c r="A114" t="s">
        <v>267</v>
      </c>
      <c r="B114">
        <v>2023</v>
      </c>
      <c r="C114" t="s">
        <v>270</v>
      </c>
      <c r="D114" t="s">
        <v>158</v>
      </c>
      <c r="E114" t="s">
        <v>158</v>
      </c>
      <c r="F114" t="s">
        <v>462</v>
      </c>
      <c r="G114">
        <v>2022</v>
      </c>
      <c r="H114" t="s">
        <v>673</v>
      </c>
      <c r="I114" t="str">
        <f>[20]baseline_output!$C24</f>
        <v>CE gas-1a</v>
      </c>
      <c r="K114" s="111">
        <f>[20]baseline_output!$S24</f>
        <v>0.87307416000000004</v>
      </c>
      <c r="L114" s="30">
        <f>[20]baseline_output!$BD24</f>
        <v>378.55341271061599</v>
      </c>
    </row>
    <row r="115" spans="1:12" hidden="1">
      <c r="A115" t="s">
        <v>267</v>
      </c>
      <c r="B115">
        <v>2023</v>
      </c>
      <c r="C115" t="s">
        <v>270</v>
      </c>
      <c r="D115" t="s">
        <v>158</v>
      </c>
      <c r="E115" t="s">
        <v>158</v>
      </c>
      <c r="F115" t="s">
        <v>462</v>
      </c>
      <c r="G115">
        <v>2022</v>
      </c>
      <c r="H115" t="s">
        <v>673</v>
      </c>
      <c r="I115" t="str">
        <f>[20]baseline_output!$C25</f>
        <v>CE gas-1a</v>
      </c>
      <c r="K115" s="111">
        <f>[20]baseline_output!$S25</f>
        <v>0.87307416000000004</v>
      </c>
      <c r="L115" s="30">
        <f>[20]baseline_output!$BD25</f>
        <v>468.39609948070898</v>
      </c>
    </row>
    <row r="116" spans="1:12" hidden="1">
      <c r="A116" t="s">
        <v>267</v>
      </c>
      <c r="B116">
        <v>2023</v>
      </c>
      <c r="C116" t="s">
        <v>270</v>
      </c>
      <c r="D116" t="s">
        <v>158</v>
      </c>
      <c r="E116" t="s">
        <v>158</v>
      </c>
      <c r="F116" t="s">
        <v>462</v>
      </c>
      <c r="G116">
        <v>2022</v>
      </c>
      <c r="H116" t="s">
        <v>673</v>
      </c>
      <c r="I116" t="str">
        <f>[20]baseline_output!$C26</f>
        <v>CE syngas-1a</v>
      </c>
      <c r="K116" s="111">
        <f>[20]baseline_output!$S26</f>
        <v>0.87307416000000004</v>
      </c>
      <c r="L116" s="30">
        <f>[20]baseline_output!$BD26</f>
        <v>349.10367628750998</v>
      </c>
    </row>
    <row r="117" spans="1:12" hidden="1">
      <c r="A117" t="s">
        <v>267</v>
      </c>
      <c r="B117">
        <v>2023</v>
      </c>
      <c r="C117" t="s">
        <v>270</v>
      </c>
      <c r="D117" t="s">
        <v>158</v>
      </c>
      <c r="E117" t="s">
        <v>158</v>
      </c>
      <c r="F117" t="s">
        <v>462</v>
      </c>
      <c r="G117">
        <v>2022</v>
      </c>
      <c r="H117" t="s">
        <v>673</v>
      </c>
      <c r="I117" t="str">
        <f>[20]baseline_output!$C27</f>
        <v>CE syngas-1a</v>
      </c>
      <c r="K117" s="111">
        <f>[20]baseline_output!$S27</f>
        <v>0.87307416000000004</v>
      </c>
      <c r="L117" s="30">
        <f>[20]baseline_output!$BD27</f>
        <v>415.97729787873197</v>
      </c>
    </row>
    <row r="118" spans="1:12" hidden="1">
      <c r="A118" t="s">
        <v>267</v>
      </c>
      <c r="B118">
        <v>2023</v>
      </c>
      <c r="C118" t="s">
        <v>270</v>
      </c>
      <c r="D118" t="s">
        <v>158</v>
      </c>
      <c r="E118" t="s">
        <v>722</v>
      </c>
      <c r="F118" t="s">
        <v>462</v>
      </c>
      <c r="G118">
        <v>2022</v>
      </c>
      <c r="H118" t="s">
        <v>673</v>
      </c>
      <c r="I118" t="str">
        <f>[20]baseline_output!$C28</f>
        <v>MEA-based-1c</v>
      </c>
      <c r="K118" s="111">
        <f>[20]baseline_output!$S28</f>
        <v>2.294244E-3</v>
      </c>
      <c r="L118" s="30">
        <f>[20]baseline_output!$BD28</f>
        <v>2476.9733161530498</v>
      </c>
    </row>
    <row r="119" spans="1:12" hidden="1">
      <c r="A119" t="s">
        <v>267</v>
      </c>
      <c r="B119">
        <v>2023</v>
      </c>
      <c r="C119" t="s">
        <v>270</v>
      </c>
      <c r="D119" t="s">
        <v>158</v>
      </c>
      <c r="E119" t="s">
        <v>722</v>
      </c>
      <c r="F119" t="s">
        <v>462</v>
      </c>
      <c r="G119">
        <v>2022</v>
      </c>
      <c r="H119" t="s">
        <v>673</v>
      </c>
      <c r="I119" t="str">
        <f>[20]baseline_output!$C29</f>
        <v>MEA-based-1c</v>
      </c>
      <c r="K119" s="111">
        <f>[20]baseline_output!$S29</f>
        <v>2.294244E-3</v>
      </c>
      <c r="L119" s="30">
        <f>[20]baseline_output!$BD29</f>
        <v>2750.7170677000299</v>
      </c>
    </row>
    <row r="120" spans="1:12" hidden="1">
      <c r="A120" t="str">
        <f>'Study Parameters'!A24</f>
        <v>Küng et al. 2023</v>
      </c>
      <c r="B120">
        <f>'Study Parameters'!H24</f>
        <v>2023</v>
      </c>
      <c r="C120" t="str">
        <f>'Study Parameters'!E24</f>
        <v>10.1039/d3ee01008b</v>
      </c>
      <c r="D120" t="str">
        <f>'Study Parameters'!F24</f>
        <v>Solid sorbent</v>
      </c>
      <c r="E120" t="s">
        <v>723</v>
      </c>
      <c r="F120" t="str">
        <f>'Study Parameters'!I24</f>
        <v>2022 USD</v>
      </c>
      <c r="G120">
        <v>2022</v>
      </c>
      <c r="H120" t="s">
        <v>673</v>
      </c>
      <c r="I120" t="str">
        <f>[20]baseline_output!$C12</f>
        <v>MgO-looping-2a</v>
      </c>
      <c r="K120" s="111">
        <f>[20]baseline_output!$S12</f>
        <v>179.99960400000001</v>
      </c>
      <c r="L120" s="30">
        <f>[20]baseline_output!$BD12</f>
        <v>183.15040372394199</v>
      </c>
    </row>
    <row r="121" spans="1:12" hidden="1">
      <c r="A121" t="s">
        <v>267</v>
      </c>
      <c r="B121">
        <v>2023</v>
      </c>
      <c r="C121" t="s">
        <v>270</v>
      </c>
      <c r="D121" t="s">
        <v>166</v>
      </c>
      <c r="E121" t="s">
        <v>723</v>
      </c>
      <c r="F121" t="s">
        <v>462</v>
      </c>
      <c r="G121">
        <v>2022</v>
      </c>
      <c r="H121" t="s">
        <v>673</v>
      </c>
      <c r="I121" t="str">
        <f>[20]baseline_output!$C13</f>
        <v>MgO-looping-2a</v>
      </c>
      <c r="K121" s="111">
        <f>[20]baseline_output!$S13</f>
        <v>179.99960400000001</v>
      </c>
      <c r="L121" s="30">
        <f>[20]baseline_output!$BD13</f>
        <v>227.07677281852301</v>
      </c>
    </row>
    <row r="122" spans="1:12" hidden="1">
      <c r="A122" t="s">
        <v>267</v>
      </c>
      <c r="B122">
        <v>2023</v>
      </c>
      <c r="C122" t="s">
        <v>270</v>
      </c>
      <c r="D122" t="s">
        <v>166</v>
      </c>
      <c r="E122" t="s">
        <v>723</v>
      </c>
      <c r="F122" t="s">
        <v>462</v>
      </c>
      <c r="G122">
        <v>2022</v>
      </c>
      <c r="H122" t="s">
        <v>673</v>
      </c>
      <c r="I122" t="str">
        <f>[20]baseline_output!$C14</f>
        <v>MgO-looping-2a</v>
      </c>
      <c r="K122" s="111">
        <f>[20]baseline_output!$S14</f>
        <v>64.554192</v>
      </c>
      <c r="L122" s="30">
        <f>[20]baseline_output!$BD14</f>
        <v>61.893630816227301</v>
      </c>
    </row>
    <row r="123" spans="1:12" hidden="1">
      <c r="A123" t="s">
        <v>267</v>
      </c>
      <c r="B123">
        <v>2023</v>
      </c>
      <c r="C123" t="s">
        <v>270</v>
      </c>
      <c r="D123" t="s">
        <v>166</v>
      </c>
      <c r="E123" t="s">
        <v>723</v>
      </c>
      <c r="F123" t="s">
        <v>462</v>
      </c>
      <c r="G123">
        <v>2022</v>
      </c>
      <c r="H123" t="s">
        <v>673</v>
      </c>
      <c r="I123" t="str">
        <f>[20]baseline_output!$C15</f>
        <v>MgO-looping-2a</v>
      </c>
      <c r="K123" s="111">
        <f>[20]baseline_output!$S15</f>
        <v>64.554192</v>
      </c>
      <c r="L123" s="30">
        <f>[20]baseline_output!$BD15</f>
        <v>72.225103599114604</v>
      </c>
    </row>
    <row r="124" spans="1:12" hidden="1">
      <c r="A124" t="s">
        <v>267</v>
      </c>
      <c r="B124">
        <v>2023</v>
      </c>
      <c r="C124" t="s">
        <v>270</v>
      </c>
      <c r="D124" t="s">
        <v>166</v>
      </c>
      <c r="E124" t="s">
        <v>166</v>
      </c>
      <c r="F124" t="s">
        <v>462</v>
      </c>
      <c r="G124">
        <v>2022</v>
      </c>
      <c r="H124" t="s">
        <v>673</v>
      </c>
      <c r="I124" t="str">
        <f>[20]baseline_output!$C16</f>
        <v>Optimistic future projection-2c</v>
      </c>
      <c r="K124" s="111">
        <f>[20]baseline_output!$S16</f>
        <v>3.5998343999999998E-3</v>
      </c>
      <c r="L124" s="30">
        <f>[20]baseline_output!$BD16</f>
        <v>393.65606020680502</v>
      </c>
    </row>
    <row r="125" spans="1:12" hidden="1">
      <c r="A125" t="s">
        <v>267</v>
      </c>
      <c r="B125">
        <v>2023</v>
      </c>
      <c r="C125" t="s">
        <v>270</v>
      </c>
      <c r="D125" t="s">
        <v>166</v>
      </c>
      <c r="E125" t="s">
        <v>166</v>
      </c>
      <c r="F125" t="s">
        <v>462</v>
      </c>
      <c r="G125">
        <v>2022</v>
      </c>
      <c r="H125" t="s">
        <v>673</v>
      </c>
      <c r="I125" t="str">
        <f>[20]baseline_output!$C17</f>
        <v>Optimistic future projection-2c</v>
      </c>
      <c r="K125" s="111">
        <f>[20]baseline_output!$S17</f>
        <v>3.5998343999999998E-3</v>
      </c>
      <c r="L125" s="30">
        <f>[20]baseline_output!$BD17</f>
        <v>503.939346853232</v>
      </c>
    </row>
    <row r="126" spans="1:12" hidden="1">
      <c r="A126" t="s">
        <v>267</v>
      </c>
      <c r="B126">
        <v>2023</v>
      </c>
      <c r="C126" t="s">
        <v>270</v>
      </c>
      <c r="D126" t="s">
        <v>166</v>
      </c>
      <c r="E126" t="s">
        <v>166</v>
      </c>
      <c r="F126" t="s">
        <v>462</v>
      </c>
      <c r="G126">
        <v>2022</v>
      </c>
      <c r="H126" t="s">
        <v>673</v>
      </c>
      <c r="I126" t="str">
        <f>[20]baseline_output!$C18</f>
        <v>Plant data-2c</v>
      </c>
      <c r="K126" s="111">
        <f>[20]baseline_output!$S18</f>
        <v>3.5998343999999998E-3</v>
      </c>
      <c r="L126" s="30">
        <f>[20]baseline_output!$BD18</f>
        <v>406.913082895564</v>
      </c>
    </row>
    <row r="127" spans="1:12" hidden="1">
      <c r="A127" t="s">
        <v>267</v>
      </c>
      <c r="B127">
        <v>2023</v>
      </c>
      <c r="C127" t="s">
        <v>270</v>
      </c>
      <c r="D127" t="s">
        <v>166</v>
      </c>
      <c r="E127" t="s">
        <v>166</v>
      </c>
      <c r="F127" t="s">
        <v>462</v>
      </c>
      <c r="G127">
        <v>2022</v>
      </c>
      <c r="H127" t="s">
        <v>673</v>
      </c>
      <c r="I127" t="str">
        <f>[20]baseline_output!$C19</f>
        <v>Plant data-2c</v>
      </c>
      <c r="K127" s="111">
        <f>[20]baseline_output!$S19</f>
        <v>3.5998343999999998E-3</v>
      </c>
      <c r="L127" s="30">
        <f>[20]baseline_output!$BD19</f>
        <v>517.19636954199098</v>
      </c>
    </row>
    <row r="128" spans="1:12" hidden="1">
      <c r="A128" t="s">
        <v>267</v>
      </c>
      <c r="B128">
        <v>2023</v>
      </c>
      <c r="C128" t="s">
        <v>270</v>
      </c>
      <c r="D128" t="s">
        <v>166</v>
      </c>
      <c r="E128" t="s">
        <v>723</v>
      </c>
      <c r="F128" t="s">
        <v>462</v>
      </c>
      <c r="G128">
        <v>2022</v>
      </c>
      <c r="H128" t="s">
        <v>673</v>
      </c>
      <c r="I128" t="str">
        <f>[20]baseline_output!$C30</f>
        <v>MgO-looping-2a</v>
      </c>
      <c r="K128" s="111">
        <f>[20]baseline_output!$S30</f>
        <v>179.99960400000001</v>
      </c>
      <c r="L128" s="30">
        <f>[20]baseline_output!$BD30</f>
        <v>243.248532930187</v>
      </c>
    </row>
    <row r="129" spans="1:15" hidden="1">
      <c r="A129" t="s">
        <v>267</v>
      </c>
      <c r="B129">
        <v>2023</v>
      </c>
      <c r="C129" t="s">
        <v>270</v>
      </c>
      <c r="D129" t="s">
        <v>166</v>
      </c>
      <c r="E129" t="s">
        <v>723</v>
      </c>
      <c r="F129" t="s">
        <v>462</v>
      </c>
      <c r="G129">
        <v>2022</v>
      </c>
      <c r="H129" t="s">
        <v>673</v>
      </c>
      <c r="I129" t="str">
        <f>[20]baseline_output!$C31</f>
        <v>MgO-looping-2a</v>
      </c>
      <c r="K129" s="111">
        <f>[20]baseline_output!$S31</f>
        <v>179.99960400000001</v>
      </c>
      <c r="L129" s="30">
        <f>[20]baseline_output!$BD31</f>
        <v>305.088767461244</v>
      </c>
    </row>
    <row r="130" spans="1:15" hidden="1">
      <c r="A130" t="s">
        <v>267</v>
      </c>
      <c r="B130">
        <v>2023</v>
      </c>
      <c r="C130" t="s">
        <v>270</v>
      </c>
      <c r="D130" t="s">
        <v>166</v>
      </c>
      <c r="E130" t="s">
        <v>723</v>
      </c>
      <c r="F130" t="s">
        <v>462</v>
      </c>
      <c r="G130">
        <v>2022</v>
      </c>
      <c r="H130" t="s">
        <v>673</v>
      </c>
      <c r="I130" t="str">
        <f>[20]baseline_output!$C32</f>
        <v>MgO-looping-2a</v>
      </c>
      <c r="K130" s="111">
        <f>[20]baseline_output!$S32</f>
        <v>64.554192</v>
      </c>
      <c r="L130" s="30">
        <f>[20]baseline_output!$BD32</f>
        <v>76.028698179975393</v>
      </c>
    </row>
    <row r="131" spans="1:15" hidden="1">
      <c r="A131" t="s">
        <v>267</v>
      </c>
      <c r="B131">
        <v>2023</v>
      </c>
      <c r="C131" t="s">
        <v>270</v>
      </c>
      <c r="D131" t="s">
        <v>166</v>
      </c>
      <c r="E131" t="s">
        <v>723</v>
      </c>
      <c r="F131" t="s">
        <v>462</v>
      </c>
      <c r="G131">
        <v>2022</v>
      </c>
      <c r="H131" t="s">
        <v>673</v>
      </c>
      <c r="I131" t="str">
        <f>[20]baseline_output!$C33</f>
        <v>MgO-looping-2a</v>
      </c>
      <c r="K131" s="111">
        <f>[20]baseline_output!$S33</f>
        <v>64.554192</v>
      </c>
      <c r="L131" s="30">
        <f>[20]baseline_output!$BD33</f>
        <v>90.573508350133693</v>
      </c>
    </row>
    <row r="132" spans="1:15" hidden="1">
      <c r="A132" t="s">
        <v>267</v>
      </c>
      <c r="B132">
        <v>2023</v>
      </c>
      <c r="C132" t="s">
        <v>270</v>
      </c>
      <c r="D132" t="s">
        <v>166</v>
      </c>
      <c r="E132" t="s">
        <v>166</v>
      </c>
      <c r="F132" t="s">
        <v>462</v>
      </c>
      <c r="G132">
        <v>2022</v>
      </c>
      <c r="H132" t="s">
        <v>673</v>
      </c>
      <c r="I132" t="str">
        <f>[20]baseline_output!$C34</f>
        <v>Optimistic future projection-2c</v>
      </c>
      <c r="K132" s="111">
        <f>[20]baseline_output!$S34</f>
        <v>3.5998343999999998E-3</v>
      </c>
      <c r="L132" s="30">
        <f>[20]baseline_output!$BD34</f>
        <v>523.47869237559496</v>
      </c>
    </row>
    <row r="133" spans="1:15" hidden="1">
      <c r="A133" t="s">
        <v>267</v>
      </c>
      <c r="B133">
        <v>2023</v>
      </c>
      <c r="C133" t="s">
        <v>270</v>
      </c>
      <c r="D133" t="s">
        <v>166</v>
      </c>
      <c r="E133" t="s">
        <v>166</v>
      </c>
      <c r="F133" t="s">
        <v>462</v>
      </c>
      <c r="G133">
        <v>2022</v>
      </c>
      <c r="H133" t="s">
        <v>673</v>
      </c>
      <c r="I133" t="str">
        <f>[20]baseline_output!$C35</f>
        <v>Optimistic future projection-2c</v>
      </c>
      <c r="K133" s="111">
        <f>[20]baseline_output!$S35</f>
        <v>3.5998343999999998E-3</v>
      </c>
      <c r="L133" s="30">
        <f>[20]baseline_output!$BD35</f>
        <v>698.67329510641696</v>
      </c>
    </row>
    <row r="134" spans="1:15" hidden="1">
      <c r="A134" t="s">
        <v>267</v>
      </c>
      <c r="B134">
        <v>2023</v>
      </c>
      <c r="C134" t="s">
        <v>270</v>
      </c>
      <c r="D134" t="s">
        <v>166</v>
      </c>
      <c r="E134" t="s">
        <v>166</v>
      </c>
      <c r="F134" t="s">
        <v>462</v>
      </c>
      <c r="G134">
        <v>2022</v>
      </c>
      <c r="H134" t="s">
        <v>673</v>
      </c>
      <c r="I134" t="str">
        <f>[20]baseline_output!$C36</f>
        <v>Plant data-2c</v>
      </c>
      <c r="K134" s="111">
        <f>[20]baseline_output!$S36</f>
        <v>3.5998343999999998E-3</v>
      </c>
      <c r="L134" s="30">
        <f>[20]baseline_output!$BD36</f>
        <v>536.73571506435496</v>
      </c>
    </row>
    <row r="135" spans="1:15" hidden="1">
      <c r="A135" t="s">
        <v>267</v>
      </c>
      <c r="B135">
        <v>2023</v>
      </c>
      <c r="C135" t="s">
        <v>270</v>
      </c>
      <c r="D135" t="s">
        <v>166</v>
      </c>
      <c r="E135" t="s">
        <v>166</v>
      </c>
      <c r="F135" t="s">
        <v>462</v>
      </c>
      <c r="G135">
        <v>2022</v>
      </c>
      <c r="H135" t="s">
        <v>673</v>
      </c>
      <c r="I135" t="str">
        <f>[20]baseline_output!$C37</f>
        <v>Plant data-2c</v>
      </c>
      <c r="K135" s="111">
        <f>[20]baseline_output!$S37</f>
        <v>3.5998343999999998E-3</v>
      </c>
      <c r="L135" s="30">
        <f>[20]baseline_output!$BD37</f>
        <v>711.93031779517605</v>
      </c>
    </row>
    <row r="136" spans="1:15" hidden="1">
      <c r="A136" t="str">
        <f>'Study Parameters'!A25</f>
        <v>Mostafa et al. 2022</v>
      </c>
      <c r="B136">
        <v>2022</v>
      </c>
      <c r="C136" t="str">
        <f>'Study Parameters'!E25</f>
        <v>10.1016/j.ccst.2022.100060</v>
      </c>
      <c r="D136" t="str">
        <f>'Study Parameters'!F25</f>
        <v>Liquid solvent</v>
      </c>
      <c r="E136" t="str">
        <f>'Study Parameters'!G25</f>
        <v>NaOH absorption DAC process paired with regeneration via Ca looping</v>
      </c>
      <c r="F136">
        <f>'Study Parameters'!I25</f>
        <v>0</v>
      </c>
      <c r="L136" s="30"/>
    </row>
    <row r="137" spans="1:15" hidden="1">
      <c r="A137" t="str">
        <f>'Study Parameters'!A26</f>
        <v>Keith et al. 2018</v>
      </c>
      <c r="B137">
        <v>2016</v>
      </c>
      <c r="C137" t="str">
        <f>'Study Parameters'!E26</f>
        <v>10.1016/j.joule.2018.05.006</v>
      </c>
      <c r="D137" t="str">
        <f>'Study Parameters'!F26</f>
        <v>Liquid solvent</v>
      </c>
      <c r="E137" t="str">
        <f>'Study Parameters'!G26</f>
        <v>KOH absorption paired with regeneration via Ca looping</v>
      </c>
      <c r="F137" t="str">
        <f>'Study Parameters'!I26</f>
        <v>2016 USD</v>
      </c>
      <c r="G137">
        <v>2016</v>
      </c>
      <c r="H137" t="s">
        <v>673</v>
      </c>
      <c r="I137" t="s">
        <v>724</v>
      </c>
      <c r="J137" t="str">
        <f>'Study Parameters'!L26</f>
        <v>Levelized cost of capture</v>
      </c>
      <c r="K137">
        <v>1</v>
      </c>
      <c r="L137" s="30">
        <f>[21]Baseline!$B$4* ((1+Inputs!$C$5) ^ (2022-G137))</f>
        <v>194.68375056556192</v>
      </c>
      <c r="M137" s="30">
        <f>'[21]Step 1 LCOE - EE'!$C$24* ((1+Inputs!$C$5) ^ (2022-G137))</f>
        <v>232.21270504482445</v>
      </c>
      <c r="N137" s="30">
        <f>'[21]Step 2 WACC'!$C$24* ((1+Inputs!$C$5) ^ (2022-G137))</f>
        <v>249.41048657524615</v>
      </c>
      <c r="O137" s="30">
        <f>'[21]Step 3 T&amp;S'!$C$27* ((1+Inputs!$C$5) ^ (2022-G137))</f>
        <v>295.67151321600323</v>
      </c>
    </row>
    <row r="138" spans="1:15" hidden="1">
      <c r="A138" t="s">
        <v>275</v>
      </c>
      <c r="B138">
        <v>2016</v>
      </c>
      <c r="C138" t="s">
        <v>277</v>
      </c>
      <c r="D138" t="s">
        <v>158</v>
      </c>
      <c r="E138" t="s">
        <v>358</v>
      </c>
      <c r="F138" t="s">
        <v>571</v>
      </c>
      <c r="G138">
        <v>2016</v>
      </c>
      <c r="H138" t="s">
        <v>673</v>
      </c>
      <c r="I138" t="s">
        <v>725</v>
      </c>
      <c r="K138">
        <v>1</v>
      </c>
      <c r="L138" s="30">
        <f>[21]Baseline!$C$4* ((1+Inputs!$C$5) ^ (2022-G138))</f>
        <v>146.78431177104952</v>
      </c>
      <c r="M138" s="30">
        <f>'[21]Step 1 LCOE - EE'!$D$24* ((1+Inputs!$C$5) ^ (2022-G138))</f>
        <v>180.46881603243236</v>
      </c>
      <c r="N138" s="30">
        <f>'[21]Step 2 WACC'!$D$24* ((1+Inputs!$C$5) ^ (2022-G138))</f>
        <v>192.36920063419888</v>
      </c>
      <c r="O138" s="30">
        <f>'[21]Step 3 T&amp;S'!$D$27* ((1+Inputs!$C$5) ^ (2022-G138))</f>
        <v>238.63022727495593</v>
      </c>
    </row>
    <row r="139" spans="1:15" hidden="1">
      <c r="A139" t="s">
        <v>275</v>
      </c>
      <c r="B139">
        <v>2016</v>
      </c>
      <c r="C139" t="s">
        <v>277</v>
      </c>
      <c r="D139" t="s">
        <v>158</v>
      </c>
      <c r="E139" t="s">
        <v>358</v>
      </c>
      <c r="F139" t="s">
        <v>571</v>
      </c>
      <c r="G139">
        <v>2016</v>
      </c>
      <c r="H139" t="s">
        <v>673</v>
      </c>
      <c r="I139" t="s">
        <v>726</v>
      </c>
      <c r="K139">
        <v>1</v>
      </c>
      <c r="L139" s="30">
        <f>[21]Baseline!$D$4* ((1+Inputs!$C$5) ^ (2022-G139))</f>
        <v>130.90521415405269</v>
      </c>
      <c r="M139" s="30">
        <f>'[21]Step 1 LCOE - EE'!$E$24* ((1+Inputs!$C$5) ^ (2022-G139))</f>
        <v>168.21888411829039</v>
      </c>
      <c r="N139" s="30">
        <f>'[21]Step 2 WACC'!$E$24* ((1+Inputs!$C$5) ^ (2022-G139))</f>
        <v>178.52379732826347</v>
      </c>
      <c r="O139" s="30">
        <f>'[21]Step 3 T&amp;S'!$E$27* ((1+Inputs!$C$5) ^ (2022-G139))</f>
        <v>224.78482396902055</v>
      </c>
    </row>
    <row r="140" spans="1:15">
      <c r="A140" t="s">
        <v>275</v>
      </c>
      <c r="B140">
        <v>2050</v>
      </c>
      <c r="C140" t="s">
        <v>277</v>
      </c>
      <c r="D140" t="s">
        <v>158</v>
      </c>
      <c r="E140" t="s">
        <v>358</v>
      </c>
      <c r="F140" t="s">
        <v>571</v>
      </c>
      <c r="G140">
        <v>2016</v>
      </c>
      <c r="H140" t="s">
        <v>673</v>
      </c>
      <c r="I140" t="s">
        <v>727</v>
      </c>
      <c r="K140">
        <v>1</v>
      </c>
      <c r="L140" s="30">
        <f>[21]Baseline!$E$4*((1+Inputs!$C$5)^(2022-G140))</f>
        <v>109.21650263956009</v>
      </c>
      <c r="M140" s="30">
        <f>'[21]Step 1 LCOE - EE'!$F$24*((1+Inputs!$C$5)^(2022-G140))</f>
        <v>127.68430518730926</v>
      </c>
      <c r="N140" s="30">
        <f>'[21]Step 2 WACC'!$F$24*((1+Inputs!$C$5)^(2022-G140))</f>
        <v>136.57580542513767</v>
      </c>
      <c r="O140" s="30">
        <f>'[21]Step 3 T&amp;S'!$F$27*((1+Inputs!$C$5)^(2022-G140))</f>
        <v>165.48894707561087</v>
      </c>
    </row>
    <row r="141" spans="1:15" hidden="1">
      <c r="A141" t="s">
        <v>275</v>
      </c>
      <c r="B141">
        <v>2016</v>
      </c>
      <c r="C141" t="s">
        <v>277</v>
      </c>
      <c r="D141" t="s">
        <v>158</v>
      </c>
      <c r="E141" t="s">
        <v>358</v>
      </c>
      <c r="F141" t="s">
        <v>571</v>
      </c>
      <c r="G141">
        <v>2016</v>
      </c>
      <c r="H141" t="s">
        <v>673</v>
      </c>
      <c r="I141" t="s">
        <v>728</v>
      </c>
      <c r="J141" t="s">
        <v>480</v>
      </c>
      <c r="K141">
        <v>1</v>
      </c>
      <c r="L141" s="30">
        <f>'[21]Baseline (2)'!$B$4* ((1+Inputs!$C$5) ^ (2022-G141))</f>
        <v>268.35947485233004</v>
      </c>
      <c r="M141" s="30">
        <f>'[21]Step 1 LCOE - EE (2)'!$C$24* ((1+Inputs!$C$5) ^ (2022-G141))</f>
        <v>311.80170642658771</v>
      </c>
      <c r="N141" s="30">
        <f>'[21]Step 2 WACC (2)'!$C$24* ((1+Inputs!$C$5) ^ (2022-G141))</f>
        <v>249.41048657524615</v>
      </c>
      <c r="O141" s="30">
        <f>'[21]Step 3 T&amp;S (2)'!$C$27* ((1+Inputs!$C$5) ^ (2022-G141))</f>
        <v>295.67151321600323</v>
      </c>
    </row>
    <row r="142" spans="1:15" hidden="1">
      <c r="A142" t="s">
        <v>275</v>
      </c>
      <c r="B142">
        <v>2016</v>
      </c>
      <c r="C142" t="s">
        <v>277</v>
      </c>
      <c r="D142" t="s">
        <v>158</v>
      </c>
      <c r="E142" t="s">
        <v>358</v>
      </c>
      <c r="F142" t="s">
        <v>571</v>
      </c>
      <c r="G142">
        <v>2016</v>
      </c>
      <c r="H142" t="s">
        <v>673</v>
      </c>
      <c r="I142" t="s">
        <v>729</v>
      </c>
      <c r="J142" t="s">
        <v>480</v>
      </c>
      <c r="K142">
        <v>1</v>
      </c>
      <c r="L142" s="30">
        <f>'[21]Baseline (2)'!$C$4* ((1+Inputs!$C$5) ^ (2022-G142))</f>
        <v>197.76585571468578</v>
      </c>
      <c r="M142" s="30">
        <f>'[21]Step 1 LCOE - EE (2)'!$D$24* ((1+Inputs!$C$5) ^ (2022-G142))</f>
        <v>235.54218260812024</v>
      </c>
      <c r="N142" s="30">
        <f>'[21]Step 2 WACC (2)'!$D$24* ((1+Inputs!$C$5) ^ (2022-G142))</f>
        <v>192.36920063419888</v>
      </c>
      <c r="O142" s="30">
        <f>'[21]Step 3 T&amp;S (2)'!$D$27* ((1+Inputs!$C$5) ^ (2022-G142))</f>
        <v>238.63022727495593</v>
      </c>
    </row>
    <row r="143" spans="1:15" hidden="1">
      <c r="A143" t="s">
        <v>275</v>
      </c>
      <c r="B143">
        <v>2016</v>
      </c>
      <c r="C143" t="s">
        <v>277</v>
      </c>
      <c r="D143" t="s">
        <v>158</v>
      </c>
      <c r="E143" t="s">
        <v>358</v>
      </c>
      <c r="F143" t="s">
        <v>571</v>
      </c>
      <c r="G143">
        <v>2016</v>
      </c>
      <c r="H143" t="s">
        <v>673</v>
      </c>
      <c r="I143" t="s">
        <v>730</v>
      </c>
      <c r="J143" t="s">
        <v>480</v>
      </c>
      <c r="K143">
        <v>1</v>
      </c>
      <c r="L143" s="30">
        <f>'[21]Baseline (2)'!$D$4* ((1+Inputs!$C$5) ^ (2022-G143))</f>
        <v>175.52210128757542</v>
      </c>
      <c r="M143" s="30">
        <f>'[21]Step 1 LCOE - EE (2)'!$E$24* ((1+Inputs!$C$5) ^ (2022-G143))</f>
        <v>215.90862539432047</v>
      </c>
      <c r="N143" s="30">
        <f>'[21]Step 2 WACC (2)'!$E$24* ((1+Inputs!$C$5) ^ (2022-G143))</f>
        <v>178.52379732826347</v>
      </c>
      <c r="O143" s="30">
        <f>'[21]Step 3 T&amp;S (2)'!$E$27* ((1+Inputs!$C$5) ^ (2022-G143))</f>
        <v>224.78482396902055</v>
      </c>
    </row>
    <row r="144" spans="1:15">
      <c r="A144" t="s">
        <v>275</v>
      </c>
      <c r="B144">
        <v>2050</v>
      </c>
      <c r="C144" t="s">
        <v>277</v>
      </c>
      <c r="D144" t="s">
        <v>158</v>
      </c>
      <c r="E144" t="s">
        <v>358</v>
      </c>
      <c r="F144" t="s">
        <v>571</v>
      </c>
      <c r="G144">
        <v>2016</v>
      </c>
      <c r="H144" t="s">
        <v>673</v>
      </c>
      <c r="I144" t="s">
        <v>731</v>
      </c>
      <c r="K144">
        <v>1</v>
      </c>
      <c r="L144" s="30">
        <f>'[21]Baseline (2)'!$E$4* ((1+Inputs!$C$5) ^ (2022-G144))</f>
        <v>148.36878544116726</v>
      </c>
      <c r="M144" s="30">
        <f>'[21]Step 1 LCOE - EE (2)'!$F$24* ((1+Inputs!$C$5) ^ (2022-G144))</f>
        <v>168.83296284775582</v>
      </c>
      <c r="N144" s="30">
        <f>'[21]Step 2 WACC (2)'!$F$24* ((1+Inputs!$C$5) ^ (2022-G144))</f>
        <v>136.57580542513767</v>
      </c>
      <c r="O144" s="30">
        <f>'[21]Step 3 T&amp;S (2)'!$F$27* ((1+Inputs!$C$5) ^ (2022-G144))</f>
        <v>165.48894707561087</v>
      </c>
    </row>
    <row r="145" spans="1:15" hidden="1">
      <c r="A145" t="str">
        <f>'Study Parameters'!A27</f>
        <v>Gray et al. 2024</v>
      </c>
      <c r="B145">
        <f>'Study Parameters'!H27</f>
        <v>2024</v>
      </c>
      <c r="C145" t="str">
        <f>'Study Parameters'!E27</f>
        <v>10.1016/j.rser.2024.114552</v>
      </c>
      <c r="D145" t="str">
        <f>'Study Parameters'!F27</f>
        <v>Solid sorbent</v>
      </c>
      <c r="E145" t="str">
        <f>'Study Parameters'!G27</f>
        <v>Solid sorbent</v>
      </c>
      <c r="F145" t="str">
        <f>'Study Parameters'!I27</f>
        <v>2023 EUR</v>
      </c>
      <c r="G145">
        <v>2023</v>
      </c>
      <c r="H145" t="s">
        <v>673</v>
      </c>
      <c r="I145" t="s">
        <v>4</v>
      </c>
      <c r="K145">
        <v>1</v>
      </c>
      <c r="L145" s="30">
        <f>[22]Baseline!$B$2</f>
        <v>1238.5472580000003</v>
      </c>
      <c r="M145" s="30">
        <f>'[22]Step 1 LCOE - EE'!$B$7</f>
        <v>1335.2008787911266</v>
      </c>
      <c r="N145" s="30">
        <f>'[22]Step 2 WACC'!$B$4</f>
        <v>1422.4526421724208</v>
      </c>
      <c r="O145" s="30">
        <f>'[22]Step 3 T&amp;S'!$B$2</f>
        <v>1422.4526421724208</v>
      </c>
    </row>
    <row r="146" spans="1:15" hidden="1">
      <c r="A146" t="str">
        <f>'Study Parameters'!A28</f>
        <v>Rosen et al. 2024</v>
      </c>
      <c r="B146">
        <f>'Study Parameters'!H28</f>
        <v>2023</v>
      </c>
      <c r="C146" t="str">
        <f>'Study Parameters'!E28</f>
        <v>10.1021/acs.energyfuels.4c02202</v>
      </c>
      <c r="D146" t="str">
        <f>'Study Parameters'!F28</f>
        <v>Liquid solvent</v>
      </c>
      <c r="E146" t="str">
        <f>'Study Parameters'!G28</f>
        <v>Absorption with regeneration via chemical looping (ACL) as described by Keith et al.13 (TRL 7)</v>
      </c>
      <c r="F146" t="str">
        <f>'Study Parameters'!I28</f>
        <v>2019 USD</v>
      </c>
      <c r="G146">
        <v>2019</v>
      </c>
      <c r="H146" t="s">
        <v>673</v>
      </c>
      <c r="L146" s="30"/>
    </row>
    <row r="147" spans="1:15" hidden="1">
      <c r="A147" t="str">
        <f>'Study Parameters'!A29</f>
        <v>Rosen et al. 2024</v>
      </c>
      <c r="B147">
        <f>'Study Parameters'!H29</f>
        <v>2023</v>
      </c>
      <c r="C147" t="str">
        <f>'Study Parameters'!E29</f>
        <v>10.1021/acs.energyfuels.4c02202</v>
      </c>
      <c r="D147" t="str">
        <f>'Study Parameters'!F29</f>
        <v>Liquid solvent with electrochemical regeneration</v>
      </c>
      <c r="E147" t="str">
        <f>'Study Parameters'!G29</f>
        <v>Absorption with electrochemical regeneration (AEC); carbonate regeneration using a bipolar membrane described by Iizuka et al.53 (TRL 2−3)</v>
      </c>
      <c r="F147" t="str">
        <f>'Study Parameters'!I29</f>
        <v>2019 USD</v>
      </c>
      <c r="G147">
        <v>2019</v>
      </c>
      <c r="H147" t="s">
        <v>673</v>
      </c>
      <c r="L147" s="30"/>
    </row>
    <row r="148" spans="1:15" hidden="1">
      <c r="A148" t="str">
        <f>'Study Parameters'!A30</f>
        <v>Rosen et al. 2024</v>
      </c>
      <c r="B148">
        <f>'Study Parameters'!H30</f>
        <v>2023</v>
      </c>
      <c r="C148" t="str">
        <f>'Study Parameters'!E30</f>
        <v>10.1021/acs.energyfuels.4c02202</v>
      </c>
      <c r="D148" t="str">
        <f>'Study Parameters'!F30</f>
        <v>Solid sorbent</v>
      </c>
      <c r="E148" t="str">
        <f>'Study Parameters'!G30</f>
        <v>Temperature-vacuum-swing adsorption (TVSA) with the  Wurzbacher et al.69 (TRL 8)</v>
      </c>
      <c r="F148" t="str">
        <f>'Study Parameters'!I30</f>
        <v>2019 USD</v>
      </c>
      <c r="G148">
        <v>2019</v>
      </c>
      <c r="H148" t="s">
        <v>673</v>
      </c>
      <c r="L148" s="30"/>
    </row>
    <row r="149" spans="1:15" hidden="1">
      <c r="A149" t="str">
        <f>'Study Parameters'!A31</f>
        <v>Rosen et al. 2024</v>
      </c>
      <c r="B149">
        <f>'Study Parameters'!H31</f>
        <v>2023</v>
      </c>
      <c r="C149" t="str">
        <f>'Study Parameters'!E31</f>
        <v>10.1021/acs.energyfuels.4c02202</v>
      </c>
      <c r="D149" t="str">
        <f>'Study Parameters'!F31</f>
        <v>Electro-swing adsorption (ESA)</v>
      </c>
      <c r="E149" t="str">
        <f>'Study Parameters'!G31</f>
        <v>Electro-swing adsorption (ESA) as described by Voskian and Hatton35 (TRL 1)</v>
      </c>
      <c r="F149" t="str">
        <f>'Study Parameters'!I31</f>
        <v>2019 USD</v>
      </c>
      <c r="G149">
        <v>2019</v>
      </c>
      <c r="H149" t="s">
        <v>673</v>
      </c>
      <c r="L149" s="30"/>
    </row>
    <row r="150" spans="1:15" hidden="1">
      <c r="A150" t="str">
        <f>'Study Parameters'!A32</f>
        <v>Sabatino et al. 2020</v>
      </c>
      <c r="B150">
        <f>'Study Parameters'!H32</f>
        <v>0</v>
      </c>
      <c r="C150" t="str">
        <f>'Study Parameters'!E32</f>
        <v>10.1021/acs.iecr.9b05641</v>
      </c>
      <c r="D150">
        <f>'Study Parameters'!F32</f>
        <v>0</v>
      </c>
      <c r="E150">
        <f>'Study Parameters'!G32</f>
        <v>0</v>
      </c>
      <c r="F150">
        <f>'Study Parameters'!I32</f>
        <v>0</v>
      </c>
      <c r="L150" s="30"/>
    </row>
    <row r="151" spans="1:15" hidden="1">
      <c r="A151" t="str">
        <f>'Study Parameters'!A33</f>
        <v>McQueen et al. 2020c</v>
      </c>
      <c r="B151">
        <f>'Study Parameters'!H33</f>
        <v>2020</v>
      </c>
      <c r="C151" t="str">
        <f>'Study Parameters'!E33</f>
        <v>10.1038/s41467-020-16510-3</v>
      </c>
      <c r="D151" t="str">
        <f>'Study Parameters'!F33</f>
        <v>Ambient Weathering</v>
      </c>
      <c r="E151" t="str">
        <f>'Study Parameters'!G33</f>
        <v>MgO based</v>
      </c>
      <c r="F151" t="str">
        <f>'Study Parameters'!I33</f>
        <v>2019 USD</v>
      </c>
      <c r="G151">
        <v>2019</v>
      </c>
      <c r="H151" t="s">
        <v>673</v>
      </c>
      <c r="I151" t="s">
        <v>732</v>
      </c>
      <c r="K151">
        <v>64</v>
      </c>
      <c r="L151" s="30">
        <f>[23]Baseline!$C$7* ((1+Inputs!$C$5) ^ (2022-G151))</f>
        <v>52.859259278213045</v>
      </c>
    </row>
    <row r="152" spans="1:15" hidden="1">
      <c r="A152" t="str">
        <f>'Study Parameters'!A33</f>
        <v>McQueen et al. 2020c</v>
      </c>
      <c r="B152">
        <f>'Study Parameters'!H33</f>
        <v>2020</v>
      </c>
      <c r="C152" t="str">
        <f>'Study Parameters'!E33</f>
        <v>10.1038/s41467-020-16510-3</v>
      </c>
      <c r="D152" t="str">
        <f>'Study Parameters'!F33</f>
        <v>Ambient Weathering</v>
      </c>
      <c r="E152" t="str">
        <f>'Study Parameters'!G33</f>
        <v>MgO based</v>
      </c>
      <c r="F152" t="s">
        <v>430</v>
      </c>
      <c r="G152">
        <v>2019</v>
      </c>
      <c r="H152" t="s">
        <v>673</v>
      </c>
      <c r="I152" t="s">
        <v>733</v>
      </c>
      <c r="K152">
        <v>180</v>
      </c>
      <c r="L152" s="30">
        <f>[23]Baseline!$D$7* ((1+Inputs!$C$5) ^ (2022-G152))</f>
        <v>174.22096158203897</v>
      </c>
    </row>
    <row r="153" spans="1:15" hidden="1">
      <c r="A153" t="s">
        <v>294</v>
      </c>
      <c r="B153">
        <v>2020</v>
      </c>
      <c r="C153" t="s">
        <v>297</v>
      </c>
      <c r="D153" t="s">
        <v>298</v>
      </c>
      <c r="E153" t="s">
        <v>390</v>
      </c>
      <c r="F153" t="s">
        <v>734</v>
      </c>
      <c r="G153">
        <v>2030</v>
      </c>
      <c r="H153" t="s">
        <v>673</v>
      </c>
      <c r="I153" t="s">
        <v>732</v>
      </c>
      <c r="K153">
        <v>64</v>
      </c>
      <c r="L153" s="30">
        <f>[23]Baseline!$E$7* ((1+Inputs!$C$5) ^ (2022-G153))</f>
        <v>45.162595126533958</v>
      </c>
    </row>
    <row r="154" spans="1:15" hidden="1">
      <c r="A154" t="s">
        <v>294</v>
      </c>
      <c r="B154">
        <v>2020</v>
      </c>
      <c r="C154" t="s">
        <v>297</v>
      </c>
      <c r="D154" t="s">
        <v>298</v>
      </c>
      <c r="E154" t="s">
        <v>390</v>
      </c>
      <c r="F154" t="s">
        <v>734</v>
      </c>
      <c r="G154">
        <v>2030</v>
      </c>
      <c r="H154" t="s">
        <v>673</v>
      </c>
      <c r="I154" t="s">
        <v>733</v>
      </c>
      <c r="K154">
        <v>180</v>
      </c>
      <c r="L154" s="30">
        <f>[23]Baseline!$F$7* ((1+Inputs!$C$5) ^ (2022-G154))</f>
        <v>155.30185025856494</v>
      </c>
    </row>
    <row r="155" spans="1:15" hidden="1">
      <c r="A155" t="str">
        <f>'Study Parameters'!A34</f>
        <v>Lee et al. 2023</v>
      </c>
      <c r="B155">
        <f>'Study Parameters'!H34</f>
        <v>2023</v>
      </c>
      <c r="C155" t="str">
        <f>'Study Parameters'!E34</f>
        <v>10.1016/j.joule.2023.05.016</v>
      </c>
      <c r="D155" t="str">
        <f>'Study Parameters'!F34</f>
        <v>Solid sorbent</v>
      </c>
      <c r="E155" t="str">
        <f>'Study Parameters'!G34</f>
        <v>Solid sorbent DAC via electrically driven temperature swing adsorption (ETSA)</v>
      </c>
      <c r="F155" t="str">
        <f>'Study Parameters'!I34</f>
        <v>2022 USD</v>
      </c>
      <c r="G155">
        <v>2022</v>
      </c>
      <c r="H155" t="s">
        <v>673</v>
      </c>
      <c r="I155" t="s">
        <v>4</v>
      </c>
      <c r="J155" t="str">
        <f>'Study Parameters'!L34</f>
        <v>Levelized cost of capture</v>
      </c>
      <c r="K155" s="48" t="s">
        <v>394</v>
      </c>
      <c r="L155" s="30">
        <f>[24]Baseline!$D$53* ((1+Inputs!$C$5) ^ (2022-G155))</f>
        <v>160.31000380952381</v>
      </c>
      <c r="M155" s="30">
        <f>'[24]Step 1 LCOE - EE'!$D$55* ((1+Inputs!$C$5) ^ (2022-G155))</f>
        <v>230.09276004403995</v>
      </c>
      <c r="N155" s="30">
        <f>'[24]Step 2 WACC'!$D$55* ((1+Inputs!$C$5) ^ (2022-G155))</f>
        <v>230.09276004403995</v>
      </c>
      <c r="O155" s="30">
        <f>'[24]Step 3 T&amp;S'!$D$58* ((1+Inputs!$C$5) ^ (2022-G155))</f>
        <v>270.09276004403995</v>
      </c>
    </row>
    <row r="156" spans="1:15" hidden="1">
      <c r="A156" t="str">
        <f>'Study Parameters'!A35</f>
        <v>Abanades et al. 2023</v>
      </c>
      <c r="B156">
        <f>'Study Parameters'!H35</f>
        <v>2023</v>
      </c>
      <c r="C156" t="str">
        <f>'Study Parameters'!E35</f>
        <v>10.1016/j.xcrp.2023.101339</v>
      </c>
      <c r="D156" t="str">
        <f>'Study Parameters'!F35</f>
        <v>Solid sorbent</v>
      </c>
      <c r="E156" t="str">
        <f>'Study Parameters'!G35</f>
        <v>CaCO3 based</v>
      </c>
      <c r="F156" t="str">
        <f>'Study Parameters'!I35</f>
        <v>2023 USD</v>
      </c>
      <c r="L156" s="30"/>
    </row>
    <row r="157" spans="1:15" hidden="1">
      <c r="A157" t="str">
        <f>'Study Parameters'!A36</f>
        <v>Abanades et al. 2020</v>
      </c>
      <c r="B157">
        <f>'Study Parameters'!H36</f>
        <v>2020</v>
      </c>
      <c r="C157" t="str">
        <f>'Study Parameters'!E36</f>
        <v>10.1039/d0se00094a</v>
      </c>
      <c r="D157" t="str">
        <f>'Study Parameters'!F36</f>
        <v>Ambient weathering</v>
      </c>
      <c r="E157" t="str">
        <f>'Study Parameters'!G36</f>
        <v>CaCO3 based</v>
      </c>
      <c r="F157" t="str">
        <f>'Study Parameters'!I36</f>
        <v>2020 USD</v>
      </c>
      <c r="L157" s="30"/>
    </row>
    <row r="158" spans="1:15" hidden="1">
      <c r="A158" t="str">
        <f>'Study Parameters'!A37</f>
        <v>Ragipani et al. 2022</v>
      </c>
      <c r="B158">
        <f>'Study Parameters'!H37</f>
        <v>2022</v>
      </c>
      <c r="C158" t="str">
        <f>'Study Parameters'!E37</f>
        <v>10.1021/acssuschemeng.1c07867</v>
      </c>
      <c r="D158" t="str">
        <f>'Study Parameters'!F37</f>
        <v>Liquid solvent</v>
      </c>
      <c r="E158" t="s">
        <v>735</v>
      </c>
      <c r="F158" t="str">
        <f>'Study Parameters'!I37</f>
        <v>2019 USD</v>
      </c>
      <c r="G158">
        <v>2019</v>
      </c>
      <c r="H158" t="s">
        <v>673</v>
      </c>
      <c r="I158" t="s">
        <v>121</v>
      </c>
      <c r="K158">
        <f>'Study Parameters'!Q37</f>
        <v>8.0000000000000002E-3</v>
      </c>
      <c r="L158" s="30">
        <f>[25]Baseline!$B$3</f>
        <v>121.14570202833102</v>
      </c>
    </row>
    <row r="159" spans="1:15" hidden="1">
      <c r="A159" t="s">
        <v>315</v>
      </c>
      <c r="B159">
        <v>2022</v>
      </c>
      <c r="C159" t="s">
        <v>318</v>
      </c>
      <c r="D159" t="s">
        <v>158</v>
      </c>
      <c r="E159" t="s">
        <v>735</v>
      </c>
      <c r="F159" t="s">
        <v>430</v>
      </c>
      <c r="G159">
        <v>2019</v>
      </c>
      <c r="H159" t="s">
        <v>673</v>
      </c>
      <c r="I159" t="s">
        <v>120</v>
      </c>
      <c r="K159">
        <v>8.0000000000000002E-3</v>
      </c>
      <c r="L159" s="30">
        <f>[25]Baseline!$C$3</f>
        <v>140.09669470231475</v>
      </c>
    </row>
    <row r="160" spans="1:15" hidden="1">
      <c r="A160" t="s">
        <v>329</v>
      </c>
      <c r="B160">
        <v>2025</v>
      </c>
      <c r="C160" t="s">
        <v>332</v>
      </c>
      <c r="D160" t="s">
        <v>166</v>
      </c>
      <c r="E160" t="s">
        <v>358</v>
      </c>
      <c r="F160" t="s">
        <v>617</v>
      </c>
      <c r="G160">
        <v>2024</v>
      </c>
      <c r="H160" t="s">
        <v>673</v>
      </c>
      <c r="I160" t="s">
        <v>736</v>
      </c>
      <c r="K160">
        <v>1</v>
      </c>
      <c r="L160" s="30">
        <f>[26]Baseline!$B$10* ((1+Inputs!$C$5) ^ (2022-G160))</f>
        <v>234.87328959252761</v>
      </c>
      <c r="M160" s="30">
        <f>'[26]Step 1 LCOE + EE'!$B$11</f>
        <v>285.62634973517243</v>
      </c>
      <c r="N160" s="30">
        <f>'[26]Step 2 WACC'!$B$11</f>
        <v>255.30442580438057</v>
      </c>
      <c r="O160" s="30">
        <f>'[26]Step 3 T&amp;S'!$B$11</f>
        <v>295.30442580438057</v>
      </c>
    </row>
    <row r="161" spans="1:15" hidden="1">
      <c r="A161" t="s">
        <v>329</v>
      </c>
      <c r="B161">
        <v>2025</v>
      </c>
      <c r="C161" t="s">
        <v>332</v>
      </c>
      <c r="D161" t="s">
        <v>166</v>
      </c>
      <c r="E161" t="s">
        <v>358</v>
      </c>
      <c r="F161" t="s">
        <v>617</v>
      </c>
      <c r="G161">
        <v>2024</v>
      </c>
      <c r="H161" t="s">
        <v>673</v>
      </c>
      <c r="I161" t="s">
        <v>737</v>
      </c>
      <c r="K161">
        <v>1</v>
      </c>
      <c r="L161" s="30">
        <f>[26]Baseline!$B$17* ((1+Inputs!$C$5) ^ (2022-G161))</f>
        <v>261.05608416879255</v>
      </c>
      <c r="M161" s="30">
        <f>'[26]Step 1 LCOE + EE'!$B$11</f>
        <v>285.62634973517243</v>
      </c>
      <c r="N161" s="30">
        <f>'[26]Step 2 WACC'!$B$11</f>
        <v>255.30442580438057</v>
      </c>
      <c r="O161" s="30">
        <f>'[26]Step 3 T&amp;S'!$B$11</f>
        <v>295.30442580438057</v>
      </c>
    </row>
    <row r="162" spans="1:15" hidden="1">
      <c r="A162" t="s">
        <v>329</v>
      </c>
      <c r="B162">
        <v>2025</v>
      </c>
      <c r="C162" t="s">
        <v>332</v>
      </c>
      <c r="D162" t="s">
        <v>166</v>
      </c>
      <c r="E162" t="s">
        <v>358</v>
      </c>
      <c r="F162" t="s">
        <v>617</v>
      </c>
      <c r="G162">
        <v>2024</v>
      </c>
      <c r="H162" t="s">
        <v>673</v>
      </c>
      <c r="I162" t="s">
        <v>738</v>
      </c>
      <c r="K162">
        <v>1</v>
      </c>
      <c r="L162" s="30">
        <f>[26]Baseline!$B$24* ((1+Inputs!$C$5) ^ (2022-G162))</f>
        <v>539.76409052879933</v>
      </c>
      <c r="M162" s="30">
        <f>'[26]Step 1 LCOE + EE'!$B$11</f>
        <v>285.62634973517243</v>
      </c>
      <c r="N162" s="30">
        <f>'[26]Step 2 WACC'!$B$11</f>
        <v>255.30442580438057</v>
      </c>
      <c r="O162" s="30">
        <f>'[26]Step 3 T&amp;S'!$B$11</f>
        <v>295.30442580438057</v>
      </c>
    </row>
    <row r="163" spans="1:15">
      <c r="A163" t="str">
        <f>'Study Parameters'!A39</f>
        <v>Pett-Ridge et al. 2024</v>
      </c>
      <c r="B163">
        <v>2050</v>
      </c>
      <c r="C163" t="str">
        <f>'Study Parameters'!E39</f>
        <v>Roads to Removal – Options for carbon dioxide removal in the US (roads2removal.org)</v>
      </c>
      <c r="D163" t="str">
        <f>'Study Parameters'!F39</f>
        <v>Solid sorbent</v>
      </c>
      <c r="E163" t="str">
        <f>'Study Parameters'!G40</f>
        <v>KOH absorption paired with regeneration via Ca looping</v>
      </c>
      <c r="F163" t="s">
        <v>739</v>
      </c>
      <c r="G163">
        <v>2024</v>
      </c>
      <c r="H163" t="s">
        <v>673</v>
      </c>
      <c r="I163" t="s">
        <v>736</v>
      </c>
      <c r="K163">
        <v>1</v>
      </c>
      <c r="L163" s="30">
        <f>[26]Baseline!$B$33* ((1+Inputs!$C$5) ^ (2022-G163))</f>
        <v>121.10671538282691</v>
      </c>
      <c r="M163" s="30">
        <f>'[26]Step 1 LCOE + EE'!$B$21</f>
        <v>118.45853215160149</v>
      </c>
      <c r="N163" s="30">
        <f>'[26]Step 2 WACC'!$B$21</f>
        <v>106.84340810280642</v>
      </c>
      <c r="O163" s="30">
        <f>'[26]Step 3 T&amp;S'!$B$21</f>
        <v>131.84340810280642</v>
      </c>
    </row>
    <row r="164" spans="1:15">
      <c r="A164" t="s">
        <v>329</v>
      </c>
      <c r="B164">
        <v>2050</v>
      </c>
      <c r="C164" t="s">
        <v>332</v>
      </c>
      <c r="D164" t="s">
        <v>166</v>
      </c>
      <c r="E164" t="s">
        <v>358</v>
      </c>
      <c r="F164" t="s">
        <v>739</v>
      </c>
      <c r="G164">
        <v>2024</v>
      </c>
      <c r="H164" t="s">
        <v>673</v>
      </c>
      <c r="I164" t="s">
        <v>737</v>
      </c>
      <c r="K164">
        <v>1</v>
      </c>
      <c r="L164" s="30">
        <f>[26]Baseline!$B$40* ((1+Inputs!$C$5) ^ (2022-G164))</f>
        <v>197.12987121997776</v>
      </c>
      <c r="M164" s="30">
        <f>'[26]Step 1 LCOE + EE'!$B$21</f>
        <v>118.45853215160149</v>
      </c>
      <c r="N164" s="30">
        <f>'[26]Step 2 WACC'!$B$21</f>
        <v>106.84340810280642</v>
      </c>
      <c r="O164" s="30">
        <f>'[26]Step 3 T&amp;S'!$B$21</f>
        <v>131.84340810280642</v>
      </c>
    </row>
    <row r="165" spans="1:15">
      <c r="A165" t="s">
        <v>329</v>
      </c>
      <c r="B165">
        <v>2050</v>
      </c>
      <c r="C165" t="s">
        <v>332</v>
      </c>
      <c r="D165" t="s">
        <v>166</v>
      </c>
      <c r="E165" t="s">
        <v>360</v>
      </c>
      <c r="F165" t="s">
        <v>739</v>
      </c>
      <c r="G165">
        <v>2024</v>
      </c>
      <c r="H165" t="s">
        <v>673</v>
      </c>
      <c r="I165" t="s">
        <v>738</v>
      </c>
      <c r="K165">
        <v>1</v>
      </c>
      <c r="L165" s="30">
        <f>[26]Baseline!$B$47* ((1+Inputs!$C$5) ^ (2022-G165))</f>
        <v>220.41584387109779</v>
      </c>
      <c r="M165" s="30">
        <f>'[26]Step 1 LCOE + EE'!$B$21</f>
        <v>118.45853215160149</v>
      </c>
      <c r="N165" s="30">
        <f>'[26]Step 2 WACC'!$B$21</f>
        <v>106.84340810280642</v>
      </c>
      <c r="O165" s="30">
        <f>'[26]Step 3 T&amp;S'!$B$21</f>
        <v>131.84340810280642</v>
      </c>
    </row>
    <row r="166" spans="1:15" hidden="1">
      <c r="A166" t="str">
        <f>'Study Parameters'!A40</f>
        <v>Pett-Ridge et al. 2024</v>
      </c>
      <c r="B166">
        <v>2025</v>
      </c>
      <c r="C166" t="str">
        <f>'Study Parameters'!E40</f>
        <v>Roads to Removal – Options for carbon dioxide removal in the US (roads2removal.org)</v>
      </c>
      <c r="D166" t="str">
        <f>'Study Parameters'!F40</f>
        <v xml:space="preserve">Liquid solvent </v>
      </c>
      <c r="E166" t="str">
        <f>'Study Parameters'!G40</f>
        <v>KOH absorption paired with regeneration via Ca looping</v>
      </c>
      <c r="F166" t="str">
        <f>'Study Parameters'!I40</f>
        <v>2024 USD</v>
      </c>
      <c r="G166">
        <v>2024</v>
      </c>
      <c r="H166" t="s">
        <v>673</v>
      </c>
      <c r="I166" t="s">
        <v>740</v>
      </c>
      <c r="K166">
        <v>1</v>
      </c>
      <c r="L166" s="30">
        <f>'[27]Base Case CRF 12.5%'!$C$20* ((1+Inputs!$C$5) ^ (2022-G166))</f>
        <v>315.3551613079822</v>
      </c>
      <c r="M166" s="30">
        <f>'[27]Step 1 - LCOE + EE'!$C$23</f>
        <v>400.01216847304312</v>
      </c>
      <c r="N166" s="30">
        <f>'[27]Step 2 - WACC'!$C$23</f>
        <v>400.01216847304312</v>
      </c>
      <c r="O166" s="30">
        <f>'[27]Step 3 - T&amp;S'!$C$23</f>
        <v>440.01216847304312</v>
      </c>
    </row>
    <row r="167" spans="1:15" hidden="1">
      <c r="A167" t="s">
        <v>329</v>
      </c>
      <c r="B167">
        <v>2025</v>
      </c>
      <c r="C167" t="s">
        <v>332</v>
      </c>
      <c r="D167" t="s">
        <v>233</v>
      </c>
      <c r="E167" t="s">
        <v>358</v>
      </c>
      <c r="F167" t="s">
        <v>617</v>
      </c>
      <c r="G167">
        <v>2024</v>
      </c>
      <c r="H167" t="s">
        <v>673</v>
      </c>
      <c r="I167" t="s">
        <v>741</v>
      </c>
      <c r="K167">
        <v>1</v>
      </c>
      <c r="L167" s="30">
        <f>'[27]Base Case CRF 12.5%'!$D$20* ((1+Inputs!$C$5) ^ (2022-G167))</f>
        <v>235.75347689004681</v>
      </c>
      <c r="M167" s="30">
        <f>'[27]Step 1 - LCOE + EE'!$D$23</f>
        <v>299.04143355290654</v>
      </c>
      <c r="N167" s="30">
        <f>'[27]Step 2 - WACC'!$D$23</f>
        <v>299.04143355290654</v>
      </c>
      <c r="O167" s="30">
        <f>'[27]Step 3 - T&amp;S'!$D$23</f>
        <v>339.04143355290654</v>
      </c>
    </row>
    <row r="168" spans="1:15" hidden="1">
      <c r="A168" t="s">
        <v>329</v>
      </c>
      <c r="B168">
        <v>2025</v>
      </c>
      <c r="C168" t="s">
        <v>332</v>
      </c>
      <c r="D168" t="s">
        <v>233</v>
      </c>
      <c r="E168" t="s">
        <v>358</v>
      </c>
      <c r="F168" t="s">
        <v>617</v>
      </c>
      <c r="G168">
        <v>2024</v>
      </c>
      <c r="H168" t="s">
        <v>673</v>
      </c>
      <c r="I168" t="s">
        <v>742</v>
      </c>
      <c r="K168">
        <v>1</v>
      </c>
      <c r="L168" s="30">
        <f>'[27]Base Case CRF 12.5%'!$E$20* ((1+Inputs!$C$5) ^ (2022-G168))</f>
        <v>183.91637947165853</v>
      </c>
      <c r="M168" s="30">
        <f>'[27]Step 1 - LCOE + EE'!$E$23</f>
        <v>223.41019772115243</v>
      </c>
      <c r="N168" s="30">
        <f>'[27]Step 2 - WACC'!$E$23</f>
        <v>223.41019772115243</v>
      </c>
      <c r="O168" s="30">
        <f>'[27]Step 3 - T&amp;S'!$E$23</f>
        <v>263.41019772115243</v>
      </c>
    </row>
    <row r="169" spans="1:15">
      <c r="A169" t="s">
        <v>329</v>
      </c>
      <c r="B169">
        <v>2050</v>
      </c>
      <c r="C169" t="s">
        <v>332</v>
      </c>
      <c r="D169" t="s">
        <v>233</v>
      </c>
      <c r="E169" t="s">
        <v>358</v>
      </c>
      <c r="F169" t="s">
        <v>617</v>
      </c>
      <c r="G169">
        <v>2024</v>
      </c>
      <c r="H169" t="s">
        <v>673</v>
      </c>
      <c r="I169" t="s">
        <v>743</v>
      </c>
      <c r="L169" s="30">
        <f>'[27]Base Case CRF 12.5%'!$G$20* ((1+Inputs!$C$5) ^ (2022-G169))</f>
        <v>121.33366092129185</v>
      </c>
      <c r="M169" s="30">
        <f>'[27]Step 1 - LCOE + EE'!$G$23</f>
        <v>136.97848574432413</v>
      </c>
      <c r="N169" s="30">
        <f>'[27]Step 2 - WACC'!$G$23</f>
        <v>136.97848574432413</v>
      </c>
      <c r="O169" s="30">
        <f>'[27]Step 3 - T&amp;S'!$G$23</f>
        <v>161.3365262382693</v>
      </c>
    </row>
    <row r="170" spans="1:15" hidden="1">
      <c r="A170" t="str">
        <f>'Study Parameters'!A41</f>
        <v>NETL/Valentine 2022a</v>
      </c>
      <c r="B170">
        <f>'Study Parameters'!H41</f>
        <v>2022</v>
      </c>
      <c r="C170" t="str">
        <f>'Study Parameters'!E41</f>
        <v>DirectAirCaptureCaseStudiesSolventSystem_083122.pdf (doe.gov)</v>
      </c>
      <c r="D170" t="str">
        <f>'Study Parameters'!F41</f>
        <v>Liquid solvent</v>
      </c>
      <c r="E170" t="str">
        <f>'Study Parameters'!G41</f>
        <v>KOH absorption paired with regeneration via Ca looping</v>
      </c>
      <c r="F170" t="str">
        <f>'Study Parameters'!I41</f>
        <v>2019 USD</v>
      </c>
      <c r="G170">
        <v>2019</v>
      </c>
      <c r="H170" t="s">
        <v>673</v>
      </c>
      <c r="I170" t="s">
        <v>744</v>
      </c>
      <c r="J170" t="s">
        <v>432</v>
      </c>
      <c r="K170" s="6">
        <v>0.90397000000000005</v>
      </c>
      <c r="L170" s="30">
        <f>'[28]Base Case'!$B$9* ((1+Inputs!$C$5) ^ (2022-G170))</f>
        <v>314.4749252156563</v>
      </c>
      <c r="M170" s="30"/>
    </row>
    <row r="171" spans="1:15" hidden="1">
      <c r="A171" t="s">
        <v>336</v>
      </c>
      <c r="B171">
        <v>2022</v>
      </c>
      <c r="C171" t="s">
        <v>338</v>
      </c>
      <c r="D171" t="s">
        <v>158</v>
      </c>
      <c r="E171" t="s">
        <v>358</v>
      </c>
      <c r="F171" t="s">
        <v>430</v>
      </c>
      <c r="G171">
        <v>2019</v>
      </c>
      <c r="H171" t="s">
        <v>673</v>
      </c>
      <c r="I171" t="s">
        <v>745</v>
      </c>
      <c r="J171" t="s">
        <v>432</v>
      </c>
      <c r="K171" s="6">
        <v>0.90397000000000005</v>
      </c>
      <c r="L171" s="30">
        <f>'[28]Base Case'!$C$9* ((1+Inputs!$C$5) ^ (2022-G171))</f>
        <v>322.00285704551021</v>
      </c>
      <c r="M171" s="30"/>
    </row>
    <row r="172" spans="1:15" hidden="1">
      <c r="A172" t="s">
        <v>336</v>
      </c>
      <c r="B172">
        <v>2022</v>
      </c>
      <c r="C172" t="s">
        <v>338</v>
      </c>
      <c r="D172" t="s">
        <v>158</v>
      </c>
      <c r="E172" t="s">
        <v>358</v>
      </c>
      <c r="F172" t="s">
        <v>430</v>
      </c>
      <c r="G172">
        <v>2019</v>
      </c>
      <c r="H172" t="s">
        <v>673</v>
      </c>
      <c r="I172" t="s">
        <v>746</v>
      </c>
      <c r="J172" t="s">
        <v>432</v>
      </c>
      <c r="K172">
        <v>1</v>
      </c>
      <c r="L172" s="30">
        <f>'[28]Base Case'!$D$9* ((1+Inputs!$C$5) ^ (2022-G172))</f>
        <v>503.18847188409109</v>
      </c>
      <c r="M172" s="30"/>
    </row>
    <row r="173" spans="1:15" hidden="1">
      <c r="A173" t="str">
        <f>'Study Parameters'!A42</f>
        <v>NETL/Valentine 2022b</v>
      </c>
      <c r="B173">
        <f>'Study Parameters'!H42</f>
        <v>2022</v>
      </c>
      <c r="C173" t="str">
        <f>'Study Parameters'!E42</f>
        <v>TECHNICAL REPORT TEMPLATE AND USER GUIDE (doe.gov)</v>
      </c>
      <c r="D173" t="str">
        <f>'Study Parameters'!F42</f>
        <v>Solid sorbent</v>
      </c>
      <c r="E173" t="str">
        <f>'Study Parameters'!G42</f>
        <v>monolith-supported sorbent configuration</v>
      </c>
      <c r="F173" t="str">
        <f>'Study Parameters'!I42</f>
        <v>2019 USD</v>
      </c>
      <c r="G173">
        <v>2019</v>
      </c>
      <c r="H173" t="s">
        <v>673</v>
      </c>
      <c r="I173" t="s">
        <v>747</v>
      </c>
      <c r="J173" t="s">
        <v>432</v>
      </c>
      <c r="K173" s="61">
        <v>0.11022999999999999</v>
      </c>
      <c r="L173" s="30">
        <f>'[29]Base Case'!$B$10* ((1+Inputs!$C$5) ^ (2022-G173))</f>
        <v>755.24822609697662</v>
      </c>
      <c r="M173" s="30"/>
    </row>
    <row r="174" spans="1:15" hidden="1">
      <c r="A174" t="s">
        <v>342</v>
      </c>
      <c r="B174">
        <v>2022</v>
      </c>
      <c r="C174" t="s">
        <v>343</v>
      </c>
      <c r="D174" t="s">
        <v>166</v>
      </c>
      <c r="E174" t="s">
        <v>398</v>
      </c>
      <c r="F174" t="s">
        <v>430</v>
      </c>
      <c r="G174">
        <v>2019</v>
      </c>
      <c r="H174" t="s">
        <v>673</v>
      </c>
      <c r="I174" t="s">
        <v>748</v>
      </c>
      <c r="J174" t="s">
        <v>432</v>
      </c>
      <c r="K174">
        <v>1</v>
      </c>
      <c r="L174" s="30">
        <f>'[29]Base Case'!$C$10* ((1+Inputs!$C$5) ^ (2022-G174))</f>
        <v>511.14657124707952</v>
      </c>
      <c r="M174" s="30"/>
    </row>
    <row r="175" spans="1:15" hidden="1">
      <c r="A175" t="s">
        <v>342</v>
      </c>
      <c r="B175">
        <v>2022</v>
      </c>
      <c r="C175" t="s">
        <v>343</v>
      </c>
      <c r="D175" t="s">
        <v>166</v>
      </c>
      <c r="E175" t="s">
        <v>398</v>
      </c>
      <c r="F175" t="s">
        <v>430</v>
      </c>
      <c r="G175">
        <v>2019</v>
      </c>
      <c r="H175" t="s">
        <v>673</v>
      </c>
      <c r="I175" t="s">
        <v>748</v>
      </c>
      <c r="J175" t="s">
        <v>432</v>
      </c>
      <c r="K175">
        <v>1</v>
      </c>
      <c r="L175" s="30">
        <f>'[29]Base Case'!$D$10* ((1+Inputs!$C$5) ^ (2022-G175))</f>
        <v>463.37955486521275</v>
      </c>
      <c r="M175" s="30"/>
    </row>
    <row r="176" spans="1:15" hidden="1">
      <c r="A176" t="str">
        <f>'Study Parameters'!A43</f>
        <v>NASEM 2019</v>
      </c>
      <c r="B176">
        <f>'Study Parameters'!H43</f>
        <v>2019</v>
      </c>
      <c r="C176" t="str">
        <f>'Study Parameters'!E43</f>
        <v>https://doi.org/10.17226/25259</v>
      </c>
      <c r="D176" t="str">
        <f>'Study Parameters'!F43</f>
        <v>Liquid solvent</v>
      </c>
      <c r="E176" t="str">
        <f>'Study Parameters'!G43</f>
        <v>KOH absorption paired with regeneration via Ca looping</v>
      </c>
      <c r="F176" t="str">
        <f>'Study Parameters'!I43</f>
        <v>2018 USD</v>
      </c>
      <c r="L176" s="30"/>
    </row>
    <row r="177" spans="1:13" hidden="1">
      <c r="A177" t="str">
        <f>'Study Parameters'!A44</f>
        <v>NASEM 2019</v>
      </c>
      <c r="B177">
        <f>'Study Parameters'!H44</f>
        <v>2019</v>
      </c>
      <c r="C177" t="str">
        <f>'Study Parameters'!E44</f>
        <v>https://doi.org/10.17226/25259</v>
      </c>
      <c r="D177" t="str">
        <f>'Study Parameters'!F44</f>
        <v>Solid sorbent</v>
      </c>
      <c r="E177" t="str">
        <f>'Study Parameters'!G44</f>
        <v>Solid sorbent</v>
      </c>
      <c r="F177" t="str">
        <f>'Study Parameters'!I44</f>
        <v>2018 USD</v>
      </c>
      <c r="L177" s="30"/>
    </row>
    <row r="178" spans="1:13" hidden="1">
      <c r="A178" t="str">
        <f>'Study Parameters'!A44</f>
        <v>NASEM 2019</v>
      </c>
      <c r="B178">
        <f>'Study Parameters'!H44</f>
        <v>2019</v>
      </c>
      <c r="C178" t="str">
        <f>'Study Parameters'!E44</f>
        <v>https://doi.org/10.17226/25259</v>
      </c>
      <c r="D178" t="str">
        <f>'Study Parameters'!F44</f>
        <v>Solid sorbent</v>
      </c>
      <c r="E178" t="str">
        <f>'Study Parameters'!G44</f>
        <v>Solid sorbent</v>
      </c>
      <c r="F178" t="str">
        <f>'Study Parameters'!I44</f>
        <v>2018 USD</v>
      </c>
      <c r="L178" s="30"/>
    </row>
    <row r="179" spans="1:13" hidden="1">
      <c r="A179" t="str">
        <f>'Study Parameters'!A45</f>
        <v>APS 2011</v>
      </c>
      <c r="B179">
        <v>2009</v>
      </c>
      <c r="C179" t="str">
        <f>'Study Parameters'!E45</f>
        <v>Direct-Air-Capture-of-CO2-with-Chemicals_snams5.pdf (cloudinary.com)</v>
      </c>
      <c r="D179" t="str">
        <f>'Study Parameters'!F45</f>
        <v>Liquid solvent</v>
      </c>
      <c r="E179" t="str">
        <f>'Study Parameters'!G45</f>
        <v>KOH absorption paired with regeneration via Ca looping</v>
      </c>
      <c r="F179" t="str">
        <f>'Study Parameters'!I45</f>
        <v>2008 USD</v>
      </c>
      <c r="G179">
        <v>2008</v>
      </c>
      <c r="H179" t="s">
        <v>673</v>
      </c>
      <c r="I179" t="s">
        <v>749</v>
      </c>
      <c r="J179" t="str">
        <f>'Study Parameters'!L45</f>
        <v>Cost of CO2 avoided (without transport and storage)</v>
      </c>
      <c r="K179">
        <v>1</v>
      </c>
      <c r="L179" s="30">
        <f>'[30]Base Case'!$B$46* ((1+Inputs!$C$5) ^ (2022-G179))</f>
        <v>869.64804752742634</v>
      </c>
      <c r="M179" s="30"/>
    </row>
    <row r="180" spans="1:13" hidden="1">
      <c r="A180" t="s">
        <v>348</v>
      </c>
      <c r="B180">
        <v>2009</v>
      </c>
      <c r="C180" t="s">
        <v>350</v>
      </c>
      <c r="D180" t="s">
        <v>158</v>
      </c>
      <c r="E180" t="s">
        <v>358</v>
      </c>
      <c r="F180" t="s">
        <v>507</v>
      </c>
      <c r="G180">
        <v>2008</v>
      </c>
      <c r="H180" t="s">
        <v>673</v>
      </c>
      <c r="I180" t="s">
        <v>750</v>
      </c>
      <c r="J180" t="s">
        <v>508</v>
      </c>
      <c r="K180">
        <v>1</v>
      </c>
      <c r="L180" s="30">
        <f>'[30]Base Case'!$C$46* ((1+Inputs!$C$5) ^ (2022-G180))</f>
        <v>1103.1106106220375</v>
      </c>
      <c r="M180" s="30"/>
    </row>
  </sheetData>
  <autoFilter ref="A2:W180" xr:uid="{2D1B99AC-5C89-CE47-B699-CCA57CE6E758}">
    <filterColumn colId="1">
      <filters>
        <filter val="2050"/>
      </filters>
    </filterColumn>
  </autoFilter>
  <mergeCells count="2">
    <mergeCell ref="P1:R1"/>
    <mergeCell ref="L1:N1"/>
  </mergeCells>
  <phoneticPr fontId="13" type="noConversion"/>
  <pageMargins left="0.7" right="0.7" top="0.75" bottom="0.75" header="0.3" footer="0.3"/>
  <pageSetup paperSize="9" orientation="portrait" horizontalDpi="0" verticalDpi="0"/>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0257C-D407-4235-8443-42A5A3A9A73A}">
  <dimension ref="A1:K27"/>
  <sheetViews>
    <sheetView workbookViewId="0">
      <selection activeCell="K28" sqref="K28"/>
    </sheetView>
  </sheetViews>
  <sheetFormatPr defaultColWidth="8.875" defaultRowHeight="15.6"/>
  <cols>
    <col min="1" max="1" width="11.875" bestFit="1" customWidth="1"/>
    <col min="2" max="2" width="31.125" bestFit="1" customWidth="1"/>
    <col min="10" max="11" width="9" bestFit="1" customWidth="1"/>
  </cols>
  <sheetData>
    <row r="1" spans="1:11">
      <c r="A1" s="63" t="s">
        <v>751</v>
      </c>
      <c r="F1" s="74" t="s">
        <v>752</v>
      </c>
      <c r="J1" s="74"/>
      <c r="K1" s="74"/>
    </row>
    <row r="2" spans="1:11">
      <c r="A2" s="64" t="s">
        <v>753</v>
      </c>
      <c r="F2" s="74" t="s">
        <v>754</v>
      </c>
      <c r="J2" s="74"/>
      <c r="K2" s="74"/>
    </row>
    <row r="3" spans="1:11">
      <c r="A3" s="64"/>
      <c r="F3" s="74" t="s">
        <v>755</v>
      </c>
      <c r="J3" s="74"/>
      <c r="K3" s="74"/>
    </row>
    <row r="4" spans="1:11">
      <c r="A4" t="s">
        <v>756</v>
      </c>
      <c r="B4" t="s">
        <v>757</v>
      </c>
      <c r="C4" t="s">
        <v>758</v>
      </c>
      <c r="F4" s="74" t="s">
        <v>759</v>
      </c>
      <c r="J4" s="74"/>
      <c r="K4" s="74"/>
    </row>
    <row r="5" spans="1:11">
      <c r="A5" t="s">
        <v>760</v>
      </c>
      <c r="B5" t="s">
        <v>761</v>
      </c>
      <c r="C5" t="s">
        <v>762</v>
      </c>
      <c r="F5" s="74" t="s">
        <v>763</v>
      </c>
      <c r="J5" s="74"/>
      <c r="K5" s="74"/>
    </row>
    <row r="6" spans="1:11">
      <c r="B6" t="s">
        <v>764</v>
      </c>
      <c r="C6">
        <v>3.8391002966509999</v>
      </c>
      <c r="F6" s="74" t="s">
        <v>765</v>
      </c>
      <c r="J6" s="74"/>
      <c r="K6" s="74"/>
    </row>
    <row r="7" spans="1:11">
      <c r="B7" t="s">
        <v>766</v>
      </c>
      <c r="C7">
        <v>-0.355546266299747</v>
      </c>
      <c r="J7" s="74"/>
      <c r="K7" s="74"/>
    </row>
    <row r="8" spans="1:11">
      <c r="B8" t="s">
        <v>767</v>
      </c>
      <c r="C8">
        <v>1.6400434423899</v>
      </c>
      <c r="J8" s="74"/>
      <c r="K8" s="74"/>
    </row>
    <row r="9" spans="1:11">
      <c r="B9" t="s">
        <v>768</v>
      </c>
      <c r="C9">
        <v>3.1568415686220002</v>
      </c>
      <c r="J9" s="74"/>
      <c r="K9" s="74"/>
    </row>
    <row r="10" spans="1:11">
      <c r="B10" t="s">
        <v>769</v>
      </c>
      <c r="C10">
        <v>2.0693372652606699</v>
      </c>
      <c r="J10" s="74"/>
      <c r="K10" s="74"/>
    </row>
    <row r="11" spans="1:11">
      <c r="B11" t="s">
        <v>770</v>
      </c>
      <c r="C11">
        <v>1.46483265562717</v>
      </c>
      <c r="J11" s="74"/>
      <c r="K11" s="74"/>
    </row>
    <row r="12" spans="1:11">
      <c r="B12" t="s">
        <v>771</v>
      </c>
      <c r="C12">
        <v>1.62222297740817</v>
      </c>
      <c r="J12" s="76"/>
      <c r="K12" s="77"/>
    </row>
    <row r="13" spans="1:11">
      <c r="B13" t="s">
        <v>772</v>
      </c>
      <c r="C13">
        <v>0.118627135552451</v>
      </c>
      <c r="J13" s="76"/>
      <c r="K13" s="75"/>
    </row>
    <row r="14" spans="1:11">
      <c r="B14" t="s">
        <v>773</v>
      </c>
      <c r="C14">
        <v>1.26158320570536</v>
      </c>
      <c r="J14" s="76"/>
      <c r="K14" s="77"/>
    </row>
    <row r="15" spans="1:11">
      <c r="B15" t="s">
        <v>774</v>
      </c>
      <c r="C15">
        <v>2.1301100036596101</v>
      </c>
      <c r="J15" s="76"/>
      <c r="K15" s="77"/>
    </row>
    <row r="16" spans="1:11">
      <c r="B16" t="s">
        <v>775</v>
      </c>
      <c r="C16">
        <v>2.44258329692817</v>
      </c>
      <c r="J16" s="76"/>
      <c r="K16" s="77"/>
    </row>
    <row r="17" spans="1:11">
      <c r="B17" t="s">
        <v>776</v>
      </c>
      <c r="C17">
        <v>1.8122100752602099</v>
      </c>
      <c r="J17" s="76"/>
      <c r="K17" s="77"/>
    </row>
    <row r="18" spans="1:11">
      <c r="B18" t="s">
        <v>777</v>
      </c>
      <c r="C18">
        <v>1.23358439630629</v>
      </c>
      <c r="J18" s="76"/>
      <c r="K18" s="77"/>
    </row>
    <row r="19" spans="1:11">
      <c r="B19" t="s">
        <v>778</v>
      </c>
      <c r="C19">
        <v>4.6978588636374203</v>
      </c>
      <c r="J19" s="76"/>
      <c r="K19" s="74"/>
    </row>
    <row r="20" spans="1:11">
      <c r="B20" t="s">
        <v>779</v>
      </c>
      <c r="C20">
        <v>8.0027998205212096</v>
      </c>
      <c r="J20" s="76"/>
      <c r="K20" s="77"/>
    </row>
    <row r="21" spans="1:11">
      <c r="B21" t="s">
        <v>780</v>
      </c>
      <c r="C21">
        <v>4.1163383837448801</v>
      </c>
      <c r="J21" s="76"/>
      <c r="K21" s="77"/>
    </row>
    <row r="22" spans="1:11" ht="16.149999999999999" thickBot="1">
      <c r="B22" t="s">
        <v>96</v>
      </c>
      <c r="C22">
        <f>AVERAGEA(C6:C21)</f>
        <v>2.453282945060923</v>
      </c>
      <c r="J22" s="76"/>
      <c r="K22" s="77"/>
    </row>
    <row r="23" spans="1:11" ht="18.600000000000001" thickBot="1">
      <c r="A23" s="85" t="s">
        <v>80</v>
      </c>
      <c r="B23" s="65" t="s">
        <v>781</v>
      </c>
      <c r="C23" s="65">
        <v>2023</v>
      </c>
      <c r="D23" s="65">
        <v>2022</v>
      </c>
      <c r="E23" s="65">
        <v>2021</v>
      </c>
      <c r="F23" s="65">
        <v>2020</v>
      </c>
      <c r="G23" s="66">
        <v>2019</v>
      </c>
      <c r="H23" s="69">
        <v>2018</v>
      </c>
      <c r="I23" s="70">
        <v>2017</v>
      </c>
      <c r="J23" s="76"/>
      <c r="K23" s="77"/>
    </row>
    <row r="24" spans="1:11" ht="16.149999999999999" thickBot="1">
      <c r="A24" s="78" t="s">
        <v>782</v>
      </c>
      <c r="B24" s="67" t="s">
        <v>783</v>
      </c>
      <c r="C24" s="67">
        <v>0.92400000000000004</v>
      </c>
      <c r="D24" s="67">
        <v>0.95099999999999996</v>
      </c>
      <c r="E24" s="67">
        <v>0.84599999999999997</v>
      </c>
      <c r="F24" s="67">
        <v>0.877</v>
      </c>
      <c r="G24" s="68">
        <v>0.89300000000000002</v>
      </c>
      <c r="H24" s="68">
        <v>0.84799999999999998</v>
      </c>
      <c r="I24" s="68">
        <v>0.92300000000000004</v>
      </c>
      <c r="J24" s="76"/>
      <c r="K24" s="77"/>
    </row>
    <row r="25" spans="1:11">
      <c r="A25" s="86" t="s">
        <v>784</v>
      </c>
      <c r="J25" s="76"/>
      <c r="K25" s="77"/>
    </row>
    <row r="26" spans="1:11">
      <c r="A26" t="s">
        <v>785</v>
      </c>
      <c r="B26">
        <f>1/G24</f>
        <v>1.1198208286674132</v>
      </c>
      <c r="C26" t="s">
        <v>786</v>
      </c>
      <c r="J26" s="76"/>
      <c r="K26" s="77"/>
    </row>
    <row r="27" spans="1:11">
      <c r="A27" t="s">
        <v>38</v>
      </c>
      <c r="B27" s="64" t="s">
        <v>787</v>
      </c>
      <c r="J27" s="76"/>
      <c r="K27" s="77"/>
    </row>
  </sheetData>
  <hyperlinks>
    <hyperlink ref="A1" r:id="rId1" display="https://data.worldbank.org/indicator/FP.CPI.TOTL.ZG" xr:uid="{50BDDC50-EDC6-4CE7-A123-DFD73F01D54E}"/>
    <hyperlink ref="A2" r:id="rId2" display="https://data.worldbank.org/indicator/FP.CPI.TOTL.ZG?locations=US" xr:uid="{8831660F-850B-4806-841B-4539A7D3280A}"/>
    <hyperlink ref="B27" r:id="rId3" display="https://www.irs.gov/individuals/international-taxpayers/yearly-average-currency-exchange-rates" xr:uid="{132FA737-DBE1-4392-AC48-0E5FE233BC0B}"/>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65C59-6106-408A-A712-D0B6552D4011}">
  <dimension ref="A1:B211"/>
  <sheetViews>
    <sheetView topLeftCell="A173" workbookViewId="0"/>
  </sheetViews>
  <sheetFormatPr defaultColWidth="8.875" defaultRowHeight="15.6"/>
  <cols>
    <col min="1" max="1" width="9.125" bestFit="1" customWidth="1"/>
  </cols>
  <sheetData>
    <row r="1" spans="1:2">
      <c r="A1" s="74" t="s">
        <v>752</v>
      </c>
      <c r="B1" s="74"/>
    </row>
    <row r="2" spans="1:2">
      <c r="A2" s="74" t="s">
        <v>754</v>
      </c>
      <c r="B2" s="74"/>
    </row>
    <row r="3" spans="1:2">
      <c r="A3" s="74" t="s">
        <v>755</v>
      </c>
      <c r="B3" s="74"/>
    </row>
    <row r="4" spans="1:2">
      <c r="A4" s="74" t="s">
        <v>759</v>
      </c>
      <c r="B4" s="74"/>
    </row>
    <row r="5" spans="1:2">
      <c r="A5" s="74" t="s">
        <v>763</v>
      </c>
      <c r="B5" s="74"/>
    </row>
    <row r="6" spans="1:2">
      <c r="A6" s="74" t="s">
        <v>765</v>
      </c>
      <c r="B6" s="74"/>
    </row>
    <row r="7" spans="1:2">
      <c r="A7" s="74"/>
      <c r="B7" s="74"/>
    </row>
    <row r="8" spans="1:2">
      <c r="A8" s="74" t="s">
        <v>788</v>
      </c>
      <c r="B8" s="74" t="s">
        <v>789</v>
      </c>
    </row>
    <row r="9" spans="1:2">
      <c r="A9" s="74"/>
      <c r="B9" s="74"/>
    </row>
    <row r="10" spans="1:2">
      <c r="A10" s="74" t="s">
        <v>790</v>
      </c>
      <c r="B10" s="74"/>
    </row>
    <row r="11" spans="1:2">
      <c r="A11" s="74" t="s">
        <v>791</v>
      </c>
      <c r="B11" s="74" t="s">
        <v>788</v>
      </c>
    </row>
    <row r="12" spans="1:2">
      <c r="A12" s="76">
        <v>39448</v>
      </c>
      <c r="B12">
        <v>1.4728000000000001</v>
      </c>
    </row>
    <row r="13" spans="1:2">
      <c r="A13" s="76">
        <v>39479</v>
      </c>
      <c r="B13">
        <v>1.4759</v>
      </c>
    </row>
    <row r="14" spans="1:2">
      <c r="A14" s="76">
        <v>39508</v>
      </c>
      <c r="B14">
        <v>1.552</v>
      </c>
    </row>
    <row r="15" spans="1:2">
      <c r="A15" s="76">
        <v>39539</v>
      </c>
      <c r="B15">
        <v>1.5753999999999999</v>
      </c>
    </row>
    <row r="16" spans="1:2">
      <c r="A16" s="76">
        <v>39569</v>
      </c>
      <c r="B16">
        <v>1.5553999999999999</v>
      </c>
    </row>
    <row r="17" spans="1:2">
      <c r="A17" s="76">
        <v>39600</v>
      </c>
      <c r="B17">
        <v>1.5562</v>
      </c>
    </row>
    <row r="18" spans="1:2">
      <c r="A18" s="76">
        <v>39630</v>
      </c>
      <c r="B18">
        <v>1.5759000000000001</v>
      </c>
    </row>
    <row r="19" spans="1:2">
      <c r="A19" s="76">
        <v>39661</v>
      </c>
      <c r="B19">
        <v>1.4955000000000001</v>
      </c>
    </row>
    <row r="20" spans="1:2">
      <c r="A20" s="76">
        <v>39692</v>
      </c>
      <c r="B20">
        <v>1.4341999999999999</v>
      </c>
    </row>
    <row r="21" spans="1:2">
      <c r="A21" s="76">
        <v>39722</v>
      </c>
      <c r="B21">
        <v>1.3266</v>
      </c>
    </row>
    <row r="22" spans="1:2">
      <c r="A22" s="76">
        <v>39753</v>
      </c>
      <c r="B22">
        <v>1.2744</v>
      </c>
    </row>
    <row r="23" spans="1:2">
      <c r="A23" s="76">
        <v>39783</v>
      </c>
      <c r="B23">
        <v>1.3511</v>
      </c>
    </row>
    <row r="24" spans="1:2">
      <c r="A24" s="76">
        <v>39814</v>
      </c>
      <c r="B24">
        <v>1.3244</v>
      </c>
    </row>
    <row r="25" spans="1:2">
      <c r="A25" s="76">
        <v>39845</v>
      </c>
      <c r="B25">
        <v>1.2797000000000001</v>
      </c>
    </row>
    <row r="26" spans="1:2">
      <c r="A26" s="76">
        <v>39873</v>
      </c>
      <c r="B26">
        <v>1.3049999999999999</v>
      </c>
    </row>
    <row r="27" spans="1:2">
      <c r="A27" s="76">
        <v>39904</v>
      </c>
      <c r="B27">
        <v>1.3199000000000001</v>
      </c>
    </row>
    <row r="28" spans="1:2">
      <c r="A28" s="76">
        <v>39934</v>
      </c>
      <c r="B28">
        <v>1.3646</v>
      </c>
    </row>
    <row r="29" spans="1:2">
      <c r="A29" s="76">
        <v>39965</v>
      </c>
      <c r="B29">
        <v>1.4014</v>
      </c>
    </row>
    <row r="30" spans="1:2">
      <c r="A30" s="76">
        <v>39995</v>
      </c>
      <c r="B30">
        <v>1.4092</v>
      </c>
    </row>
    <row r="31" spans="1:2">
      <c r="A31" s="76">
        <v>40026</v>
      </c>
      <c r="B31">
        <v>1.4266000000000001</v>
      </c>
    </row>
    <row r="32" spans="1:2">
      <c r="A32" s="76">
        <v>40057</v>
      </c>
      <c r="B32">
        <v>1.4575</v>
      </c>
    </row>
    <row r="33" spans="1:2">
      <c r="A33" s="76">
        <v>40087</v>
      </c>
      <c r="B33">
        <v>1.4821</v>
      </c>
    </row>
    <row r="34" spans="1:2">
      <c r="A34" s="76">
        <v>40118</v>
      </c>
      <c r="B34">
        <v>1.4907999999999999</v>
      </c>
    </row>
    <row r="35" spans="1:2">
      <c r="A35" s="76">
        <v>40148</v>
      </c>
      <c r="B35">
        <v>1.4579</v>
      </c>
    </row>
    <row r="36" spans="1:2">
      <c r="A36" s="76">
        <v>40179</v>
      </c>
      <c r="B36">
        <v>1.4266000000000001</v>
      </c>
    </row>
    <row r="37" spans="1:2">
      <c r="A37" s="76">
        <v>40210</v>
      </c>
      <c r="B37">
        <v>1.3680000000000001</v>
      </c>
    </row>
    <row r="38" spans="1:2">
      <c r="A38" s="76">
        <v>40238</v>
      </c>
      <c r="B38">
        <v>1.357</v>
      </c>
    </row>
    <row r="39" spans="1:2">
      <c r="A39" s="76">
        <v>40269</v>
      </c>
      <c r="B39">
        <v>1.3416999999999999</v>
      </c>
    </row>
    <row r="40" spans="1:2">
      <c r="A40" s="76">
        <v>40299</v>
      </c>
      <c r="B40">
        <v>1.2563</v>
      </c>
    </row>
    <row r="41" spans="1:2">
      <c r="A41" s="76">
        <v>40330</v>
      </c>
      <c r="B41">
        <v>1.2222999999999999</v>
      </c>
    </row>
    <row r="42" spans="1:2">
      <c r="A42" s="76">
        <v>40360</v>
      </c>
      <c r="B42">
        <v>1.2810999999999999</v>
      </c>
    </row>
    <row r="43" spans="1:2">
      <c r="A43" s="76">
        <v>40391</v>
      </c>
      <c r="B43">
        <v>1.2903</v>
      </c>
    </row>
    <row r="44" spans="1:2">
      <c r="A44" s="76">
        <v>40422</v>
      </c>
      <c r="B44">
        <v>1.3103</v>
      </c>
    </row>
    <row r="45" spans="1:2">
      <c r="A45" s="76">
        <v>40452</v>
      </c>
      <c r="B45">
        <v>1.3900999999999999</v>
      </c>
    </row>
    <row r="46" spans="1:2">
      <c r="A46" s="76">
        <v>40483</v>
      </c>
      <c r="B46">
        <v>1.3653999999999999</v>
      </c>
    </row>
    <row r="47" spans="1:2">
      <c r="A47" s="76">
        <v>40513</v>
      </c>
      <c r="B47">
        <v>1.3221000000000001</v>
      </c>
    </row>
    <row r="48" spans="1:2">
      <c r="A48" s="76">
        <v>40544</v>
      </c>
      <c r="B48">
        <v>1.3371</v>
      </c>
    </row>
    <row r="49" spans="1:2">
      <c r="A49" s="76">
        <v>40575</v>
      </c>
      <c r="B49">
        <v>1.3655999999999999</v>
      </c>
    </row>
    <row r="50" spans="1:2">
      <c r="A50" s="76">
        <v>40603</v>
      </c>
      <c r="B50">
        <v>1.4019999999999999</v>
      </c>
    </row>
    <row r="51" spans="1:2">
      <c r="A51" s="76">
        <v>40634</v>
      </c>
      <c r="B51">
        <v>1.446</v>
      </c>
    </row>
    <row r="52" spans="1:2">
      <c r="A52" s="76">
        <v>40664</v>
      </c>
      <c r="B52">
        <v>1.4335</v>
      </c>
    </row>
    <row r="53" spans="1:2">
      <c r="A53" s="76">
        <v>40695</v>
      </c>
      <c r="B53">
        <v>1.4402999999999999</v>
      </c>
    </row>
    <row r="54" spans="1:2">
      <c r="A54" s="76">
        <v>40725</v>
      </c>
      <c r="B54">
        <v>1.4275</v>
      </c>
    </row>
    <row r="55" spans="1:2">
      <c r="A55" s="76">
        <v>40756</v>
      </c>
      <c r="B55">
        <v>1.4333</v>
      </c>
    </row>
    <row r="56" spans="1:2">
      <c r="A56" s="76">
        <v>40787</v>
      </c>
      <c r="B56">
        <v>1.3747</v>
      </c>
    </row>
    <row r="57" spans="1:2">
      <c r="A57" s="76">
        <v>40817</v>
      </c>
      <c r="B57">
        <v>1.3732</v>
      </c>
    </row>
    <row r="58" spans="1:2">
      <c r="A58" s="76">
        <v>40848</v>
      </c>
      <c r="B58">
        <v>1.3557999999999999</v>
      </c>
    </row>
    <row r="59" spans="1:2">
      <c r="A59" s="76">
        <v>40878</v>
      </c>
      <c r="B59">
        <v>1.3154999999999999</v>
      </c>
    </row>
    <row r="60" spans="1:2">
      <c r="A60" s="76">
        <v>40909</v>
      </c>
      <c r="B60">
        <v>1.2909999999999999</v>
      </c>
    </row>
    <row r="61" spans="1:2">
      <c r="A61" s="76">
        <v>40940</v>
      </c>
      <c r="B61">
        <v>1.3238000000000001</v>
      </c>
    </row>
    <row r="62" spans="1:2">
      <c r="A62" s="76">
        <v>40969</v>
      </c>
      <c r="B62">
        <v>1.3208</v>
      </c>
    </row>
    <row r="63" spans="1:2">
      <c r="A63" s="76">
        <v>41000</v>
      </c>
      <c r="B63">
        <v>1.3160000000000001</v>
      </c>
    </row>
    <row r="64" spans="1:2">
      <c r="A64" s="76">
        <v>41030</v>
      </c>
      <c r="B64">
        <v>1.2806</v>
      </c>
    </row>
    <row r="65" spans="1:2">
      <c r="A65" s="76">
        <v>41061</v>
      </c>
      <c r="B65">
        <v>1.2541</v>
      </c>
    </row>
    <row r="66" spans="1:2">
      <c r="A66" s="76">
        <v>41091</v>
      </c>
      <c r="B66">
        <v>1.2278</v>
      </c>
    </row>
    <row r="67" spans="1:2">
      <c r="A67" s="76">
        <v>41122</v>
      </c>
      <c r="B67">
        <v>1.2405999999999999</v>
      </c>
    </row>
    <row r="68" spans="1:2">
      <c r="A68" s="76">
        <v>41153</v>
      </c>
      <c r="B68">
        <v>1.2885</v>
      </c>
    </row>
    <row r="69" spans="1:2">
      <c r="A69" s="76">
        <v>41183</v>
      </c>
      <c r="B69">
        <v>1.2974000000000001</v>
      </c>
    </row>
    <row r="70" spans="1:2">
      <c r="A70" s="76">
        <v>41214</v>
      </c>
      <c r="B70">
        <v>1.2837000000000001</v>
      </c>
    </row>
    <row r="71" spans="1:2">
      <c r="A71" s="76">
        <v>41244</v>
      </c>
      <c r="B71">
        <v>1.3119000000000001</v>
      </c>
    </row>
    <row r="72" spans="1:2">
      <c r="A72" s="76">
        <v>41275</v>
      </c>
      <c r="B72">
        <v>1.3304</v>
      </c>
    </row>
    <row r="73" spans="1:2">
      <c r="A73" s="76">
        <v>41306</v>
      </c>
      <c r="B73">
        <v>1.3347</v>
      </c>
    </row>
    <row r="74" spans="1:2">
      <c r="A74" s="76">
        <v>41334</v>
      </c>
      <c r="B74">
        <v>1.2952999999999999</v>
      </c>
    </row>
    <row r="75" spans="1:2">
      <c r="A75" s="76">
        <v>41365</v>
      </c>
      <c r="B75">
        <v>1.3025</v>
      </c>
    </row>
    <row r="76" spans="1:2">
      <c r="A76" s="76">
        <v>41395</v>
      </c>
      <c r="B76">
        <v>1.2983</v>
      </c>
    </row>
    <row r="77" spans="1:2">
      <c r="A77" s="76">
        <v>41426</v>
      </c>
      <c r="B77">
        <v>1.3197000000000001</v>
      </c>
    </row>
    <row r="78" spans="1:2">
      <c r="A78" s="76">
        <v>41456</v>
      </c>
      <c r="B78">
        <v>1.3088</v>
      </c>
    </row>
    <row r="79" spans="1:2">
      <c r="A79" s="76">
        <v>41487</v>
      </c>
      <c r="B79">
        <v>1.3313999999999999</v>
      </c>
    </row>
    <row r="80" spans="1:2">
      <c r="A80" s="76">
        <v>41518</v>
      </c>
      <c r="B80">
        <v>1.3364</v>
      </c>
    </row>
    <row r="81" spans="1:2">
      <c r="A81" s="76">
        <v>41548</v>
      </c>
      <c r="B81">
        <v>1.3646</v>
      </c>
    </row>
    <row r="82" spans="1:2">
      <c r="A82" s="76">
        <v>41579</v>
      </c>
      <c r="B82">
        <v>1.3491</v>
      </c>
    </row>
    <row r="83" spans="1:2">
      <c r="A83" s="76">
        <v>41609</v>
      </c>
      <c r="B83">
        <v>1.3708</v>
      </c>
    </row>
    <row r="84" spans="1:2">
      <c r="A84" s="76">
        <v>41640</v>
      </c>
      <c r="B84">
        <v>1.3617999999999999</v>
      </c>
    </row>
    <row r="85" spans="1:2">
      <c r="A85" s="76">
        <v>41671</v>
      </c>
      <c r="B85">
        <v>1.3665</v>
      </c>
    </row>
    <row r="86" spans="1:2">
      <c r="A86" s="76">
        <v>41699</v>
      </c>
      <c r="B86">
        <v>1.3828</v>
      </c>
    </row>
    <row r="87" spans="1:2">
      <c r="A87" s="76">
        <v>41730</v>
      </c>
      <c r="B87">
        <v>1.381</v>
      </c>
    </row>
    <row r="88" spans="1:2">
      <c r="A88" s="76">
        <v>41760</v>
      </c>
      <c r="B88">
        <v>1.3738999999999999</v>
      </c>
    </row>
    <row r="89" spans="1:2">
      <c r="A89" s="76">
        <v>41791</v>
      </c>
      <c r="B89">
        <v>1.3594999999999999</v>
      </c>
    </row>
    <row r="90" spans="1:2">
      <c r="A90" s="76">
        <v>41821</v>
      </c>
      <c r="B90">
        <v>1.3532999999999999</v>
      </c>
    </row>
    <row r="91" spans="1:2">
      <c r="A91" s="76">
        <v>41852</v>
      </c>
      <c r="B91">
        <v>1.3314999999999999</v>
      </c>
    </row>
    <row r="92" spans="1:2">
      <c r="A92" s="76">
        <v>41883</v>
      </c>
      <c r="B92">
        <v>1.2888999999999999</v>
      </c>
    </row>
    <row r="93" spans="1:2">
      <c r="A93" s="76">
        <v>41913</v>
      </c>
      <c r="B93">
        <v>1.2677</v>
      </c>
    </row>
    <row r="94" spans="1:2">
      <c r="A94" s="76">
        <v>41944</v>
      </c>
      <c r="B94">
        <v>1.2473000000000001</v>
      </c>
    </row>
    <row r="95" spans="1:2">
      <c r="A95" s="76">
        <v>41974</v>
      </c>
      <c r="B95">
        <v>1.2329000000000001</v>
      </c>
    </row>
    <row r="96" spans="1:2">
      <c r="A96" s="76">
        <v>42005</v>
      </c>
      <c r="B96">
        <v>1.1615</v>
      </c>
    </row>
    <row r="97" spans="1:2">
      <c r="A97" s="76">
        <v>42036</v>
      </c>
      <c r="B97">
        <v>1.135</v>
      </c>
    </row>
    <row r="98" spans="1:2">
      <c r="A98" s="76">
        <v>42064</v>
      </c>
      <c r="B98">
        <v>1.0819000000000001</v>
      </c>
    </row>
    <row r="99" spans="1:2">
      <c r="A99" s="76">
        <v>42095</v>
      </c>
      <c r="B99">
        <v>1.0822000000000001</v>
      </c>
    </row>
    <row r="100" spans="1:2">
      <c r="A100" s="76">
        <v>42125</v>
      </c>
      <c r="B100">
        <v>1.1167</v>
      </c>
    </row>
    <row r="101" spans="1:2">
      <c r="A101" s="76">
        <v>42156</v>
      </c>
      <c r="B101">
        <v>1.1226</v>
      </c>
    </row>
    <row r="102" spans="1:2">
      <c r="A102" s="76">
        <v>42186</v>
      </c>
      <c r="B102">
        <v>1.0996999999999999</v>
      </c>
    </row>
    <row r="103" spans="1:2">
      <c r="A103" s="76">
        <v>42217</v>
      </c>
      <c r="B103">
        <v>1.1135999999999999</v>
      </c>
    </row>
    <row r="104" spans="1:2">
      <c r="A104" s="76">
        <v>42248</v>
      </c>
      <c r="B104">
        <v>1.1229</v>
      </c>
    </row>
    <row r="105" spans="1:2">
      <c r="A105" s="76">
        <v>42278</v>
      </c>
      <c r="B105">
        <v>1.1228</v>
      </c>
    </row>
    <row r="106" spans="1:2">
      <c r="A106" s="76">
        <v>42309</v>
      </c>
      <c r="B106">
        <v>1.0727</v>
      </c>
    </row>
    <row r="107" spans="1:2">
      <c r="A107" s="76">
        <v>42339</v>
      </c>
      <c r="B107">
        <v>1.0889</v>
      </c>
    </row>
    <row r="108" spans="1:2">
      <c r="A108" s="76">
        <v>42370</v>
      </c>
      <c r="B108">
        <v>1.0854999999999999</v>
      </c>
    </row>
    <row r="109" spans="1:2">
      <c r="A109" s="76">
        <v>42401</v>
      </c>
      <c r="B109">
        <v>1.1092</v>
      </c>
    </row>
    <row r="110" spans="1:2">
      <c r="A110" s="76">
        <v>42430</v>
      </c>
      <c r="B110">
        <v>1.1133999999999999</v>
      </c>
    </row>
    <row r="111" spans="1:2">
      <c r="A111" s="76">
        <v>42461</v>
      </c>
      <c r="B111">
        <v>1.1346000000000001</v>
      </c>
    </row>
    <row r="112" spans="1:2">
      <c r="A112" s="76">
        <v>42491</v>
      </c>
      <c r="B112">
        <v>1.1312</v>
      </c>
    </row>
    <row r="113" spans="1:2">
      <c r="A113" s="76">
        <v>42522</v>
      </c>
      <c r="B113">
        <v>1.1232</v>
      </c>
    </row>
    <row r="114" spans="1:2">
      <c r="A114" s="76">
        <v>42552</v>
      </c>
      <c r="B114">
        <v>1.1054999999999999</v>
      </c>
    </row>
    <row r="115" spans="1:2">
      <c r="A115" s="76">
        <v>42583</v>
      </c>
      <c r="B115">
        <v>1.1207</v>
      </c>
    </row>
    <row r="116" spans="1:2">
      <c r="A116" s="76">
        <v>42614</v>
      </c>
      <c r="B116">
        <v>1.1217999999999999</v>
      </c>
    </row>
    <row r="117" spans="1:2">
      <c r="A117" s="76">
        <v>42644</v>
      </c>
      <c r="B117">
        <v>1.1013999999999999</v>
      </c>
    </row>
    <row r="118" spans="1:2">
      <c r="A118" s="76">
        <v>42675</v>
      </c>
      <c r="B118">
        <v>1.0791999999999999</v>
      </c>
    </row>
    <row r="119" spans="1:2">
      <c r="A119" s="76">
        <v>42705</v>
      </c>
      <c r="B119">
        <v>1.0545</v>
      </c>
    </row>
    <row r="120" spans="1:2">
      <c r="A120" s="76">
        <v>42736</v>
      </c>
      <c r="B120">
        <v>1.0634999999999999</v>
      </c>
    </row>
    <row r="121" spans="1:2">
      <c r="A121" s="76">
        <v>42767</v>
      </c>
      <c r="B121">
        <v>1.0649999999999999</v>
      </c>
    </row>
    <row r="122" spans="1:2">
      <c r="A122" s="76">
        <v>42795</v>
      </c>
      <c r="B122">
        <v>1.0690999999999999</v>
      </c>
    </row>
    <row r="123" spans="1:2">
      <c r="A123" s="76">
        <v>42826</v>
      </c>
      <c r="B123">
        <v>1.0713999999999999</v>
      </c>
    </row>
    <row r="124" spans="1:2">
      <c r="A124" s="76">
        <v>42856</v>
      </c>
      <c r="B124">
        <v>1.105</v>
      </c>
    </row>
    <row r="125" spans="1:2">
      <c r="A125" s="76">
        <v>42887</v>
      </c>
      <c r="B125">
        <v>1.1233</v>
      </c>
    </row>
    <row r="126" spans="1:2">
      <c r="A126" s="76">
        <v>42917</v>
      </c>
      <c r="B126">
        <v>1.153</v>
      </c>
    </row>
    <row r="127" spans="1:2">
      <c r="A127" s="76">
        <v>42948</v>
      </c>
      <c r="B127">
        <v>1.1813</v>
      </c>
    </row>
    <row r="128" spans="1:2">
      <c r="A128" s="76">
        <v>42979</v>
      </c>
      <c r="B128">
        <v>1.1913</v>
      </c>
    </row>
    <row r="129" spans="1:2">
      <c r="A129" s="76">
        <v>43009</v>
      </c>
      <c r="B129">
        <v>1.1755</v>
      </c>
    </row>
    <row r="130" spans="1:2">
      <c r="A130" s="76">
        <v>43040</v>
      </c>
      <c r="B130">
        <v>1.1742999999999999</v>
      </c>
    </row>
    <row r="131" spans="1:2">
      <c r="A131" s="76">
        <v>43070</v>
      </c>
      <c r="B131">
        <v>1.1836</v>
      </c>
    </row>
    <row r="132" spans="1:2">
      <c r="A132" s="76">
        <v>43101</v>
      </c>
      <c r="B132">
        <v>1.2197</v>
      </c>
    </row>
    <row r="133" spans="1:2">
      <c r="A133" s="76">
        <v>43132</v>
      </c>
      <c r="B133">
        <v>1.234</v>
      </c>
    </row>
    <row r="134" spans="1:2">
      <c r="A134" s="76">
        <v>43160</v>
      </c>
      <c r="B134">
        <v>1.2334000000000001</v>
      </c>
    </row>
    <row r="135" spans="1:2">
      <c r="A135" s="76">
        <v>43191</v>
      </c>
      <c r="B135">
        <v>1.2270000000000001</v>
      </c>
    </row>
    <row r="136" spans="1:2">
      <c r="A136" s="76">
        <v>43221</v>
      </c>
      <c r="B136">
        <v>1.1822999999999999</v>
      </c>
    </row>
    <row r="137" spans="1:2">
      <c r="A137" s="76">
        <v>43252</v>
      </c>
      <c r="B137">
        <v>1.1678999999999999</v>
      </c>
    </row>
    <row r="138" spans="1:2">
      <c r="A138" s="76">
        <v>43282</v>
      </c>
      <c r="B138">
        <v>1.1685000000000001</v>
      </c>
    </row>
    <row r="139" spans="1:2">
      <c r="A139" s="76">
        <v>43313</v>
      </c>
      <c r="B139">
        <v>1.1547000000000001</v>
      </c>
    </row>
    <row r="140" spans="1:2">
      <c r="A140" s="76">
        <v>43344</v>
      </c>
      <c r="B140">
        <v>1.1667000000000001</v>
      </c>
    </row>
    <row r="141" spans="1:2">
      <c r="A141" s="76">
        <v>43374</v>
      </c>
      <c r="B141">
        <v>1.1488</v>
      </c>
    </row>
    <row r="142" spans="1:2">
      <c r="A142" s="76">
        <v>43405</v>
      </c>
      <c r="B142">
        <v>1.1364000000000001</v>
      </c>
    </row>
    <row r="143" spans="1:2">
      <c r="A143" s="76">
        <v>43435</v>
      </c>
      <c r="B143">
        <v>1.1379999999999999</v>
      </c>
    </row>
    <row r="144" spans="1:2">
      <c r="A144" s="76">
        <v>43466</v>
      </c>
      <c r="B144">
        <v>1.1417999999999999</v>
      </c>
    </row>
    <row r="145" spans="1:2">
      <c r="A145" s="76">
        <v>43497</v>
      </c>
      <c r="B145">
        <v>1.1349</v>
      </c>
    </row>
    <row r="146" spans="1:2">
      <c r="A146" s="76">
        <v>43525</v>
      </c>
      <c r="B146">
        <v>1.1295999999999999</v>
      </c>
    </row>
    <row r="147" spans="1:2">
      <c r="A147" s="76">
        <v>43556</v>
      </c>
      <c r="B147">
        <v>1.1234</v>
      </c>
    </row>
    <row r="148" spans="1:2">
      <c r="A148" s="76">
        <v>43586</v>
      </c>
      <c r="B148">
        <v>1.1187</v>
      </c>
    </row>
    <row r="149" spans="1:2">
      <c r="A149" s="76">
        <v>43617</v>
      </c>
      <c r="B149">
        <v>1.1294999999999999</v>
      </c>
    </row>
    <row r="150" spans="1:2">
      <c r="A150" s="76">
        <v>43647</v>
      </c>
      <c r="B150">
        <v>1.1211</v>
      </c>
    </row>
    <row r="151" spans="1:2">
      <c r="A151" s="76">
        <v>43678</v>
      </c>
      <c r="B151">
        <v>1.1129</v>
      </c>
    </row>
    <row r="152" spans="1:2">
      <c r="A152" s="76">
        <v>43709</v>
      </c>
      <c r="B152">
        <v>1.1011</v>
      </c>
    </row>
    <row r="153" spans="1:2">
      <c r="A153" s="76">
        <v>43739</v>
      </c>
      <c r="B153">
        <v>1.1057999999999999</v>
      </c>
    </row>
    <row r="154" spans="1:2">
      <c r="A154" s="76">
        <v>43770</v>
      </c>
      <c r="B154">
        <v>1.1051</v>
      </c>
    </row>
    <row r="155" spans="1:2">
      <c r="A155" s="76">
        <v>43800</v>
      </c>
      <c r="B155">
        <v>1.1113999999999999</v>
      </c>
    </row>
    <row r="156" spans="1:2">
      <c r="A156" s="76">
        <v>43831</v>
      </c>
      <c r="B156">
        <v>1.1097999999999999</v>
      </c>
    </row>
    <row r="157" spans="1:2">
      <c r="A157" s="76">
        <v>43862</v>
      </c>
      <c r="B157">
        <v>1.0911</v>
      </c>
    </row>
    <row r="158" spans="1:2">
      <c r="A158" s="76">
        <v>43891</v>
      </c>
      <c r="B158">
        <v>1.1046</v>
      </c>
    </row>
    <row r="159" spans="1:2">
      <c r="A159" s="76">
        <v>43922</v>
      </c>
      <c r="B159">
        <v>1.0871</v>
      </c>
    </row>
    <row r="160" spans="1:2">
      <c r="A160" s="76">
        <v>43952</v>
      </c>
      <c r="B160">
        <v>1.0907</v>
      </c>
    </row>
    <row r="161" spans="1:2">
      <c r="A161" s="76">
        <v>43983</v>
      </c>
      <c r="B161">
        <v>1.1258999999999999</v>
      </c>
    </row>
    <row r="162" spans="1:2">
      <c r="A162" s="76">
        <v>44013</v>
      </c>
      <c r="B162">
        <v>1.1488</v>
      </c>
    </row>
    <row r="163" spans="1:2">
      <c r="A163" s="76">
        <v>44044</v>
      </c>
      <c r="B163">
        <v>1.1831</v>
      </c>
    </row>
    <row r="164" spans="1:2">
      <c r="A164" s="76">
        <v>44075</v>
      </c>
      <c r="B164">
        <v>1.1785000000000001</v>
      </c>
    </row>
    <row r="165" spans="1:2">
      <c r="A165" s="76">
        <v>44105</v>
      </c>
      <c r="B165">
        <v>1.1768000000000001</v>
      </c>
    </row>
    <row r="166" spans="1:2">
      <c r="A166" s="76">
        <v>44136</v>
      </c>
      <c r="B166">
        <v>1.1826000000000001</v>
      </c>
    </row>
    <row r="167" spans="1:2">
      <c r="A167" s="76">
        <v>44166</v>
      </c>
      <c r="B167">
        <v>1.2168000000000001</v>
      </c>
    </row>
    <row r="168" spans="1:2">
      <c r="A168" s="76">
        <v>44197</v>
      </c>
      <c r="B168">
        <v>1.2178</v>
      </c>
    </row>
    <row r="169" spans="1:2">
      <c r="A169" s="76">
        <v>44228</v>
      </c>
      <c r="B169">
        <v>1.2094</v>
      </c>
    </row>
    <row r="170" spans="1:2">
      <c r="A170" s="76">
        <v>44256</v>
      </c>
      <c r="B170">
        <v>1.1901999999999999</v>
      </c>
    </row>
    <row r="171" spans="1:2">
      <c r="A171" s="76">
        <v>44287</v>
      </c>
      <c r="B171">
        <v>1.1964999999999999</v>
      </c>
    </row>
    <row r="172" spans="1:2">
      <c r="A172" s="76">
        <v>44317</v>
      </c>
      <c r="B172">
        <v>1.2145999999999999</v>
      </c>
    </row>
    <row r="173" spans="1:2">
      <c r="A173" s="76">
        <v>44348</v>
      </c>
      <c r="B173">
        <v>1.2048000000000001</v>
      </c>
    </row>
    <row r="174" spans="1:2">
      <c r="A174" s="76">
        <v>44378</v>
      </c>
      <c r="B174">
        <v>1.1820999999999999</v>
      </c>
    </row>
    <row r="175" spans="1:2">
      <c r="A175" s="76">
        <v>44409</v>
      </c>
      <c r="B175">
        <v>1.1767000000000001</v>
      </c>
    </row>
    <row r="176" spans="1:2">
      <c r="A176" s="76">
        <v>44440</v>
      </c>
      <c r="B176">
        <v>1.1765000000000001</v>
      </c>
    </row>
    <row r="177" spans="1:2">
      <c r="A177" s="76">
        <v>44470</v>
      </c>
      <c r="B177">
        <v>1.1599999999999999</v>
      </c>
    </row>
    <row r="178" spans="1:2">
      <c r="A178" s="76">
        <v>44501</v>
      </c>
      <c r="B178">
        <v>1.1415999999999999</v>
      </c>
    </row>
    <row r="179" spans="1:2">
      <c r="A179" s="76">
        <v>44531</v>
      </c>
      <c r="B179">
        <v>1.1301000000000001</v>
      </c>
    </row>
    <row r="180" spans="1:2">
      <c r="A180" s="76">
        <v>44562</v>
      </c>
      <c r="B180">
        <v>1.1316999999999999</v>
      </c>
    </row>
    <row r="181" spans="1:2">
      <c r="A181" s="76">
        <v>44593</v>
      </c>
      <c r="B181">
        <v>1.1349</v>
      </c>
    </row>
    <row r="182" spans="1:2">
      <c r="A182" s="76">
        <v>44621</v>
      </c>
      <c r="B182">
        <v>1.1019000000000001</v>
      </c>
    </row>
    <row r="183" spans="1:2">
      <c r="A183" s="76">
        <v>44652</v>
      </c>
      <c r="B183">
        <v>1.0803</v>
      </c>
    </row>
    <row r="184" spans="1:2">
      <c r="A184" s="76">
        <v>44682</v>
      </c>
      <c r="B184">
        <v>1.0567</v>
      </c>
    </row>
    <row r="185" spans="1:2">
      <c r="A185" s="76">
        <v>44713</v>
      </c>
      <c r="B185">
        <v>1.0567</v>
      </c>
    </row>
    <row r="186" spans="1:2">
      <c r="A186" s="76">
        <v>44743</v>
      </c>
      <c r="B186">
        <v>1.0167999999999999</v>
      </c>
    </row>
    <row r="187" spans="1:2">
      <c r="A187" s="76">
        <v>44774</v>
      </c>
      <c r="B187">
        <v>1.0128999999999999</v>
      </c>
    </row>
    <row r="188" spans="1:2">
      <c r="A188" s="76">
        <v>44805</v>
      </c>
      <c r="B188">
        <v>0.9899</v>
      </c>
    </row>
    <row r="189" spans="1:2">
      <c r="A189" s="76">
        <v>44835</v>
      </c>
      <c r="B189">
        <v>0.98529999999999995</v>
      </c>
    </row>
    <row r="190" spans="1:2">
      <c r="A190" s="76">
        <v>44866</v>
      </c>
      <c r="B190">
        <v>1.0192000000000001</v>
      </c>
    </row>
    <row r="191" spans="1:2">
      <c r="A191" s="76">
        <v>44896</v>
      </c>
      <c r="B191">
        <v>1.0590999999999999</v>
      </c>
    </row>
    <row r="192" spans="1:2">
      <c r="A192" s="76">
        <v>44927</v>
      </c>
      <c r="B192">
        <v>1.0777000000000001</v>
      </c>
    </row>
    <row r="193" spans="1:2">
      <c r="A193" s="76">
        <v>44958</v>
      </c>
      <c r="B193">
        <v>1.0702</v>
      </c>
    </row>
    <row r="194" spans="1:2">
      <c r="A194" s="76">
        <v>44986</v>
      </c>
      <c r="B194">
        <v>1.0710999999999999</v>
      </c>
    </row>
    <row r="195" spans="1:2">
      <c r="A195" s="76">
        <v>45017</v>
      </c>
      <c r="B195">
        <v>1.0962000000000001</v>
      </c>
    </row>
    <row r="196" spans="1:2">
      <c r="A196" s="76">
        <v>45047</v>
      </c>
      <c r="B196">
        <v>1.0867</v>
      </c>
    </row>
    <row r="197" spans="1:2">
      <c r="A197" s="76">
        <v>45078</v>
      </c>
      <c r="B197">
        <v>1.0840000000000001</v>
      </c>
    </row>
    <row r="198" spans="1:2">
      <c r="A198" s="76">
        <v>45108</v>
      </c>
      <c r="B198">
        <v>1.1067</v>
      </c>
    </row>
    <row r="199" spans="1:2">
      <c r="A199" s="76">
        <v>45139</v>
      </c>
      <c r="B199">
        <v>1.091</v>
      </c>
    </row>
    <row r="200" spans="1:2">
      <c r="A200" s="76">
        <v>45170</v>
      </c>
      <c r="B200">
        <v>1.0671999999999999</v>
      </c>
    </row>
    <row r="201" spans="1:2">
      <c r="A201" s="76">
        <v>45200</v>
      </c>
      <c r="B201">
        <v>1.0565</v>
      </c>
    </row>
    <row r="202" spans="1:2">
      <c r="A202" s="76">
        <v>45231</v>
      </c>
      <c r="B202">
        <v>1.0819000000000001</v>
      </c>
    </row>
    <row r="203" spans="1:2">
      <c r="A203" s="76">
        <v>45261</v>
      </c>
      <c r="B203">
        <v>1.0909</v>
      </c>
    </row>
    <row r="204" spans="1:2">
      <c r="A204" s="76">
        <v>45292</v>
      </c>
      <c r="B204">
        <v>1.0899000000000001</v>
      </c>
    </row>
    <row r="205" spans="1:2">
      <c r="A205" s="76">
        <v>45323</v>
      </c>
      <c r="B205">
        <v>1.0792999999999999</v>
      </c>
    </row>
    <row r="206" spans="1:2">
      <c r="A206" s="76">
        <v>45352</v>
      </c>
      <c r="B206">
        <v>1.087</v>
      </c>
    </row>
    <row r="207" spans="1:2">
      <c r="A207" s="76">
        <v>45383</v>
      </c>
      <c r="B207">
        <v>1.0724</v>
      </c>
    </row>
    <row r="208" spans="1:2">
      <c r="A208" s="76">
        <v>45413</v>
      </c>
      <c r="B208">
        <v>1.081</v>
      </c>
    </row>
    <row r="209" spans="1:2">
      <c r="A209" s="76">
        <v>45444</v>
      </c>
      <c r="B209">
        <v>1.0763</v>
      </c>
    </row>
    <row r="210" spans="1:2">
      <c r="A210" s="76">
        <v>45474</v>
      </c>
      <c r="B210">
        <v>1.0847</v>
      </c>
    </row>
    <row r="211" spans="1:2">
      <c r="A211" s="76">
        <v>45505</v>
      </c>
      <c r="B211">
        <v>1.1020000000000001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800E50-85F1-8745-9372-153DAD5875F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Yash Dubey</dc:creator>
  <cp:keywords/>
  <dc:description/>
  <cp:lastModifiedBy>Dubey  Yash</cp:lastModifiedBy>
  <cp:revision/>
  <dcterms:created xsi:type="dcterms:W3CDTF">2024-05-16T11:07:21Z</dcterms:created>
  <dcterms:modified xsi:type="dcterms:W3CDTF">2025-04-10T08:50:50Z</dcterms:modified>
  <cp:category/>
  <cp:contentStatus/>
</cp:coreProperties>
</file>